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Startklar\Downloads\"/>
    </mc:Choice>
  </mc:AlternateContent>
  <xr:revisionPtr revIDLastSave="0" documentId="13_ncr:1_{816BCFF9-B51D-4234-8364-26B3588F8EDC}" xr6:coauthVersionLast="47" xr6:coauthVersionMax="47" xr10:uidLastSave="{00000000-0000-0000-0000-000000000000}"/>
  <bookViews>
    <workbookView xWindow="-108" yWindow="-108" windowWidth="23256" windowHeight="13896" activeTab="1" xr2:uid="{71600814-4A9D-42C1-AF3B-00456CC5C354}"/>
  </bookViews>
  <sheets>
    <sheet name="question" sheetId="3" r:id="rId1"/>
    <sheet name="Computations" sheetId="4" r:id="rId2"/>
    <sheet name="Steps and Issues" sheetId="5" r:id="rId3"/>
    <sheet name="Sellside earnings" sheetId="6" r:id="rId4"/>
    <sheet name="Major Factors"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4" l="1"/>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3"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F52" i="4"/>
  <c r="R3" i="4" l="1"/>
</calcChain>
</file>

<file path=xl/sharedStrings.xml><?xml version="1.0" encoding="utf-8"?>
<sst xmlns="http://schemas.openxmlformats.org/spreadsheetml/2006/main" count="43" uniqueCount="27">
  <si>
    <t>Date</t>
  </si>
  <si>
    <t>COST</t>
  </si>
  <si>
    <t>KO</t>
  </si>
  <si>
    <t>NTDOF</t>
  </si>
  <si>
    <t>TGT</t>
  </si>
  <si>
    <t>TSLA</t>
  </si>
  <si>
    <r>
      <t>*</t>
    </r>
    <r>
      <rPr>
        <b/>
        <sz val="11"/>
        <color theme="1"/>
        <rFont val="Calibri"/>
        <family val="2"/>
        <scheme val="minor"/>
      </rPr>
      <t>COST</t>
    </r>
    <r>
      <rPr>
        <sz val="11"/>
        <color theme="1"/>
        <rFont val="Calibri"/>
        <family val="2"/>
        <scheme val="minor"/>
      </rPr>
      <t xml:space="preserve"> had a cash dividend of $2 per share on 2022/10/31</t>
    </r>
  </si>
  <si>
    <t xml:space="preserve"> </t>
  </si>
  <si>
    <t>Daily Total Return (%)</t>
  </si>
  <si>
    <t>PnL (USD)</t>
  </si>
  <si>
    <t>Portfolio Value (USD)</t>
  </si>
  <si>
    <t xml:space="preserve">Ticker </t>
  </si>
  <si>
    <t xml:space="preserve">NTDOF </t>
  </si>
  <si>
    <t>Source</t>
  </si>
  <si>
    <t>N_COST</t>
  </si>
  <si>
    <t>N_KO</t>
  </si>
  <si>
    <t>N_NTDOF</t>
  </si>
  <si>
    <t>N_TGT</t>
  </si>
  <si>
    <t>N_TSLA</t>
  </si>
  <si>
    <t>Div_COST</t>
  </si>
  <si>
    <t>Refinitiv</t>
  </si>
  <si>
    <t>Earnings per Share as of 01.08.2022</t>
  </si>
  <si>
    <t>Earnings per share as of 31.12.2022</t>
  </si>
  <si>
    <t>Currency</t>
  </si>
  <si>
    <t>USD</t>
  </si>
  <si>
    <t xml:space="preserve">JPY </t>
  </si>
  <si>
    <t xml:space="preserve">USD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</si>
</sst>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5"/>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4" fontId="0" fillId="0" borderId="0" xfId="0" applyNumberFormat="1"/>
    <xf numFmtId="0" fontId="0" fillId="2" borderId="0" xfId="0" applyFill="1"/>
    <xf numFmtId="0" fontId="1" fillId="3" borderId="0" xfId="0" applyFont="1" applyFill="1"/>
    <xf numFmtId="0" fontId="0" fillId="3" borderId="0" xfId="0" applyFill="1"/>
    <xf numFmtId="14" fontId="0" fillId="4" borderId="0" xfId="0" applyNumberFormat="1" applyFill="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7620</xdr:rowOff>
    </xdr:from>
    <xdr:to>
      <xdr:col>18</xdr:col>
      <xdr:colOff>0</xdr:colOff>
      <xdr:row>36</xdr:row>
      <xdr:rowOff>172825</xdr:rowOff>
    </xdr:to>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AACCA821-26D3-40B7-B84B-53DCC5B1A0CC}"/>
                </a:ext>
              </a:extLst>
            </xdr:cNvPr>
            <xdr:cNvSpPr txBox="1"/>
          </xdr:nvSpPr>
          <xdr:spPr>
            <a:xfrm>
              <a:off x="612742" y="188300"/>
              <a:ext cx="10416619" cy="648902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Steps:</a:t>
              </a:r>
              <a:r>
                <a:rPr lang="en-US" sz="1100" baseline="0"/>
                <a:t> </a:t>
              </a:r>
            </a:p>
            <a:p>
              <a:r>
                <a:rPr lang="en-US" sz="1100" baseline="0"/>
                <a:t>1) Check the data: is it coherent ? Can corporate events/actions explain specific outliers ? </a:t>
              </a:r>
            </a:p>
            <a:p>
              <a:endParaRPr lang="en-US" sz="1100" baseline="0"/>
            </a:p>
            <a:p>
              <a:r>
                <a:rPr lang="en-US" sz="1100" baseline="0"/>
                <a:t>2) State the amount of shares for each stock composing our portfolio </a:t>
              </a:r>
            </a:p>
            <a:p>
              <a:r>
                <a:rPr lang="en-US" sz="1100" baseline="0"/>
                <a:t>- Amount is positive if the position is long </a:t>
              </a:r>
            </a:p>
            <a:p>
              <a:r>
                <a:rPr lang="en-US" sz="1100" baseline="0"/>
                <a:t>- Amount is negative if the position is short </a:t>
              </a:r>
            </a:p>
            <a:p>
              <a:endParaRPr lang="en-US" sz="1100" baseline="0"/>
            </a:p>
            <a:p>
              <a:r>
                <a:rPr lang="en-US" sz="1100" baseline="0"/>
                <a:t>3) Calculate the portfolio value as the sum of the product of each stock's daily price with its corresponding amount of shares: </a:t>
              </a:r>
            </a:p>
            <a:p>
              <a:pPr/>
              <a14:m>
                <m:oMathPara xmlns:m="http://schemas.openxmlformats.org/officeDocument/2006/math">
                  <m:oMathParaPr>
                    <m:jc m:val="centerGroup"/>
                  </m:oMathParaPr>
                  <m:oMath xmlns:m="http://schemas.openxmlformats.org/officeDocument/2006/math">
                    <m:r>
                      <m:rPr>
                        <m:sty m:val="p"/>
                      </m:rPr>
                      <a:rPr lang="de-CH" sz="1100" b="0" i="0" baseline="0">
                        <a:latin typeface="Cambria Math" panose="02040503050406030204" pitchFamily="18" charset="0"/>
                      </a:rPr>
                      <m:t>PV</m:t>
                    </m:r>
                    <m:r>
                      <a:rPr lang="de-CH" sz="1100" b="0" i="1" baseline="0">
                        <a:latin typeface="Cambria Math" panose="02040503050406030204" pitchFamily="18" charset="0"/>
                      </a:rPr>
                      <m:t>(</m:t>
                    </m:r>
                    <m:r>
                      <a:rPr lang="de-CH" sz="1100" b="0" i="1" baseline="0">
                        <a:latin typeface="Cambria Math" panose="02040503050406030204" pitchFamily="18" charset="0"/>
                      </a:rPr>
                      <m:t>𝑡</m:t>
                    </m:r>
                    <m:r>
                      <a:rPr lang="de-CH" sz="1100" b="0" i="1" baseline="0">
                        <a:latin typeface="Cambria Math" panose="02040503050406030204" pitchFamily="18" charset="0"/>
                      </a:rPr>
                      <m:t>)=</m:t>
                    </m:r>
                    <m:nary>
                      <m:naryPr>
                        <m:chr m:val="∑"/>
                        <m:ctrlPr>
                          <a:rPr lang="de-CH" sz="1100" b="0" i="1" baseline="0">
                            <a:latin typeface="Cambria Math" panose="02040503050406030204" pitchFamily="18" charset="0"/>
                          </a:rPr>
                        </m:ctrlPr>
                      </m:naryPr>
                      <m:sub>
                        <m:r>
                          <m:rPr>
                            <m:brk m:alnAt="23"/>
                          </m:rPr>
                          <a:rPr lang="de-CH" sz="1100" b="0" i="1" baseline="0">
                            <a:latin typeface="Cambria Math" panose="02040503050406030204" pitchFamily="18" charset="0"/>
                          </a:rPr>
                          <m:t>𝑖</m:t>
                        </m:r>
                        <m:r>
                          <a:rPr lang="de-CH" sz="1100" b="0" i="1" baseline="0">
                            <a:latin typeface="Cambria Math" panose="02040503050406030204" pitchFamily="18" charset="0"/>
                          </a:rPr>
                          <m:t>=1</m:t>
                        </m:r>
                      </m:sub>
                      <m:sup>
                        <m:r>
                          <a:rPr lang="de-CH" sz="1100" b="0" i="1" baseline="0">
                            <a:latin typeface="Cambria Math" panose="02040503050406030204" pitchFamily="18" charset="0"/>
                          </a:rPr>
                          <m:t>5</m:t>
                        </m:r>
                      </m:sup>
                      <m:e>
                        <m:sSub>
                          <m:sSubPr>
                            <m:ctrlPr>
                              <a:rPr lang="de-CH" sz="1100" b="0" i="1" baseline="0">
                                <a:latin typeface="Cambria Math" panose="02040503050406030204" pitchFamily="18" charset="0"/>
                              </a:rPr>
                            </m:ctrlPr>
                          </m:sSubPr>
                          <m:e>
                            <m:r>
                              <a:rPr lang="de-CH" sz="1100" b="0" i="1" baseline="0">
                                <a:latin typeface="Cambria Math" panose="02040503050406030204" pitchFamily="18" charset="0"/>
                              </a:rPr>
                              <m:t>𝑁</m:t>
                            </m:r>
                          </m:e>
                          <m:sub>
                            <m:r>
                              <a:rPr lang="de-CH" sz="1100" b="0" i="1" baseline="0">
                                <a:latin typeface="Cambria Math" panose="02040503050406030204" pitchFamily="18" charset="0"/>
                              </a:rPr>
                              <m:t>𝑖</m:t>
                            </m:r>
                          </m:sub>
                        </m:sSub>
                        <m:d>
                          <m:dPr>
                            <m:ctrlPr>
                              <a:rPr lang="de-CH" sz="1100" b="0" i="1" baseline="0">
                                <a:latin typeface="Cambria Math" panose="02040503050406030204" pitchFamily="18" charset="0"/>
                              </a:rPr>
                            </m:ctrlPr>
                          </m:dPr>
                          <m:e>
                            <m:r>
                              <a:rPr lang="de-CH" sz="1100" b="0" i="1" baseline="0">
                                <a:latin typeface="Cambria Math" panose="02040503050406030204" pitchFamily="18" charset="0"/>
                              </a:rPr>
                              <m:t>𝑡</m:t>
                            </m:r>
                          </m:e>
                        </m:d>
                        <m:r>
                          <a:rPr lang="de-CH" sz="1100" b="0" i="1" baseline="0">
                            <a:latin typeface="Cambria Math" panose="02040503050406030204" pitchFamily="18" charset="0"/>
                            <a:ea typeface="Cambria Math" panose="02040503050406030204" pitchFamily="18" charset="0"/>
                          </a:rPr>
                          <m:t>∙</m:t>
                        </m:r>
                        <m:sSub>
                          <m:sSubPr>
                            <m:ctrlPr>
                              <a:rPr lang="de-CH" sz="1100" b="0" i="1" baseline="0">
                                <a:latin typeface="Cambria Math" panose="02040503050406030204" pitchFamily="18" charset="0"/>
                                <a:ea typeface="Cambria Math" panose="02040503050406030204" pitchFamily="18" charset="0"/>
                              </a:rPr>
                            </m:ctrlPr>
                          </m:sSubPr>
                          <m:e>
                            <m:r>
                              <a:rPr lang="de-CH" sz="1100" b="0" i="1" baseline="0">
                                <a:latin typeface="Cambria Math" panose="02040503050406030204" pitchFamily="18" charset="0"/>
                                <a:ea typeface="Cambria Math" panose="02040503050406030204" pitchFamily="18" charset="0"/>
                              </a:rPr>
                              <m:t>𝑃</m:t>
                            </m:r>
                          </m:e>
                          <m:sub>
                            <m:r>
                              <a:rPr lang="de-CH" sz="1100" b="0" i="1" baseline="0">
                                <a:latin typeface="Cambria Math" panose="02040503050406030204" pitchFamily="18" charset="0"/>
                                <a:ea typeface="Cambria Math" panose="02040503050406030204" pitchFamily="18" charset="0"/>
                              </a:rPr>
                              <m:t>𝑖</m:t>
                            </m:r>
                          </m:sub>
                        </m:sSub>
                      </m:e>
                    </m:nary>
                    <m:r>
                      <a:rPr lang="de-CH" sz="1100" b="0" i="1" baseline="0">
                        <a:latin typeface="Cambria Math" panose="02040503050406030204" pitchFamily="18" charset="0"/>
                      </a:rPr>
                      <m:t>(</m:t>
                    </m:r>
                    <m:r>
                      <a:rPr lang="de-CH" sz="1100" b="0" i="1" baseline="0">
                        <a:latin typeface="Cambria Math" panose="02040503050406030204" pitchFamily="18" charset="0"/>
                      </a:rPr>
                      <m:t>𝑡</m:t>
                    </m:r>
                    <m:r>
                      <a:rPr lang="de-CH" sz="1100" b="0" i="1" baseline="0">
                        <a:latin typeface="Cambria Math" panose="02040503050406030204" pitchFamily="18" charset="0"/>
                      </a:rPr>
                      <m:t>)</m:t>
                    </m:r>
                  </m:oMath>
                </m:oMathPara>
              </a14:m>
              <a:endParaRPr lang="en-US" sz="1100" baseline="0"/>
            </a:p>
            <a:p>
              <a:r>
                <a:rPr lang="en-US" sz="1100" baseline="0"/>
                <a:t>4) Calculate the daily pnl as the sume of the product of each stock's price difference with the day before multiplied by its corresponding rate: </a:t>
              </a:r>
            </a:p>
            <a:p>
              <a:pPr/>
              <a14:m>
                <m:oMathPara xmlns:m="http://schemas.openxmlformats.org/officeDocument/2006/math">
                  <m:oMathParaPr>
                    <m:jc m:val="centerGroup"/>
                  </m:oMathParaPr>
                  <m:oMath xmlns:m="http://schemas.openxmlformats.org/officeDocument/2006/math">
                    <m:sSub>
                      <m:sSubPr>
                        <m:ctrlPr>
                          <a:rPr lang="en-US" sz="1100" i="1" baseline="0">
                            <a:latin typeface="Cambria Math" panose="02040503050406030204" pitchFamily="18" charset="0"/>
                          </a:rPr>
                        </m:ctrlPr>
                      </m:sSubPr>
                      <m:e>
                        <m:r>
                          <a:rPr lang="de-CH" sz="1100" b="0" i="1" baseline="0">
                            <a:latin typeface="Cambria Math" panose="02040503050406030204" pitchFamily="18" charset="0"/>
                          </a:rPr>
                          <m:t>𝑃𝑛𝐿</m:t>
                        </m:r>
                      </m:e>
                      <m:sub>
                        <m:r>
                          <a:rPr lang="de-CH" sz="1100" b="0" i="1" baseline="0">
                            <a:latin typeface="Cambria Math" panose="02040503050406030204" pitchFamily="18" charset="0"/>
                          </a:rPr>
                          <m:t>𝑖</m:t>
                        </m:r>
                      </m:sub>
                    </m:sSub>
                    <m:d>
                      <m:dPr>
                        <m:ctrlPr>
                          <a:rPr lang="de-CH" sz="1100" b="0" i="1" baseline="0">
                            <a:latin typeface="Cambria Math" panose="02040503050406030204" pitchFamily="18" charset="0"/>
                          </a:rPr>
                        </m:ctrlPr>
                      </m:dPr>
                      <m:e>
                        <m:r>
                          <a:rPr lang="de-CH" sz="1100" b="0" i="1" baseline="0">
                            <a:latin typeface="Cambria Math" panose="02040503050406030204" pitchFamily="18" charset="0"/>
                          </a:rPr>
                          <m:t>𝑡</m:t>
                        </m:r>
                      </m:e>
                    </m:d>
                    <m:r>
                      <a:rPr lang="de-CH" sz="1100" b="0" i="1" baseline="0">
                        <a:latin typeface="Cambria Math" panose="02040503050406030204" pitchFamily="18" charset="0"/>
                      </a:rPr>
                      <m:t>=</m:t>
                    </m:r>
                    <m:nary>
                      <m:naryPr>
                        <m:chr m:val="∑"/>
                        <m:ctrlPr>
                          <a:rPr lang="de-CH" sz="1100" b="0" i="1" baseline="0">
                            <a:latin typeface="Cambria Math" panose="02040503050406030204" pitchFamily="18" charset="0"/>
                          </a:rPr>
                        </m:ctrlPr>
                      </m:naryPr>
                      <m:sub>
                        <m:r>
                          <m:rPr>
                            <m:brk m:alnAt="23"/>
                          </m:rPr>
                          <a:rPr lang="de-CH" sz="1100" b="0" i="1" baseline="0">
                            <a:latin typeface="Cambria Math" panose="02040503050406030204" pitchFamily="18" charset="0"/>
                          </a:rPr>
                          <m:t>𝑖</m:t>
                        </m:r>
                        <m:r>
                          <a:rPr lang="de-CH" sz="1100" b="0" i="1" baseline="0">
                            <a:latin typeface="Cambria Math" panose="02040503050406030204" pitchFamily="18" charset="0"/>
                          </a:rPr>
                          <m:t>=1</m:t>
                        </m:r>
                      </m:sub>
                      <m:sup>
                        <m:r>
                          <a:rPr lang="de-CH" sz="1100" b="0" i="1" baseline="0">
                            <a:latin typeface="Cambria Math" panose="02040503050406030204" pitchFamily="18" charset="0"/>
                          </a:rPr>
                          <m:t>5</m:t>
                        </m:r>
                      </m:sup>
                      <m:e>
                        <m:r>
                          <a:rPr lang="de-CH" sz="1100" b="0" i="1" baseline="0">
                            <a:latin typeface="Cambria Math" panose="02040503050406030204" pitchFamily="18" charset="0"/>
                          </a:rPr>
                          <m:t>[</m:t>
                        </m:r>
                        <m:sSub>
                          <m:sSubPr>
                            <m:ctrlPr>
                              <a:rPr lang="de-CH" sz="1100" b="0" i="1" baseline="0">
                                <a:latin typeface="Cambria Math" panose="02040503050406030204" pitchFamily="18" charset="0"/>
                              </a:rPr>
                            </m:ctrlPr>
                          </m:sSubPr>
                          <m:e>
                            <m:r>
                              <a:rPr lang="de-CH" sz="1100" b="0" i="1" baseline="0">
                                <a:latin typeface="Cambria Math" panose="02040503050406030204" pitchFamily="18" charset="0"/>
                              </a:rPr>
                              <m:t>𝑁</m:t>
                            </m:r>
                          </m:e>
                          <m:sub>
                            <m:r>
                              <a:rPr lang="de-CH" sz="1100" b="0" i="1" baseline="0">
                                <a:latin typeface="Cambria Math" panose="02040503050406030204" pitchFamily="18" charset="0"/>
                              </a:rPr>
                              <m:t>𝑖</m:t>
                            </m:r>
                          </m:sub>
                        </m:sSub>
                        <m:d>
                          <m:dPr>
                            <m:ctrlPr>
                              <a:rPr lang="de-CH" sz="1100" b="0" i="1" baseline="0">
                                <a:latin typeface="Cambria Math" panose="02040503050406030204" pitchFamily="18" charset="0"/>
                              </a:rPr>
                            </m:ctrlPr>
                          </m:dPr>
                          <m:e>
                            <m:r>
                              <a:rPr lang="de-CH" sz="1100" b="0" i="1" baseline="0">
                                <a:latin typeface="Cambria Math" panose="02040503050406030204" pitchFamily="18" charset="0"/>
                              </a:rPr>
                              <m:t>𝑡</m:t>
                            </m:r>
                          </m:e>
                        </m:d>
                        <m:r>
                          <a:rPr lang="de-CH" sz="1100" b="0" i="1" baseline="0">
                            <a:latin typeface="Cambria Math" panose="02040503050406030204" pitchFamily="18" charset="0"/>
                            <a:ea typeface="Cambria Math" panose="02040503050406030204" pitchFamily="18" charset="0"/>
                          </a:rPr>
                          <m:t>∙</m:t>
                        </m:r>
                        <m:sSub>
                          <m:sSubPr>
                            <m:ctrlPr>
                              <a:rPr lang="de-CH" sz="1100" b="0" i="1" baseline="0">
                                <a:latin typeface="Cambria Math" panose="02040503050406030204" pitchFamily="18" charset="0"/>
                                <a:ea typeface="Cambria Math" panose="02040503050406030204" pitchFamily="18" charset="0"/>
                              </a:rPr>
                            </m:ctrlPr>
                          </m:sSubPr>
                          <m:e>
                            <m:r>
                              <a:rPr lang="de-CH" sz="1100" b="0" i="1" baseline="0">
                                <a:latin typeface="Cambria Math" panose="02040503050406030204" pitchFamily="18" charset="0"/>
                                <a:ea typeface="Cambria Math" panose="02040503050406030204" pitchFamily="18" charset="0"/>
                              </a:rPr>
                              <m:t>𝑃</m:t>
                            </m:r>
                          </m:e>
                          <m:sub>
                            <m:r>
                              <a:rPr lang="de-CH" sz="1100" b="0" i="1" baseline="0">
                                <a:latin typeface="Cambria Math" panose="02040503050406030204" pitchFamily="18" charset="0"/>
                                <a:ea typeface="Cambria Math" panose="02040503050406030204" pitchFamily="18" charset="0"/>
                              </a:rPr>
                              <m:t>𝑖</m:t>
                            </m:r>
                          </m:sub>
                        </m:sSub>
                        <m:d>
                          <m:dPr>
                            <m:ctrlPr>
                              <a:rPr lang="de-CH" sz="1100" b="0" i="1" baseline="0">
                                <a:latin typeface="Cambria Math" panose="02040503050406030204" pitchFamily="18" charset="0"/>
                                <a:ea typeface="Cambria Math" panose="02040503050406030204" pitchFamily="18" charset="0"/>
                              </a:rPr>
                            </m:ctrlPr>
                          </m:dPr>
                          <m:e>
                            <m:r>
                              <a:rPr lang="de-CH" sz="1100" b="0" i="1" baseline="0">
                                <a:latin typeface="Cambria Math" panose="02040503050406030204" pitchFamily="18" charset="0"/>
                                <a:ea typeface="Cambria Math" panose="02040503050406030204" pitchFamily="18" charset="0"/>
                              </a:rPr>
                              <m:t>𝑡</m:t>
                            </m:r>
                          </m:e>
                        </m:d>
                        <m:r>
                          <a:rPr lang="de-CH" sz="1100" b="0" i="1" baseline="0">
                            <a:latin typeface="Cambria Math" panose="02040503050406030204" pitchFamily="18" charset="0"/>
                            <a:ea typeface="Cambria Math" panose="02040503050406030204" pitchFamily="18" charset="0"/>
                          </a:rPr>
                          <m:t>−</m:t>
                        </m:r>
                        <m:sSub>
                          <m:sSubPr>
                            <m:ctrlPr>
                              <a:rPr lang="de-CH" sz="1100" b="0" i="1" baseline="0">
                                <a:latin typeface="Cambria Math" panose="02040503050406030204" pitchFamily="18" charset="0"/>
                                <a:ea typeface="Cambria Math" panose="02040503050406030204" pitchFamily="18" charset="0"/>
                              </a:rPr>
                            </m:ctrlPr>
                          </m:sSubPr>
                          <m:e>
                            <m:r>
                              <a:rPr lang="de-CH" sz="1100" b="0" i="1" baseline="0">
                                <a:latin typeface="Cambria Math" panose="02040503050406030204" pitchFamily="18" charset="0"/>
                                <a:ea typeface="Cambria Math" panose="02040503050406030204" pitchFamily="18" charset="0"/>
                              </a:rPr>
                              <m:t>𝑁</m:t>
                            </m:r>
                          </m:e>
                          <m:sub>
                            <m:r>
                              <a:rPr lang="de-CH" sz="1100" b="0" i="1" baseline="0">
                                <a:latin typeface="Cambria Math" panose="02040503050406030204" pitchFamily="18" charset="0"/>
                                <a:ea typeface="Cambria Math" panose="02040503050406030204" pitchFamily="18" charset="0"/>
                              </a:rPr>
                              <m:t>𝑖</m:t>
                            </m:r>
                          </m:sub>
                        </m:sSub>
                        <m:d>
                          <m:dPr>
                            <m:ctrlPr>
                              <a:rPr lang="de-CH" sz="1100" b="0" i="1" baseline="0">
                                <a:latin typeface="Cambria Math" panose="02040503050406030204" pitchFamily="18" charset="0"/>
                                <a:ea typeface="Cambria Math" panose="02040503050406030204" pitchFamily="18" charset="0"/>
                              </a:rPr>
                            </m:ctrlPr>
                          </m:dPr>
                          <m:e>
                            <m:r>
                              <a:rPr lang="de-CH" sz="1100" b="0" i="1" baseline="0">
                                <a:latin typeface="Cambria Math" panose="02040503050406030204" pitchFamily="18" charset="0"/>
                                <a:ea typeface="Cambria Math" panose="02040503050406030204" pitchFamily="18" charset="0"/>
                              </a:rPr>
                              <m:t>𝑡</m:t>
                            </m:r>
                            <m:r>
                              <a:rPr lang="de-CH" sz="1100" b="0" i="1" baseline="0">
                                <a:latin typeface="Cambria Math" panose="02040503050406030204" pitchFamily="18" charset="0"/>
                                <a:ea typeface="Cambria Math" panose="02040503050406030204" pitchFamily="18" charset="0"/>
                              </a:rPr>
                              <m:t>−1</m:t>
                            </m:r>
                          </m:e>
                        </m:d>
                        <m:r>
                          <a:rPr lang="de-CH" sz="1100" b="0" i="1" baseline="0">
                            <a:latin typeface="Cambria Math" panose="02040503050406030204" pitchFamily="18" charset="0"/>
                            <a:ea typeface="Cambria Math" panose="02040503050406030204" pitchFamily="18" charset="0"/>
                          </a:rPr>
                          <m:t>∙</m:t>
                        </m:r>
                        <m:sSub>
                          <m:sSubPr>
                            <m:ctrlPr>
                              <a:rPr lang="de-CH" sz="1100" b="0" i="1" baseline="0">
                                <a:latin typeface="Cambria Math" panose="02040503050406030204" pitchFamily="18" charset="0"/>
                                <a:ea typeface="Cambria Math" panose="02040503050406030204" pitchFamily="18" charset="0"/>
                              </a:rPr>
                            </m:ctrlPr>
                          </m:sSubPr>
                          <m:e>
                            <m:r>
                              <a:rPr lang="de-CH" sz="1100" b="0" i="1" baseline="0">
                                <a:latin typeface="Cambria Math" panose="02040503050406030204" pitchFamily="18" charset="0"/>
                                <a:ea typeface="Cambria Math" panose="02040503050406030204" pitchFamily="18" charset="0"/>
                              </a:rPr>
                              <m:t>𝑃</m:t>
                            </m:r>
                          </m:e>
                          <m:sub>
                            <m:r>
                              <a:rPr lang="de-CH" sz="1100" b="0" i="1" baseline="0">
                                <a:latin typeface="Cambria Math" panose="02040503050406030204" pitchFamily="18" charset="0"/>
                                <a:ea typeface="Cambria Math" panose="02040503050406030204" pitchFamily="18" charset="0"/>
                              </a:rPr>
                              <m:t>𝑖</m:t>
                            </m:r>
                          </m:sub>
                        </m:sSub>
                        <m:d>
                          <m:dPr>
                            <m:ctrlPr>
                              <a:rPr lang="de-CH" sz="1100" b="0" i="1" baseline="0">
                                <a:latin typeface="Cambria Math" panose="02040503050406030204" pitchFamily="18" charset="0"/>
                                <a:ea typeface="Cambria Math" panose="02040503050406030204" pitchFamily="18" charset="0"/>
                              </a:rPr>
                            </m:ctrlPr>
                          </m:dPr>
                          <m:e>
                            <m:r>
                              <a:rPr lang="de-CH" sz="1100" b="0" i="1" baseline="0">
                                <a:latin typeface="Cambria Math" panose="02040503050406030204" pitchFamily="18" charset="0"/>
                                <a:ea typeface="Cambria Math" panose="02040503050406030204" pitchFamily="18" charset="0"/>
                              </a:rPr>
                              <m:t>𝑡</m:t>
                            </m:r>
                            <m:r>
                              <a:rPr lang="de-CH" sz="1100" b="0" i="1" baseline="0">
                                <a:latin typeface="Cambria Math" panose="02040503050406030204" pitchFamily="18" charset="0"/>
                                <a:ea typeface="Cambria Math" panose="02040503050406030204" pitchFamily="18" charset="0"/>
                              </a:rPr>
                              <m:t>−1</m:t>
                            </m:r>
                          </m:e>
                        </m:d>
                        <m:r>
                          <a:rPr lang="de-CH" sz="1100" b="0" i="1" baseline="0">
                            <a:latin typeface="Cambria Math" panose="02040503050406030204" pitchFamily="18" charset="0"/>
                            <a:ea typeface="Cambria Math" panose="02040503050406030204" pitchFamily="18" charset="0"/>
                          </a:rPr>
                          <m:t>]</m:t>
                        </m:r>
                      </m:e>
                    </m:nary>
                  </m:oMath>
                </m:oMathPara>
              </a14:m>
              <a:endParaRPr lang="en-US" sz="1100" baseline="0"/>
            </a:p>
            <a:p>
              <a:r>
                <a:rPr lang="en-US" sz="1100" baseline="0"/>
                <a:t>- We make sure to account for the dividends as well: COST had a cash dividend of $2 per share on 31.10.2022. Alse we are long on COST, so we receive the dividends. </a:t>
              </a:r>
            </a:p>
            <a:p>
              <a:endParaRPr lang="en-US" sz="1100" baseline="0"/>
            </a:p>
            <a:p>
              <a:r>
                <a:rPr lang="en-US" sz="1100" baseline="0"/>
                <a:t>5) Calculate the daily total return of our portfolio as the ratio of today's pnl over the previous trading day's pnl: </a:t>
              </a:r>
            </a:p>
            <a:p>
              <a:endParaRPr lang="en-US" sz="1100" i="1" baseline="0">
                <a:latin typeface="Cambria Math" panose="02040503050406030204" pitchFamily="18" charset="0"/>
              </a:endParaRPr>
            </a:p>
            <a:p>
              <a:pPr algn="ctr"/>
              <a14:m>
                <m:oMath xmlns:m="http://schemas.openxmlformats.org/officeDocument/2006/math">
                  <m:sSub>
                    <m:sSubPr>
                      <m:ctrlPr>
                        <a:rPr lang="en-US" sz="1100" i="1" baseline="0">
                          <a:latin typeface="Cambria Math" panose="02040503050406030204" pitchFamily="18" charset="0"/>
                        </a:rPr>
                      </m:ctrlPr>
                    </m:sSubPr>
                    <m:e>
                      <m:r>
                        <a:rPr lang="de-CH" sz="1100" b="0" i="1" baseline="0">
                          <a:latin typeface="Cambria Math" panose="02040503050406030204" pitchFamily="18" charset="0"/>
                        </a:rPr>
                        <m:t>𝑅</m:t>
                      </m:r>
                    </m:e>
                    <m:sub>
                      <m:r>
                        <a:rPr lang="de-CH" sz="1100" b="0" i="1" baseline="0">
                          <a:latin typeface="Cambria Math" panose="02040503050406030204" pitchFamily="18" charset="0"/>
                        </a:rPr>
                        <m:t>𝑖</m:t>
                      </m:r>
                    </m:sub>
                  </m:sSub>
                  <m:d>
                    <m:dPr>
                      <m:ctrlPr>
                        <a:rPr lang="de-CH" sz="1100" b="0" i="1" baseline="0">
                          <a:latin typeface="Cambria Math" panose="02040503050406030204" pitchFamily="18" charset="0"/>
                        </a:rPr>
                      </m:ctrlPr>
                    </m:dPr>
                    <m:e>
                      <m:r>
                        <a:rPr lang="de-CH" sz="1100" b="0" i="1" baseline="0">
                          <a:latin typeface="Cambria Math" panose="02040503050406030204" pitchFamily="18" charset="0"/>
                        </a:rPr>
                        <m:t>𝑡</m:t>
                      </m:r>
                    </m:e>
                  </m:d>
                  <m:r>
                    <a:rPr lang="de-CH" sz="1100" b="0" i="1" baseline="0">
                      <a:latin typeface="Cambria Math" panose="02040503050406030204" pitchFamily="18" charset="0"/>
                    </a:rPr>
                    <m:t>=</m:t>
                  </m:r>
                  <m:f>
                    <m:fPr>
                      <m:ctrlPr>
                        <a:rPr lang="de-CH" sz="1100" b="0" i="1" baseline="0">
                          <a:latin typeface="Cambria Math" panose="02040503050406030204" pitchFamily="18" charset="0"/>
                        </a:rPr>
                      </m:ctrlPr>
                    </m:fPr>
                    <m:num>
                      <m:sSub>
                        <m:sSubPr>
                          <m:ctrlPr>
                            <a:rPr lang="en-US" sz="1100" i="1" baseline="0">
                              <a:solidFill>
                                <a:schemeClr val="dk1"/>
                              </a:solidFill>
                              <a:effectLst/>
                              <a:latin typeface="Cambria Math" panose="02040503050406030204" pitchFamily="18" charset="0"/>
                              <a:ea typeface="+mn-ea"/>
                              <a:cs typeface="+mn-cs"/>
                            </a:rPr>
                          </m:ctrlPr>
                        </m:sSubPr>
                        <m:e>
                          <m:r>
                            <a:rPr lang="de-CH" sz="1100" b="0" i="1" baseline="0">
                              <a:solidFill>
                                <a:schemeClr val="dk1"/>
                              </a:solidFill>
                              <a:effectLst/>
                              <a:latin typeface="Cambria Math" panose="02040503050406030204" pitchFamily="18" charset="0"/>
                              <a:ea typeface="+mn-ea"/>
                              <a:cs typeface="+mn-cs"/>
                            </a:rPr>
                            <m:t>𝑃𝑛𝐿</m:t>
                          </m:r>
                        </m:e>
                        <m:sub>
                          <m:r>
                            <a:rPr lang="de-CH" sz="1100" b="0" i="1" baseline="0">
                              <a:solidFill>
                                <a:schemeClr val="dk1"/>
                              </a:solidFill>
                              <a:effectLst/>
                              <a:latin typeface="Cambria Math" panose="02040503050406030204" pitchFamily="18" charset="0"/>
                              <a:ea typeface="+mn-ea"/>
                              <a:cs typeface="+mn-cs"/>
                            </a:rPr>
                            <m:t>𝑖</m:t>
                          </m:r>
                        </m:sub>
                      </m:sSub>
                      <m:r>
                        <a:rPr lang="de-CH" sz="1100" b="0" i="1" baseline="0">
                          <a:solidFill>
                            <a:schemeClr val="dk1"/>
                          </a:solidFill>
                          <a:effectLst/>
                          <a:latin typeface="Cambria Math" panose="02040503050406030204" pitchFamily="18" charset="0"/>
                          <a:ea typeface="+mn-ea"/>
                          <a:cs typeface="+mn-cs"/>
                        </a:rPr>
                        <m:t>(</m:t>
                      </m:r>
                      <m:r>
                        <a:rPr lang="de-CH" sz="1100" b="0" i="1" baseline="0">
                          <a:solidFill>
                            <a:schemeClr val="dk1"/>
                          </a:solidFill>
                          <a:effectLst/>
                          <a:latin typeface="Cambria Math" panose="02040503050406030204" pitchFamily="18" charset="0"/>
                          <a:ea typeface="+mn-ea"/>
                          <a:cs typeface="+mn-cs"/>
                        </a:rPr>
                        <m:t>𝑡</m:t>
                      </m:r>
                      <m:r>
                        <a:rPr lang="de-CH" sz="1100" b="0" i="1" baseline="0">
                          <a:solidFill>
                            <a:schemeClr val="dk1"/>
                          </a:solidFill>
                          <a:effectLst/>
                          <a:latin typeface="Cambria Math" panose="02040503050406030204" pitchFamily="18" charset="0"/>
                          <a:ea typeface="+mn-ea"/>
                          <a:cs typeface="+mn-cs"/>
                        </a:rPr>
                        <m:t>)</m:t>
                      </m:r>
                    </m:num>
                    <m:den>
                      <m:r>
                        <a:rPr lang="de-CH" sz="1100" b="0" i="1" baseline="0">
                          <a:latin typeface="Cambria Math" panose="02040503050406030204" pitchFamily="18" charset="0"/>
                        </a:rPr>
                        <m:t>𝑃𝑉</m:t>
                      </m:r>
                      <m:r>
                        <a:rPr lang="de-CH" sz="1100" b="0" i="1" baseline="0">
                          <a:latin typeface="Cambria Math" panose="02040503050406030204" pitchFamily="18" charset="0"/>
                        </a:rPr>
                        <m:t>(</m:t>
                      </m:r>
                      <m:r>
                        <a:rPr lang="de-CH" sz="1100" b="0" i="1" baseline="0">
                          <a:latin typeface="Cambria Math" panose="02040503050406030204" pitchFamily="18" charset="0"/>
                        </a:rPr>
                        <m:t>𝑡</m:t>
                      </m:r>
                      <m:r>
                        <a:rPr lang="de-CH" sz="1100" b="0" i="1" baseline="0">
                          <a:latin typeface="Cambria Math" panose="02040503050406030204" pitchFamily="18" charset="0"/>
                        </a:rPr>
                        <m:t>−1)</m:t>
                      </m:r>
                    </m:den>
                  </m:f>
                </m:oMath>
              </a14:m>
              <a:r>
                <a:rPr lang="en-US" sz="1100" baseline="0"/>
                <a:t> </a:t>
              </a:r>
            </a:p>
            <a:p>
              <a:endParaRPr lang="en-US" sz="1100" baseline="0"/>
            </a:p>
            <a:p>
              <a:endParaRPr lang="en-US" sz="1100" baseline="0"/>
            </a:p>
            <a:p>
              <a:r>
                <a:rPr lang="en-US" sz="1100" b="1" baseline="0"/>
                <a:t>Issues:</a:t>
              </a:r>
              <a:r>
                <a:rPr lang="en-US" sz="1100" baseline="0"/>
                <a:t> </a:t>
              </a:r>
            </a:p>
            <a:p>
              <a:r>
                <a:rPr lang="en-US" sz="1100" baseline="0"/>
                <a:t>1) Massive drop in TSLA price between August 24th and 25th 2022: this is because of the company's 3-in-1 share-splitting strategy, we take that into account by multiplying the amount of TSLA stocks within our portfolio by 3 from that date onwards</a:t>
              </a:r>
            </a:p>
            <a:p>
              <a:endParaRPr lang="en-US" sz="1100"/>
            </a:p>
            <a:p>
              <a:r>
                <a:rPr lang="en-US" sz="1100"/>
                <a:t>2) Missing price</a:t>
              </a:r>
              <a:r>
                <a:rPr lang="en-US" sz="1100" baseline="0"/>
                <a:t> value for TSLA on October 11th 2022: for this date we consider therefore the price to be the same as the previous trading date (October 10th 2022)</a:t>
              </a:r>
            </a:p>
            <a:p>
              <a:endParaRPr lang="en-US" sz="1100" baseline="0"/>
            </a:p>
            <a:p>
              <a:r>
                <a:rPr lang="en-US" sz="1100" baseline="0"/>
                <a:t>3) Possible outlier present on 01/09/2022 for KO: on a single day, the stock price goes up by 10 times before going back to its past range</a:t>
              </a:r>
            </a:p>
            <a:p>
              <a:endParaRPr lang="en-US" sz="1100" baseline="0"/>
            </a:p>
            <a:p>
              <a:r>
                <a:rPr lang="en-US" sz="1100" baseline="0"/>
                <a:t>4) On 07.09.2022: TGT spikes and price doubles for 1 day only: probably due to the company's dividend adjustment </a:t>
              </a:r>
            </a:p>
            <a:p>
              <a:endParaRPr lang="en-US" sz="1100" baseline="0"/>
            </a:p>
            <a:p>
              <a:r>
                <a:rPr lang="en-US" sz="1100" baseline="0"/>
                <a:t>5) On 29.09.2022: NTDOF price is divided by 10: this is because of the company's 10-in-1 share-splitting strategy. We take this into account by multiplying the amount of NTDOF stocks within our portfolio by 10 from that date onwards</a:t>
              </a:r>
            </a:p>
            <a:p>
              <a:endParaRPr lang="en-US" sz="1100" baseline="0"/>
            </a:p>
            <a:p>
              <a:endParaRPr lang="en-US" sz="1100" baseline="0"/>
            </a:p>
            <a:p>
              <a:r>
                <a:rPr lang="en-US" sz="1100" i="1" baseline="0"/>
                <a:t>All the previously mentionned issues can be pinpointed on the previous excel sheet to the highlighted cells.</a:t>
              </a:r>
              <a:r>
                <a:rPr lang="en-US" sz="1100" baseline="0"/>
                <a:t> </a:t>
              </a:r>
            </a:p>
          </xdr:txBody>
        </xdr:sp>
      </mc:Choice>
      <mc:Fallback>
        <xdr:sp macro="" textlink="">
          <xdr:nvSpPr>
            <xdr:cNvPr id="2" name="TextBox 1">
              <a:extLst>
                <a:ext uri="{FF2B5EF4-FFF2-40B4-BE49-F238E27FC236}">
                  <a16:creationId xmlns:a16="http://schemas.microsoft.com/office/drawing/2014/main" id="{AACCA821-26D3-40B7-B84B-53DCC5B1A0CC}"/>
                </a:ext>
              </a:extLst>
            </xdr:cNvPr>
            <xdr:cNvSpPr txBox="1"/>
          </xdr:nvSpPr>
          <xdr:spPr>
            <a:xfrm>
              <a:off x="612742" y="188300"/>
              <a:ext cx="10416619" cy="648902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Steps:</a:t>
              </a:r>
              <a:r>
                <a:rPr lang="en-US" sz="1100" baseline="0"/>
                <a:t> </a:t>
              </a:r>
            </a:p>
            <a:p>
              <a:r>
                <a:rPr lang="en-US" sz="1100" baseline="0"/>
                <a:t>1) Check the data: is it coherent ? Can corporate events/actions explain specific outliers ? </a:t>
              </a:r>
            </a:p>
            <a:p>
              <a:endParaRPr lang="en-US" sz="1100" baseline="0"/>
            </a:p>
            <a:p>
              <a:r>
                <a:rPr lang="en-US" sz="1100" baseline="0"/>
                <a:t>2) State the amount of shares for each stock composing our portfolio </a:t>
              </a:r>
            </a:p>
            <a:p>
              <a:r>
                <a:rPr lang="en-US" sz="1100" baseline="0"/>
                <a:t>- Amount is positive if the position is long </a:t>
              </a:r>
            </a:p>
            <a:p>
              <a:r>
                <a:rPr lang="en-US" sz="1100" baseline="0"/>
                <a:t>- Amount is negative if the position is short </a:t>
              </a:r>
            </a:p>
            <a:p>
              <a:endParaRPr lang="en-US" sz="1100" baseline="0"/>
            </a:p>
            <a:p>
              <a:r>
                <a:rPr lang="en-US" sz="1100" baseline="0"/>
                <a:t>3) Calculate the portfolio value as the sum of the product of each stock's daily price with its corresponding amount of shares: </a:t>
              </a:r>
            </a:p>
            <a:p>
              <a:pPr/>
              <a:r>
                <a:rPr lang="de-CH" sz="1100" b="0" i="0" baseline="0">
                  <a:latin typeface="Cambria Math" panose="02040503050406030204" pitchFamily="18" charset="0"/>
                </a:rPr>
                <a:t>PV(𝑡)=∑_(𝑖=1)^5</a:t>
              </a:r>
              <a:r>
                <a:rPr lang="de-CH" sz="1100" b="0" i="0" baseline="0">
                  <a:latin typeface="Cambria Math" panose="02040503050406030204" pitchFamily="18" charset="0"/>
                  <a:ea typeface="Cambria Math" panose="02040503050406030204" pitchFamily="18" charset="0"/>
                </a:rPr>
                <a:t>▒〖</a:t>
              </a:r>
              <a:r>
                <a:rPr lang="de-CH" sz="1100" b="0" i="0" baseline="0">
                  <a:latin typeface="Cambria Math" panose="02040503050406030204" pitchFamily="18" charset="0"/>
                </a:rPr>
                <a:t>𝑁_𝑖 (𝑡)</a:t>
              </a:r>
              <a:r>
                <a:rPr lang="de-CH" sz="1100" b="0" i="0" baseline="0">
                  <a:latin typeface="Cambria Math" panose="02040503050406030204" pitchFamily="18" charset="0"/>
                  <a:ea typeface="Cambria Math" panose="02040503050406030204" pitchFamily="18" charset="0"/>
                </a:rPr>
                <a:t>∙𝑃_𝑖 〗</a:t>
              </a:r>
              <a:r>
                <a:rPr lang="de-CH" sz="1100" b="0" i="0" baseline="0">
                  <a:latin typeface="Cambria Math" panose="02040503050406030204" pitchFamily="18" charset="0"/>
                </a:rPr>
                <a:t>(𝑡)</a:t>
              </a:r>
              <a:endParaRPr lang="en-US" sz="1100" baseline="0"/>
            </a:p>
            <a:p>
              <a:r>
                <a:rPr lang="en-US" sz="1100" baseline="0"/>
                <a:t>4) Calculate the daily pnl as the sume of the product of each stock's price difference with the day before multiplied by its corresponding rate: </a:t>
              </a:r>
            </a:p>
            <a:p>
              <a:pPr/>
              <a:r>
                <a:rPr lang="en-US" sz="1100" i="0" baseline="0">
                  <a:latin typeface="Cambria Math" panose="02040503050406030204" pitchFamily="18" charset="0"/>
                </a:rPr>
                <a:t>〖</a:t>
              </a:r>
              <a:r>
                <a:rPr lang="de-CH" sz="1100" b="0" i="0" baseline="0">
                  <a:latin typeface="Cambria Math" panose="02040503050406030204" pitchFamily="18" charset="0"/>
                </a:rPr>
                <a:t>𝑃𝑛𝐿</a:t>
              </a:r>
              <a:r>
                <a:rPr lang="en-US" sz="1100" b="0" i="0" baseline="0">
                  <a:latin typeface="Cambria Math" panose="02040503050406030204" pitchFamily="18" charset="0"/>
                </a:rPr>
                <a:t>〗_</a:t>
              </a:r>
              <a:r>
                <a:rPr lang="de-CH" sz="1100" b="0" i="0" baseline="0">
                  <a:latin typeface="Cambria Math" panose="02040503050406030204" pitchFamily="18" charset="0"/>
                </a:rPr>
                <a:t>𝑖 (𝑡)=∑_(𝑖=1)^5</a:t>
              </a:r>
              <a:r>
                <a:rPr lang="de-CH" sz="1100" b="0" i="0" baseline="0">
                  <a:latin typeface="Cambria Math" panose="02040503050406030204" pitchFamily="18" charset="0"/>
                  <a:ea typeface="Cambria Math" panose="02040503050406030204" pitchFamily="18" charset="0"/>
                </a:rPr>
                <a:t>▒〖</a:t>
              </a:r>
              <a:r>
                <a:rPr lang="de-CH" sz="1100" b="0" i="0" baseline="0">
                  <a:latin typeface="Cambria Math" panose="02040503050406030204" pitchFamily="18" charset="0"/>
                </a:rPr>
                <a:t>[𝑁_𝑖 (𝑡)</a:t>
              </a:r>
              <a:r>
                <a:rPr lang="de-CH" sz="1100" b="0" i="0" baseline="0">
                  <a:latin typeface="Cambria Math" panose="02040503050406030204" pitchFamily="18" charset="0"/>
                  <a:ea typeface="Cambria Math" panose="02040503050406030204" pitchFamily="18" charset="0"/>
                </a:rPr>
                <a:t>∙𝑃_𝑖 (𝑡)−𝑁_𝑖 (𝑡−1)∙𝑃_𝑖 (𝑡−1)]〗</a:t>
              </a:r>
              <a:endParaRPr lang="en-US" sz="1100" baseline="0"/>
            </a:p>
            <a:p>
              <a:r>
                <a:rPr lang="en-US" sz="1100" baseline="0"/>
                <a:t>- We make sure to account for the dividends as well: COST had a cash dividend of $2 per share on 31.10.2022. Alse we are long on COST, so we receive the dividends. </a:t>
              </a:r>
            </a:p>
            <a:p>
              <a:endParaRPr lang="en-US" sz="1100" baseline="0"/>
            </a:p>
            <a:p>
              <a:r>
                <a:rPr lang="en-US" sz="1100" baseline="0"/>
                <a:t>5) Calculate the daily total return of our portfolio as the ratio of today's pnl over the previous trading day's pnl: </a:t>
              </a:r>
            </a:p>
            <a:p>
              <a:endParaRPr lang="en-US" sz="1100" i="1" baseline="0">
                <a:latin typeface="Cambria Math" panose="02040503050406030204" pitchFamily="18" charset="0"/>
              </a:endParaRPr>
            </a:p>
            <a:p>
              <a:pPr algn="ctr"/>
              <a:r>
                <a:rPr lang="de-CH" sz="1100" b="0" i="0" baseline="0">
                  <a:latin typeface="Cambria Math" panose="02040503050406030204" pitchFamily="18" charset="0"/>
                </a:rPr>
                <a:t>𝑅</a:t>
              </a:r>
              <a:r>
                <a:rPr lang="en-US" sz="1100" b="0" i="0" baseline="0">
                  <a:latin typeface="Cambria Math" panose="02040503050406030204" pitchFamily="18" charset="0"/>
                </a:rPr>
                <a:t>_</a:t>
              </a:r>
              <a:r>
                <a:rPr lang="de-CH" sz="1100" b="0" i="0" baseline="0">
                  <a:latin typeface="Cambria Math" panose="02040503050406030204" pitchFamily="18" charset="0"/>
                </a:rPr>
                <a:t>𝑖 (𝑡)=(</a:t>
              </a:r>
              <a:r>
                <a:rPr lang="en-US" sz="1100" b="0" i="0" baseline="0">
                  <a:solidFill>
                    <a:schemeClr val="dk1"/>
                  </a:solidFill>
                  <a:effectLst/>
                  <a:latin typeface="Cambria Math" panose="02040503050406030204" pitchFamily="18" charset="0"/>
                  <a:ea typeface="+mn-ea"/>
                  <a:cs typeface="+mn-cs"/>
                </a:rPr>
                <a:t>〖</a:t>
              </a:r>
              <a:r>
                <a:rPr lang="de-CH" sz="1100" b="0" i="0" baseline="0">
                  <a:solidFill>
                    <a:schemeClr val="dk1"/>
                  </a:solidFill>
                  <a:effectLst/>
                  <a:latin typeface="Cambria Math" panose="02040503050406030204" pitchFamily="18" charset="0"/>
                  <a:ea typeface="+mn-ea"/>
                  <a:cs typeface="+mn-cs"/>
                </a:rPr>
                <a:t>𝑃𝑛𝐿</a:t>
              </a:r>
              <a:r>
                <a:rPr lang="en-US" sz="1100" b="0" i="0" baseline="0">
                  <a:solidFill>
                    <a:schemeClr val="dk1"/>
                  </a:solidFill>
                  <a:effectLst/>
                  <a:latin typeface="Cambria Math" panose="02040503050406030204" pitchFamily="18" charset="0"/>
                  <a:ea typeface="+mn-ea"/>
                  <a:cs typeface="+mn-cs"/>
                </a:rPr>
                <a:t>〗_</a:t>
              </a:r>
              <a:r>
                <a:rPr lang="de-CH" sz="1100" b="0" i="0" baseline="0">
                  <a:solidFill>
                    <a:schemeClr val="dk1"/>
                  </a:solidFill>
                  <a:effectLst/>
                  <a:latin typeface="Cambria Math" panose="02040503050406030204" pitchFamily="18" charset="0"/>
                  <a:ea typeface="+mn-ea"/>
                  <a:cs typeface="+mn-cs"/>
                </a:rPr>
                <a:t>𝑖 (𝑡))/(</a:t>
              </a:r>
              <a:r>
                <a:rPr lang="de-CH" sz="1100" b="0" i="0" baseline="0">
                  <a:latin typeface="Cambria Math" panose="02040503050406030204" pitchFamily="18" charset="0"/>
                </a:rPr>
                <a:t>𝑃𝑉(𝑡−1))</a:t>
              </a:r>
              <a:r>
                <a:rPr lang="en-US" sz="1100" baseline="0"/>
                <a:t> </a:t>
              </a:r>
            </a:p>
            <a:p>
              <a:endParaRPr lang="en-US" sz="1100" baseline="0"/>
            </a:p>
            <a:p>
              <a:endParaRPr lang="en-US" sz="1100" baseline="0"/>
            </a:p>
            <a:p>
              <a:r>
                <a:rPr lang="en-US" sz="1100" b="1" baseline="0"/>
                <a:t>Issues:</a:t>
              </a:r>
              <a:r>
                <a:rPr lang="en-US" sz="1100" baseline="0"/>
                <a:t> </a:t>
              </a:r>
            </a:p>
            <a:p>
              <a:r>
                <a:rPr lang="en-US" sz="1100" baseline="0"/>
                <a:t>1) Massive drop in TSLA price between August 24th and 25th 2022: this is because of the company's 3-in-1 share-splitting strategy, we take that into account by multiplying the amount of TSLA stocks within our portfolio by 3 from that date onwards</a:t>
              </a:r>
            </a:p>
            <a:p>
              <a:endParaRPr lang="en-US" sz="1100"/>
            </a:p>
            <a:p>
              <a:r>
                <a:rPr lang="en-US" sz="1100"/>
                <a:t>2) Missing price</a:t>
              </a:r>
              <a:r>
                <a:rPr lang="en-US" sz="1100" baseline="0"/>
                <a:t> value for TSLA on October 11th 2022: for this date we consider therefore the price to be the same as the previous trading date (October 10th 2022)</a:t>
              </a:r>
            </a:p>
            <a:p>
              <a:endParaRPr lang="en-US" sz="1100" baseline="0"/>
            </a:p>
            <a:p>
              <a:r>
                <a:rPr lang="en-US" sz="1100" baseline="0"/>
                <a:t>3) Possible outlier present on 01/09/2022 for KO: on a single day, the stock price goes up by 10 times before going back to its past range</a:t>
              </a:r>
            </a:p>
            <a:p>
              <a:endParaRPr lang="en-US" sz="1100" baseline="0"/>
            </a:p>
            <a:p>
              <a:r>
                <a:rPr lang="en-US" sz="1100" baseline="0"/>
                <a:t>4) On 07.09.2022: TGT spikes and price doubles for 1 day only: probably due to the company's dividend adjustment </a:t>
              </a:r>
            </a:p>
            <a:p>
              <a:endParaRPr lang="en-US" sz="1100" baseline="0"/>
            </a:p>
            <a:p>
              <a:r>
                <a:rPr lang="en-US" sz="1100" baseline="0"/>
                <a:t>5) On 29.09.2022: NTDOF price is divided by 10: this is because of the company's 10-in-1 share-splitting strategy. We take this into account by multiplying the amount of NTDOF stocks within our portfolio by 10 from that date onwards</a:t>
              </a:r>
            </a:p>
            <a:p>
              <a:endParaRPr lang="en-US" sz="1100" baseline="0"/>
            </a:p>
            <a:p>
              <a:endParaRPr lang="en-US" sz="1100" baseline="0"/>
            </a:p>
            <a:p>
              <a:r>
                <a:rPr lang="en-US" sz="1100" i="1" baseline="0"/>
                <a:t>All the previously mentionned issues can be pinpointed on the previous excel sheet to the highlighted cells.</a:t>
              </a:r>
              <a:r>
                <a:rPr lang="en-US" sz="1100" baseline="0"/>
                <a:t> </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60960</xdr:colOff>
      <xdr:row>27</xdr:row>
      <xdr:rowOff>59933</xdr:rowOff>
    </xdr:to>
    <xdr:sp macro="" textlink="">
      <xdr:nvSpPr>
        <xdr:cNvPr id="3" name="TextBox 2">
          <a:extLst>
            <a:ext uri="{FF2B5EF4-FFF2-40B4-BE49-F238E27FC236}">
              <a16:creationId xmlns:a16="http://schemas.microsoft.com/office/drawing/2014/main" id="{0CF85590-52E6-44FA-90AA-E1BFA35E5AC1}"/>
            </a:ext>
          </a:extLst>
        </xdr:cNvPr>
        <xdr:cNvSpPr txBox="1"/>
      </xdr:nvSpPr>
      <xdr:spPr>
        <a:xfrm>
          <a:off x="607888" y="179798"/>
          <a:ext cx="11002937" cy="4734674"/>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Major Factors impacting the performance of our portfolio during the holding period: </a:t>
          </a:r>
        </a:p>
        <a:p>
          <a:endParaRPr lang="en-US" sz="1100" b="0" baseline="0"/>
        </a:p>
        <a:p>
          <a:r>
            <a:rPr lang="en-US" sz="1100" b="0" baseline="0"/>
            <a:t>The performance of the portfolio was driven by a combination of macroeconomic factors and company-specific factors. </a:t>
          </a:r>
        </a:p>
        <a:p>
          <a:endParaRPr lang="en-US" sz="1100" b="0" baseline="0"/>
        </a:p>
        <a:p>
          <a:r>
            <a:rPr lang="en-US" sz="1100" b="0" baseline="0"/>
            <a:t>From a macroeconomic standpoint, 2022 was characterized by rising interest rates and inflation. These conditions led to tighter monetary policies and for investors to favour more defensive names over growth-oriented equities. At a stock level: </a:t>
          </a:r>
        </a:p>
        <a:p>
          <a:endParaRPr lang="en-US" sz="1100" b="1" baseline="0"/>
        </a:p>
        <a:p>
          <a:r>
            <a:rPr lang="en-US" sz="1100" baseline="0"/>
            <a:t>COST (long):</a:t>
          </a:r>
        </a:p>
        <a:p>
          <a:r>
            <a:rPr lang="en-US" sz="1100" baseline="0"/>
            <a:t>Costco help up relatively well as its business remained demand. In September 2022, the quaterly results showed robust demand for groceries and other essentials, whereas in December 2022, the results showed a softer demand and higher costs. Finally, the cash dividend was a positive contributor to total return but it was secondary to the stock move itself.</a:t>
          </a:r>
        </a:p>
        <a:p>
          <a:endParaRPr lang="en-US" sz="1100" baseline="0"/>
        </a:p>
        <a:p>
          <a:r>
            <a:rPr lang="en-US" sz="1100" baseline="0"/>
            <a:t>KO (short):</a:t>
          </a:r>
        </a:p>
        <a:p>
          <a:r>
            <a:rPr lang="en-US" sz="1100" baseline="0"/>
            <a:t>Coca-Cola was a tough equity to short. In October 2022, it was reported that the company managed to raise its full-year revenue and earnings growth forecasts as the demand remained strong in spite of a price increase. This resilience supported the stock price and hurt the short position. </a:t>
          </a:r>
        </a:p>
        <a:p>
          <a:endParaRPr lang="en-US" sz="1100" baseline="0"/>
        </a:p>
        <a:p>
          <a:r>
            <a:rPr lang="en-US" sz="1100" baseline="0"/>
            <a:t>NTDOF (short):</a:t>
          </a:r>
        </a:p>
        <a:p>
          <a:r>
            <a:rPr lang="en-US" sz="1100" baseline="0"/>
            <a:t>In October 2022, Nintendo announced lower forecasted sales for their Switch console, which was a driver for the stock price decrease in 2022. Therefore, it was a good strategy to be short on this stock </a:t>
          </a:r>
        </a:p>
        <a:p>
          <a:endParaRPr lang="en-US" sz="1100" baseline="0"/>
        </a:p>
        <a:p>
          <a:r>
            <a:rPr lang="en-US" sz="1100" baseline="0"/>
            <a:t>TGT (long):</a:t>
          </a:r>
        </a:p>
        <a:p>
          <a:r>
            <a:rPr lang="en-US" sz="1100" baseline="0"/>
            <a:t>Target was one of the negative performers within our portfolio. In August 2022, it was reported that Target's inventory had increased while its earnings had fallen sharply. This can be explained by a decrease in demand in specific sectors such as clothing or home goods. For these reasons, our long position was weakened </a:t>
          </a:r>
        </a:p>
        <a:p>
          <a:endParaRPr lang="en-US" sz="1100" baseline="0"/>
        </a:p>
        <a:p>
          <a:r>
            <a:rPr lang="en-US" sz="1100" baseline="0"/>
            <a:t>TSLA (long): </a:t>
          </a:r>
        </a:p>
        <a:p>
          <a:r>
            <a:rPr lang="en-US" sz="1100" baseline="0"/>
            <a:t>Tesla was our largest negative performer within the portfolio, even when we account for the 3-in-1 share-splitting strategy. This phenomenon can be explained by reports in december 2022 of weaker demand in developing markets such as China as well as reduced production plans in Shanghai. In October 2022, Elon Musk also declared that the recessionary conditions in China and Europe were weighing on the demand. For all these reasons, the stock price </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F92F1-6D96-4F5B-A66A-660710D91423}">
  <dimension ref="A1:K108"/>
  <sheetViews>
    <sheetView zoomScale="84" workbookViewId="0">
      <selection activeCell="G2" sqref="G2"/>
    </sheetView>
  </sheetViews>
  <sheetFormatPr defaultRowHeight="14.4" x14ac:dyDescent="0.3"/>
  <cols>
    <col min="1" max="7" width="12.77734375" customWidth="1"/>
    <col min="8" max="11" width="9.33203125" bestFit="1" customWidth="1"/>
  </cols>
  <sheetData>
    <row r="1" spans="1:11" x14ac:dyDescent="0.3">
      <c r="A1" s="2" t="s">
        <v>0</v>
      </c>
      <c r="B1" s="1" t="s">
        <v>1</v>
      </c>
      <c r="C1" s="1" t="s">
        <v>2</v>
      </c>
      <c r="D1" s="1" t="s">
        <v>3</v>
      </c>
      <c r="E1" s="1" t="s">
        <v>4</v>
      </c>
      <c r="F1" s="1" t="s">
        <v>5</v>
      </c>
      <c r="H1" s="1"/>
      <c r="I1" s="1"/>
      <c r="J1" s="1"/>
      <c r="K1" s="1"/>
    </row>
    <row r="2" spans="1:11" x14ac:dyDescent="0.3">
      <c r="A2" s="2">
        <v>44774</v>
      </c>
      <c r="B2">
        <v>260.79971428571423</v>
      </c>
      <c r="C2">
        <v>280.80079999999998</v>
      </c>
      <c r="D2">
        <v>223.08099999999999</v>
      </c>
      <c r="E2">
        <v>248.42300000000003</v>
      </c>
      <c r="F2">
        <v>446.30799999999999</v>
      </c>
      <c r="G2" t="s">
        <v>6</v>
      </c>
    </row>
    <row r="3" spans="1:11" x14ac:dyDescent="0.3">
      <c r="A3" s="2">
        <v>44775</v>
      </c>
      <c r="B3">
        <v>259.46347619047617</v>
      </c>
      <c r="C3">
        <v>276.63659999999999</v>
      </c>
      <c r="D3">
        <v>222.571</v>
      </c>
      <c r="E3">
        <v>245.30699999999996</v>
      </c>
      <c r="F3">
        <v>451.15999999999997</v>
      </c>
    </row>
    <row r="4" spans="1:11" x14ac:dyDescent="0.3">
      <c r="A4" s="2">
        <v>44776</v>
      </c>
      <c r="B4">
        <v>260.51295238095236</v>
      </c>
      <c r="C4">
        <v>278.17180000000002</v>
      </c>
      <c r="D4">
        <v>210.40199999999999</v>
      </c>
      <c r="E4">
        <v>252.69399999999999</v>
      </c>
      <c r="F4">
        <v>461.87400000000002</v>
      </c>
    </row>
    <row r="5" spans="1:11" x14ac:dyDescent="0.3">
      <c r="A5" s="2">
        <v>44777</v>
      </c>
      <c r="B5">
        <v>258.78476190476187</v>
      </c>
      <c r="C5">
        <v>276.39180000000005</v>
      </c>
      <c r="D5">
        <v>216.56049999999999</v>
      </c>
      <c r="E5">
        <v>249.958</v>
      </c>
      <c r="F5">
        <v>463.20400000000001</v>
      </c>
    </row>
    <row r="6" spans="1:11" x14ac:dyDescent="0.3">
      <c r="A6" s="2">
        <v>44778</v>
      </c>
      <c r="B6">
        <v>258.35790476190476</v>
      </c>
      <c r="C6">
        <v>275.53620000000001</v>
      </c>
      <c r="D6">
        <v>219.28800000000001</v>
      </c>
      <c r="E6">
        <v>249.21099999999998</v>
      </c>
      <c r="F6">
        <v>432.572</v>
      </c>
    </row>
    <row r="7" spans="1:11" x14ac:dyDescent="0.3">
      <c r="A7" s="2">
        <v>44781</v>
      </c>
      <c r="B7">
        <v>258.67761904761903</v>
      </c>
      <c r="C7">
        <v>273.71980000000002</v>
      </c>
      <c r="D7">
        <v>215.476</v>
      </c>
      <c r="E7">
        <v>251.29999999999998</v>
      </c>
      <c r="F7">
        <v>435.76599999999996</v>
      </c>
    </row>
    <row r="8" spans="1:11" x14ac:dyDescent="0.3">
      <c r="A8" s="2">
        <v>44782</v>
      </c>
      <c r="B8">
        <v>255.58638095238095</v>
      </c>
      <c r="C8">
        <v>274.488</v>
      </c>
      <c r="D8">
        <v>209.274</v>
      </c>
      <c r="E8">
        <v>247.74</v>
      </c>
      <c r="F8">
        <v>425.21100000000001</v>
      </c>
    </row>
    <row r="9" spans="1:11" x14ac:dyDescent="0.3">
      <c r="A9" s="2">
        <v>44783</v>
      </c>
      <c r="B9">
        <v>257.24814285714285</v>
      </c>
      <c r="C9">
        <v>276.399</v>
      </c>
      <c r="D9">
        <v>218.19399999999999</v>
      </c>
      <c r="E9">
        <v>254.59399999999999</v>
      </c>
      <c r="F9">
        <v>441.81300000000005</v>
      </c>
    </row>
    <row r="10" spans="1:11" x14ac:dyDescent="0.3">
      <c r="A10" s="2">
        <v>44784</v>
      </c>
      <c r="B10">
        <v>253.93657142857145</v>
      </c>
      <c r="C10">
        <v>275.13779999999997</v>
      </c>
      <c r="D10">
        <v>219.02699999999999</v>
      </c>
      <c r="E10">
        <v>254.84999999999997</v>
      </c>
      <c r="F10">
        <v>430.52600000000001</v>
      </c>
    </row>
    <row r="11" spans="1:11" x14ac:dyDescent="0.3">
      <c r="A11" s="2">
        <v>44785</v>
      </c>
      <c r="B11">
        <v>256.18828571428571</v>
      </c>
      <c r="C11">
        <v>276.72500000000002</v>
      </c>
      <c r="D11">
        <v>217.648</v>
      </c>
      <c r="E11">
        <v>259.26099999999997</v>
      </c>
      <c r="F11">
        <v>450.79900000000004</v>
      </c>
    </row>
    <row r="12" spans="1:11" x14ac:dyDescent="0.3">
      <c r="A12" s="2">
        <v>44788</v>
      </c>
      <c r="B12">
        <v>260.20795238095235</v>
      </c>
      <c r="C12">
        <v>280.53399999999999</v>
      </c>
      <c r="D12">
        <v>217.065</v>
      </c>
      <c r="E12">
        <v>260.87</v>
      </c>
      <c r="F12">
        <v>464.536</v>
      </c>
    </row>
    <row r="13" spans="1:11" x14ac:dyDescent="0.3">
      <c r="A13" s="2">
        <v>44789</v>
      </c>
      <c r="B13">
        <v>263.56785714285712</v>
      </c>
      <c r="C13">
        <v>282.93619999999999</v>
      </c>
      <c r="D13">
        <v>215.67850000000001</v>
      </c>
      <c r="E13">
        <v>270.49699999999996</v>
      </c>
      <c r="F13">
        <v>460.39400000000001</v>
      </c>
    </row>
    <row r="14" spans="1:11" x14ac:dyDescent="0.3">
      <c r="A14" s="2">
        <v>44790</v>
      </c>
      <c r="B14">
        <v>265.0422857142857</v>
      </c>
      <c r="C14">
        <v>282.05819999999994</v>
      </c>
      <c r="D14">
        <v>222.94799999999998</v>
      </c>
      <c r="E14">
        <v>263.24</v>
      </c>
      <c r="F14">
        <v>456.64699999999999</v>
      </c>
    </row>
    <row r="15" spans="1:11" x14ac:dyDescent="0.3">
      <c r="A15" s="2">
        <v>44791</v>
      </c>
      <c r="B15">
        <v>267.66080952380952</v>
      </c>
      <c r="C15">
        <v>283.17180000000002</v>
      </c>
      <c r="D15">
        <v>225.233</v>
      </c>
      <c r="E15">
        <v>259.89300000000003</v>
      </c>
      <c r="F15">
        <v>455.11</v>
      </c>
    </row>
    <row r="16" spans="1:11" x14ac:dyDescent="0.3">
      <c r="A16" s="2">
        <v>44792</v>
      </c>
      <c r="B16">
        <v>264.93290476190469</v>
      </c>
      <c r="C16">
        <v>283.23680000000002</v>
      </c>
      <c r="D16">
        <v>219.9795</v>
      </c>
      <c r="E16">
        <v>250.661</v>
      </c>
      <c r="F16">
        <v>445.21199999999999</v>
      </c>
    </row>
    <row r="17" spans="1:6" x14ac:dyDescent="0.3">
      <c r="A17" s="2">
        <v>44795</v>
      </c>
      <c r="B17">
        <v>259.90861904761903</v>
      </c>
      <c r="C17">
        <v>279.50799999999998</v>
      </c>
      <c r="D17">
        <v>219.20400000000001</v>
      </c>
      <c r="E17">
        <v>243.036</v>
      </c>
      <c r="F17">
        <v>435.26800000000003</v>
      </c>
    </row>
    <row r="18" spans="1:6" x14ac:dyDescent="0.3">
      <c r="A18" s="2">
        <v>44796</v>
      </c>
      <c r="B18">
        <v>259.01957142857145</v>
      </c>
      <c r="C18">
        <v>279.14579999999995</v>
      </c>
      <c r="D18">
        <v>218.017</v>
      </c>
      <c r="E18">
        <v>243.48699999999999</v>
      </c>
      <c r="F18">
        <v>444.72899999999998</v>
      </c>
    </row>
    <row r="19" spans="1:6" x14ac:dyDescent="0.3">
      <c r="A19" s="2">
        <v>44797</v>
      </c>
      <c r="B19">
        <v>259.27719047619047</v>
      </c>
      <c r="C19">
        <v>280.13640000000004</v>
      </c>
      <c r="D19">
        <v>214.15</v>
      </c>
      <c r="E19">
        <v>245.55699999999999</v>
      </c>
      <c r="F19">
        <v>446.41899999999998</v>
      </c>
    </row>
    <row r="20" spans="1:6" x14ac:dyDescent="0.3">
      <c r="A20" s="2">
        <v>44798</v>
      </c>
      <c r="B20">
        <v>262.70942857142853</v>
      </c>
      <c r="C20">
        <v>280.68180000000001</v>
      </c>
      <c r="D20">
        <v>215.04499999999999</v>
      </c>
      <c r="E20">
        <v>252.08</v>
      </c>
      <c r="F20">
        <v>148.59899999999999</v>
      </c>
    </row>
    <row r="21" spans="1:6" x14ac:dyDescent="0.3">
      <c r="A21" s="2">
        <v>44799</v>
      </c>
      <c r="B21">
        <v>253.24961904761906</v>
      </c>
      <c r="C21">
        <v>274.40440000000001</v>
      </c>
      <c r="D21">
        <v>208.94499999999999</v>
      </c>
      <c r="E21">
        <v>241.43600000000001</v>
      </c>
      <c r="F21">
        <v>144.90899999999999</v>
      </c>
    </row>
    <row r="22" spans="1:6" x14ac:dyDescent="0.3">
      <c r="A22" s="2">
        <v>44802</v>
      </c>
      <c r="B22">
        <v>252.95571428571424</v>
      </c>
      <c r="C22">
        <v>273.04520000000002</v>
      </c>
      <c r="D22">
        <v>210.59299999999999</v>
      </c>
      <c r="E22">
        <v>238.22</v>
      </c>
      <c r="F22">
        <v>142.75899999999999</v>
      </c>
    </row>
    <row r="23" spans="1:6" x14ac:dyDescent="0.3">
      <c r="A23" s="2">
        <v>44803</v>
      </c>
      <c r="B23">
        <v>250.46947619047617</v>
      </c>
      <c r="C23">
        <v>269.83699999999999</v>
      </c>
      <c r="D23">
        <v>205.364</v>
      </c>
      <c r="E23">
        <v>241.63100000000003</v>
      </c>
      <c r="F23">
        <v>139.447</v>
      </c>
    </row>
    <row r="24" spans="1:6" x14ac:dyDescent="0.3">
      <c r="A24" s="2">
        <v>44804</v>
      </c>
      <c r="B24">
        <v>249.48004761904761</v>
      </c>
      <c r="C24">
        <v>268.7124</v>
      </c>
      <c r="D24">
        <v>208.07300000000001</v>
      </c>
      <c r="E24">
        <v>240.92099999999999</v>
      </c>
      <c r="F24">
        <v>138.70400000000001</v>
      </c>
    </row>
    <row r="25" spans="1:6" x14ac:dyDescent="0.3">
      <c r="A25" s="2">
        <v>44805</v>
      </c>
      <c r="B25">
        <v>252.75071428571425</v>
      </c>
      <c r="C25">
        <v>2691.0659999999998</v>
      </c>
      <c r="D25">
        <v>203.673</v>
      </c>
      <c r="E25">
        <v>247.59199999999998</v>
      </c>
      <c r="F25">
        <v>138.73500000000001</v>
      </c>
    </row>
    <row r="26" spans="1:6" x14ac:dyDescent="0.3">
      <c r="A26" s="2">
        <v>44806</v>
      </c>
      <c r="B26">
        <v>247.35523809523809</v>
      </c>
      <c r="C26">
        <v>265.84999999999997</v>
      </c>
      <c r="D26">
        <v>202.34800000000001</v>
      </c>
      <c r="E26">
        <v>247.30899999999997</v>
      </c>
      <c r="F26">
        <v>135.55799999999999</v>
      </c>
    </row>
    <row r="27" spans="1:6" x14ac:dyDescent="0.3">
      <c r="A27" s="2">
        <v>44810</v>
      </c>
      <c r="B27">
        <v>247.35523809523806</v>
      </c>
      <c r="C27">
        <v>265.99819999999994</v>
      </c>
      <c r="D27">
        <v>202.12799999999999</v>
      </c>
      <c r="E27">
        <v>245.84200000000001</v>
      </c>
      <c r="F27">
        <v>137.42600000000002</v>
      </c>
    </row>
    <row r="28" spans="1:6" x14ac:dyDescent="0.3">
      <c r="A28" s="2">
        <v>44811</v>
      </c>
      <c r="B28">
        <v>253.0425238095238</v>
      </c>
      <c r="C28">
        <v>270.66340000000002</v>
      </c>
      <c r="D28">
        <v>201.73699999999999</v>
      </c>
      <c r="E28">
        <v>512.52300000000002</v>
      </c>
      <c r="F28">
        <v>142.00799999999998</v>
      </c>
    </row>
    <row r="29" spans="1:6" x14ac:dyDescent="0.3">
      <c r="A29" s="2">
        <v>44812</v>
      </c>
      <c r="B29">
        <v>252.08390476190476</v>
      </c>
      <c r="C29">
        <v>270.4178</v>
      </c>
      <c r="D29">
        <v>203.684</v>
      </c>
      <c r="E29">
        <v>258.32100000000003</v>
      </c>
      <c r="F29">
        <v>145.29999999999998</v>
      </c>
    </row>
    <row r="30" spans="1:6" x14ac:dyDescent="0.3">
      <c r="A30" s="2">
        <v>44813</v>
      </c>
      <c r="B30">
        <v>255.98128571428575</v>
      </c>
      <c r="C30">
        <v>270.57580000000002</v>
      </c>
      <c r="D30">
        <v>207.07499999999999</v>
      </c>
      <c r="E30">
        <v>261.08500000000004</v>
      </c>
      <c r="F30">
        <v>150.66300000000001</v>
      </c>
    </row>
    <row r="31" spans="1:6" x14ac:dyDescent="0.3">
      <c r="A31" s="2">
        <v>44816</v>
      </c>
      <c r="B31">
        <v>256.94028571428572</v>
      </c>
      <c r="C31">
        <v>271.78199999999998</v>
      </c>
      <c r="D31">
        <v>208.97</v>
      </c>
      <c r="E31">
        <v>261.62099999999998</v>
      </c>
      <c r="F31">
        <v>152.44300000000001</v>
      </c>
    </row>
    <row r="32" spans="1:6" x14ac:dyDescent="0.3">
      <c r="A32" s="2">
        <v>44817</v>
      </c>
      <c r="B32">
        <v>243.887</v>
      </c>
      <c r="C32">
        <v>262.6388</v>
      </c>
      <c r="D32">
        <v>213.02199999999999</v>
      </c>
      <c r="E32">
        <v>249.71700000000001</v>
      </c>
      <c r="F32">
        <v>146.101</v>
      </c>
    </row>
    <row r="33" spans="1:6" x14ac:dyDescent="0.3">
      <c r="A33" s="2">
        <v>44818</v>
      </c>
      <c r="B33">
        <v>242.10276190476191</v>
      </c>
      <c r="C33">
        <v>264.0376</v>
      </c>
      <c r="D33">
        <v>216.79500000000002</v>
      </c>
      <c r="E33">
        <v>248.72</v>
      </c>
      <c r="F33">
        <v>151.48000000000002</v>
      </c>
    </row>
    <row r="34" spans="1:6" x14ac:dyDescent="0.3">
      <c r="A34" s="2">
        <v>44819</v>
      </c>
      <c r="B34">
        <v>240.24790476190475</v>
      </c>
      <c r="C34">
        <v>258.78120000000001</v>
      </c>
      <c r="D34">
        <v>217.31800000000001</v>
      </c>
      <c r="E34">
        <v>247.702</v>
      </c>
      <c r="F34">
        <v>152.70599999999999</v>
      </c>
    </row>
    <row r="35" spans="1:6" x14ac:dyDescent="0.3">
      <c r="A35" s="2">
        <v>44820</v>
      </c>
      <c r="B35">
        <v>240.24966666666666</v>
      </c>
      <c r="C35">
        <v>259.01459999999997</v>
      </c>
      <c r="D35">
        <v>215.36499999999998</v>
      </c>
      <c r="E35">
        <v>246.98699999999999</v>
      </c>
      <c r="F35">
        <v>152.29600000000002</v>
      </c>
    </row>
    <row r="36" spans="1:6" x14ac:dyDescent="0.3">
      <c r="A36" s="2">
        <v>44823</v>
      </c>
      <c r="B36">
        <v>242.0738095238095</v>
      </c>
      <c r="C36">
        <v>261.0086</v>
      </c>
      <c r="D36">
        <v>215.10900000000001</v>
      </c>
      <c r="E36">
        <v>247.92599999999999</v>
      </c>
      <c r="F36">
        <v>155.25399999999999</v>
      </c>
    </row>
    <row r="37" spans="1:6" x14ac:dyDescent="0.3">
      <c r="A37" s="2">
        <v>44824</v>
      </c>
      <c r="B37">
        <v>237.94466666666665</v>
      </c>
      <c r="C37">
        <v>260.44299999999998</v>
      </c>
      <c r="D37">
        <v>212.602</v>
      </c>
      <c r="E37">
        <v>240.52800000000002</v>
      </c>
      <c r="F37">
        <v>154.524</v>
      </c>
    </row>
    <row r="38" spans="1:6" x14ac:dyDescent="0.3">
      <c r="A38" s="2">
        <v>44825</v>
      </c>
      <c r="B38">
        <v>235.6362380952381</v>
      </c>
      <c r="C38">
        <v>258.41500000000002</v>
      </c>
      <c r="D38">
        <v>211.63200000000001</v>
      </c>
      <c r="E38">
        <v>238.78000000000003</v>
      </c>
      <c r="F38">
        <v>150.96700000000001</v>
      </c>
    </row>
    <row r="39" spans="1:6" x14ac:dyDescent="0.3">
      <c r="A39" s="2">
        <v>44826</v>
      </c>
      <c r="B39">
        <v>232.7777142857143</v>
      </c>
      <c r="C39">
        <v>257.50639999999999</v>
      </c>
      <c r="D39">
        <v>215.33199999999999</v>
      </c>
      <c r="E39">
        <v>230.05099999999999</v>
      </c>
      <c r="F39">
        <v>144.36699999999999</v>
      </c>
    </row>
    <row r="40" spans="1:6" x14ac:dyDescent="0.3">
      <c r="A40" s="2">
        <v>44827</v>
      </c>
      <c r="B40">
        <v>222.90423809523807</v>
      </c>
      <c r="C40">
        <v>254.83299999999997</v>
      </c>
      <c r="D40">
        <v>207.68899999999999</v>
      </c>
      <c r="E40">
        <v>229.24600000000001</v>
      </c>
      <c r="F40">
        <v>137.965</v>
      </c>
    </row>
    <row r="41" spans="1:6" x14ac:dyDescent="0.3">
      <c r="A41" s="2">
        <v>44830</v>
      </c>
      <c r="B41">
        <v>228.72428571428571</v>
      </c>
      <c r="C41">
        <v>251.35779999999997</v>
      </c>
      <c r="D41">
        <v>208.184</v>
      </c>
      <c r="E41">
        <v>223.25299999999999</v>
      </c>
      <c r="F41">
        <v>138.12899999999999</v>
      </c>
    </row>
    <row r="42" spans="1:6" x14ac:dyDescent="0.3">
      <c r="A42" s="2">
        <v>44831</v>
      </c>
      <c r="B42">
        <v>227.77490476190476</v>
      </c>
      <c r="C42">
        <v>244.8082</v>
      </c>
      <c r="D42">
        <v>207.947</v>
      </c>
      <c r="E42">
        <v>222.71899999999999</v>
      </c>
      <c r="F42">
        <v>141.50800000000001</v>
      </c>
    </row>
    <row r="43" spans="1:6" x14ac:dyDescent="0.3">
      <c r="A43" s="2">
        <v>44832</v>
      </c>
      <c r="B43">
        <v>232.72104761904762</v>
      </c>
      <c r="C43">
        <v>248.0102</v>
      </c>
      <c r="D43">
        <v>210.03700000000001</v>
      </c>
      <c r="E43">
        <v>234.268</v>
      </c>
      <c r="F43">
        <v>144.34200000000001</v>
      </c>
    </row>
    <row r="44" spans="1:6" x14ac:dyDescent="0.3">
      <c r="A44" s="2">
        <v>44833</v>
      </c>
      <c r="B44">
        <v>228.3027142857143</v>
      </c>
      <c r="C44">
        <v>245.83680000000001</v>
      </c>
      <c r="D44">
        <v>21.487500000000001</v>
      </c>
      <c r="E44">
        <v>228.57300000000001</v>
      </c>
      <c r="F44">
        <v>134.40099999999998</v>
      </c>
    </row>
    <row r="45" spans="1:6" x14ac:dyDescent="0.3">
      <c r="A45" s="2">
        <v>44834</v>
      </c>
      <c r="B45">
        <v>225.55547619047616</v>
      </c>
      <c r="C45">
        <v>243.47380000000001</v>
      </c>
      <c r="D45">
        <v>20.923000000000002</v>
      </c>
      <c r="E45">
        <v>222.76899999999998</v>
      </c>
      <c r="F45">
        <v>132.83600000000001</v>
      </c>
    </row>
    <row r="46" spans="1:6" x14ac:dyDescent="0.3">
      <c r="A46" s="2">
        <v>44837</v>
      </c>
      <c r="B46">
        <v>228.25247619047619</v>
      </c>
      <c r="C46">
        <v>246.32299999999998</v>
      </c>
      <c r="D46">
        <v>21.761999999999997</v>
      </c>
      <c r="E46">
        <v>228.42400000000001</v>
      </c>
      <c r="F46">
        <v>121.62400000000001</v>
      </c>
    </row>
    <row r="47" spans="1:6" x14ac:dyDescent="0.3">
      <c r="A47" s="2">
        <v>44838</v>
      </c>
      <c r="B47">
        <v>232.22747619047618</v>
      </c>
      <c r="C47">
        <v>247.09819999999999</v>
      </c>
      <c r="D47">
        <v>21.789000000000001</v>
      </c>
      <c r="E47">
        <v>235.46699999999998</v>
      </c>
      <c r="F47">
        <v>125.059</v>
      </c>
    </row>
    <row r="48" spans="1:6" x14ac:dyDescent="0.3">
      <c r="A48" s="2">
        <v>44839</v>
      </c>
      <c r="B48">
        <v>229.53380952380951</v>
      </c>
      <c r="C48">
        <v>244.2886</v>
      </c>
      <c r="D48">
        <v>21.375</v>
      </c>
      <c r="E48">
        <v>235.27700000000002</v>
      </c>
      <c r="F48">
        <v>120.896</v>
      </c>
    </row>
    <row r="49" spans="1:6" x14ac:dyDescent="0.3">
      <c r="A49" s="2">
        <v>44840</v>
      </c>
      <c r="B49">
        <v>230.00814285714284</v>
      </c>
      <c r="C49">
        <v>239.6712</v>
      </c>
      <c r="D49">
        <v>21.087499999999999</v>
      </c>
      <c r="E49">
        <v>233.88</v>
      </c>
      <c r="F49">
        <v>119.318</v>
      </c>
    </row>
    <row r="50" spans="1:6" x14ac:dyDescent="0.3">
      <c r="A50" s="2">
        <v>44841</v>
      </c>
      <c r="B50">
        <v>223.21057142857143</v>
      </c>
      <c r="C50">
        <v>236.9434</v>
      </c>
      <c r="D50">
        <v>20.39</v>
      </c>
      <c r="E50">
        <v>229.01899999999998</v>
      </c>
      <c r="F50">
        <v>112.297</v>
      </c>
    </row>
    <row r="51" spans="1:6" x14ac:dyDescent="0.3">
      <c r="A51" s="2">
        <v>44844</v>
      </c>
      <c r="B51">
        <v>222.07338095238094</v>
      </c>
      <c r="C51">
        <v>236.52459999999999</v>
      </c>
      <c r="D51">
        <v>21.006</v>
      </c>
      <c r="E51">
        <v>230.37399999999997</v>
      </c>
      <c r="F51">
        <v>112.21600000000001</v>
      </c>
    </row>
    <row r="52" spans="1:6" x14ac:dyDescent="0.3">
      <c r="A52" s="2">
        <v>44845</v>
      </c>
      <c r="B52">
        <v>225.38242857142853</v>
      </c>
      <c r="C52">
        <v>236.6712</v>
      </c>
      <c r="D52">
        <v>21.1905</v>
      </c>
      <c r="E52">
        <v>232.01400000000001</v>
      </c>
      <c r="F52" t="s">
        <v>7</v>
      </c>
    </row>
    <row r="53" spans="1:6" x14ac:dyDescent="0.3">
      <c r="A53" s="2">
        <v>44846</v>
      </c>
      <c r="B53">
        <v>222.60071428571425</v>
      </c>
      <c r="C53">
        <v>239.63660000000002</v>
      </c>
      <c r="D53">
        <v>21.038</v>
      </c>
      <c r="E53">
        <v>231.45700000000002</v>
      </c>
      <c r="F53">
        <v>109.04</v>
      </c>
    </row>
    <row r="54" spans="1:6" x14ac:dyDescent="0.3">
      <c r="A54" s="2">
        <v>44847</v>
      </c>
      <c r="B54">
        <v>223.59738095238095</v>
      </c>
      <c r="C54">
        <v>242.74279999999999</v>
      </c>
      <c r="D54">
        <v>21.032</v>
      </c>
      <c r="E54">
        <v>231.65600000000001</v>
      </c>
      <c r="F54">
        <v>111.218</v>
      </c>
    </row>
    <row r="55" spans="1:6" x14ac:dyDescent="0.3">
      <c r="A55" s="2">
        <v>44848</v>
      </c>
      <c r="B55">
        <v>217.20299999999997</v>
      </c>
      <c r="C55">
        <v>239.38419999999996</v>
      </c>
      <c r="D55">
        <v>20.715</v>
      </c>
      <c r="E55">
        <v>218.72200000000001</v>
      </c>
      <c r="F55">
        <v>103.25</v>
      </c>
    </row>
    <row r="56" spans="1:6" x14ac:dyDescent="0.3">
      <c r="A56" s="2">
        <v>44851</v>
      </c>
      <c r="B56">
        <v>221.54833333333332</v>
      </c>
      <c r="C56">
        <v>241.71059999999997</v>
      </c>
      <c r="D56">
        <v>22.077000000000002</v>
      </c>
      <c r="E56">
        <v>224.48599999999999</v>
      </c>
      <c r="F56">
        <v>109.789</v>
      </c>
    </row>
    <row r="57" spans="1:6" x14ac:dyDescent="0.3">
      <c r="A57" s="2">
        <v>44852</v>
      </c>
      <c r="B57">
        <v>226.05766666666665</v>
      </c>
      <c r="C57">
        <v>245.53359999999998</v>
      </c>
      <c r="D57">
        <v>21.128999999999998</v>
      </c>
      <c r="E57">
        <v>236.72499999999997</v>
      </c>
      <c r="F57">
        <v>110.608</v>
      </c>
    </row>
    <row r="58" spans="1:6" x14ac:dyDescent="0.3">
      <c r="A58" s="2">
        <v>44853</v>
      </c>
      <c r="B58">
        <v>224.69047619047618</v>
      </c>
      <c r="C58">
        <v>243.22739999999999</v>
      </c>
      <c r="D58">
        <v>20.2925</v>
      </c>
      <c r="E58">
        <v>233.46299999999997</v>
      </c>
      <c r="F58">
        <v>111.3</v>
      </c>
    </row>
    <row r="59" spans="1:6" x14ac:dyDescent="0.3">
      <c r="A59" s="2">
        <v>44854</v>
      </c>
      <c r="B59">
        <v>221.88861904761904</v>
      </c>
      <c r="C59">
        <v>239.82319999999999</v>
      </c>
      <c r="D59">
        <v>20.901</v>
      </c>
      <c r="E59">
        <v>232.37800000000001</v>
      </c>
      <c r="F59">
        <v>104.015</v>
      </c>
    </row>
    <row r="60" spans="1:6" x14ac:dyDescent="0.3">
      <c r="A60" s="2">
        <v>44855</v>
      </c>
      <c r="B60">
        <v>227.95476190476191</v>
      </c>
      <c r="C60">
        <v>243.0814</v>
      </c>
      <c r="D60">
        <v>20.9465</v>
      </c>
      <c r="E60">
        <v>238.90700000000001</v>
      </c>
      <c r="F60">
        <v>107.86199999999999</v>
      </c>
    </row>
    <row r="61" spans="1:6" x14ac:dyDescent="0.3">
      <c r="A61" s="2">
        <v>44858</v>
      </c>
      <c r="B61">
        <v>237.01738095238096</v>
      </c>
      <c r="C61">
        <v>249.9128</v>
      </c>
      <c r="D61">
        <v>20.763999999999999</v>
      </c>
      <c r="E61">
        <v>243.578</v>
      </c>
      <c r="F61">
        <v>105.836</v>
      </c>
    </row>
    <row r="62" spans="1:6" x14ac:dyDescent="0.3">
      <c r="A62" s="2">
        <v>44859</v>
      </c>
      <c r="B62">
        <v>237.82561904761903</v>
      </c>
      <c r="C62">
        <v>256.61500000000001</v>
      </c>
      <c r="D62">
        <v>20.504100000000001</v>
      </c>
      <c r="E62">
        <v>249.59300000000002</v>
      </c>
      <c r="F62">
        <v>112.1035</v>
      </c>
    </row>
    <row r="63" spans="1:6" x14ac:dyDescent="0.3">
      <c r="A63" s="2">
        <v>44860</v>
      </c>
      <c r="B63">
        <v>237.96633333333332</v>
      </c>
      <c r="C63">
        <v>258.63159999999999</v>
      </c>
      <c r="D63">
        <v>20.894000000000002</v>
      </c>
      <c r="E63">
        <v>250.92200000000003</v>
      </c>
      <c r="F63">
        <v>113.09899999999999</v>
      </c>
    </row>
    <row r="64" spans="1:6" x14ac:dyDescent="0.3">
      <c r="A64" s="2">
        <v>44861</v>
      </c>
      <c r="B64">
        <v>236.71661904761905</v>
      </c>
      <c r="C64">
        <v>259.1832</v>
      </c>
      <c r="D64">
        <v>21.4665</v>
      </c>
      <c r="E64">
        <v>250.89700000000002</v>
      </c>
      <c r="F64">
        <v>113.17100000000001</v>
      </c>
    </row>
    <row r="65" spans="1:6" x14ac:dyDescent="0.3">
      <c r="A65" s="2">
        <v>44862</v>
      </c>
      <c r="B65">
        <v>243.91742857142856</v>
      </c>
      <c r="C65">
        <v>264.49239999999998</v>
      </c>
      <c r="D65">
        <v>20.651000000000003</v>
      </c>
      <c r="E65">
        <v>251.95400000000004</v>
      </c>
      <c r="F65">
        <v>114.956</v>
      </c>
    </row>
    <row r="66" spans="1:6" x14ac:dyDescent="0.3">
      <c r="A66" s="2">
        <v>44865</v>
      </c>
      <c r="B66">
        <v>239.30552380952381</v>
      </c>
      <c r="C66">
        <v>260.49900000000002</v>
      </c>
      <c r="D66">
        <v>20.594999999999999</v>
      </c>
      <c r="E66">
        <v>246.38499999999999</v>
      </c>
      <c r="F66">
        <v>114.396</v>
      </c>
    </row>
    <row r="67" spans="1:6" x14ac:dyDescent="0.3">
      <c r="A67" s="2">
        <v>44866</v>
      </c>
      <c r="B67">
        <v>238.61319047619045</v>
      </c>
      <c r="C67">
        <v>259.3886</v>
      </c>
      <c r="D67">
        <v>20.818999999999999</v>
      </c>
      <c r="E67">
        <v>247.42999999999998</v>
      </c>
      <c r="F67">
        <v>114.271</v>
      </c>
    </row>
    <row r="68" spans="1:6" x14ac:dyDescent="0.3">
      <c r="A68" s="2">
        <v>44867</v>
      </c>
      <c r="B68">
        <v>230.95885714285714</v>
      </c>
      <c r="C68">
        <v>255.96440000000001</v>
      </c>
      <c r="D68">
        <v>20.388999999999999</v>
      </c>
      <c r="E68">
        <v>241.12199999999999</v>
      </c>
      <c r="F68">
        <v>108.31299999999999</v>
      </c>
    </row>
    <row r="69" spans="1:6" x14ac:dyDescent="0.3">
      <c r="A69" s="2">
        <v>44868</v>
      </c>
      <c r="B69">
        <v>232.22066666666666</v>
      </c>
      <c r="C69">
        <v>255.40719999999999</v>
      </c>
      <c r="D69">
        <v>21.108000000000001</v>
      </c>
      <c r="E69">
        <v>240.54700000000003</v>
      </c>
      <c r="F69">
        <v>107.944</v>
      </c>
    </row>
    <row r="70" spans="1:6" x14ac:dyDescent="0.3">
      <c r="A70" s="2">
        <v>44869</v>
      </c>
      <c r="B70">
        <v>231.7998095238095</v>
      </c>
      <c r="C70">
        <v>257.88339999999999</v>
      </c>
      <c r="D70">
        <v>20.809000000000001</v>
      </c>
      <c r="E70">
        <v>239.947</v>
      </c>
      <c r="F70">
        <v>104.48099999999999</v>
      </c>
    </row>
    <row r="71" spans="1:6" x14ac:dyDescent="0.3">
      <c r="A71" s="2">
        <v>44872</v>
      </c>
      <c r="B71">
        <v>232.81485714285714</v>
      </c>
      <c r="C71">
        <v>258.63260000000002</v>
      </c>
      <c r="D71">
        <v>20.719000000000001</v>
      </c>
      <c r="E71">
        <v>240.43200000000002</v>
      </c>
      <c r="F71">
        <v>99.039000000000001</v>
      </c>
    </row>
    <row r="72" spans="1:6" x14ac:dyDescent="0.3">
      <c r="A72" s="2">
        <v>44873</v>
      </c>
      <c r="B72">
        <v>235.04861904761904</v>
      </c>
      <c r="C72">
        <v>258.91999999999996</v>
      </c>
      <c r="D72">
        <v>20.202000000000002</v>
      </c>
      <c r="E72">
        <v>242.57400000000001</v>
      </c>
      <c r="F72">
        <v>95.722000000000008</v>
      </c>
    </row>
    <row r="73" spans="1:6" x14ac:dyDescent="0.3">
      <c r="A73" s="2">
        <v>44874</v>
      </c>
      <c r="B73">
        <v>233.67304761904762</v>
      </c>
      <c r="C73">
        <v>255.3168</v>
      </c>
      <c r="D73">
        <v>20.228999999999999</v>
      </c>
      <c r="E73">
        <v>229.89600000000002</v>
      </c>
      <c r="F73">
        <v>89.271000000000001</v>
      </c>
    </row>
    <row r="74" spans="1:6" x14ac:dyDescent="0.3">
      <c r="A74" s="2">
        <v>44875</v>
      </c>
      <c r="B74">
        <v>244.53961904761906</v>
      </c>
      <c r="C74">
        <v>264.8442</v>
      </c>
      <c r="D74">
        <v>21.310000000000002</v>
      </c>
      <c r="E74">
        <v>247.34199999999998</v>
      </c>
      <c r="F74">
        <v>95.527000000000001</v>
      </c>
    </row>
    <row r="75" spans="1:6" x14ac:dyDescent="0.3">
      <c r="A75" s="2">
        <v>44876</v>
      </c>
      <c r="B75">
        <v>245.84490476190479</v>
      </c>
      <c r="C75">
        <v>266.30080000000004</v>
      </c>
      <c r="D75">
        <v>21.089000000000002</v>
      </c>
      <c r="E75">
        <v>260.54400000000004</v>
      </c>
      <c r="F75">
        <v>98.007999999999996</v>
      </c>
    </row>
    <row r="76" spans="1:6" x14ac:dyDescent="0.3">
      <c r="A76" s="2">
        <v>44879</v>
      </c>
      <c r="B76">
        <v>243.59176190476191</v>
      </c>
      <c r="C76">
        <v>263.8612</v>
      </c>
      <c r="D76">
        <v>21.296999999999997</v>
      </c>
      <c r="E76">
        <v>260.30399999999997</v>
      </c>
      <c r="F76">
        <v>95.942999999999998</v>
      </c>
    </row>
    <row r="77" spans="1:6" x14ac:dyDescent="0.3">
      <c r="A77" s="2">
        <v>44880</v>
      </c>
      <c r="B77">
        <v>251.42099999999999</v>
      </c>
      <c r="C77">
        <v>263.9692</v>
      </c>
      <c r="D77">
        <v>20.861000000000001</v>
      </c>
      <c r="E77">
        <v>269.05999999999995</v>
      </c>
      <c r="F77">
        <v>97.805999999999997</v>
      </c>
    </row>
    <row r="78" spans="1:6" x14ac:dyDescent="0.3">
      <c r="A78" s="2">
        <v>44881</v>
      </c>
      <c r="B78">
        <v>250.29119047619048</v>
      </c>
      <c r="C78">
        <v>263.36480000000006</v>
      </c>
      <c r="D78">
        <v>21.324000000000002</v>
      </c>
      <c r="E78">
        <v>234.04499999999999</v>
      </c>
      <c r="F78">
        <v>94.202999999999989</v>
      </c>
    </row>
    <row r="79" spans="1:6" x14ac:dyDescent="0.3">
      <c r="A79" s="2">
        <v>44882</v>
      </c>
      <c r="B79">
        <v>248.82261904761904</v>
      </c>
      <c r="C79">
        <v>264.00139999999999</v>
      </c>
      <c r="D79">
        <v>21.87</v>
      </c>
      <c r="E79">
        <v>243.87799999999999</v>
      </c>
      <c r="F79">
        <v>92.27</v>
      </c>
    </row>
    <row r="80" spans="1:6" x14ac:dyDescent="0.3">
      <c r="A80" s="2">
        <v>44883</v>
      </c>
      <c r="B80">
        <v>250.07366666666664</v>
      </c>
      <c r="C80">
        <v>265.53059999999999</v>
      </c>
      <c r="D80">
        <v>21.536999999999999</v>
      </c>
      <c r="E80">
        <v>245.17699999999999</v>
      </c>
      <c r="F80">
        <v>90.775000000000006</v>
      </c>
    </row>
    <row r="81" spans="1:6" x14ac:dyDescent="0.3">
      <c r="A81" s="2">
        <v>44886</v>
      </c>
      <c r="B81">
        <v>249.93480952380952</v>
      </c>
      <c r="C81">
        <v>269.99419999999998</v>
      </c>
      <c r="D81">
        <v>21.836500000000001</v>
      </c>
      <c r="E81">
        <v>237.07000000000002</v>
      </c>
      <c r="F81">
        <v>84.254999999999995</v>
      </c>
    </row>
    <row r="82" spans="1:6" x14ac:dyDescent="0.3">
      <c r="A82" s="2">
        <v>44887</v>
      </c>
      <c r="B82">
        <v>253.98652380952382</v>
      </c>
      <c r="C82">
        <v>271.089</v>
      </c>
      <c r="D82">
        <v>21.506499999999999</v>
      </c>
      <c r="E82">
        <v>237.56000000000003</v>
      </c>
      <c r="F82">
        <v>85.179000000000002</v>
      </c>
    </row>
    <row r="83" spans="1:6" x14ac:dyDescent="0.3">
      <c r="A83" s="2">
        <v>44888</v>
      </c>
      <c r="B83">
        <v>254.63404761904764</v>
      </c>
      <c r="C83">
        <v>272.46320000000003</v>
      </c>
      <c r="D83">
        <v>21.448999999999998</v>
      </c>
      <c r="E83">
        <v>245.893</v>
      </c>
      <c r="F83">
        <v>92.28</v>
      </c>
    </row>
    <row r="84" spans="1:6" x14ac:dyDescent="0.3">
      <c r="A84" s="2">
        <v>44890</v>
      </c>
      <c r="B84">
        <v>254.14780952380949</v>
      </c>
      <c r="C84">
        <v>272.75959999999998</v>
      </c>
      <c r="D84">
        <v>22.056000000000001</v>
      </c>
      <c r="E84">
        <v>245.614</v>
      </c>
      <c r="F84">
        <v>92.035000000000011</v>
      </c>
    </row>
    <row r="85" spans="1:6" x14ac:dyDescent="0.3">
      <c r="A85" s="2">
        <v>44893</v>
      </c>
      <c r="B85">
        <v>253.21504761904757</v>
      </c>
      <c r="C85">
        <v>272.35599999999999</v>
      </c>
      <c r="D85">
        <v>21.940999999999999</v>
      </c>
      <c r="E85">
        <v>248.07300000000001</v>
      </c>
      <c r="F85">
        <v>92.173999999999992</v>
      </c>
    </row>
    <row r="86" spans="1:6" x14ac:dyDescent="0.3">
      <c r="A86" s="2">
        <v>44894</v>
      </c>
      <c r="B86">
        <v>252.51271428571431</v>
      </c>
      <c r="C86">
        <v>271.68119999999993</v>
      </c>
      <c r="D86">
        <v>21.524999999999999</v>
      </c>
      <c r="E86">
        <v>249.65900000000002</v>
      </c>
      <c r="F86">
        <v>90.851000000000013</v>
      </c>
    </row>
    <row r="87" spans="1:6" x14ac:dyDescent="0.3">
      <c r="A87" s="2">
        <v>44895</v>
      </c>
      <c r="B87">
        <v>257.5347142857143</v>
      </c>
      <c r="C87">
        <v>276.44439999999997</v>
      </c>
      <c r="D87">
        <v>21.779</v>
      </c>
      <c r="E87">
        <v>250.809</v>
      </c>
      <c r="F87">
        <v>98.197999999999993</v>
      </c>
    </row>
    <row r="88" spans="1:6" x14ac:dyDescent="0.3">
      <c r="A88" s="2">
        <v>44896</v>
      </c>
      <c r="B88">
        <v>240.22633333333334</v>
      </c>
      <c r="C88">
        <v>277.25059999999996</v>
      </c>
      <c r="D88">
        <v>21.847000000000001</v>
      </c>
      <c r="E88">
        <v>247.84500000000003</v>
      </c>
      <c r="F88">
        <v>98.205999999999989</v>
      </c>
    </row>
    <row r="89" spans="1:6" x14ac:dyDescent="0.3">
      <c r="A89" s="2">
        <v>44897</v>
      </c>
      <c r="B89">
        <v>236.19347619047616</v>
      </c>
      <c r="C89">
        <v>279.75399999999996</v>
      </c>
      <c r="D89">
        <v>21.450999999999997</v>
      </c>
      <c r="E89">
        <v>246.529</v>
      </c>
      <c r="F89">
        <v>98.038000000000011</v>
      </c>
    </row>
    <row r="90" spans="1:6" x14ac:dyDescent="0.3">
      <c r="A90" s="2">
        <v>44900</v>
      </c>
      <c r="B90">
        <v>233.5242380952381</v>
      </c>
      <c r="C90">
        <v>275.77579999999995</v>
      </c>
      <c r="D90">
        <v>21.017999999999997</v>
      </c>
      <c r="E90">
        <v>232.72</v>
      </c>
      <c r="F90">
        <v>91.986999999999995</v>
      </c>
    </row>
    <row r="91" spans="1:6" x14ac:dyDescent="0.3">
      <c r="A91" s="2">
        <v>44901</v>
      </c>
      <c r="B91">
        <v>229.44380952380951</v>
      </c>
      <c r="C91">
        <v>275.4006</v>
      </c>
      <c r="D91">
        <v>21.077000000000002</v>
      </c>
      <c r="E91">
        <v>232.99200000000002</v>
      </c>
      <c r="F91">
        <v>89.911000000000001</v>
      </c>
    </row>
    <row r="92" spans="1:6" x14ac:dyDescent="0.3">
      <c r="A92" s="2">
        <v>44902</v>
      </c>
      <c r="B92">
        <v>229.6795238095238</v>
      </c>
      <c r="C92">
        <v>276.65559999999999</v>
      </c>
      <c r="D92">
        <v>22.536999999999999</v>
      </c>
      <c r="E92">
        <v>230.69899999999998</v>
      </c>
      <c r="F92">
        <v>87.722999999999999</v>
      </c>
    </row>
    <row r="93" spans="1:6" x14ac:dyDescent="0.3">
      <c r="A93" s="2">
        <v>44903</v>
      </c>
      <c r="B93">
        <v>229.28861904761905</v>
      </c>
      <c r="C93">
        <v>277.12740000000002</v>
      </c>
      <c r="D93">
        <v>21.553999999999998</v>
      </c>
      <c r="E93">
        <v>232.06799999999998</v>
      </c>
      <c r="F93">
        <v>87.006</v>
      </c>
    </row>
    <row r="94" spans="1:6" x14ac:dyDescent="0.3">
      <c r="A94" s="2">
        <v>44904</v>
      </c>
      <c r="B94">
        <v>230.41552380952379</v>
      </c>
      <c r="C94">
        <v>274.45359999999999</v>
      </c>
      <c r="D94">
        <v>21.402750000000001</v>
      </c>
      <c r="E94">
        <v>228.59900000000002</v>
      </c>
      <c r="F94">
        <v>90.27000000000001</v>
      </c>
    </row>
    <row r="95" spans="1:6" x14ac:dyDescent="0.3">
      <c r="A95" s="2">
        <v>44907</v>
      </c>
      <c r="B95">
        <v>233.07757142857142</v>
      </c>
      <c r="C95">
        <v>278.1508</v>
      </c>
      <c r="D95">
        <v>21.053999999999998</v>
      </c>
      <c r="E95">
        <v>225.17400000000001</v>
      </c>
      <c r="F95">
        <v>84.552999999999997</v>
      </c>
    </row>
    <row r="96" spans="1:6" x14ac:dyDescent="0.3">
      <c r="A96" s="2">
        <v>44908</v>
      </c>
      <c r="B96">
        <v>233.11319047619045</v>
      </c>
      <c r="C96">
        <v>278.49459999999999</v>
      </c>
      <c r="D96">
        <v>21.061</v>
      </c>
      <c r="E96">
        <v>226.99299999999999</v>
      </c>
      <c r="F96">
        <v>81.078999999999994</v>
      </c>
    </row>
    <row r="97" spans="1:6" x14ac:dyDescent="0.3">
      <c r="A97" s="2">
        <v>44909</v>
      </c>
      <c r="B97">
        <v>230.52161904761903</v>
      </c>
      <c r="C97">
        <v>278.15259999999995</v>
      </c>
      <c r="D97">
        <v>20.698</v>
      </c>
      <c r="E97">
        <v>228.99299999999999</v>
      </c>
      <c r="F97">
        <v>78.87700000000001</v>
      </c>
    </row>
    <row r="98" spans="1:6" x14ac:dyDescent="0.3">
      <c r="A98" s="2">
        <v>44910</v>
      </c>
      <c r="B98">
        <v>221.08352380952383</v>
      </c>
      <c r="C98">
        <v>274.16340000000002</v>
      </c>
      <c r="D98">
        <v>21.246000000000002</v>
      </c>
      <c r="E98">
        <v>222.23599999999999</v>
      </c>
      <c r="F98">
        <v>79.263999999999996</v>
      </c>
    </row>
    <row r="99" spans="1:6" x14ac:dyDescent="0.3">
      <c r="A99" s="2">
        <v>44911</v>
      </c>
      <c r="B99">
        <v>220.55509523809522</v>
      </c>
      <c r="C99">
        <v>272.96699999999998</v>
      </c>
      <c r="D99">
        <v>20.609000000000002</v>
      </c>
      <c r="E99">
        <v>220.37599999999998</v>
      </c>
      <c r="F99">
        <v>75.625</v>
      </c>
    </row>
    <row r="100" spans="1:6" x14ac:dyDescent="0.3">
      <c r="A100" s="2">
        <v>44914</v>
      </c>
      <c r="B100">
        <v>218.83623809523809</v>
      </c>
      <c r="C100">
        <v>273.38059999999996</v>
      </c>
      <c r="D100">
        <v>20.996000000000002</v>
      </c>
      <c r="E100">
        <v>217.07900000000004</v>
      </c>
      <c r="F100">
        <v>75.795000000000002</v>
      </c>
    </row>
    <row r="101" spans="1:6" x14ac:dyDescent="0.3">
      <c r="A101" s="2">
        <v>44915</v>
      </c>
      <c r="B101">
        <v>218.26652380952379</v>
      </c>
      <c r="C101">
        <v>273.37259999999998</v>
      </c>
      <c r="D101">
        <v>21.506500000000003</v>
      </c>
      <c r="E101">
        <v>215.08099999999999</v>
      </c>
      <c r="F101">
        <v>69.674000000000007</v>
      </c>
    </row>
    <row r="102" spans="1:6" x14ac:dyDescent="0.3">
      <c r="A102" s="2">
        <v>44916</v>
      </c>
      <c r="B102">
        <v>220.59957142857141</v>
      </c>
      <c r="C102">
        <v>276.988</v>
      </c>
      <c r="D102">
        <v>21.633500000000002</v>
      </c>
      <c r="E102">
        <v>213.68300000000002</v>
      </c>
      <c r="F102">
        <v>69.385999999999996</v>
      </c>
    </row>
    <row r="103" spans="1:6" x14ac:dyDescent="0.3">
      <c r="A103" s="2">
        <v>44917</v>
      </c>
      <c r="B103">
        <v>219.03633333333332</v>
      </c>
      <c r="C103">
        <v>275.64359999999999</v>
      </c>
      <c r="D103">
        <v>21.358499999999999</v>
      </c>
      <c r="E103">
        <v>212.87199999999999</v>
      </c>
      <c r="F103">
        <v>63.214999999999996</v>
      </c>
    </row>
    <row r="104" spans="1:6" x14ac:dyDescent="0.3">
      <c r="A104" s="2">
        <v>44918</v>
      </c>
      <c r="B104">
        <v>221.20152380952379</v>
      </c>
      <c r="C104">
        <v>277.45179999999999</v>
      </c>
      <c r="D104">
        <v>20.93</v>
      </c>
      <c r="E104">
        <v>214.95300000000003</v>
      </c>
      <c r="F104">
        <v>62.393000000000001</v>
      </c>
    </row>
    <row r="105" spans="1:6" x14ac:dyDescent="0.3">
      <c r="A105" s="2">
        <v>44922</v>
      </c>
      <c r="B105">
        <v>219.15333333333331</v>
      </c>
      <c r="C105">
        <v>279.00839999999994</v>
      </c>
      <c r="D105">
        <v>21.374499999999998</v>
      </c>
      <c r="E105">
        <v>218.71200000000002</v>
      </c>
      <c r="F105">
        <v>55.260999999999996</v>
      </c>
    </row>
    <row r="106" spans="1:6" x14ac:dyDescent="0.3">
      <c r="A106" s="2">
        <v>44923</v>
      </c>
      <c r="B106">
        <v>216.39152380952379</v>
      </c>
      <c r="C106">
        <v>276.08980000000003</v>
      </c>
      <c r="D106">
        <v>21.946999999999999</v>
      </c>
      <c r="E106">
        <v>219.02800000000002</v>
      </c>
      <c r="F106">
        <v>56.596999999999994</v>
      </c>
    </row>
    <row r="107" spans="1:6" x14ac:dyDescent="0.3">
      <c r="A107" s="2">
        <v>44924</v>
      </c>
      <c r="B107">
        <v>217.98323809523808</v>
      </c>
      <c r="C107">
        <v>278.27600000000001</v>
      </c>
      <c r="D107">
        <v>21.556000000000001</v>
      </c>
      <c r="E107">
        <v>223.417</v>
      </c>
      <c r="F107">
        <v>61.655999999999999</v>
      </c>
    </row>
    <row r="108" spans="1:6" x14ac:dyDescent="0.3">
      <c r="A108" s="2">
        <v>44925</v>
      </c>
      <c r="B108">
        <v>217.80895238095238</v>
      </c>
      <c r="C108">
        <v>276.25139999999999</v>
      </c>
      <c r="D108">
        <v>21.478999999999999</v>
      </c>
      <c r="E108">
        <v>223.57900000000001</v>
      </c>
      <c r="F108">
        <v>62.165000000000006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EE6EB-F912-49D5-9406-E9AB388429D5}">
  <dimension ref="A1:R108"/>
  <sheetViews>
    <sheetView tabSelected="1" zoomScale="72" zoomScaleNormal="40" workbookViewId="0">
      <selection activeCell="S13" sqref="S13"/>
    </sheetView>
  </sheetViews>
  <sheetFormatPr defaultRowHeight="14.4" x14ac:dyDescent="0.3"/>
  <cols>
    <col min="1" max="1" width="12" bestFit="1" customWidth="1"/>
    <col min="7" max="7" width="2.44140625" customWidth="1"/>
    <col min="8" max="8" width="8.21875" bestFit="1" customWidth="1"/>
    <col min="9" max="9" width="6.33203125" bestFit="1" customWidth="1"/>
    <col min="10" max="10" width="9.6640625" bestFit="1" customWidth="1"/>
    <col min="11" max="11" width="7" bestFit="1" customWidth="1"/>
    <col min="12" max="12" width="7.88671875" bestFit="1" customWidth="1"/>
    <col min="13" max="13" width="2.44140625" customWidth="1"/>
    <col min="14" max="14" width="9.77734375" bestFit="1" customWidth="1"/>
    <col min="15" max="15" width="2.44140625" customWidth="1"/>
    <col min="16" max="16" width="19.109375" bestFit="1" customWidth="1"/>
    <col min="17" max="17" width="10.21875" bestFit="1" customWidth="1"/>
    <col min="18" max="18" width="19.6640625" bestFit="1" customWidth="1"/>
    <col min="19" max="19" width="8.88671875" customWidth="1"/>
  </cols>
  <sheetData>
    <row r="1" spans="1:18" x14ac:dyDescent="0.3">
      <c r="A1" s="2" t="s">
        <v>0</v>
      </c>
      <c r="B1" s="1" t="s">
        <v>1</v>
      </c>
      <c r="C1" s="1" t="s">
        <v>2</v>
      </c>
      <c r="D1" s="1" t="s">
        <v>3</v>
      </c>
      <c r="E1" s="1" t="s">
        <v>4</v>
      </c>
      <c r="F1" s="1" t="s">
        <v>5</v>
      </c>
      <c r="G1" s="4"/>
      <c r="H1" s="1" t="s">
        <v>14</v>
      </c>
      <c r="I1" s="1" t="s">
        <v>15</v>
      </c>
      <c r="J1" s="1" t="s">
        <v>16</v>
      </c>
      <c r="K1" s="1" t="s">
        <v>17</v>
      </c>
      <c r="L1" s="1" t="s">
        <v>18</v>
      </c>
      <c r="M1" s="4"/>
      <c r="N1" s="1" t="s">
        <v>19</v>
      </c>
      <c r="O1" s="4"/>
      <c r="P1" s="1" t="s">
        <v>10</v>
      </c>
      <c r="Q1" s="1" t="s">
        <v>9</v>
      </c>
      <c r="R1" s="1" t="s">
        <v>8</v>
      </c>
    </row>
    <row r="2" spans="1:18" x14ac:dyDescent="0.3">
      <c r="A2" s="2">
        <v>44774</v>
      </c>
      <c r="B2">
        <v>260.79971428571423</v>
      </c>
      <c r="C2">
        <v>280.80079999999998</v>
      </c>
      <c r="D2">
        <v>223.08099999999999</v>
      </c>
      <c r="E2">
        <v>248.42300000000003</v>
      </c>
      <c r="F2">
        <v>446.30799999999999</v>
      </c>
      <c r="G2" s="5"/>
      <c r="H2">
        <v>350</v>
      </c>
      <c r="I2">
        <v>-210</v>
      </c>
      <c r="J2">
        <v>-150</v>
      </c>
      <c r="K2">
        <v>32</v>
      </c>
      <c r="L2">
        <v>100</v>
      </c>
      <c r="M2" s="5"/>
      <c r="N2">
        <v>0</v>
      </c>
      <c r="O2" s="5"/>
      <c r="P2" s="7">
        <f t="shared" ref="P2:P33" si="0">B2*H2+C2*I2+D2*J2+E2*K2+F2*L2</f>
        <v>51429.917999999983</v>
      </c>
      <c r="Q2" s="7"/>
      <c r="R2" s="7"/>
    </row>
    <row r="3" spans="1:18" x14ac:dyDescent="0.3">
      <c r="A3" s="2">
        <v>44775</v>
      </c>
      <c r="B3">
        <v>259.46347619047617</v>
      </c>
      <c r="C3">
        <v>276.63659999999999</v>
      </c>
      <c r="D3">
        <v>222.571</v>
      </c>
      <c r="E3">
        <v>245.30699999999996</v>
      </c>
      <c r="F3">
        <v>451.15999999999997</v>
      </c>
      <c r="G3" s="5"/>
      <c r="H3">
        <v>350</v>
      </c>
      <c r="I3">
        <v>-210</v>
      </c>
      <c r="J3">
        <v>-150</v>
      </c>
      <c r="K3">
        <v>32</v>
      </c>
      <c r="L3">
        <v>100</v>
      </c>
      <c r="M3" s="5"/>
      <c r="N3">
        <v>0</v>
      </c>
      <c r="O3" s="5"/>
      <c r="P3" s="7">
        <f t="shared" si="0"/>
        <v>52298.704666666665</v>
      </c>
      <c r="Q3" s="7">
        <f>H3*B3-H2*B2+I3*C3-I2*C2+J3*D3-D2*J2+E3*K3-K2*E2+L3*F3-L2*F2+N3*H3</f>
        <v>868.78666666668141</v>
      </c>
      <c r="R3" s="7">
        <f>100*(Q3/P2)</f>
        <v>1.6892631768665889</v>
      </c>
    </row>
    <row r="4" spans="1:18" x14ac:dyDescent="0.3">
      <c r="A4" s="2">
        <v>44776</v>
      </c>
      <c r="B4">
        <v>260.51295238095236</v>
      </c>
      <c r="C4">
        <v>278.17180000000002</v>
      </c>
      <c r="D4">
        <v>210.40199999999999</v>
      </c>
      <c r="E4">
        <v>252.69399999999999</v>
      </c>
      <c r="F4">
        <v>461.87400000000002</v>
      </c>
      <c r="G4" s="5"/>
      <c r="H4">
        <v>350</v>
      </c>
      <c r="I4">
        <v>-210</v>
      </c>
      <c r="J4">
        <v>-150</v>
      </c>
      <c r="K4">
        <v>32</v>
      </c>
      <c r="L4">
        <v>100</v>
      </c>
      <c r="M4" s="5"/>
      <c r="N4">
        <v>0</v>
      </c>
      <c r="O4" s="5"/>
      <c r="P4" s="7">
        <f t="shared" si="0"/>
        <v>55476.763333333321</v>
      </c>
      <c r="Q4" s="7">
        <f t="shared" ref="Q4:Q67" si="1">H4*B4-H3*B3+I4*C4-I3*C3+J4*D4-D3*J3+E4*K4-K3*E3+L4*F4-L3*F3+N4*H4</f>
        <v>3178.0586666666641</v>
      </c>
      <c r="R4" s="7">
        <f t="shared" ref="R4:R67" si="2">100*(Q4/P3)</f>
        <v>6.0767445138889746</v>
      </c>
    </row>
    <row r="5" spans="1:18" x14ac:dyDescent="0.3">
      <c r="A5" s="2">
        <v>44777</v>
      </c>
      <c r="B5">
        <v>258.78476190476187</v>
      </c>
      <c r="C5">
        <v>276.39180000000005</v>
      </c>
      <c r="D5">
        <v>216.56049999999999</v>
      </c>
      <c r="E5">
        <v>249.958</v>
      </c>
      <c r="F5">
        <v>463.20400000000001</v>
      </c>
      <c r="G5" s="5"/>
      <c r="H5">
        <v>350</v>
      </c>
      <c r="I5">
        <v>-210</v>
      </c>
      <c r="J5">
        <v>-150</v>
      </c>
      <c r="K5">
        <v>32</v>
      </c>
      <c r="L5">
        <v>100</v>
      </c>
      <c r="M5" s="5"/>
      <c r="N5">
        <v>0</v>
      </c>
      <c r="O5" s="5"/>
      <c r="P5" s="7">
        <f t="shared" si="0"/>
        <v>54367.369666666651</v>
      </c>
      <c r="Q5" s="7">
        <f t="shared" si="1"/>
        <v>-1109.3936666666777</v>
      </c>
      <c r="R5" s="7">
        <f t="shared" si="2"/>
        <v>-1.9997447580005021</v>
      </c>
    </row>
    <row r="6" spans="1:18" x14ac:dyDescent="0.3">
      <c r="A6" s="2">
        <v>44778</v>
      </c>
      <c r="B6">
        <v>258.35790476190476</v>
      </c>
      <c r="C6">
        <v>275.53620000000001</v>
      </c>
      <c r="D6">
        <v>219.28800000000001</v>
      </c>
      <c r="E6">
        <v>249.21099999999998</v>
      </c>
      <c r="F6">
        <v>432.572</v>
      </c>
      <c r="G6" s="5"/>
      <c r="H6">
        <v>350</v>
      </c>
      <c r="I6">
        <v>-210</v>
      </c>
      <c r="J6">
        <v>-150</v>
      </c>
      <c r="K6">
        <v>32</v>
      </c>
      <c r="L6">
        <v>100</v>
      </c>
      <c r="M6" s="5"/>
      <c r="N6">
        <v>0</v>
      </c>
      <c r="O6" s="5"/>
      <c r="P6" s="7">
        <f t="shared" si="0"/>
        <v>50901.416666666657</v>
      </c>
      <c r="Q6" s="7">
        <f t="shared" si="1"/>
        <v>-3465.9529999999941</v>
      </c>
      <c r="R6" s="7">
        <f t="shared" si="2"/>
        <v>-6.3750610361512763</v>
      </c>
    </row>
    <row r="7" spans="1:18" x14ac:dyDescent="0.3">
      <c r="A7" s="2">
        <v>44781</v>
      </c>
      <c r="B7">
        <v>258.67761904761903</v>
      </c>
      <c r="C7">
        <v>273.71980000000002</v>
      </c>
      <c r="D7">
        <v>215.476</v>
      </c>
      <c r="E7">
        <v>251.29999999999998</v>
      </c>
      <c r="F7">
        <v>435.76599999999996</v>
      </c>
      <c r="G7" s="5"/>
      <c r="H7">
        <v>350</v>
      </c>
      <c r="I7">
        <v>-210</v>
      </c>
      <c r="J7">
        <v>-150</v>
      </c>
      <c r="K7">
        <v>32</v>
      </c>
      <c r="L7">
        <v>100</v>
      </c>
      <c r="M7" s="5"/>
      <c r="N7">
        <v>0</v>
      </c>
      <c r="O7" s="5"/>
      <c r="P7" s="7">
        <f t="shared" si="0"/>
        <v>52352.80866666665</v>
      </c>
      <c r="Q7" s="7">
        <f t="shared" si="1"/>
        <v>1451.3919999999925</v>
      </c>
      <c r="R7" s="7">
        <f t="shared" si="2"/>
        <v>2.8513783997498292</v>
      </c>
    </row>
    <row r="8" spans="1:18" x14ac:dyDescent="0.3">
      <c r="A8" s="2">
        <v>44782</v>
      </c>
      <c r="B8">
        <v>255.58638095238095</v>
      </c>
      <c r="C8">
        <v>274.488</v>
      </c>
      <c r="D8">
        <v>209.274</v>
      </c>
      <c r="E8">
        <v>247.74</v>
      </c>
      <c r="F8">
        <v>425.21100000000001</v>
      </c>
      <c r="G8" s="5"/>
      <c r="H8">
        <v>350</v>
      </c>
      <c r="I8">
        <v>-210</v>
      </c>
      <c r="J8">
        <v>-150</v>
      </c>
      <c r="K8">
        <v>32</v>
      </c>
      <c r="L8">
        <v>100</v>
      </c>
      <c r="M8" s="5"/>
      <c r="N8">
        <v>0</v>
      </c>
      <c r="O8" s="5"/>
      <c r="P8" s="7">
        <f t="shared" si="0"/>
        <v>50870.433333333334</v>
      </c>
      <c r="Q8" s="7">
        <f t="shared" si="1"/>
        <v>-1482.3753333333152</v>
      </c>
      <c r="R8" s="7">
        <f t="shared" si="2"/>
        <v>-2.8315106124901233</v>
      </c>
    </row>
    <row r="9" spans="1:18" x14ac:dyDescent="0.3">
      <c r="A9" s="2">
        <v>44783</v>
      </c>
      <c r="B9">
        <v>257.24814285714285</v>
      </c>
      <c r="C9">
        <v>276.399</v>
      </c>
      <c r="D9">
        <v>218.19399999999999</v>
      </c>
      <c r="E9">
        <v>254.59399999999999</v>
      </c>
      <c r="F9">
        <v>441.81300000000005</v>
      </c>
      <c r="G9" s="5"/>
      <c r="H9">
        <v>350</v>
      </c>
      <c r="I9">
        <v>-210</v>
      </c>
      <c r="J9">
        <v>-150</v>
      </c>
      <c r="K9">
        <v>32</v>
      </c>
      <c r="L9">
        <v>100</v>
      </c>
      <c r="M9" s="5"/>
      <c r="N9">
        <v>0</v>
      </c>
      <c r="O9" s="5"/>
      <c r="P9" s="7">
        <f t="shared" si="0"/>
        <v>51592.267999999996</v>
      </c>
      <c r="Q9" s="7">
        <f t="shared" si="1"/>
        <v>721.83466666666209</v>
      </c>
      <c r="R9" s="7">
        <f t="shared" si="2"/>
        <v>1.4189670096513076</v>
      </c>
    </row>
    <row r="10" spans="1:18" x14ac:dyDescent="0.3">
      <c r="A10" s="2">
        <v>44784</v>
      </c>
      <c r="B10">
        <v>253.93657142857145</v>
      </c>
      <c r="C10">
        <v>275.13779999999997</v>
      </c>
      <c r="D10">
        <v>219.02699999999999</v>
      </c>
      <c r="E10">
        <v>254.84999999999997</v>
      </c>
      <c r="F10">
        <v>430.52600000000001</v>
      </c>
      <c r="G10" s="5"/>
      <c r="H10">
        <v>350</v>
      </c>
      <c r="I10">
        <v>-210</v>
      </c>
      <c r="J10">
        <v>-150</v>
      </c>
      <c r="K10">
        <v>32</v>
      </c>
      <c r="L10">
        <v>100</v>
      </c>
      <c r="M10" s="5"/>
      <c r="N10">
        <v>0</v>
      </c>
      <c r="O10" s="5"/>
      <c r="P10" s="7">
        <f t="shared" si="0"/>
        <v>49452.612000000008</v>
      </c>
      <c r="Q10" s="7">
        <f t="shared" si="1"/>
        <v>-2139.6559999999881</v>
      </c>
      <c r="R10" s="7">
        <f t="shared" si="2"/>
        <v>-4.1472415982952882</v>
      </c>
    </row>
    <row r="11" spans="1:18" x14ac:dyDescent="0.3">
      <c r="A11" s="2">
        <v>44785</v>
      </c>
      <c r="B11">
        <v>256.18828571428571</v>
      </c>
      <c r="C11">
        <v>276.72500000000002</v>
      </c>
      <c r="D11">
        <v>217.648</v>
      </c>
      <c r="E11">
        <v>259.26099999999997</v>
      </c>
      <c r="F11">
        <v>450.79900000000004</v>
      </c>
      <c r="G11" s="5"/>
      <c r="H11">
        <v>350</v>
      </c>
      <c r="I11">
        <v>-210</v>
      </c>
      <c r="J11">
        <v>-150</v>
      </c>
      <c r="K11">
        <v>32</v>
      </c>
      <c r="L11">
        <v>100</v>
      </c>
      <c r="M11" s="5"/>
      <c r="N11">
        <v>0</v>
      </c>
      <c r="O11" s="5"/>
      <c r="P11" s="7">
        <f t="shared" si="0"/>
        <v>52282.70199999999</v>
      </c>
      <c r="Q11" s="7">
        <f t="shared" si="1"/>
        <v>2830.0899999999747</v>
      </c>
      <c r="R11" s="7">
        <f t="shared" si="2"/>
        <v>5.7228321933732733</v>
      </c>
    </row>
    <row r="12" spans="1:18" x14ac:dyDescent="0.3">
      <c r="A12" s="2">
        <v>44788</v>
      </c>
      <c r="B12">
        <v>260.20795238095235</v>
      </c>
      <c r="C12">
        <v>280.53399999999999</v>
      </c>
      <c r="D12">
        <v>217.065</v>
      </c>
      <c r="E12">
        <v>260.87</v>
      </c>
      <c r="F12">
        <v>464.536</v>
      </c>
      <c r="G12" s="5"/>
      <c r="H12">
        <v>350</v>
      </c>
      <c r="I12">
        <v>-210</v>
      </c>
      <c r="J12">
        <v>-150</v>
      </c>
      <c r="K12">
        <v>32</v>
      </c>
      <c r="L12">
        <v>100</v>
      </c>
      <c r="M12" s="5"/>
      <c r="N12">
        <v>0</v>
      </c>
      <c r="O12" s="5"/>
      <c r="P12" s="7">
        <f t="shared" si="0"/>
        <v>54402.333333333328</v>
      </c>
      <c r="Q12" s="7">
        <f t="shared" si="1"/>
        <v>2119.6313333333383</v>
      </c>
      <c r="R12" s="7">
        <f t="shared" si="2"/>
        <v>4.0541732776805199</v>
      </c>
    </row>
    <row r="13" spans="1:18" x14ac:dyDescent="0.3">
      <c r="A13" s="2">
        <v>44789</v>
      </c>
      <c r="B13">
        <v>263.56785714285712</v>
      </c>
      <c r="C13">
        <v>282.93619999999999</v>
      </c>
      <c r="D13">
        <v>215.67850000000001</v>
      </c>
      <c r="E13">
        <v>270.49699999999996</v>
      </c>
      <c r="F13">
        <v>460.39400000000001</v>
      </c>
      <c r="G13" s="5"/>
      <c r="H13">
        <v>350</v>
      </c>
      <c r="I13">
        <v>-210</v>
      </c>
      <c r="J13">
        <v>-150</v>
      </c>
      <c r="K13">
        <v>32</v>
      </c>
      <c r="L13">
        <v>100</v>
      </c>
      <c r="M13" s="5"/>
      <c r="N13">
        <v>0</v>
      </c>
      <c r="O13" s="5"/>
      <c r="P13" s="7">
        <f t="shared" si="0"/>
        <v>55175.676999999981</v>
      </c>
      <c r="Q13" s="7">
        <f t="shared" si="1"/>
        <v>773.34366666666028</v>
      </c>
      <c r="R13" s="7">
        <f t="shared" si="2"/>
        <v>1.4215266502049428</v>
      </c>
    </row>
    <row r="14" spans="1:18" x14ac:dyDescent="0.3">
      <c r="A14" s="2">
        <v>44790</v>
      </c>
      <c r="B14">
        <v>265.0422857142857</v>
      </c>
      <c r="C14">
        <v>282.05819999999994</v>
      </c>
      <c r="D14">
        <v>222.94799999999998</v>
      </c>
      <c r="E14">
        <v>263.24</v>
      </c>
      <c r="F14">
        <v>456.64699999999999</v>
      </c>
      <c r="G14" s="5"/>
      <c r="H14">
        <v>350</v>
      </c>
      <c r="I14">
        <v>-210</v>
      </c>
      <c r="J14">
        <v>-150</v>
      </c>
      <c r="K14">
        <v>32</v>
      </c>
      <c r="L14">
        <v>100</v>
      </c>
      <c r="M14" s="5"/>
      <c r="N14">
        <v>0</v>
      </c>
      <c r="O14" s="5"/>
      <c r="P14" s="7">
        <f t="shared" si="0"/>
        <v>54178.758000000002</v>
      </c>
      <c r="Q14" s="7">
        <f t="shared" si="1"/>
        <v>-996.91899999998714</v>
      </c>
      <c r="R14" s="7">
        <f t="shared" si="2"/>
        <v>-1.8068088226629055</v>
      </c>
    </row>
    <row r="15" spans="1:18" x14ac:dyDescent="0.3">
      <c r="A15" s="2">
        <v>44791</v>
      </c>
      <c r="B15">
        <v>267.66080952380952</v>
      </c>
      <c r="C15">
        <v>283.17180000000002</v>
      </c>
      <c r="D15">
        <v>225.233</v>
      </c>
      <c r="E15">
        <v>259.89300000000003</v>
      </c>
      <c r="F15">
        <v>455.11</v>
      </c>
      <c r="G15" s="5"/>
      <c r="H15">
        <v>350</v>
      </c>
      <c r="I15">
        <v>-210</v>
      </c>
      <c r="J15">
        <v>-150</v>
      </c>
      <c r="K15">
        <v>32</v>
      </c>
      <c r="L15">
        <v>100</v>
      </c>
      <c r="M15" s="5"/>
      <c r="N15">
        <v>0</v>
      </c>
      <c r="O15" s="5"/>
      <c r="P15" s="7">
        <f t="shared" si="0"/>
        <v>54257.831333333328</v>
      </c>
      <c r="Q15" s="7">
        <f t="shared" si="1"/>
        <v>79.073333333326445</v>
      </c>
      <c r="R15" s="7">
        <f t="shared" si="2"/>
        <v>0.1459489590612735</v>
      </c>
    </row>
    <row r="16" spans="1:18" x14ac:dyDescent="0.3">
      <c r="A16" s="2">
        <v>44792</v>
      </c>
      <c r="B16">
        <v>264.93290476190469</v>
      </c>
      <c r="C16">
        <v>283.23680000000002</v>
      </c>
      <c r="D16">
        <v>219.9795</v>
      </c>
      <c r="E16">
        <v>250.661</v>
      </c>
      <c r="F16">
        <v>445.21199999999999</v>
      </c>
      <c r="G16" s="5"/>
      <c r="H16">
        <v>350</v>
      </c>
      <c r="I16">
        <v>-210</v>
      </c>
      <c r="J16">
        <v>-150</v>
      </c>
      <c r="K16">
        <v>32</v>
      </c>
      <c r="L16">
        <v>100</v>
      </c>
      <c r="M16" s="5"/>
      <c r="N16">
        <v>0</v>
      </c>
      <c r="O16" s="5"/>
      <c r="P16" s="7">
        <f t="shared" si="0"/>
        <v>52792.215666666641</v>
      </c>
      <c r="Q16" s="7">
        <f t="shared" si="1"/>
        <v>-1465.6156666666866</v>
      </c>
      <c r="R16" s="7">
        <f t="shared" si="2"/>
        <v>-2.7012057626532608</v>
      </c>
    </row>
    <row r="17" spans="1:18" x14ac:dyDescent="0.3">
      <c r="A17" s="2">
        <v>44795</v>
      </c>
      <c r="B17">
        <v>259.90861904761903</v>
      </c>
      <c r="C17">
        <v>279.50799999999998</v>
      </c>
      <c r="D17">
        <v>219.20400000000001</v>
      </c>
      <c r="E17">
        <v>243.036</v>
      </c>
      <c r="F17">
        <v>435.26800000000003</v>
      </c>
      <c r="G17" s="5"/>
      <c r="H17">
        <v>350</v>
      </c>
      <c r="I17">
        <v>-210</v>
      </c>
      <c r="J17">
        <v>-150</v>
      </c>
      <c r="K17">
        <v>32</v>
      </c>
      <c r="L17">
        <v>100</v>
      </c>
      <c r="M17" s="5"/>
      <c r="N17">
        <v>0</v>
      </c>
      <c r="O17" s="5"/>
      <c r="P17" s="7">
        <f t="shared" si="0"/>
        <v>50694.688666666676</v>
      </c>
      <c r="Q17" s="7">
        <f t="shared" si="1"/>
        <v>-2097.5269999999655</v>
      </c>
      <c r="R17" s="7">
        <f t="shared" si="2"/>
        <v>-3.9731747825169577</v>
      </c>
    </row>
    <row r="18" spans="1:18" x14ac:dyDescent="0.3">
      <c r="A18" s="2">
        <v>44796</v>
      </c>
      <c r="B18">
        <v>259.01957142857145</v>
      </c>
      <c r="C18">
        <v>279.14579999999995</v>
      </c>
      <c r="D18">
        <v>218.017</v>
      </c>
      <c r="E18">
        <v>243.48699999999999</v>
      </c>
      <c r="F18">
        <v>444.72899999999998</v>
      </c>
      <c r="G18" s="5"/>
      <c r="H18">
        <v>350</v>
      </c>
      <c r="I18">
        <v>-210</v>
      </c>
      <c r="J18">
        <v>-150</v>
      </c>
      <c r="K18">
        <v>32</v>
      </c>
      <c r="L18">
        <v>100</v>
      </c>
      <c r="M18" s="5"/>
      <c r="N18">
        <v>0</v>
      </c>
      <c r="O18" s="5"/>
      <c r="P18" s="7">
        <f t="shared" si="0"/>
        <v>51598.166000000019</v>
      </c>
      <c r="Q18" s="7">
        <f t="shared" si="1"/>
        <v>903.47733333334327</v>
      </c>
      <c r="R18" s="7">
        <f t="shared" si="2"/>
        <v>1.7821932772365707</v>
      </c>
    </row>
    <row r="19" spans="1:18" x14ac:dyDescent="0.3">
      <c r="A19" s="2">
        <v>44797</v>
      </c>
      <c r="B19">
        <v>259.27719047619047</v>
      </c>
      <c r="C19">
        <v>280.13640000000004</v>
      </c>
      <c r="D19">
        <v>214.15</v>
      </c>
      <c r="E19">
        <v>245.55699999999999</v>
      </c>
      <c r="F19">
        <v>446.41899999999998</v>
      </c>
      <c r="G19" s="5"/>
      <c r="H19">
        <v>350</v>
      </c>
      <c r="I19">
        <v>-210</v>
      </c>
      <c r="J19">
        <v>-150</v>
      </c>
      <c r="K19">
        <v>32</v>
      </c>
      <c r="L19">
        <v>100</v>
      </c>
      <c r="M19" s="5"/>
      <c r="N19">
        <v>0</v>
      </c>
      <c r="O19" s="5"/>
      <c r="P19" s="7">
        <f t="shared" si="0"/>
        <v>52295.596666666657</v>
      </c>
      <c r="Q19" s="7">
        <f t="shared" si="1"/>
        <v>697.43066666663799</v>
      </c>
      <c r="R19" s="7">
        <f t="shared" si="2"/>
        <v>1.3516578606042657</v>
      </c>
    </row>
    <row r="20" spans="1:18" x14ac:dyDescent="0.3">
      <c r="A20" s="6">
        <v>44798</v>
      </c>
      <c r="B20">
        <v>262.70942857142853</v>
      </c>
      <c r="C20">
        <v>280.68180000000001</v>
      </c>
      <c r="D20">
        <v>215.04499999999999</v>
      </c>
      <c r="E20">
        <v>252.08</v>
      </c>
      <c r="F20" s="3">
        <v>148.59899999999999</v>
      </c>
      <c r="G20" s="5"/>
      <c r="H20">
        <v>350</v>
      </c>
      <c r="I20">
        <v>-210</v>
      </c>
      <c r="J20">
        <v>-150</v>
      </c>
      <c r="K20">
        <v>32</v>
      </c>
      <c r="L20" s="3">
        <v>300</v>
      </c>
      <c r="M20" s="5"/>
      <c r="N20">
        <v>0</v>
      </c>
      <c r="O20" s="5"/>
      <c r="P20" s="7">
        <f t="shared" si="0"/>
        <v>53394.631999999991</v>
      </c>
      <c r="Q20" s="7">
        <f t="shared" si="1"/>
        <v>1099.0353333333333</v>
      </c>
      <c r="R20" s="7">
        <f t="shared" si="2"/>
        <v>2.1015829312334073</v>
      </c>
    </row>
    <row r="21" spans="1:18" x14ac:dyDescent="0.3">
      <c r="A21" s="2">
        <v>44799</v>
      </c>
      <c r="B21">
        <v>253.24961904761906</v>
      </c>
      <c r="C21">
        <v>274.40440000000001</v>
      </c>
      <c r="D21">
        <v>208.94499999999999</v>
      </c>
      <c r="E21">
        <v>241.43600000000001</v>
      </c>
      <c r="F21">
        <v>144.90899999999999</v>
      </c>
      <c r="G21" s="5"/>
      <c r="H21">
        <v>350</v>
      </c>
      <c r="I21">
        <v>-210</v>
      </c>
      <c r="J21">
        <v>-150</v>
      </c>
      <c r="K21">
        <v>32</v>
      </c>
      <c r="L21">
        <v>300</v>
      </c>
      <c r="M21" s="5"/>
      <c r="N21">
        <v>0</v>
      </c>
      <c r="O21" s="5"/>
      <c r="P21" s="7">
        <f t="shared" si="0"/>
        <v>50869.344666666664</v>
      </c>
      <c r="Q21" s="7">
        <f t="shared" si="1"/>
        <v>-2525.2873333333264</v>
      </c>
      <c r="R21" s="7">
        <f t="shared" si="2"/>
        <v>-4.7294779245474095</v>
      </c>
    </row>
    <row r="22" spans="1:18" x14ac:dyDescent="0.3">
      <c r="A22" s="2">
        <v>44802</v>
      </c>
      <c r="B22">
        <v>252.95571428571424</v>
      </c>
      <c r="C22">
        <v>273.04520000000002</v>
      </c>
      <c r="D22">
        <v>210.59299999999999</v>
      </c>
      <c r="E22">
        <v>238.22</v>
      </c>
      <c r="F22">
        <v>142.75899999999999</v>
      </c>
      <c r="G22" s="5"/>
      <c r="H22">
        <v>350</v>
      </c>
      <c r="I22">
        <v>-210</v>
      </c>
      <c r="J22">
        <v>-150</v>
      </c>
      <c r="K22">
        <v>32</v>
      </c>
      <c r="L22">
        <v>300</v>
      </c>
      <c r="M22" s="5"/>
      <c r="N22">
        <v>0</v>
      </c>
      <c r="O22" s="5"/>
      <c r="P22" s="7">
        <f t="shared" si="0"/>
        <v>50056.797999999981</v>
      </c>
      <c r="Q22" s="7">
        <f t="shared" si="1"/>
        <v>-812.54666666669073</v>
      </c>
      <c r="R22" s="7">
        <f t="shared" si="2"/>
        <v>-1.597320885478462</v>
      </c>
    </row>
    <row r="23" spans="1:18" x14ac:dyDescent="0.3">
      <c r="A23" s="2">
        <v>44803</v>
      </c>
      <c r="B23">
        <v>250.46947619047617</v>
      </c>
      <c r="C23">
        <v>269.83699999999999</v>
      </c>
      <c r="D23">
        <v>205.364</v>
      </c>
      <c r="E23">
        <v>241.63100000000003</v>
      </c>
      <c r="F23">
        <v>139.447</v>
      </c>
      <c r="G23" s="5"/>
      <c r="H23">
        <v>350</v>
      </c>
      <c r="I23">
        <v>-210</v>
      </c>
      <c r="J23">
        <v>-150</v>
      </c>
      <c r="K23">
        <v>32</v>
      </c>
      <c r="L23">
        <v>300</v>
      </c>
      <c r="M23" s="5"/>
      <c r="N23">
        <v>0</v>
      </c>
      <c r="O23" s="5"/>
      <c r="P23" s="7">
        <f t="shared" si="0"/>
        <v>49760.238666666664</v>
      </c>
      <c r="Q23" s="7">
        <f t="shared" si="1"/>
        <v>-296.55933333331632</v>
      </c>
      <c r="R23" s="7">
        <f t="shared" si="2"/>
        <v>-0.59244567208097576</v>
      </c>
    </row>
    <row r="24" spans="1:18" x14ac:dyDescent="0.3">
      <c r="A24" s="2">
        <v>44804</v>
      </c>
      <c r="B24">
        <v>249.48004761904761</v>
      </c>
      <c r="C24">
        <v>268.7124</v>
      </c>
      <c r="D24">
        <v>208.07300000000001</v>
      </c>
      <c r="E24">
        <v>240.92099999999999</v>
      </c>
      <c r="F24">
        <v>138.70400000000001</v>
      </c>
      <c r="G24" s="5"/>
      <c r="H24">
        <v>350</v>
      </c>
      <c r="I24">
        <v>-210</v>
      </c>
      <c r="J24">
        <v>-150</v>
      </c>
      <c r="K24">
        <v>32</v>
      </c>
      <c r="L24">
        <v>300</v>
      </c>
      <c r="M24" s="5"/>
      <c r="N24">
        <v>0</v>
      </c>
      <c r="O24" s="5"/>
      <c r="P24" s="7">
        <f t="shared" si="0"/>
        <v>48998.134666666665</v>
      </c>
      <c r="Q24" s="7">
        <f t="shared" si="1"/>
        <v>-762.10399999999936</v>
      </c>
      <c r="R24" s="7">
        <f t="shared" si="2"/>
        <v>-1.5315521396614939</v>
      </c>
    </row>
    <row r="25" spans="1:18" x14ac:dyDescent="0.3">
      <c r="A25" s="2">
        <v>44805</v>
      </c>
      <c r="B25">
        <v>252.75071428571425</v>
      </c>
      <c r="C25" s="3">
        <v>2691.0659999999998</v>
      </c>
      <c r="D25">
        <v>203.673</v>
      </c>
      <c r="E25">
        <v>247.59199999999998</v>
      </c>
      <c r="F25">
        <v>138.73500000000001</v>
      </c>
      <c r="G25" s="5"/>
      <c r="H25">
        <v>350</v>
      </c>
      <c r="I25">
        <v>-210</v>
      </c>
      <c r="J25">
        <v>-150</v>
      </c>
      <c r="K25">
        <v>32</v>
      </c>
      <c r="L25">
        <v>300</v>
      </c>
      <c r="M25" s="5"/>
      <c r="N25">
        <v>0</v>
      </c>
      <c r="O25" s="5"/>
      <c r="P25" s="7">
        <f t="shared" si="0"/>
        <v>-457668.61599999998</v>
      </c>
      <c r="Q25" s="7">
        <f t="shared" si="1"/>
        <v>-506666.75066666672</v>
      </c>
      <c r="R25" s="7">
        <f t="shared" si="2"/>
        <v>-1034.0531412338664</v>
      </c>
    </row>
    <row r="26" spans="1:18" x14ac:dyDescent="0.3">
      <c r="A26" s="2">
        <v>44806</v>
      </c>
      <c r="B26">
        <v>247.35523809523809</v>
      </c>
      <c r="C26">
        <v>265.84999999999997</v>
      </c>
      <c r="D26">
        <v>202.34800000000001</v>
      </c>
      <c r="E26">
        <v>247.30899999999997</v>
      </c>
      <c r="F26">
        <v>135.55799999999999</v>
      </c>
      <c r="G26" s="5"/>
      <c r="H26">
        <v>350</v>
      </c>
      <c r="I26">
        <v>-210</v>
      </c>
      <c r="J26">
        <v>-150</v>
      </c>
      <c r="K26">
        <v>32</v>
      </c>
      <c r="L26">
        <v>300</v>
      </c>
      <c r="M26" s="5"/>
      <c r="N26">
        <v>0</v>
      </c>
      <c r="O26" s="5"/>
      <c r="P26" s="7">
        <f t="shared" si="0"/>
        <v>48974.921333333332</v>
      </c>
      <c r="Q26" s="7">
        <f t="shared" si="1"/>
        <v>506643.53733333328</v>
      </c>
      <c r="R26" s="7">
        <f t="shared" si="2"/>
        <v>-110.70095689789079</v>
      </c>
    </row>
    <row r="27" spans="1:18" x14ac:dyDescent="0.3">
      <c r="A27" s="2">
        <v>44810</v>
      </c>
      <c r="B27">
        <v>247.35523809523806</v>
      </c>
      <c r="C27">
        <v>265.99819999999994</v>
      </c>
      <c r="D27">
        <v>202.12799999999999</v>
      </c>
      <c r="E27">
        <v>245.84200000000001</v>
      </c>
      <c r="F27">
        <v>137.42600000000002</v>
      </c>
      <c r="G27" s="5"/>
      <c r="H27">
        <v>350</v>
      </c>
      <c r="I27">
        <v>-210</v>
      </c>
      <c r="J27">
        <v>-150</v>
      </c>
      <c r="K27">
        <v>32</v>
      </c>
      <c r="L27">
        <v>300</v>
      </c>
      <c r="M27" s="5"/>
      <c r="N27">
        <v>0</v>
      </c>
      <c r="O27" s="5"/>
      <c r="P27" s="7">
        <f t="shared" si="0"/>
        <v>49490.255333333349</v>
      </c>
      <c r="Q27" s="7">
        <f t="shared" si="1"/>
        <v>515.33400000001711</v>
      </c>
      <c r="R27" s="7">
        <f t="shared" si="2"/>
        <v>1.0522405875704191</v>
      </c>
    </row>
    <row r="28" spans="1:18" x14ac:dyDescent="0.3">
      <c r="A28" s="2">
        <v>44811</v>
      </c>
      <c r="B28">
        <v>253.0425238095238</v>
      </c>
      <c r="C28">
        <v>270.66340000000002</v>
      </c>
      <c r="D28">
        <v>201.73699999999999</v>
      </c>
      <c r="E28" s="3">
        <v>512.52300000000002</v>
      </c>
      <c r="F28">
        <v>142.00799999999998</v>
      </c>
      <c r="G28" s="5"/>
      <c r="H28">
        <v>350</v>
      </c>
      <c r="I28">
        <v>-210</v>
      </c>
      <c r="J28">
        <v>-150</v>
      </c>
      <c r="K28">
        <v>32</v>
      </c>
      <c r="L28">
        <v>300</v>
      </c>
      <c r="M28" s="5"/>
      <c r="N28">
        <v>0</v>
      </c>
      <c r="O28" s="5"/>
      <c r="P28" s="7">
        <f t="shared" si="0"/>
        <v>60468.155333333321</v>
      </c>
      <c r="Q28" s="7">
        <f t="shared" si="1"/>
        <v>10977.89999999998</v>
      </c>
      <c r="R28" s="7">
        <f t="shared" si="2"/>
        <v>22.181942538102032</v>
      </c>
    </row>
    <row r="29" spans="1:18" x14ac:dyDescent="0.3">
      <c r="A29" s="2">
        <v>44812</v>
      </c>
      <c r="B29">
        <v>252.08390476190476</v>
      </c>
      <c r="C29">
        <v>270.4178</v>
      </c>
      <c r="D29">
        <v>203.684</v>
      </c>
      <c r="E29">
        <v>258.32100000000003</v>
      </c>
      <c r="F29">
        <v>145.29999999999998</v>
      </c>
      <c r="G29" s="5"/>
      <c r="H29">
        <v>350</v>
      </c>
      <c r="I29">
        <v>-210</v>
      </c>
      <c r="J29">
        <v>-150</v>
      </c>
      <c r="K29">
        <v>32</v>
      </c>
      <c r="L29">
        <v>300</v>
      </c>
      <c r="M29" s="5"/>
      <c r="N29">
        <v>0</v>
      </c>
      <c r="O29" s="5"/>
      <c r="P29" s="7">
        <f t="shared" si="0"/>
        <v>52745.300666666662</v>
      </c>
      <c r="Q29" s="7">
        <f t="shared" si="1"/>
        <v>-7722.8546666666516</v>
      </c>
      <c r="R29" s="7">
        <f t="shared" si="2"/>
        <v>-12.771771561566714</v>
      </c>
    </row>
    <row r="30" spans="1:18" x14ac:dyDescent="0.3">
      <c r="A30" s="2">
        <v>44813</v>
      </c>
      <c r="B30">
        <v>255.98128571428575</v>
      </c>
      <c r="C30">
        <v>270.57580000000002</v>
      </c>
      <c r="D30">
        <v>207.07499999999999</v>
      </c>
      <c r="E30">
        <v>261.08500000000004</v>
      </c>
      <c r="F30">
        <v>150.66300000000001</v>
      </c>
      <c r="G30" s="5"/>
      <c r="H30">
        <v>350</v>
      </c>
      <c r="I30">
        <v>-210</v>
      </c>
      <c r="J30">
        <v>-150</v>
      </c>
      <c r="K30">
        <v>32</v>
      </c>
      <c r="L30">
        <v>300</v>
      </c>
      <c r="M30" s="5"/>
      <c r="N30">
        <v>0</v>
      </c>
      <c r="O30" s="5"/>
      <c r="P30" s="7">
        <f t="shared" si="0"/>
        <v>55264.902000000009</v>
      </c>
      <c r="Q30" s="7">
        <f t="shared" si="1"/>
        <v>2519.6013333333467</v>
      </c>
      <c r="R30" s="7">
        <f t="shared" si="2"/>
        <v>4.7769209796649319</v>
      </c>
    </row>
    <row r="31" spans="1:18" x14ac:dyDescent="0.3">
      <c r="A31" s="2">
        <v>44816</v>
      </c>
      <c r="B31">
        <v>256.94028571428572</v>
      </c>
      <c r="C31">
        <v>271.78199999999998</v>
      </c>
      <c r="D31">
        <v>208.97</v>
      </c>
      <c r="E31">
        <v>261.62099999999998</v>
      </c>
      <c r="F31">
        <v>152.44300000000001</v>
      </c>
      <c r="G31" s="5"/>
      <c r="H31">
        <v>350</v>
      </c>
      <c r="I31">
        <v>-210</v>
      </c>
      <c r="J31">
        <v>-150</v>
      </c>
      <c r="K31">
        <v>32</v>
      </c>
      <c r="L31">
        <v>300</v>
      </c>
      <c r="M31" s="5"/>
      <c r="N31">
        <v>0</v>
      </c>
      <c r="O31" s="5"/>
      <c r="P31" s="7">
        <f t="shared" si="0"/>
        <v>55614.152000000016</v>
      </c>
      <c r="Q31" s="7">
        <f t="shared" si="1"/>
        <v>349.25000000000728</v>
      </c>
      <c r="R31" s="7">
        <f t="shared" si="2"/>
        <v>0.63195624593708177</v>
      </c>
    </row>
    <row r="32" spans="1:18" x14ac:dyDescent="0.3">
      <c r="A32" s="2">
        <v>44817</v>
      </c>
      <c r="B32">
        <v>243.887</v>
      </c>
      <c r="C32">
        <v>262.6388</v>
      </c>
      <c r="D32">
        <v>213.02199999999999</v>
      </c>
      <c r="E32">
        <v>249.71700000000001</v>
      </c>
      <c r="F32">
        <v>146.101</v>
      </c>
      <c r="G32" s="5"/>
      <c r="H32">
        <v>350</v>
      </c>
      <c r="I32">
        <v>-210</v>
      </c>
      <c r="J32">
        <v>-150</v>
      </c>
      <c r="K32">
        <v>32</v>
      </c>
      <c r="L32">
        <v>300</v>
      </c>
      <c r="M32" s="5"/>
      <c r="N32">
        <v>0</v>
      </c>
      <c r="O32" s="5"/>
      <c r="P32" s="7">
        <f t="shared" si="0"/>
        <v>50074.245999999999</v>
      </c>
      <c r="Q32" s="7">
        <f t="shared" si="1"/>
        <v>-5539.90600000001</v>
      </c>
      <c r="R32" s="7">
        <f t="shared" si="2"/>
        <v>-9.9613242327240883</v>
      </c>
    </row>
    <row r="33" spans="1:18" x14ac:dyDescent="0.3">
      <c r="A33" s="2">
        <v>44818</v>
      </c>
      <c r="B33">
        <v>242.10276190476191</v>
      </c>
      <c r="C33">
        <v>264.0376</v>
      </c>
      <c r="D33">
        <v>216.79500000000002</v>
      </c>
      <c r="E33">
        <v>248.72</v>
      </c>
      <c r="F33">
        <v>151.48000000000002</v>
      </c>
      <c r="G33" s="5"/>
      <c r="H33">
        <v>350</v>
      </c>
      <c r="I33">
        <v>-210</v>
      </c>
      <c r="J33">
        <v>-150</v>
      </c>
      <c r="K33">
        <v>32</v>
      </c>
      <c r="L33">
        <v>300</v>
      </c>
      <c r="M33" s="5"/>
      <c r="N33">
        <v>0</v>
      </c>
      <c r="O33" s="5"/>
      <c r="P33" s="7">
        <f t="shared" si="0"/>
        <v>50171.86066666666</v>
      </c>
      <c r="Q33" s="7">
        <f t="shared" si="1"/>
        <v>97.614666666660924</v>
      </c>
      <c r="R33" s="7">
        <f t="shared" si="2"/>
        <v>0.19493986323161197</v>
      </c>
    </row>
    <row r="34" spans="1:18" x14ac:dyDescent="0.3">
      <c r="A34" s="2">
        <v>44819</v>
      </c>
      <c r="B34">
        <v>240.24790476190475</v>
      </c>
      <c r="C34">
        <v>258.78120000000001</v>
      </c>
      <c r="D34">
        <v>217.31800000000001</v>
      </c>
      <c r="E34">
        <v>247.702</v>
      </c>
      <c r="F34">
        <v>152.70599999999999</v>
      </c>
      <c r="G34" s="5"/>
      <c r="H34">
        <v>350</v>
      </c>
      <c r="I34">
        <v>-210</v>
      </c>
      <c r="J34">
        <v>-150</v>
      </c>
      <c r="K34">
        <v>32</v>
      </c>
      <c r="L34">
        <v>300</v>
      </c>
      <c r="M34" s="5"/>
      <c r="N34">
        <v>0</v>
      </c>
      <c r="O34" s="5"/>
      <c r="P34" s="7">
        <f t="shared" ref="P34:P65" si="3">B34*H34+C34*I34+D34*J34+E34*K34+F34*L34</f>
        <v>50883.278666666651</v>
      </c>
      <c r="Q34" s="7">
        <f t="shared" si="1"/>
        <v>711.41799999999057</v>
      </c>
      <c r="R34" s="7">
        <f t="shared" si="2"/>
        <v>1.4179621615521321</v>
      </c>
    </row>
    <row r="35" spans="1:18" x14ac:dyDescent="0.3">
      <c r="A35" s="2">
        <v>44820</v>
      </c>
      <c r="B35">
        <v>240.24966666666666</v>
      </c>
      <c r="C35">
        <v>259.01459999999997</v>
      </c>
      <c r="D35">
        <v>215.36499999999998</v>
      </c>
      <c r="E35">
        <v>246.98699999999999</v>
      </c>
      <c r="F35">
        <v>152.29600000000002</v>
      </c>
      <c r="G35" s="5"/>
      <c r="H35">
        <v>350</v>
      </c>
      <c r="I35">
        <v>-210</v>
      </c>
      <c r="J35">
        <v>-150</v>
      </c>
      <c r="K35">
        <v>32</v>
      </c>
      <c r="L35">
        <v>300</v>
      </c>
      <c r="M35" s="5"/>
      <c r="N35">
        <v>0</v>
      </c>
      <c r="O35" s="5"/>
      <c r="P35" s="7">
        <f t="shared" si="3"/>
        <v>50981.951333333345</v>
      </c>
      <c r="Q35" s="7">
        <f t="shared" si="1"/>
        <v>98.672666666694568</v>
      </c>
      <c r="R35" s="7">
        <f t="shared" si="2"/>
        <v>0.1939196318560629</v>
      </c>
    </row>
    <row r="36" spans="1:18" x14ac:dyDescent="0.3">
      <c r="A36" s="2">
        <v>44823</v>
      </c>
      <c r="B36">
        <v>242.0738095238095</v>
      </c>
      <c r="C36">
        <v>261.0086</v>
      </c>
      <c r="D36">
        <v>215.10900000000001</v>
      </c>
      <c r="E36">
        <v>247.92599999999999</v>
      </c>
      <c r="F36">
        <v>155.25399999999999</v>
      </c>
      <c r="G36" s="5"/>
      <c r="H36">
        <v>350</v>
      </c>
      <c r="I36">
        <v>-210</v>
      </c>
      <c r="J36">
        <v>-150</v>
      </c>
      <c r="K36">
        <v>32</v>
      </c>
      <c r="L36">
        <v>300</v>
      </c>
      <c r="M36" s="5"/>
      <c r="N36">
        <v>0</v>
      </c>
      <c r="O36" s="5"/>
      <c r="P36" s="7">
        <f t="shared" si="3"/>
        <v>52157.509333333328</v>
      </c>
      <c r="Q36" s="7">
        <f t="shared" si="1"/>
        <v>1175.5579999999827</v>
      </c>
      <c r="R36" s="7">
        <f t="shared" si="2"/>
        <v>2.3058317095669341</v>
      </c>
    </row>
    <row r="37" spans="1:18" x14ac:dyDescent="0.3">
      <c r="A37" s="2">
        <v>44824</v>
      </c>
      <c r="B37">
        <v>237.94466666666665</v>
      </c>
      <c r="C37">
        <v>260.44299999999998</v>
      </c>
      <c r="D37">
        <v>212.602</v>
      </c>
      <c r="E37">
        <v>240.52800000000002</v>
      </c>
      <c r="F37">
        <v>154.524</v>
      </c>
      <c r="G37" s="5"/>
      <c r="H37">
        <v>350</v>
      </c>
      <c r="I37">
        <v>-210</v>
      </c>
      <c r="J37">
        <v>-150</v>
      </c>
      <c r="K37">
        <v>32</v>
      </c>
      <c r="L37">
        <v>300</v>
      </c>
      <c r="M37" s="5"/>
      <c r="N37">
        <v>0</v>
      </c>
      <c r="O37" s="5"/>
      <c r="P37" s="7">
        <f t="shared" si="3"/>
        <v>50751.399333333335</v>
      </c>
      <c r="Q37" s="7">
        <f t="shared" si="1"/>
        <v>-1406.1100000000006</v>
      </c>
      <c r="R37" s="7">
        <f t="shared" si="2"/>
        <v>-2.6958917670199605</v>
      </c>
    </row>
    <row r="38" spans="1:18" x14ac:dyDescent="0.3">
      <c r="A38" s="2">
        <v>44825</v>
      </c>
      <c r="B38">
        <v>235.6362380952381</v>
      </c>
      <c r="C38">
        <v>258.41500000000002</v>
      </c>
      <c r="D38">
        <v>211.63200000000001</v>
      </c>
      <c r="E38">
        <v>238.78000000000003</v>
      </c>
      <c r="F38">
        <v>150.96700000000001</v>
      </c>
      <c r="G38" s="5"/>
      <c r="H38">
        <v>350</v>
      </c>
      <c r="I38">
        <v>-210</v>
      </c>
      <c r="J38">
        <v>-150</v>
      </c>
      <c r="K38">
        <v>32</v>
      </c>
      <c r="L38">
        <v>300</v>
      </c>
      <c r="M38" s="5"/>
      <c r="N38">
        <v>0</v>
      </c>
      <c r="O38" s="5"/>
      <c r="P38" s="7">
        <f t="shared" si="3"/>
        <v>49391.793333333342</v>
      </c>
      <c r="Q38" s="7">
        <f t="shared" si="1"/>
        <v>-1359.6059999999925</v>
      </c>
      <c r="R38" s="7">
        <f t="shared" si="2"/>
        <v>-2.6789527340323169</v>
      </c>
    </row>
    <row r="39" spans="1:18" x14ac:dyDescent="0.3">
      <c r="A39" s="2">
        <v>44826</v>
      </c>
      <c r="B39">
        <v>232.7777142857143</v>
      </c>
      <c r="C39">
        <v>257.50639999999999</v>
      </c>
      <c r="D39">
        <v>215.33199999999999</v>
      </c>
      <c r="E39">
        <v>230.05099999999999</v>
      </c>
      <c r="F39">
        <v>144.36699999999999</v>
      </c>
      <c r="G39" s="5"/>
      <c r="H39">
        <v>350</v>
      </c>
      <c r="I39">
        <v>-210</v>
      </c>
      <c r="J39">
        <v>-150</v>
      </c>
      <c r="K39">
        <v>32</v>
      </c>
      <c r="L39">
        <v>300</v>
      </c>
      <c r="M39" s="5"/>
      <c r="N39">
        <v>0</v>
      </c>
      <c r="O39" s="5"/>
      <c r="P39" s="7">
        <f t="shared" si="3"/>
        <v>45767.788</v>
      </c>
      <c r="Q39" s="7">
        <f t="shared" si="1"/>
        <v>-3624.0053333333344</v>
      </c>
      <c r="R39" s="7">
        <f t="shared" si="2"/>
        <v>-7.3372621011668748</v>
      </c>
    </row>
    <row r="40" spans="1:18" x14ac:dyDescent="0.3">
      <c r="A40" s="2">
        <v>44827</v>
      </c>
      <c r="B40">
        <v>222.90423809523807</v>
      </c>
      <c r="C40">
        <v>254.83299999999997</v>
      </c>
      <c r="D40">
        <v>207.68899999999999</v>
      </c>
      <c r="E40">
        <v>229.24600000000001</v>
      </c>
      <c r="F40">
        <v>137.965</v>
      </c>
      <c r="G40" s="5"/>
      <c r="H40">
        <v>350</v>
      </c>
      <c r="I40">
        <v>-210</v>
      </c>
      <c r="J40">
        <v>-150</v>
      </c>
      <c r="K40">
        <v>32</v>
      </c>
      <c r="L40">
        <v>300</v>
      </c>
      <c r="M40" s="5"/>
      <c r="N40">
        <v>0</v>
      </c>
      <c r="O40" s="5"/>
      <c r="P40" s="7">
        <f t="shared" si="3"/>
        <v>42073.575333333334</v>
      </c>
      <c r="Q40" s="7">
        <f t="shared" si="1"/>
        <v>-3694.2126666666663</v>
      </c>
      <c r="R40" s="7">
        <f t="shared" si="2"/>
        <v>-8.0716434595149469</v>
      </c>
    </row>
    <row r="41" spans="1:18" x14ac:dyDescent="0.3">
      <c r="A41" s="2">
        <v>44830</v>
      </c>
      <c r="B41">
        <v>228.72428571428571</v>
      </c>
      <c r="C41">
        <v>251.35779999999997</v>
      </c>
      <c r="D41">
        <v>208.184</v>
      </c>
      <c r="E41">
        <v>223.25299999999999</v>
      </c>
      <c r="F41">
        <v>138.12899999999999</v>
      </c>
      <c r="G41" s="5"/>
      <c r="H41">
        <v>350</v>
      </c>
      <c r="I41">
        <v>-210</v>
      </c>
      <c r="J41">
        <v>-150</v>
      </c>
      <c r="K41">
        <v>32</v>
      </c>
      <c r="L41">
        <v>300</v>
      </c>
      <c r="M41" s="5"/>
      <c r="N41">
        <v>0</v>
      </c>
      <c r="O41" s="5"/>
      <c r="P41" s="7">
        <f t="shared" si="3"/>
        <v>44623.558000000005</v>
      </c>
      <c r="Q41" s="7">
        <f t="shared" si="1"/>
        <v>2549.9826666666777</v>
      </c>
      <c r="R41" s="7">
        <f t="shared" si="2"/>
        <v>6.0607700830369433</v>
      </c>
    </row>
    <row r="42" spans="1:18" x14ac:dyDescent="0.3">
      <c r="A42" s="2">
        <v>44831</v>
      </c>
      <c r="B42">
        <v>227.77490476190476</v>
      </c>
      <c r="C42">
        <v>244.8082</v>
      </c>
      <c r="D42">
        <v>207.947</v>
      </c>
      <c r="E42">
        <v>222.71899999999999</v>
      </c>
      <c r="F42">
        <v>141.50800000000001</v>
      </c>
      <c r="G42" s="5"/>
      <c r="H42">
        <v>350</v>
      </c>
      <c r="I42">
        <v>-210</v>
      </c>
      <c r="J42">
        <v>-150</v>
      </c>
      <c r="K42">
        <v>32</v>
      </c>
      <c r="L42">
        <v>300</v>
      </c>
      <c r="M42" s="5"/>
      <c r="N42">
        <v>0</v>
      </c>
      <c r="O42" s="5"/>
      <c r="P42" s="7">
        <f t="shared" si="3"/>
        <v>46698.852666666673</v>
      </c>
      <c r="Q42" s="7">
        <f t="shared" si="1"/>
        <v>2075.2946666666685</v>
      </c>
      <c r="R42" s="7">
        <f t="shared" si="2"/>
        <v>4.6506705419291494</v>
      </c>
    </row>
    <row r="43" spans="1:18" x14ac:dyDescent="0.3">
      <c r="A43" s="2">
        <v>44832</v>
      </c>
      <c r="B43">
        <v>232.72104761904762</v>
      </c>
      <c r="C43">
        <v>248.0102</v>
      </c>
      <c r="D43">
        <v>210.03700000000001</v>
      </c>
      <c r="E43">
        <v>234.268</v>
      </c>
      <c r="F43">
        <v>144.34200000000001</v>
      </c>
      <c r="G43" s="5"/>
      <c r="H43">
        <v>350</v>
      </c>
      <c r="I43">
        <v>-210</v>
      </c>
      <c r="J43">
        <v>-150</v>
      </c>
      <c r="K43">
        <v>32</v>
      </c>
      <c r="L43">
        <v>300</v>
      </c>
      <c r="M43" s="5"/>
      <c r="N43">
        <v>0</v>
      </c>
      <c r="O43" s="5"/>
      <c r="P43" s="7">
        <f t="shared" si="3"/>
        <v>48663.850666666673</v>
      </c>
      <c r="Q43" s="7">
        <f t="shared" si="1"/>
        <v>1964.9979999999996</v>
      </c>
      <c r="R43" s="7">
        <f t="shared" si="2"/>
        <v>4.2078078749086743</v>
      </c>
    </row>
    <row r="44" spans="1:18" x14ac:dyDescent="0.3">
      <c r="A44" s="6">
        <v>44833</v>
      </c>
      <c r="B44">
        <v>228.3027142857143</v>
      </c>
      <c r="C44">
        <v>245.83680000000001</v>
      </c>
      <c r="D44" s="3">
        <v>21.487500000000001</v>
      </c>
      <c r="E44">
        <v>228.57300000000001</v>
      </c>
      <c r="F44">
        <v>134.40099999999998</v>
      </c>
      <c r="G44" s="5"/>
      <c r="H44">
        <v>350</v>
      </c>
      <c r="I44">
        <v>-210</v>
      </c>
      <c r="J44" s="3">
        <v>-1500</v>
      </c>
      <c r="K44">
        <v>32</v>
      </c>
      <c r="L44">
        <v>300</v>
      </c>
      <c r="M44" s="5"/>
      <c r="N44">
        <v>0</v>
      </c>
      <c r="O44" s="5"/>
      <c r="P44" s="7">
        <f t="shared" si="3"/>
        <v>43683.608000000007</v>
      </c>
      <c r="Q44" s="7">
        <f t="shared" si="1"/>
        <v>-4980.2426666666724</v>
      </c>
      <c r="R44" s="7">
        <f t="shared" si="2"/>
        <v>-10.233967510668025</v>
      </c>
    </row>
    <row r="45" spans="1:18" x14ac:dyDescent="0.3">
      <c r="A45" s="2">
        <v>44834</v>
      </c>
      <c r="B45">
        <v>225.55547619047616</v>
      </c>
      <c r="C45">
        <v>243.47380000000001</v>
      </c>
      <c r="D45">
        <v>20.923000000000002</v>
      </c>
      <c r="E45">
        <v>222.76899999999998</v>
      </c>
      <c r="F45">
        <v>132.83600000000001</v>
      </c>
      <c r="G45" s="5"/>
      <c r="H45">
        <v>350</v>
      </c>
      <c r="I45">
        <v>-210</v>
      </c>
      <c r="J45">
        <v>-1500</v>
      </c>
      <c r="K45">
        <v>32</v>
      </c>
      <c r="L45">
        <v>300</v>
      </c>
      <c r="M45" s="5"/>
      <c r="N45">
        <v>0</v>
      </c>
      <c r="O45" s="5"/>
      <c r="P45" s="7">
        <f t="shared" si="3"/>
        <v>43409.826666666653</v>
      </c>
      <c r="Q45" s="7">
        <f t="shared" si="1"/>
        <v>-273.78133333334699</v>
      </c>
      <c r="R45" s="7">
        <f t="shared" si="2"/>
        <v>-0.62673699785362724</v>
      </c>
    </row>
    <row r="46" spans="1:18" x14ac:dyDescent="0.3">
      <c r="A46" s="2">
        <v>44837</v>
      </c>
      <c r="B46">
        <v>228.25247619047619</v>
      </c>
      <c r="C46">
        <v>246.32299999999998</v>
      </c>
      <c r="D46">
        <v>21.761999999999997</v>
      </c>
      <c r="E46">
        <v>228.42400000000001</v>
      </c>
      <c r="F46">
        <v>121.62400000000001</v>
      </c>
      <c r="G46" s="5"/>
      <c r="H46">
        <v>350</v>
      </c>
      <c r="I46">
        <v>-210</v>
      </c>
      <c r="J46">
        <v>-1500</v>
      </c>
      <c r="K46">
        <v>32</v>
      </c>
      <c r="L46">
        <v>300</v>
      </c>
      <c r="M46" s="5"/>
      <c r="N46">
        <v>0</v>
      </c>
      <c r="O46" s="5"/>
      <c r="P46" s="7">
        <f t="shared" si="3"/>
        <v>39314.304666666685</v>
      </c>
      <c r="Q46" s="7">
        <f t="shared" si="1"/>
        <v>-4095.5219999999754</v>
      </c>
      <c r="R46" s="7">
        <f t="shared" si="2"/>
        <v>-9.4345504566246667</v>
      </c>
    </row>
    <row r="47" spans="1:18" x14ac:dyDescent="0.3">
      <c r="A47" s="2">
        <v>44838</v>
      </c>
      <c r="B47">
        <v>232.22747619047618</v>
      </c>
      <c r="C47">
        <v>247.09819999999999</v>
      </c>
      <c r="D47">
        <v>21.789000000000001</v>
      </c>
      <c r="E47">
        <v>235.46699999999998</v>
      </c>
      <c r="F47">
        <v>125.059</v>
      </c>
      <c r="G47" s="5"/>
      <c r="H47">
        <v>350</v>
      </c>
      <c r="I47">
        <v>-210</v>
      </c>
      <c r="J47">
        <v>-1500</v>
      </c>
      <c r="K47">
        <v>32</v>
      </c>
      <c r="L47">
        <v>300</v>
      </c>
      <c r="M47" s="5"/>
      <c r="N47">
        <v>0</v>
      </c>
      <c r="O47" s="5"/>
      <c r="P47" s="7">
        <f t="shared" si="3"/>
        <v>41758.138666666666</v>
      </c>
      <c r="Q47" s="7">
        <f t="shared" si="1"/>
        <v>2443.8339999999807</v>
      </c>
      <c r="R47" s="7">
        <f t="shared" si="2"/>
        <v>6.2161445324302722</v>
      </c>
    </row>
    <row r="48" spans="1:18" x14ac:dyDescent="0.3">
      <c r="A48" s="2">
        <v>44839</v>
      </c>
      <c r="B48">
        <v>229.53380952380951</v>
      </c>
      <c r="C48">
        <v>244.2886</v>
      </c>
      <c r="D48">
        <v>21.375</v>
      </c>
      <c r="E48">
        <v>235.27700000000002</v>
      </c>
      <c r="F48">
        <v>120.896</v>
      </c>
      <c r="G48" s="5"/>
      <c r="H48">
        <v>350</v>
      </c>
      <c r="I48">
        <v>-210</v>
      </c>
      <c r="J48">
        <v>-1500</v>
      </c>
      <c r="K48">
        <v>32</v>
      </c>
      <c r="L48">
        <v>300</v>
      </c>
      <c r="M48" s="5"/>
      <c r="N48">
        <v>0</v>
      </c>
      <c r="O48" s="5"/>
      <c r="P48" s="7">
        <f t="shared" si="3"/>
        <v>40771.391333333333</v>
      </c>
      <c r="Q48" s="7">
        <f t="shared" si="1"/>
        <v>-986.74733333333279</v>
      </c>
      <c r="R48" s="7">
        <f t="shared" si="2"/>
        <v>-2.3630060267054036</v>
      </c>
    </row>
    <row r="49" spans="1:18" x14ac:dyDescent="0.3">
      <c r="A49" s="2">
        <v>44840</v>
      </c>
      <c r="B49">
        <v>230.00814285714284</v>
      </c>
      <c r="C49">
        <v>239.6712</v>
      </c>
      <c r="D49">
        <v>21.087499999999999</v>
      </c>
      <c r="E49">
        <v>233.88</v>
      </c>
      <c r="F49">
        <v>119.318</v>
      </c>
      <c r="G49" s="5"/>
      <c r="H49">
        <v>350</v>
      </c>
      <c r="I49">
        <v>-210</v>
      </c>
      <c r="J49">
        <v>-1500</v>
      </c>
      <c r="K49">
        <v>32</v>
      </c>
      <c r="L49">
        <v>300</v>
      </c>
      <c r="M49" s="5"/>
      <c r="N49">
        <v>0</v>
      </c>
      <c r="O49" s="5"/>
      <c r="P49" s="7">
        <f t="shared" si="3"/>
        <v>41820.207999999999</v>
      </c>
      <c r="Q49" s="7">
        <f t="shared" si="1"/>
        <v>1048.8166666666657</v>
      </c>
      <c r="R49" s="7">
        <f t="shared" si="2"/>
        <v>2.5724328563916043</v>
      </c>
    </row>
    <row r="50" spans="1:18" x14ac:dyDescent="0.3">
      <c r="A50" s="2">
        <v>44841</v>
      </c>
      <c r="B50">
        <v>223.21057142857143</v>
      </c>
      <c r="C50">
        <v>236.9434</v>
      </c>
      <c r="D50">
        <v>20.39</v>
      </c>
      <c r="E50">
        <v>229.01899999999998</v>
      </c>
      <c r="F50">
        <v>112.297</v>
      </c>
      <c r="G50" s="5"/>
      <c r="H50">
        <v>350</v>
      </c>
      <c r="I50">
        <v>-210</v>
      </c>
      <c r="J50">
        <v>-1500</v>
      </c>
      <c r="K50">
        <v>32</v>
      </c>
      <c r="L50">
        <v>300</v>
      </c>
      <c r="M50" s="5"/>
      <c r="N50">
        <v>0</v>
      </c>
      <c r="O50" s="5"/>
      <c r="P50" s="7">
        <f t="shared" si="3"/>
        <v>38798.293999999994</v>
      </c>
      <c r="Q50" s="7">
        <f t="shared" si="1"/>
        <v>-3021.9140000000043</v>
      </c>
      <c r="R50" s="7">
        <f t="shared" si="2"/>
        <v>-7.2259659731965087</v>
      </c>
    </row>
    <row r="51" spans="1:18" x14ac:dyDescent="0.3">
      <c r="A51" s="2">
        <v>44844</v>
      </c>
      <c r="B51">
        <v>222.07338095238094</v>
      </c>
      <c r="C51">
        <v>236.52459999999999</v>
      </c>
      <c r="D51">
        <v>21.006</v>
      </c>
      <c r="E51">
        <v>230.37399999999997</v>
      </c>
      <c r="F51">
        <v>112.21600000000001</v>
      </c>
      <c r="G51" s="5"/>
      <c r="H51">
        <v>350</v>
      </c>
      <c r="I51">
        <v>-210</v>
      </c>
      <c r="J51">
        <v>-1500</v>
      </c>
      <c r="K51">
        <v>32</v>
      </c>
      <c r="L51">
        <v>300</v>
      </c>
      <c r="M51" s="5"/>
      <c r="N51">
        <v>0</v>
      </c>
      <c r="O51" s="5"/>
      <c r="P51" s="7">
        <f t="shared" si="3"/>
        <v>37583.285333333341</v>
      </c>
      <c r="Q51" s="7">
        <f t="shared" si="1"/>
        <v>-1215.0086666666539</v>
      </c>
      <c r="R51" s="7">
        <f t="shared" si="2"/>
        <v>-3.131603329431583</v>
      </c>
    </row>
    <row r="52" spans="1:18" x14ac:dyDescent="0.3">
      <c r="A52" s="2">
        <v>44845</v>
      </c>
      <c r="B52">
        <v>225.38242857142853</v>
      </c>
      <c r="C52">
        <v>236.6712</v>
      </c>
      <c r="D52">
        <v>21.1905</v>
      </c>
      <c r="E52">
        <v>232.01400000000001</v>
      </c>
      <c r="F52" s="3">
        <f>F51</f>
        <v>112.21600000000001</v>
      </c>
      <c r="G52" s="5"/>
      <c r="H52">
        <v>350</v>
      </c>
      <c r="I52">
        <v>-210</v>
      </c>
      <c r="J52">
        <v>-1500</v>
      </c>
      <c r="K52">
        <v>32</v>
      </c>
      <c r="L52">
        <v>300</v>
      </c>
      <c r="M52" s="5"/>
      <c r="N52">
        <v>0</v>
      </c>
      <c r="O52" s="5"/>
      <c r="P52" s="7">
        <f t="shared" si="3"/>
        <v>38486.395999999993</v>
      </c>
      <c r="Q52" s="7">
        <f t="shared" si="1"/>
        <v>903.11066666666011</v>
      </c>
      <c r="R52" s="7">
        <f t="shared" si="2"/>
        <v>2.4029582796096696</v>
      </c>
    </row>
    <row r="53" spans="1:18" x14ac:dyDescent="0.3">
      <c r="A53" s="2">
        <v>44846</v>
      </c>
      <c r="B53">
        <v>222.60071428571425</v>
      </c>
      <c r="C53">
        <v>239.63660000000002</v>
      </c>
      <c r="D53">
        <v>21.038</v>
      </c>
      <c r="E53">
        <v>231.45700000000002</v>
      </c>
      <c r="F53">
        <v>109.04</v>
      </c>
      <c r="G53" s="5"/>
      <c r="H53">
        <v>350</v>
      </c>
      <c r="I53">
        <v>-210</v>
      </c>
      <c r="J53">
        <v>-1500</v>
      </c>
      <c r="K53">
        <v>32</v>
      </c>
      <c r="L53">
        <v>300</v>
      </c>
      <c r="M53" s="5"/>
      <c r="N53">
        <v>0</v>
      </c>
      <c r="O53" s="5"/>
      <c r="P53" s="7">
        <f t="shared" si="3"/>
        <v>36148.187999999987</v>
      </c>
      <c r="Q53" s="7">
        <f t="shared" si="1"/>
        <v>-2338.2080000000096</v>
      </c>
      <c r="R53" s="7">
        <f t="shared" si="2"/>
        <v>-6.0754142840499012</v>
      </c>
    </row>
    <row r="54" spans="1:18" x14ac:dyDescent="0.3">
      <c r="A54" s="2">
        <v>44847</v>
      </c>
      <c r="B54">
        <v>223.59738095238095</v>
      </c>
      <c r="C54">
        <v>242.74279999999999</v>
      </c>
      <c r="D54">
        <v>21.032</v>
      </c>
      <c r="E54">
        <v>231.65600000000001</v>
      </c>
      <c r="F54">
        <v>111.218</v>
      </c>
      <c r="G54" s="5"/>
      <c r="H54">
        <v>350</v>
      </c>
      <c r="I54">
        <v>-210</v>
      </c>
      <c r="J54">
        <v>-1500</v>
      </c>
      <c r="K54">
        <v>32</v>
      </c>
      <c r="L54">
        <v>300</v>
      </c>
      <c r="M54" s="5"/>
      <c r="N54">
        <v>0</v>
      </c>
      <c r="O54" s="5"/>
      <c r="P54" s="7">
        <f t="shared" si="3"/>
        <v>36513.487333333331</v>
      </c>
      <c r="Q54" s="7">
        <f t="shared" si="1"/>
        <v>365.29933333334702</v>
      </c>
      <c r="R54" s="7">
        <f t="shared" si="2"/>
        <v>1.0105605662262993</v>
      </c>
    </row>
    <row r="55" spans="1:18" x14ac:dyDescent="0.3">
      <c r="A55" s="2">
        <v>44848</v>
      </c>
      <c r="B55">
        <v>217.20299999999997</v>
      </c>
      <c r="C55">
        <v>239.38419999999996</v>
      </c>
      <c r="D55">
        <v>20.715</v>
      </c>
      <c r="E55">
        <v>218.72200000000001</v>
      </c>
      <c r="F55">
        <v>103.25</v>
      </c>
      <c r="G55" s="5"/>
      <c r="H55">
        <v>350</v>
      </c>
      <c r="I55">
        <v>-210</v>
      </c>
      <c r="J55">
        <v>-1500</v>
      </c>
      <c r="K55">
        <v>32</v>
      </c>
      <c r="L55">
        <v>300</v>
      </c>
      <c r="M55" s="5"/>
      <c r="N55">
        <v>0</v>
      </c>
      <c r="O55" s="5"/>
      <c r="P55" s="7">
        <f t="shared" si="3"/>
        <v>32651.971999999994</v>
      </c>
      <c r="Q55" s="7">
        <f t="shared" si="1"/>
        <v>-3861.5153333333365</v>
      </c>
      <c r="R55" s="7">
        <f t="shared" si="2"/>
        <v>-10.575586215803993</v>
      </c>
    </row>
    <row r="56" spans="1:18" x14ac:dyDescent="0.3">
      <c r="A56" s="2">
        <v>44851</v>
      </c>
      <c r="B56">
        <v>221.54833333333332</v>
      </c>
      <c r="C56">
        <v>241.71059999999997</v>
      </c>
      <c r="D56">
        <v>22.077000000000002</v>
      </c>
      <c r="E56">
        <v>224.48599999999999</v>
      </c>
      <c r="F56">
        <v>109.789</v>
      </c>
      <c r="G56" s="5"/>
      <c r="H56">
        <v>350</v>
      </c>
      <c r="I56">
        <v>-210</v>
      </c>
      <c r="J56">
        <v>-1500</v>
      </c>
      <c r="K56">
        <v>32</v>
      </c>
      <c r="L56">
        <v>300</v>
      </c>
      <c r="M56" s="5"/>
      <c r="N56">
        <v>0</v>
      </c>
      <c r="O56" s="5"/>
      <c r="P56" s="7">
        <f t="shared" si="3"/>
        <v>33787.442666666655</v>
      </c>
      <c r="Q56" s="7">
        <f t="shared" si="1"/>
        <v>1135.4706666666643</v>
      </c>
      <c r="R56" s="7">
        <f t="shared" si="2"/>
        <v>3.4774949172033609</v>
      </c>
    </row>
    <row r="57" spans="1:18" x14ac:dyDescent="0.3">
      <c r="A57" s="2">
        <v>44852</v>
      </c>
      <c r="B57">
        <v>226.05766666666665</v>
      </c>
      <c r="C57">
        <v>245.53359999999998</v>
      </c>
      <c r="D57">
        <v>21.128999999999998</v>
      </c>
      <c r="E57">
        <v>236.72499999999997</v>
      </c>
      <c r="F57">
        <v>110.608</v>
      </c>
      <c r="G57" s="5"/>
      <c r="H57">
        <v>350</v>
      </c>
      <c r="I57">
        <v>-210</v>
      </c>
      <c r="J57">
        <v>-1500</v>
      </c>
      <c r="K57">
        <v>32</v>
      </c>
      <c r="L57">
        <v>300</v>
      </c>
      <c r="M57" s="5"/>
      <c r="N57">
        <v>0</v>
      </c>
      <c r="O57" s="5"/>
      <c r="P57" s="7">
        <f t="shared" si="3"/>
        <v>36622.227333333329</v>
      </c>
      <c r="Q57" s="7">
        <f t="shared" si="1"/>
        <v>2834.7846666666665</v>
      </c>
      <c r="R57" s="7">
        <f t="shared" si="2"/>
        <v>8.3900539458801724</v>
      </c>
    </row>
    <row r="58" spans="1:18" x14ac:dyDescent="0.3">
      <c r="A58" s="2">
        <v>44853</v>
      </c>
      <c r="B58">
        <v>224.69047619047618</v>
      </c>
      <c r="C58">
        <v>243.22739999999999</v>
      </c>
      <c r="D58">
        <v>20.2925</v>
      </c>
      <c r="E58">
        <v>233.46299999999997</v>
      </c>
      <c r="F58">
        <v>111.3</v>
      </c>
      <c r="G58" s="5"/>
      <c r="H58">
        <v>350</v>
      </c>
      <c r="I58">
        <v>-210</v>
      </c>
      <c r="J58">
        <v>-1500</v>
      </c>
      <c r="K58">
        <v>32</v>
      </c>
      <c r="L58">
        <v>300</v>
      </c>
      <c r="M58" s="5"/>
      <c r="N58">
        <v>0</v>
      </c>
      <c r="O58" s="5"/>
      <c r="P58" s="7">
        <f t="shared" si="3"/>
        <v>37985.978666666655</v>
      </c>
      <c r="Q58" s="7">
        <f t="shared" si="1"/>
        <v>1363.7513333333263</v>
      </c>
      <c r="R58" s="7">
        <f t="shared" si="2"/>
        <v>3.7238350385424215</v>
      </c>
    </row>
    <row r="59" spans="1:18" x14ac:dyDescent="0.3">
      <c r="A59" s="2">
        <v>44854</v>
      </c>
      <c r="B59">
        <v>221.88861904761904</v>
      </c>
      <c r="C59">
        <v>239.82319999999999</v>
      </c>
      <c r="D59">
        <v>20.901</v>
      </c>
      <c r="E59">
        <v>232.37800000000001</v>
      </c>
      <c r="F59">
        <v>104.015</v>
      </c>
      <c r="G59" s="5"/>
      <c r="H59">
        <v>350</v>
      </c>
      <c r="I59">
        <v>-210</v>
      </c>
      <c r="J59">
        <v>-1500</v>
      </c>
      <c r="K59">
        <v>32</v>
      </c>
      <c r="L59">
        <v>300</v>
      </c>
      <c r="M59" s="5"/>
      <c r="N59">
        <v>0</v>
      </c>
      <c r="O59" s="5"/>
      <c r="P59" s="7">
        <f t="shared" si="3"/>
        <v>34587.240666666665</v>
      </c>
      <c r="Q59" s="7">
        <f t="shared" si="1"/>
        <v>-3398.7379999999866</v>
      </c>
      <c r="R59" s="7">
        <f t="shared" si="2"/>
        <v>-8.9473487831509715</v>
      </c>
    </row>
    <row r="60" spans="1:18" x14ac:dyDescent="0.3">
      <c r="A60" s="2">
        <v>44855</v>
      </c>
      <c r="B60">
        <v>227.95476190476191</v>
      </c>
      <c r="C60">
        <v>243.0814</v>
      </c>
      <c r="D60">
        <v>20.9465</v>
      </c>
      <c r="E60">
        <v>238.90700000000001</v>
      </c>
      <c r="F60">
        <v>107.86199999999999</v>
      </c>
      <c r="G60" s="5"/>
      <c r="H60">
        <v>350</v>
      </c>
      <c r="I60">
        <v>-210</v>
      </c>
      <c r="J60">
        <v>-1500</v>
      </c>
      <c r="K60">
        <v>32</v>
      </c>
      <c r="L60">
        <v>300</v>
      </c>
      <c r="M60" s="5"/>
      <c r="N60">
        <v>0</v>
      </c>
      <c r="O60" s="5"/>
      <c r="P60" s="7">
        <f t="shared" si="3"/>
        <v>37320.94666666667</v>
      </c>
      <c r="Q60" s="7">
        <f t="shared" si="1"/>
        <v>2733.7060000000056</v>
      </c>
      <c r="R60" s="7">
        <f t="shared" si="2"/>
        <v>7.9037990522169794</v>
      </c>
    </row>
    <row r="61" spans="1:18" x14ac:dyDescent="0.3">
      <c r="A61" s="2">
        <v>44858</v>
      </c>
      <c r="B61">
        <v>237.01738095238096</v>
      </c>
      <c r="C61">
        <v>249.9128</v>
      </c>
      <c r="D61">
        <v>20.763999999999999</v>
      </c>
      <c r="E61">
        <v>243.578</v>
      </c>
      <c r="F61">
        <v>105.836</v>
      </c>
      <c r="G61" s="5"/>
      <c r="H61">
        <v>350</v>
      </c>
      <c r="I61">
        <v>-210</v>
      </c>
      <c r="J61">
        <v>-1500</v>
      </c>
      <c r="K61">
        <v>32</v>
      </c>
      <c r="L61">
        <v>300</v>
      </c>
      <c r="M61" s="5"/>
      <c r="N61">
        <v>0</v>
      </c>
      <c r="O61" s="5"/>
      <c r="P61" s="7">
        <f t="shared" si="3"/>
        <v>38873.691333333343</v>
      </c>
      <c r="Q61" s="7">
        <f t="shared" si="1"/>
        <v>1552.7446666666656</v>
      </c>
      <c r="R61" s="7">
        <f t="shared" si="2"/>
        <v>4.1605179004033808</v>
      </c>
    </row>
    <row r="62" spans="1:18" x14ac:dyDescent="0.3">
      <c r="A62" s="2">
        <v>44859</v>
      </c>
      <c r="B62">
        <v>237.82561904761903</v>
      </c>
      <c r="C62">
        <v>256.61500000000001</v>
      </c>
      <c r="D62">
        <v>20.504100000000001</v>
      </c>
      <c r="E62">
        <v>249.59300000000002</v>
      </c>
      <c r="F62">
        <v>112.1035</v>
      </c>
      <c r="G62" s="5"/>
      <c r="H62">
        <v>350</v>
      </c>
      <c r="I62">
        <v>-210</v>
      </c>
      <c r="J62">
        <v>-1500</v>
      </c>
      <c r="K62">
        <v>32</v>
      </c>
      <c r="L62">
        <v>300</v>
      </c>
      <c r="M62" s="5"/>
      <c r="N62">
        <v>0</v>
      </c>
      <c r="O62" s="5"/>
      <c r="P62" s="7">
        <f t="shared" si="3"/>
        <v>40211.692666666655</v>
      </c>
      <c r="Q62" s="7">
        <f t="shared" si="1"/>
        <v>1338.0013333333154</v>
      </c>
      <c r="R62" s="7">
        <f t="shared" si="2"/>
        <v>3.4419199397871649</v>
      </c>
    </row>
    <row r="63" spans="1:18" x14ac:dyDescent="0.3">
      <c r="A63" s="2">
        <v>44860</v>
      </c>
      <c r="B63">
        <v>237.96633333333332</v>
      </c>
      <c r="C63">
        <v>258.63159999999999</v>
      </c>
      <c r="D63">
        <v>20.894000000000002</v>
      </c>
      <c r="E63">
        <v>250.92200000000003</v>
      </c>
      <c r="F63">
        <v>113.09899999999999</v>
      </c>
      <c r="G63" s="5"/>
      <c r="H63">
        <v>350</v>
      </c>
      <c r="I63">
        <v>-210</v>
      </c>
      <c r="J63">
        <v>-1500</v>
      </c>
      <c r="K63">
        <v>32</v>
      </c>
      <c r="L63">
        <v>300</v>
      </c>
      <c r="M63" s="5"/>
      <c r="N63">
        <v>0</v>
      </c>
      <c r="O63" s="5"/>
      <c r="P63" s="7">
        <f t="shared" si="3"/>
        <v>39593.784666666659</v>
      </c>
      <c r="Q63" s="7">
        <f t="shared" si="1"/>
        <v>-617.90799999999581</v>
      </c>
      <c r="R63" s="7">
        <f t="shared" si="2"/>
        <v>-1.5366376270755906</v>
      </c>
    </row>
    <row r="64" spans="1:18" x14ac:dyDescent="0.3">
      <c r="A64" s="2">
        <v>44861</v>
      </c>
      <c r="B64">
        <v>236.71661904761905</v>
      </c>
      <c r="C64">
        <v>259.1832</v>
      </c>
      <c r="D64">
        <v>21.4665</v>
      </c>
      <c r="E64">
        <v>250.89700000000002</v>
      </c>
      <c r="F64">
        <v>113.17100000000001</v>
      </c>
      <c r="G64" s="5"/>
      <c r="H64">
        <v>350</v>
      </c>
      <c r="I64">
        <v>-210</v>
      </c>
      <c r="J64">
        <v>-1500</v>
      </c>
      <c r="K64">
        <v>32</v>
      </c>
      <c r="L64">
        <v>300</v>
      </c>
      <c r="M64" s="5"/>
      <c r="N64">
        <v>0</v>
      </c>
      <c r="O64" s="5"/>
      <c r="P64" s="7">
        <f t="shared" si="3"/>
        <v>38202.598666666665</v>
      </c>
      <c r="Q64" s="7">
        <f t="shared" si="1"/>
        <v>-1391.185999999987</v>
      </c>
      <c r="R64" s="7">
        <f t="shared" si="2"/>
        <v>-3.5136474366169979</v>
      </c>
    </row>
    <row r="65" spans="1:18" x14ac:dyDescent="0.3">
      <c r="A65" s="2">
        <v>44862</v>
      </c>
      <c r="B65">
        <v>243.91742857142856</v>
      </c>
      <c r="C65">
        <v>264.49239999999998</v>
      </c>
      <c r="D65">
        <v>20.651000000000003</v>
      </c>
      <c r="E65">
        <v>251.95400000000004</v>
      </c>
      <c r="F65">
        <v>114.956</v>
      </c>
      <c r="G65" s="5"/>
      <c r="H65">
        <v>350</v>
      </c>
      <c r="I65">
        <v>-210</v>
      </c>
      <c r="J65">
        <v>-1500</v>
      </c>
      <c r="K65">
        <v>32</v>
      </c>
      <c r="L65">
        <v>300</v>
      </c>
      <c r="M65" s="5"/>
      <c r="N65">
        <v>0</v>
      </c>
      <c r="O65" s="5"/>
      <c r="P65" s="7">
        <f t="shared" si="3"/>
        <v>41400.523999999998</v>
      </c>
      <c r="Q65" s="7">
        <f t="shared" si="1"/>
        <v>3197.9253333333327</v>
      </c>
      <c r="R65" s="7">
        <f t="shared" si="2"/>
        <v>8.3709628269965144</v>
      </c>
    </row>
    <row r="66" spans="1:18" x14ac:dyDescent="0.3">
      <c r="A66" s="6">
        <v>44865</v>
      </c>
      <c r="B66">
        <v>239.30552380952381</v>
      </c>
      <c r="C66">
        <v>260.49900000000002</v>
      </c>
      <c r="D66">
        <v>20.594999999999999</v>
      </c>
      <c r="E66">
        <v>246.38499999999999</v>
      </c>
      <c r="F66">
        <v>114.396</v>
      </c>
      <c r="G66" s="5"/>
      <c r="H66">
        <v>350</v>
      </c>
      <c r="I66">
        <v>-210</v>
      </c>
      <c r="J66">
        <v>-1500</v>
      </c>
      <c r="K66">
        <v>32</v>
      </c>
      <c r="L66">
        <v>300</v>
      </c>
      <c r="M66" s="5"/>
      <c r="N66" s="3">
        <v>2</v>
      </c>
      <c r="O66" s="5"/>
      <c r="P66" s="7">
        <f t="shared" ref="P66:P97" si="4">B66*H66+C66*I66+D66*J66+E66*K66+F66*L66</f>
        <v>40362.763333333329</v>
      </c>
      <c r="Q66" s="7">
        <f t="shared" si="1"/>
        <v>-337.76066666666884</v>
      </c>
      <c r="R66" s="7">
        <f t="shared" si="2"/>
        <v>-0.81583669488499433</v>
      </c>
    </row>
    <row r="67" spans="1:18" x14ac:dyDescent="0.3">
      <c r="A67" s="2">
        <v>44866</v>
      </c>
      <c r="B67">
        <v>238.61319047619045</v>
      </c>
      <c r="C67">
        <v>259.3886</v>
      </c>
      <c r="D67">
        <v>20.818999999999999</v>
      </c>
      <c r="E67">
        <v>247.42999999999998</v>
      </c>
      <c r="F67">
        <v>114.271</v>
      </c>
      <c r="G67" s="5"/>
      <c r="H67">
        <v>350</v>
      </c>
      <c r="I67">
        <v>-210</v>
      </c>
      <c r="J67">
        <v>-1500</v>
      </c>
      <c r="K67">
        <v>32</v>
      </c>
      <c r="L67">
        <v>300</v>
      </c>
      <c r="M67" s="5"/>
      <c r="N67">
        <v>0</v>
      </c>
      <c r="O67" s="5"/>
      <c r="P67" s="7">
        <f t="shared" si="4"/>
        <v>40013.570666666659</v>
      </c>
      <c r="Q67" s="7">
        <f t="shared" si="1"/>
        <v>-349.19266666666954</v>
      </c>
      <c r="R67" s="7">
        <f t="shared" si="2"/>
        <v>-0.8651356790982917</v>
      </c>
    </row>
    <row r="68" spans="1:18" x14ac:dyDescent="0.3">
      <c r="A68" s="2">
        <v>44867</v>
      </c>
      <c r="B68">
        <v>230.95885714285714</v>
      </c>
      <c r="C68">
        <v>255.96440000000001</v>
      </c>
      <c r="D68">
        <v>20.388999999999999</v>
      </c>
      <c r="E68">
        <v>241.12199999999999</v>
      </c>
      <c r="F68">
        <v>108.31299999999999</v>
      </c>
      <c r="G68" s="5"/>
      <c r="H68">
        <v>350</v>
      </c>
      <c r="I68">
        <v>-210</v>
      </c>
      <c r="J68">
        <v>-1500</v>
      </c>
      <c r="K68">
        <v>32</v>
      </c>
      <c r="L68">
        <v>300</v>
      </c>
      <c r="M68" s="5"/>
      <c r="N68">
        <v>0</v>
      </c>
      <c r="O68" s="5"/>
      <c r="P68" s="7">
        <f t="shared" si="4"/>
        <v>36709.379999999997</v>
      </c>
      <c r="Q68" s="7">
        <f t="shared" ref="Q68:Q108" si="5">H68*B68-H67*B67+I68*C68-I67*C67+J68*D68-D67*J67+E68*K68-K67*E67+L68*F68-L67*F67+N68*H68</f>
        <v>-3304.1906666666582</v>
      </c>
      <c r="R68" s="7">
        <f t="shared" ref="R68:R108" si="6">100*(Q68/P67)</f>
        <v>-8.2576751127567256</v>
      </c>
    </row>
    <row r="69" spans="1:18" x14ac:dyDescent="0.3">
      <c r="A69" s="2">
        <v>44868</v>
      </c>
      <c r="B69">
        <v>232.22066666666666</v>
      </c>
      <c r="C69">
        <v>255.40719999999999</v>
      </c>
      <c r="D69">
        <v>21.108000000000001</v>
      </c>
      <c r="E69">
        <v>240.54700000000003</v>
      </c>
      <c r="F69">
        <v>107.944</v>
      </c>
      <c r="G69" s="5"/>
      <c r="H69">
        <v>350</v>
      </c>
      <c r="I69">
        <v>-210</v>
      </c>
      <c r="J69">
        <v>-1500</v>
      </c>
      <c r="K69">
        <v>32</v>
      </c>
      <c r="L69">
        <v>300</v>
      </c>
      <c r="M69" s="5"/>
      <c r="N69">
        <v>0</v>
      </c>
      <c r="O69" s="5"/>
      <c r="P69" s="7">
        <f t="shared" si="4"/>
        <v>36060.425333333347</v>
      </c>
      <c r="Q69" s="7">
        <f t="shared" si="5"/>
        <v>-648.95466666665379</v>
      </c>
      <c r="R69" s="7">
        <f t="shared" si="6"/>
        <v>-1.767817017521554</v>
      </c>
    </row>
    <row r="70" spans="1:18" x14ac:dyDescent="0.3">
      <c r="A70" s="2">
        <v>44869</v>
      </c>
      <c r="B70">
        <v>231.7998095238095</v>
      </c>
      <c r="C70">
        <v>257.88339999999999</v>
      </c>
      <c r="D70">
        <v>20.809000000000001</v>
      </c>
      <c r="E70">
        <v>239.947</v>
      </c>
      <c r="F70">
        <v>104.48099999999999</v>
      </c>
      <c r="G70" s="5"/>
      <c r="H70">
        <v>350</v>
      </c>
      <c r="I70">
        <v>-210</v>
      </c>
      <c r="J70">
        <v>-1500</v>
      </c>
      <c r="K70">
        <v>32</v>
      </c>
      <c r="L70">
        <v>300</v>
      </c>
      <c r="M70" s="5"/>
      <c r="N70">
        <v>0</v>
      </c>
      <c r="O70" s="5"/>
      <c r="P70" s="7">
        <f t="shared" si="4"/>
        <v>34783.523333333324</v>
      </c>
      <c r="Q70" s="7">
        <f t="shared" si="5"/>
        <v>-1276.9020000000201</v>
      </c>
      <c r="R70" s="7">
        <f t="shared" si="6"/>
        <v>-3.5410064861871837</v>
      </c>
    </row>
    <row r="71" spans="1:18" x14ac:dyDescent="0.3">
      <c r="A71" s="2">
        <v>44872</v>
      </c>
      <c r="B71">
        <v>232.81485714285714</v>
      </c>
      <c r="C71">
        <v>258.63260000000002</v>
      </c>
      <c r="D71">
        <v>20.719000000000001</v>
      </c>
      <c r="E71">
        <v>240.43200000000002</v>
      </c>
      <c r="F71">
        <v>99.039000000000001</v>
      </c>
      <c r="G71" s="5"/>
      <c r="H71">
        <v>350</v>
      </c>
      <c r="I71">
        <v>-210</v>
      </c>
      <c r="J71">
        <v>-1500</v>
      </c>
      <c r="K71">
        <v>32</v>
      </c>
      <c r="L71">
        <v>300</v>
      </c>
      <c r="M71" s="5"/>
      <c r="N71">
        <v>0</v>
      </c>
      <c r="O71" s="5"/>
      <c r="P71" s="7">
        <f t="shared" si="4"/>
        <v>33499.377999999997</v>
      </c>
      <c r="Q71" s="7">
        <f t="shared" si="5"/>
        <v>-1284.1453333333302</v>
      </c>
      <c r="R71" s="7">
        <f t="shared" si="6"/>
        <v>-3.6918207538300862</v>
      </c>
    </row>
    <row r="72" spans="1:18" x14ac:dyDescent="0.3">
      <c r="A72" s="2">
        <v>44873</v>
      </c>
      <c r="B72">
        <v>235.04861904761904</v>
      </c>
      <c r="C72">
        <v>258.91999999999996</v>
      </c>
      <c r="D72">
        <v>20.202000000000002</v>
      </c>
      <c r="E72">
        <v>242.57400000000001</v>
      </c>
      <c r="F72">
        <v>95.722000000000008</v>
      </c>
      <c r="G72" s="5"/>
      <c r="H72">
        <v>350</v>
      </c>
      <c r="I72">
        <v>-210</v>
      </c>
      <c r="J72">
        <v>-1500</v>
      </c>
      <c r="K72">
        <v>32</v>
      </c>
      <c r="L72">
        <v>300</v>
      </c>
      <c r="M72" s="5"/>
      <c r="N72">
        <v>0</v>
      </c>
      <c r="O72" s="5"/>
      <c r="P72" s="7">
        <f t="shared" si="4"/>
        <v>34069.784666666674</v>
      </c>
      <c r="Q72" s="7">
        <f t="shared" si="5"/>
        <v>570.40666666668039</v>
      </c>
      <c r="R72" s="7">
        <f t="shared" si="6"/>
        <v>1.7027380826792677</v>
      </c>
    </row>
    <row r="73" spans="1:18" x14ac:dyDescent="0.3">
      <c r="A73" s="2">
        <v>44874</v>
      </c>
      <c r="B73">
        <v>233.67304761904762</v>
      </c>
      <c r="C73">
        <v>255.3168</v>
      </c>
      <c r="D73">
        <v>20.228999999999999</v>
      </c>
      <c r="E73">
        <v>229.89600000000002</v>
      </c>
      <c r="F73">
        <v>89.271000000000001</v>
      </c>
      <c r="G73" s="5"/>
      <c r="H73">
        <v>350</v>
      </c>
      <c r="I73">
        <v>-210</v>
      </c>
      <c r="J73">
        <v>-1500</v>
      </c>
      <c r="K73">
        <v>32</v>
      </c>
      <c r="L73">
        <v>300</v>
      </c>
      <c r="M73" s="5"/>
      <c r="N73">
        <v>0</v>
      </c>
      <c r="O73" s="5"/>
      <c r="P73" s="7">
        <f t="shared" si="4"/>
        <v>31963.510666666669</v>
      </c>
      <c r="Q73" s="7">
        <f t="shared" si="5"/>
        <v>-2106.2740000000049</v>
      </c>
      <c r="R73" s="7">
        <f t="shared" si="6"/>
        <v>-6.1822345536006553</v>
      </c>
    </row>
    <row r="74" spans="1:18" x14ac:dyDescent="0.3">
      <c r="A74" s="2">
        <v>44875</v>
      </c>
      <c r="B74">
        <v>244.53961904761906</v>
      </c>
      <c r="C74">
        <v>264.8442</v>
      </c>
      <c r="D74">
        <v>21.310000000000002</v>
      </c>
      <c r="E74">
        <v>247.34199999999998</v>
      </c>
      <c r="F74">
        <v>95.527000000000001</v>
      </c>
      <c r="G74" s="5"/>
      <c r="H74">
        <v>350</v>
      </c>
      <c r="I74">
        <v>-210</v>
      </c>
      <c r="J74">
        <v>-1500</v>
      </c>
      <c r="K74">
        <v>32</v>
      </c>
      <c r="L74">
        <v>300</v>
      </c>
      <c r="M74" s="5"/>
      <c r="N74">
        <v>0</v>
      </c>
      <c r="O74" s="5"/>
      <c r="P74" s="7">
        <f t="shared" si="4"/>
        <v>34579.628666666664</v>
      </c>
      <c r="Q74" s="7">
        <f t="shared" si="5"/>
        <v>2616.1179999999986</v>
      </c>
      <c r="R74" s="7">
        <f t="shared" si="6"/>
        <v>8.1847016971393955</v>
      </c>
    </row>
    <row r="75" spans="1:18" x14ac:dyDescent="0.3">
      <c r="A75" s="2">
        <v>44876</v>
      </c>
      <c r="B75">
        <v>245.84490476190479</v>
      </c>
      <c r="C75">
        <v>266.30080000000004</v>
      </c>
      <c r="D75">
        <v>21.089000000000002</v>
      </c>
      <c r="E75">
        <v>260.54400000000004</v>
      </c>
      <c r="F75">
        <v>98.007999999999996</v>
      </c>
      <c r="G75" s="5"/>
      <c r="H75">
        <v>350</v>
      </c>
      <c r="I75">
        <v>-210</v>
      </c>
      <c r="J75">
        <v>-1500</v>
      </c>
      <c r="K75">
        <v>32</v>
      </c>
      <c r="L75">
        <v>300</v>
      </c>
      <c r="M75" s="5"/>
      <c r="N75">
        <v>0</v>
      </c>
      <c r="O75" s="5"/>
      <c r="P75" s="7">
        <f t="shared" si="4"/>
        <v>36228.856666666667</v>
      </c>
      <c r="Q75" s="7">
        <f t="shared" si="5"/>
        <v>1649.2280000000028</v>
      </c>
      <c r="R75" s="7">
        <f t="shared" si="6"/>
        <v>4.7693629561435706</v>
      </c>
    </row>
    <row r="76" spans="1:18" x14ac:dyDescent="0.3">
      <c r="A76" s="2">
        <v>44879</v>
      </c>
      <c r="B76">
        <v>243.59176190476191</v>
      </c>
      <c r="C76">
        <v>263.8612</v>
      </c>
      <c r="D76">
        <v>21.296999999999997</v>
      </c>
      <c r="E76">
        <v>260.30399999999997</v>
      </c>
      <c r="F76">
        <v>95.942999999999998</v>
      </c>
      <c r="G76" s="5"/>
      <c r="H76">
        <v>350</v>
      </c>
      <c r="I76">
        <v>-210</v>
      </c>
      <c r="J76">
        <v>-1500</v>
      </c>
      <c r="K76">
        <v>32</v>
      </c>
      <c r="L76">
        <v>300</v>
      </c>
      <c r="M76" s="5"/>
      <c r="N76">
        <v>0</v>
      </c>
      <c r="O76" s="5"/>
      <c r="P76" s="7">
        <f t="shared" si="4"/>
        <v>35013.392666666667</v>
      </c>
      <c r="Q76" s="7">
        <f t="shared" si="5"/>
        <v>-1215.4639999999963</v>
      </c>
      <c r="R76" s="7">
        <f t="shared" si="6"/>
        <v>-3.3549609671185578</v>
      </c>
    </row>
    <row r="77" spans="1:18" x14ac:dyDescent="0.3">
      <c r="A77" s="2">
        <v>44880</v>
      </c>
      <c r="B77">
        <v>251.42099999999999</v>
      </c>
      <c r="C77">
        <v>263.9692</v>
      </c>
      <c r="D77">
        <v>20.861000000000001</v>
      </c>
      <c r="E77">
        <v>269.05999999999995</v>
      </c>
      <c r="F77">
        <v>97.805999999999997</v>
      </c>
      <c r="G77" s="5"/>
      <c r="H77">
        <v>350</v>
      </c>
      <c r="I77">
        <v>-210</v>
      </c>
      <c r="J77">
        <v>-1500</v>
      </c>
      <c r="K77">
        <v>32</v>
      </c>
      <c r="L77">
        <v>300</v>
      </c>
      <c r="M77" s="5"/>
      <c r="N77">
        <v>0</v>
      </c>
      <c r="O77" s="5"/>
      <c r="P77" s="7">
        <f t="shared" si="4"/>
        <v>39224.037999999986</v>
      </c>
      <c r="Q77" s="7">
        <f t="shared" si="5"/>
        <v>4210.6453333333156</v>
      </c>
      <c r="R77" s="7">
        <f t="shared" si="6"/>
        <v>12.025813589158185</v>
      </c>
    </row>
    <row r="78" spans="1:18" x14ac:dyDescent="0.3">
      <c r="A78" s="2">
        <v>44881</v>
      </c>
      <c r="B78">
        <v>250.29119047619048</v>
      </c>
      <c r="C78">
        <v>263.36480000000006</v>
      </c>
      <c r="D78">
        <v>21.324000000000002</v>
      </c>
      <c r="E78">
        <v>234.04499999999999</v>
      </c>
      <c r="F78">
        <v>94.202999999999989</v>
      </c>
      <c r="G78" s="5"/>
      <c r="H78">
        <v>350</v>
      </c>
      <c r="I78">
        <v>-210</v>
      </c>
      <c r="J78">
        <v>-1500</v>
      </c>
      <c r="K78">
        <v>32</v>
      </c>
      <c r="L78">
        <v>300</v>
      </c>
      <c r="M78" s="5"/>
      <c r="N78">
        <v>0</v>
      </c>
      <c r="O78" s="5"/>
      <c r="P78" s="7">
        <f t="shared" si="4"/>
        <v>36059.648666666653</v>
      </c>
      <c r="Q78" s="7">
        <f t="shared" si="5"/>
        <v>-3164.3893333333399</v>
      </c>
      <c r="R78" s="7">
        <f t="shared" si="6"/>
        <v>-8.0674746779853237</v>
      </c>
    </row>
    <row r="79" spans="1:18" x14ac:dyDescent="0.3">
      <c r="A79" s="2">
        <v>44882</v>
      </c>
      <c r="B79">
        <v>248.82261904761904</v>
      </c>
      <c r="C79">
        <v>264.00139999999999</v>
      </c>
      <c r="D79">
        <v>21.87</v>
      </c>
      <c r="E79">
        <v>243.87799999999999</v>
      </c>
      <c r="F79">
        <v>92.27</v>
      </c>
      <c r="G79" s="5"/>
      <c r="H79">
        <v>350</v>
      </c>
      <c r="I79">
        <v>-210</v>
      </c>
      <c r="J79">
        <v>-1500</v>
      </c>
      <c r="K79">
        <v>32</v>
      </c>
      <c r="L79">
        <v>300</v>
      </c>
      <c r="M79" s="5"/>
      <c r="N79">
        <v>0</v>
      </c>
      <c r="O79" s="5"/>
      <c r="P79" s="7">
        <f t="shared" si="4"/>
        <v>34327.718666666675</v>
      </c>
      <c r="Q79" s="7">
        <f t="shared" si="5"/>
        <v>-1731.9299999999748</v>
      </c>
      <c r="R79" s="7">
        <f t="shared" si="6"/>
        <v>-4.8029586089699254</v>
      </c>
    </row>
    <row r="80" spans="1:18" x14ac:dyDescent="0.3">
      <c r="A80" s="2">
        <v>44883</v>
      </c>
      <c r="B80">
        <v>250.07366666666664</v>
      </c>
      <c r="C80">
        <v>265.53059999999999</v>
      </c>
      <c r="D80">
        <v>21.536999999999999</v>
      </c>
      <c r="E80">
        <v>245.17699999999999</v>
      </c>
      <c r="F80">
        <v>90.775000000000006</v>
      </c>
      <c r="G80" s="5"/>
      <c r="H80">
        <v>350</v>
      </c>
      <c r="I80">
        <v>-210</v>
      </c>
      <c r="J80">
        <v>-1500</v>
      </c>
      <c r="K80">
        <v>32</v>
      </c>
      <c r="L80">
        <v>300</v>
      </c>
      <c r="M80" s="5"/>
      <c r="N80">
        <v>0</v>
      </c>
      <c r="O80" s="5"/>
      <c r="P80" s="7">
        <f t="shared" si="4"/>
        <v>34537.021333333323</v>
      </c>
      <c r="Q80" s="7">
        <f t="shared" si="5"/>
        <v>209.30266666664829</v>
      </c>
      <c r="R80" s="7">
        <f t="shared" si="6"/>
        <v>0.6097191272715945</v>
      </c>
    </row>
    <row r="81" spans="1:18" x14ac:dyDescent="0.3">
      <c r="A81" s="2">
        <v>44886</v>
      </c>
      <c r="B81">
        <v>249.93480952380952</v>
      </c>
      <c r="C81">
        <v>269.99419999999998</v>
      </c>
      <c r="D81">
        <v>21.836500000000001</v>
      </c>
      <c r="E81">
        <v>237.07000000000002</v>
      </c>
      <c r="F81">
        <v>84.254999999999995</v>
      </c>
      <c r="G81" s="5"/>
      <c r="H81">
        <v>350</v>
      </c>
      <c r="I81">
        <v>-210</v>
      </c>
      <c r="J81">
        <v>-1500</v>
      </c>
      <c r="K81">
        <v>32</v>
      </c>
      <c r="L81">
        <v>300</v>
      </c>
      <c r="M81" s="5"/>
      <c r="N81">
        <v>0</v>
      </c>
      <c r="O81" s="5"/>
      <c r="P81" s="7">
        <f t="shared" si="4"/>
        <v>30886.391333333344</v>
      </c>
      <c r="Q81" s="7">
        <f t="shared" si="5"/>
        <v>-3650.6299999999828</v>
      </c>
      <c r="R81" s="7">
        <f t="shared" si="6"/>
        <v>-10.570193546125491</v>
      </c>
    </row>
    <row r="82" spans="1:18" x14ac:dyDescent="0.3">
      <c r="A82" s="2">
        <v>44887</v>
      </c>
      <c r="B82">
        <v>253.98652380952382</v>
      </c>
      <c r="C82">
        <v>271.089</v>
      </c>
      <c r="D82">
        <v>21.506499999999999</v>
      </c>
      <c r="E82">
        <v>237.56000000000003</v>
      </c>
      <c r="F82">
        <v>85.179000000000002</v>
      </c>
      <c r="G82" s="5"/>
      <c r="H82">
        <v>350</v>
      </c>
      <c r="I82">
        <v>-210</v>
      </c>
      <c r="J82">
        <v>-1500</v>
      </c>
      <c r="K82">
        <v>32</v>
      </c>
      <c r="L82">
        <v>300</v>
      </c>
      <c r="M82" s="5"/>
      <c r="N82">
        <v>0</v>
      </c>
      <c r="O82" s="5"/>
      <c r="P82" s="7">
        <f t="shared" si="4"/>
        <v>32862.46333333334</v>
      </c>
      <c r="Q82" s="7">
        <f t="shared" si="5"/>
        <v>1976.0719999999965</v>
      </c>
      <c r="R82" s="7">
        <f t="shared" si="6"/>
        <v>6.3978727028151443</v>
      </c>
    </row>
    <row r="83" spans="1:18" x14ac:dyDescent="0.3">
      <c r="A83" s="2">
        <v>44888</v>
      </c>
      <c r="B83">
        <v>254.63404761904764</v>
      </c>
      <c r="C83">
        <v>272.46320000000003</v>
      </c>
      <c r="D83">
        <v>21.448999999999998</v>
      </c>
      <c r="E83">
        <v>245.893</v>
      </c>
      <c r="F83">
        <v>92.28</v>
      </c>
      <c r="G83" s="5"/>
      <c r="H83">
        <v>350</v>
      </c>
      <c r="I83">
        <v>-210</v>
      </c>
      <c r="J83">
        <v>-1500</v>
      </c>
      <c r="K83">
        <v>32</v>
      </c>
      <c r="L83">
        <v>300</v>
      </c>
      <c r="M83" s="5"/>
      <c r="N83">
        <v>0</v>
      </c>
      <c r="O83" s="5"/>
      <c r="P83" s="7">
        <f t="shared" si="4"/>
        <v>35283.720666666668</v>
      </c>
      <c r="Q83" s="7">
        <f t="shared" si="5"/>
        <v>2421.2573333333312</v>
      </c>
      <c r="R83" s="7">
        <f t="shared" si="6"/>
        <v>7.3678510000112514</v>
      </c>
    </row>
    <row r="84" spans="1:18" x14ac:dyDescent="0.3">
      <c r="A84" s="2">
        <v>44890</v>
      </c>
      <c r="B84">
        <v>254.14780952380949</v>
      </c>
      <c r="C84">
        <v>272.75959999999998</v>
      </c>
      <c r="D84">
        <v>22.056000000000001</v>
      </c>
      <c r="E84">
        <v>245.614</v>
      </c>
      <c r="F84">
        <v>92.035000000000011</v>
      </c>
      <c r="G84" s="5"/>
      <c r="H84">
        <v>350</v>
      </c>
      <c r="I84">
        <v>-210</v>
      </c>
      <c r="J84">
        <v>-1500</v>
      </c>
      <c r="K84">
        <v>32</v>
      </c>
      <c r="L84">
        <v>300</v>
      </c>
      <c r="M84" s="5"/>
      <c r="N84">
        <v>0</v>
      </c>
      <c r="O84" s="5"/>
      <c r="P84" s="7">
        <f t="shared" si="4"/>
        <v>34058.365333333328</v>
      </c>
      <c r="Q84" s="7">
        <f t="shared" si="5"/>
        <v>-1225.3553333333402</v>
      </c>
      <c r="R84" s="7">
        <f t="shared" si="6"/>
        <v>-3.4728631509968881</v>
      </c>
    </row>
    <row r="85" spans="1:18" x14ac:dyDescent="0.3">
      <c r="A85" s="2">
        <v>44893</v>
      </c>
      <c r="B85">
        <v>253.21504761904757</v>
      </c>
      <c r="C85">
        <v>272.35599999999999</v>
      </c>
      <c r="D85">
        <v>21.940999999999999</v>
      </c>
      <c r="E85">
        <v>248.07300000000001</v>
      </c>
      <c r="F85">
        <v>92.173999999999992</v>
      </c>
      <c r="G85" s="5"/>
      <c r="H85">
        <v>350</v>
      </c>
      <c r="I85">
        <v>-210</v>
      </c>
      <c r="J85">
        <v>-1500</v>
      </c>
      <c r="K85">
        <v>32</v>
      </c>
      <c r="L85">
        <v>300</v>
      </c>
      <c r="M85" s="5"/>
      <c r="N85">
        <v>0</v>
      </c>
      <c r="O85" s="5"/>
      <c r="P85" s="7">
        <f t="shared" si="4"/>
        <v>34109.542666666646</v>
      </c>
      <c r="Q85" s="7">
        <f t="shared" si="5"/>
        <v>51.177333333314891</v>
      </c>
      <c r="R85" s="7">
        <f t="shared" si="6"/>
        <v>0.15026362196904097</v>
      </c>
    </row>
    <row r="86" spans="1:18" x14ac:dyDescent="0.3">
      <c r="A86" s="2">
        <v>44894</v>
      </c>
      <c r="B86">
        <v>252.51271428571431</v>
      </c>
      <c r="C86">
        <v>271.68119999999993</v>
      </c>
      <c r="D86">
        <v>21.524999999999999</v>
      </c>
      <c r="E86">
        <v>249.65900000000002</v>
      </c>
      <c r="F86">
        <v>90.851000000000013</v>
      </c>
      <c r="G86" s="5"/>
      <c r="H86">
        <v>350</v>
      </c>
      <c r="I86">
        <v>-210</v>
      </c>
      <c r="J86">
        <v>-1500</v>
      </c>
      <c r="K86">
        <v>32</v>
      </c>
      <c r="L86">
        <v>300</v>
      </c>
      <c r="M86" s="5"/>
      <c r="N86">
        <v>0</v>
      </c>
      <c r="O86" s="5"/>
      <c r="P86" s="7">
        <f t="shared" si="4"/>
        <v>34283.286000000029</v>
      </c>
      <c r="Q86" s="7">
        <f t="shared" si="5"/>
        <v>173.74333333338654</v>
      </c>
      <c r="R86" s="7">
        <f t="shared" si="6"/>
        <v>0.50936869787813432</v>
      </c>
    </row>
    <row r="87" spans="1:18" x14ac:dyDescent="0.3">
      <c r="A87" s="2">
        <v>44895</v>
      </c>
      <c r="B87">
        <v>257.5347142857143</v>
      </c>
      <c r="C87">
        <v>276.44439999999997</v>
      </c>
      <c r="D87">
        <v>21.779</v>
      </c>
      <c r="E87">
        <v>250.809</v>
      </c>
      <c r="F87">
        <v>98.197999999999993</v>
      </c>
      <c r="G87" s="5"/>
      <c r="H87">
        <v>350</v>
      </c>
      <c r="I87">
        <v>-210</v>
      </c>
      <c r="J87">
        <v>-1500</v>
      </c>
      <c r="K87">
        <v>32</v>
      </c>
      <c r="L87">
        <v>300</v>
      </c>
      <c r="M87" s="5"/>
      <c r="N87">
        <v>0</v>
      </c>
      <c r="O87" s="5"/>
      <c r="P87" s="7">
        <f t="shared" si="4"/>
        <v>36900.614000000016</v>
      </c>
      <c r="Q87" s="7">
        <f t="shared" si="5"/>
        <v>2617.3279999999831</v>
      </c>
      <c r="R87" s="7">
        <f t="shared" si="6"/>
        <v>7.6344140407077115</v>
      </c>
    </row>
    <row r="88" spans="1:18" x14ac:dyDescent="0.3">
      <c r="A88" s="2">
        <v>44896</v>
      </c>
      <c r="B88">
        <v>240.22633333333334</v>
      </c>
      <c r="C88">
        <v>277.25059999999996</v>
      </c>
      <c r="D88">
        <v>21.847000000000001</v>
      </c>
      <c r="E88">
        <v>247.84500000000003</v>
      </c>
      <c r="F88">
        <v>98.205999999999989</v>
      </c>
      <c r="G88" s="5"/>
      <c r="H88">
        <v>350</v>
      </c>
      <c r="I88">
        <v>-210</v>
      </c>
      <c r="J88">
        <v>-1500</v>
      </c>
      <c r="K88">
        <v>32</v>
      </c>
      <c r="L88">
        <v>300</v>
      </c>
      <c r="M88" s="5"/>
      <c r="N88">
        <v>0</v>
      </c>
      <c r="O88" s="5"/>
      <c r="P88" s="7">
        <f t="shared" si="4"/>
        <v>30478.930666666682</v>
      </c>
      <c r="Q88" s="7">
        <f t="shared" si="5"/>
        <v>-6421.6833333333307</v>
      </c>
      <c r="R88" s="7">
        <f t="shared" si="6"/>
        <v>-17.402646290203538</v>
      </c>
    </row>
    <row r="89" spans="1:18" x14ac:dyDescent="0.3">
      <c r="A89" s="2">
        <v>44897</v>
      </c>
      <c r="B89">
        <v>236.19347619047616</v>
      </c>
      <c r="C89">
        <v>279.75399999999996</v>
      </c>
      <c r="D89">
        <v>21.450999999999997</v>
      </c>
      <c r="E89">
        <v>246.529</v>
      </c>
      <c r="F89">
        <v>98.038000000000011</v>
      </c>
      <c r="G89" s="5"/>
      <c r="H89">
        <v>350</v>
      </c>
      <c r="I89">
        <v>-210</v>
      </c>
      <c r="J89">
        <v>-1500</v>
      </c>
      <c r="K89">
        <v>32</v>
      </c>
      <c r="L89">
        <v>300</v>
      </c>
      <c r="M89" s="5"/>
      <c r="N89">
        <v>0</v>
      </c>
      <c r="O89" s="5"/>
      <c r="P89" s="7">
        <f t="shared" si="4"/>
        <v>29043.204666666676</v>
      </c>
      <c r="Q89" s="7">
        <f t="shared" si="5"/>
        <v>-1435.7260000000024</v>
      </c>
      <c r="R89" s="7">
        <f t="shared" si="6"/>
        <v>-4.7105523999573444</v>
      </c>
    </row>
    <row r="90" spans="1:18" x14ac:dyDescent="0.3">
      <c r="A90" s="2">
        <v>44900</v>
      </c>
      <c r="B90">
        <v>233.5242380952381</v>
      </c>
      <c r="C90">
        <v>275.77579999999995</v>
      </c>
      <c r="D90">
        <v>21.017999999999997</v>
      </c>
      <c r="E90">
        <v>232.72</v>
      </c>
      <c r="F90">
        <v>91.986999999999995</v>
      </c>
      <c r="G90" s="5"/>
      <c r="H90">
        <v>350</v>
      </c>
      <c r="I90">
        <v>-210</v>
      </c>
      <c r="J90">
        <v>-1500</v>
      </c>
      <c r="K90">
        <v>32</v>
      </c>
      <c r="L90">
        <v>300</v>
      </c>
      <c r="M90" s="5"/>
      <c r="N90">
        <v>0</v>
      </c>
      <c r="O90" s="5"/>
      <c r="P90" s="7">
        <f t="shared" si="4"/>
        <v>27336.70533333335</v>
      </c>
      <c r="Q90" s="7">
        <f t="shared" si="5"/>
        <v>-1706.4993333333259</v>
      </c>
      <c r="R90" s="7">
        <f t="shared" si="6"/>
        <v>-5.8757267075692265</v>
      </c>
    </row>
    <row r="91" spans="1:18" x14ac:dyDescent="0.3">
      <c r="A91" s="2">
        <v>44901</v>
      </c>
      <c r="B91">
        <v>229.44380952380951</v>
      </c>
      <c r="C91">
        <v>275.4006</v>
      </c>
      <c r="D91">
        <v>21.077000000000002</v>
      </c>
      <c r="E91">
        <v>232.99200000000002</v>
      </c>
      <c r="F91">
        <v>89.911000000000001</v>
      </c>
      <c r="G91" s="5"/>
      <c r="H91">
        <v>350</v>
      </c>
      <c r="I91">
        <v>-210</v>
      </c>
      <c r="J91">
        <v>-1500</v>
      </c>
      <c r="K91">
        <v>32</v>
      </c>
      <c r="L91">
        <v>300</v>
      </c>
      <c r="M91" s="5"/>
      <c r="N91">
        <v>0</v>
      </c>
      <c r="O91" s="5"/>
      <c r="P91" s="7">
        <f t="shared" si="4"/>
        <v>25284.751333333326</v>
      </c>
      <c r="Q91" s="7">
        <f t="shared" si="5"/>
        <v>-2051.9540000000234</v>
      </c>
      <c r="R91" s="7">
        <f t="shared" si="6"/>
        <v>-7.5062227689082484</v>
      </c>
    </row>
    <row r="92" spans="1:18" x14ac:dyDescent="0.3">
      <c r="A92" s="2">
        <v>44902</v>
      </c>
      <c r="B92">
        <v>229.6795238095238</v>
      </c>
      <c r="C92">
        <v>276.65559999999999</v>
      </c>
      <c r="D92">
        <v>22.536999999999999</v>
      </c>
      <c r="E92">
        <v>230.69899999999998</v>
      </c>
      <c r="F92">
        <v>87.722999999999999</v>
      </c>
      <c r="G92" s="5"/>
      <c r="H92">
        <v>350</v>
      </c>
      <c r="I92">
        <v>-210</v>
      </c>
      <c r="J92">
        <v>-1500</v>
      </c>
      <c r="K92">
        <v>32</v>
      </c>
      <c r="L92">
        <v>300</v>
      </c>
      <c r="M92" s="5"/>
      <c r="N92">
        <v>0</v>
      </c>
      <c r="O92" s="5"/>
      <c r="P92" s="7">
        <f t="shared" si="4"/>
        <v>22183.925333333329</v>
      </c>
      <c r="Q92" s="7">
        <f t="shared" si="5"/>
        <v>-3100.8259999999973</v>
      </c>
      <c r="R92" s="7">
        <f t="shared" si="6"/>
        <v>-12.263620706097768</v>
      </c>
    </row>
    <row r="93" spans="1:18" x14ac:dyDescent="0.3">
      <c r="A93" s="2">
        <v>44903</v>
      </c>
      <c r="B93">
        <v>229.28861904761905</v>
      </c>
      <c r="C93">
        <v>277.12740000000002</v>
      </c>
      <c r="D93">
        <v>21.553999999999998</v>
      </c>
      <c r="E93">
        <v>232.06799999999998</v>
      </c>
      <c r="F93">
        <v>87.006</v>
      </c>
      <c r="G93" s="5"/>
      <c r="H93">
        <v>350</v>
      </c>
      <c r="I93">
        <v>-210</v>
      </c>
      <c r="J93">
        <v>-1500</v>
      </c>
      <c r="K93">
        <v>32</v>
      </c>
      <c r="L93">
        <v>300</v>
      </c>
      <c r="M93" s="5"/>
      <c r="N93">
        <v>0</v>
      </c>
      <c r="O93" s="5"/>
      <c r="P93" s="7">
        <f t="shared" si="4"/>
        <v>23251.238666666657</v>
      </c>
      <c r="Q93" s="7">
        <f t="shared" si="5"/>
        <v>1067.313333333328</v>
      </c>
      <c r="R93" s="7">
        <f t="shared" si="6"/>
        <v>4.8112014321000016</v>
      </c>
    </row>
    <row r="94" spans="1:18" x14ac:dyDescent="0.3">
      <c r="A94" s="2">
        <v>44904</v>
      </c>
      <c r="B94">
        <v>230.41552380952379</v>
      </c>
      <c r="C94">
        <v>274.45359999999999</v>
      </c>
      <c r="D94">
        <v>21.402750000000001</v>
      </c>
      <c r="E94">
        <v>228.59900000000002</v>
      </c>
      <c r="F94">
        <v>90.27000000000001</v>
      </c>
      <c r="G94" s="5"/>
      <c r="H94">
        <v>350</v>
      </c>
      <c r="I94">
        <v>-210</v>
      </c>
      <c r="J94">
        <v>-1500</v>
      </c>
      <c r="K94">
        <v>32</v>
      </c>
      <c r="L94">
        <v>300</v>
      </c>
      <c r="M94" s="5"/>
      <c r="N94">
        <v>0</v>
      </c>
      <c r="O94" s="5"/>
      <c r="P94" s="7">
        <f t="shared" si="4"/>
        <v>25302.220333333324</v>
      </c>
      <c r="Q94" s="7">
        <f t="shared" si="5"/>
        <v>2050.9816666666666</v>
      </c>
      <c r="R94" s="7">
        <f t="shared" si="6"/>
        <v>8.8209565781413026</v>
      </c>
    </row>
    <row r="95" spans="1:18" x14ac:dyDescent="0.3">
      <c r="A95" s="2">
        <v>44907</v>
      </c>
      <c r="B95">
        <v>233.07757142857142</v>
      </c>
      <c r="C95">
        <v>278.1508</v>
      </c>
      <c r="D95">
        <v>21.053999999999998</v>
      </c>
      <c r="E95">
        <v>225.17400000000001</v>
      </c>
      <c r="F95">
        <v>84.552999999999997</v>
      </c>
      <c r="G95" s="5"/>
      <c r="H95">
        <v>350</v>
      </c>
      <c r="I95">
        <v>-210</v>
      </c>
      <c r="J95">
        <v>-1500</v>
      </c>
      <c r="K95">
        <v>32</v>
      </c>
      <c r="L95">
        <v>300</v>
      </c>
      <c r="M95" s="5"/>
      <c r="N95">
        <v>0</v>
      </c>
      <c r="O95" s="5"/>
      <c r="P95" s="7">
        <f t="shared" si="4"/>
        <v>24155.949999999997</v>
      </c>
      <c r="Q95" s="7">
        <f t="shared" si="5"/>
        <v>-1146.2703333333229</v>
      </c>
      <c r="R95" s="7">
        <f t="shared" si="6"/>
        <v>-4.5303151985567771</v>
      </c>
    </row>
    <row r="96" spans="1:18" x14ac:dyDescent="0.3">
      <c r="A96" s="2">
        <v>44908</v>
      </c>
      <c r="B96">
        <v>233.11319047619045</v>
      </c>
      <c r="C96">
        <v>278.49459999999999</v>
      </c>
      <c r="D96">
        <v>21.061</v>
      </c>
      <c r="E96">
        <v>226.99299999999999</v>
      </c>
      <c r="F96">
        <v>81.078999999999994</v>
      </c>
      <c r="G96" s="5"/>
      <c r="H96">
        <v>350</v>
      </c>
      <c r="I96">
        <v>-210</v>
      </c>
      <c r="J96">
        <v>-1500</v>
      </c>
      <c r="K96">
        <v>32</v>
      </c>
      <c r="L96">
        <v>300</v>
      </c>
      <c r="M96" s="5"/>
      <c r="N96">
        <v>0</v>
      </c>
      <c r="O96" s="5"/>
      <c r="P96" s="7">
        <f t="shared" si="4"/>
        <v>23101.726666666655</v>
      </c>
      <c r="Q96" s="7">
        <f t="shared" si="5"/>
        <v>-1054.2233333333425</v>
      </c>
      <c r="R96" s="7">
        <f t="shared" si="6"/>
        <v>-4.364238762430551</v>
      </c>
    </row>
    <row r="97" spans="1:18" x14ac:dyDescent="0.3">
      <c r="A97" s="2">
        <v>44909</v>
      </c>
      <c r="B97">
        <v>230.52161904761903</v>
      </c>
      <c r="C97">
        <v>278.15259999999995</v>
      </c>
      <c r="D97">
        <v>20.698</v>
      </c>
      <c r="E97">
        <v>228.99299999999999</v>
      </c>
      <c r="F97">
        <v>78.87700000000001</v>
      </c>
      <c r="G97" s="5"/>
      <c r="H97">
        <v>350</v>
      </c>
      <c r="I97">
        <v>-210</v>
      </c>
      <c r="J97">
        <v>-1500</v>
      </c>
      <c r="K97">
        <v>32</v>
      </c>
      <c r="L97">
        <v>300</v>
      </c>
      <c r="M97" s="5"/>
      <c r="N97">
        <v>0</v>
      </c>
      <c r="O97" s="5"/>
      <c r="P97" s="7">
        <f t="shared" si="4"/>
        <v>22214.396666666682</v>
      </c>
      <c r="Q97" s="7">
        <f t="shared" si="5"/>
        <v>-887.32999999997628</v>
      </c>
      <c r="R97" s="7">
        <f t="shared" si="6"/>
        <v>-3.8409683085736597</v>
      </c>
    </row>
    <row r="98" spans="1:18" x14ac:dyDescent="0.3">
      <c r="A98" s="2">
        <v>44910</v>
      </c>
      <c r="B98">
        <v>221.08352380952383</v>
      </c>
      <c r="C98">
        <v>274.16340000000002</v>
      </c>
      <c r="D98">
        <v>21.246000000000002</v>
      </c>
      <c r="E98">
        <v>222.23599999999999</v>
      </c>
      <c r="F98">
        <v>79.263999999999996</v>
      </c>
      <c r="G98" s="5"/>
      <c r="H98">
        <v>350</v>
      </c>
      <c r="I98">
        <v>-210</v>
      </c>
      <c r="J98">
        <v>-1500</v>
      </c>
      <c r="K98">
        <v>32</v>
      </c>
      <c r="L98">
        <v>300</v>
      </c>
      <c r="M98" s="5"/>
      <c r="N98">
        <v>0</v>
      </c>
      <c r="O98" s="5"/>
      <c r="P98" s="7">
        <f t="shared" ref="P98:P108" si="7">B98*H98+C98*I98+D98*J98+E98*K98+F98*L98</f>
        <v>18826.671333333325</v>
      </c>
      <c r="Q98" s="7">
        <f t="shared" si="5"/>
        <v>-3387.725333333361</v>
      </c>
      <c r="R98" s="7">
        <f t="shared" si="6"/>
        <v>-15.250134334806118</v>
      </c>
    </row>
    <row r="99" spans="1:18" x14ac:dyDescent="0.3">
      <c r="A99" s="2">
        <v>44911</v>
      </c>
      <c r="B99">
        <v>220.55509523809522</v>
      </c>
      <c r="C99">
        <v>272.96699999999998</v>
      </c>
      <c r="D99">
        <v>20.609000000000002</v>
      </c>
      <c r="E99">
        <v>220.37599999999998</v>
      </c>
      <c r="F99">
        <v>75.625</v>
      </c>
      <c r="G99" s="5"/>
      <c r="H99">
        <v>350</v>
      </c>
      <c r="I99">
        <v>-210</v>
      </c>
      <c r="J99">
        <v>-1500</v>
      </c>
      <c r="K99">
        <v>32</v>
      </c>
      <c r="L99">
        <v>300</v>
      </c>
      <c r="M99" s="5"/>
      <c r="N99">
        <v>0</v>
      </c>
      <c r="O99" s="5"/>
      <c r="P99" s="7">
        <f t="shared" si="7"/>
        <v>18697.245333333321</v>
      </c>
      <c r="Q99" s="7">
        <f t="shared" si="5"/>
        <v>-129.42600000000311</v>
      </c>
      <c r="R99" s="7">
        <f t="shared" si="6"/>
        <v>-0.68746087775404863</v>
      </c>
    </row>
    <row r="100" spans="1:18" x14ac:dyDescent="0.3">
      <c r="A100" s="2">
        <v>44914</v>
      </c>
      <c r="B100">
        <v>218.83623809523809</v>
      </c>
      <c r="C100">
        <v>273.38059999999996</v>
      </c>
      <c r="D100">
        <v>20.996000000000002</v>
      </c>
      <c r="E100">
        <v>217.07900000000004</v>
      </c>
      <c r="F100">
        <v>75.795000000000002</v>
      </c>
      <c r="G100" s="5"/>
      <c r="H100">
        <v>350</v>
      </c>
      <c r="I100">
        <v>-210</v>
      </c>
      <c r="J100">
        <v>-1500</v>
      </c>
      <c r="K100">
        <v>32</v>
      </c>
      <c r="L100">
        <v>300</v>
      </c>
      <c r="M100" s="5"/>
      <c r="N100">
        <v>0</v>
      </c>
      <c r="O100" s="5"/>
      <c r="P100" s="7">
        <f t="shared" si="7"/>
        <v>17373.785333333341</v>
      </c>
      <c r="Q100" s="7">
        <f t="shared" si="5"/>
        <v>-1323.4599999999809</v>
      </c>
      <c r="R100" s="7">
        <f t="shared" si="6"/>
        <v>-7.0783689062501916</v>
      </c>
    </row>
    <row r="101" spans="1:18" x14ac:dyDescent="0.3">
      <c r="A101" s="2">
        <v>44915</v>
      </c>
      <c r="B101">
        <v>218.26652380952379</v>
      </c>
      <c r="C101">
        <v>273.37259999999998</v>
      </c>
      <c r="D101">
        <v>21.506500000000003</v>
      </c>
      <c r="E101">
        <v>215.08099999999999</v>
      </c>
      <c r="F101">
        <v>69.674000000000007</v>
      </c>
      <c r="G101" s="5"/>
      <c r="H101">
        <v>350</v>
      </c>
      <c r="I101">
        <v>-210</v>
      </c>
      <c r="J101">
        <v>-1500</v>
      </c>
      <c r="K101">
        <v>32</v>
      </c>
      <c r="L101">
        <v>300</v>
      </c>
      <c r="M101" s="5"/>
      <c r="N101">
        <v>0</v>
      </c>
      <c r="O101" s="5"/>
      <c r="P101" s="7">
        <f t="shared" si="7"/>
        <v>14510.079333333331</v>
      </c>
      <c r="Q101" s="7">
        <f t="shared" si="5"/>
        <v>-2863.7060000000092</v>
      </c>
      <c r="R101" s="7">
        <f t="shared" si="6"/>
        <v>-16.482913452980817</v>
      </c>
    </row>
    <row r="102" spans="1:18" x14ac:dyDescent="0.3">
      <c r="A102" s="2">
        <v>44916</v>
      </c>
      <c r="B102">
        <v>220.59957142857141</v>
      </c>
      <c r="C102">
        <v>276.988</v>
      </c>
      <c r="D102">
        <v>21.633500000000002</v>
      </c>
      <c r="E102">
        <v>213.68300000000002</v>
      </c>
      <c r="F102">
        <v>69.385999999999996</v>
      </c>
      <c r="G102" s="5"/>
      <c r="H102">
        <v>350</v>
      </c>
      <c r="I102">
        <v>-210</v>
      </c>
      <c r="J102">
        <v>-1500</v>
      </c>
      <c r="K102">
        <v>32</v>
      </c>
      <c r="L102">
        <v>300</v>
      </c>
      <c r="M102" s="5"/>
      <c r="N102">
        <v>0</v>
      </c>
      <c r="O102" s="5"/>
      <c r="P102" s="7">
        <f t="shared" si="7"/>
        <v>14245.775999999983</v>
      </c>
      <c r="Q102" s="7">
        <f t="shared" si="5"/>
        <v>-264.30333333334784</v>
      </c>
      <c r="R102" s="7">
        <f t="shared" si="6"/>
        <v>-1.8215154256681152</v>
      </c>
    </row>
    <row r="103" spans="1:18" x14ac:dyDescent="0.3">
      <c r="A103" s="2">
        <v>44917</v>
      </c>
      <c r="B103">
        <v>219.03633333333332</v>
      </c>
      <c r="C103">
        <v>275.64359999999999</v>
      </c>
      <c r="D103">
        <v>21.358499999999999</v>
      </c>
      <c r="E103">
        <v>212.87199999999999</v>
      </c>
      <c r="F103">
        <v>63.214999999999996</v>
      </c>
      <c r="G103" s="5"/>
      <c r="H103">
        <v>350</v>
      </c>
      <c r="I103">
        <v>-210</v>
      </c>
      <c r="J103">
        <v>-1500</v>
      </c>
      <c r="K103">
        <v>32</v>
      </c>
      <c r="L103">
        <v>300</v>
      </c>
      <c r="M103" s="5"/>
      <c r="N103">
        <v>0</v>
      </c>
      <c r="O103" s="5"/>
      <c r="P103" s="7">
        <f t="shared" si="7"/>
        <v>12516.214666666663</v>
      </c>
      <c r="Q103" s="7">
        <f t="shared" si="5"/>
        <v>-1729.5613333333204</v>
      </c>
      <c r="R103" s="7">
        <f t="shared" si="6"/>
        <v>-12.140871324477672</v>
      </c>
    </row>
    <row r="104" spans="1:18" x14ac:dyDescent="0.3">
      <c r="A104" s="2">
        <v>44918</v>
      </c>
      <c r="B104">
        <v>221.20152380952379</v>
      </c>
      <c r="C104">
        <v>277.45179999999999</v>
      </c>
      <c r="D104">
        <v>20.93</v>
      </c>
      <c r="E104">
        <v>214.95300000000003</v>
      </c>
      <c r="F104">
        <v>62.393000000000001</v>
      </c>
      <c r="G104" s="5"/>
      <c r="H104">
        <v>350</v>
      </c>
      <c r="I104">
        <v>-210</v>
      </c>
      <c r="J104">
        <v>-1500</v>
      </c>
      <c r="K104">
        <v>32</v>
      </c>
      <c r="L104">
        <v>300</v>
      </c>
      <c r="M104" s="5"/>
      <c r="N104">
        <v>0</v>
      </c>
      <c r="O104" s="5"/>
      <c r="P104" s="7">
        <f t="shared" si="7"/>
        <v>13357.051333333331</v>
      </c>
      <c r="Q104" s="7">
        <f t="shared" si="5"/>
        <v>840.83666666666613</v>
      </c>
      <c r="R104" s="7">
        <f t="shared" si="6"/>
        <v>6.7179789501852563</v>
      </c>
    </row>
    <row r="105" spans="1:18" x14ac:dyDescent="0.3">
      <c r="A105" s="2">
        <v>44922</v>
      </c>
      <c r="B105">
        <v>219.15333333333331</v>
      </c>
      <c r="C105">
        <v>279.00839999999994</v>
      </c>
      <c r="D105">
        <v>21.374499999999998</v>
      </c>
      <c r="E105">
        <v>218.71200000000002</v>
      </c>
      <c r="F105">
        <v>55.260999999999996</v>
      </c>
      <c r="G105" s="5"/>
      <c r="H105">
        <v>350</v>
      </c>
      <c r="I105">
        <v>-210</v>
      </c>
      <c r="J105">
        <v>-1500</v>
      </c>
      <c r="K105">
        <v>32</v>
      </c>
      <c r="L105">
        <v>300</v>
      </c>
      <c r="M105" s="5"/>
      <c r="N105">
        <v>0</v>
      </c>
      <c r="O105" s="5"/>
      <c r="P105" s="7">
        <f t="shared" si="7"/>
        <v>9627.2366666666712</v>
      </c>
      <c r="Q105" s="7">
        <f t="shared" si="5"/>
        <v>-3729.8146666666544</v>
      </c>
      <c r="R105" s="7">
        <f t="shared" si="6"/>
        <v>-27.923937503771327</v>
      </c>
    </row>
    <row r="106" spans="1:18" x14ac:dyDescent="0.3">
      <c r="A106" s="2">
        <v>44923</v>
      </c>
      <c r="B106">
        <v>216.39152380952379</v>
      </c>
      <c r="C106">
        <v>276.08980000000003</v>
      </c>
      <c r="D106">
        <v>21.946999999999999</v>
      </c>
      <c r="E106">
        <v>219.02800000000002</v>
      </c>
      <c r="F106">
        <v>56.596999999999994</v>
      </c>
      <c r="G106" s="5"/>
      <c r="H106">
        <v>350</v>
      </c>
      <c r="I106">
        <v>-210</v>
      </c>
      <c r="J106">
        <v>-1500</v>
      </c>
      <c r="K106">
        <v>32</v>
      </c>
      <c r="L106">
        <v>300</v>
      </c>
      <c r="M106" s="5"/>
      <c r="N106">
        <v>0</v>
      </c>
      <c r="O106" s="5"/>
      <c r="P106" s="7">
        <f t="shared" si="7"/>
        <v>8825.6713333333173</v>
      </c>
      <c r="Q106" s="7">
        <f t="shared" si="5"/>
        <v>-801.56533333335392</v>
      </c>
      <c r="R106" s="7">
        <f t="shared" si="6"/>
        <v>-8.326016707459706</v>
      </c>
    </row>
    <row r="107" spans="1:18" x14ac:dyDescent="0.3">
      <c r="A107" s="2">
        <v>44924</v>
      </c>
      <c r="B107">
        <v>217.98323809523808</v>
      </c>
      <c r="C107">
        <v>278.27600000000001</v>
      </c>
      <c r="D107">
        <v>21.556000000000001</v>
      </c>
      <c r="E107">
        <v>223.417</v>
      </c>
      <c r="F107">
        <v>61.655999999999999</v>
      </c>
      <c r="G107" s="5"/>
      <c r="H107">
        <v>350</v>
      </c>
      <c r="I107">
        <v>-210</v>
      </c>
      <c r="J107">
        <v>-1500</v>
      </c>
      <c r="K107">
        <v>32</v>
      </c>
      <c r="L107">
        <v>300</v>
      </c>
      <c r="M107" s="5"/>
      <c r="N107">
        <v>0</v>
      </c>
      <c r="O107" s="5"/>
      <c r="P107" s="7">
        <f t="shared" si="7"/>
        <v>11168.317333333332</v>
      </c>
      <c r="Q107" s="7">
        <f t="shared" si="5"/>
        <v>2342.6460000000152</v>
      </c>
      <c r="R107" s="7">
        <f t="shared" si="6"/>
        <v>26.54354452507393</v>
      </c>
    </row>
    <row r="108" spans="1:18" x14ac:dyDescent="0.3">
      <c r="A108" s="2">
        <v>44925</v>
      </c>
      <c r="B108">
        <v>217.80895238095238</v>
      </c>
      <c r="C108">
        <v>276.25139999999999</v>
      </c>
      <c r="D108">
        <v>21.478999999999999</v>
      </c>
      <c r="E108">
        <v>223.57900000000001</v>
      </c>
      <c r="F108">
        <v>62.165000000000006</v>
      </c>
      <c r="G108" s="5"/>
      <c r="H108">
        <v>350</v>
      </c>
      <c r="I108">
        <v>-210</v>
      </c>
      <c r="J108">
        <v>-1500</v>
      </c>
      <c r="K108">
        <v>32</v>
      </c>
      <c r="L108">
        <v>300</v>
      </c>
      <c r="M108" s="5"/>
      <c r="N108">
        <v>0</v>
      </c>
      <c r="O108" s="5"/>
      <c r="P108" s="7">
        <f t="shared" si="7"/>
        <v>11805.867333333341</v>
      </c>
      <c r="Q108" s="7">
        <f t="shared" si="5"/>
        <v>637.55000000001019</v>
      </c>
      <c r="R108" s="7">
        <f t="shared" si="6"/>
        <v>5.7085591407503902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22167-C742-492D-BF74-F9693BBD5D7B}">
  <dimension ref="A1"/>
  <sheetViews>
    <sheetView topLeftCell="A3" zoomScale="108" workbookViewId="0">
      <selection activeCell="K40" sqref="K40"/>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A502E-4593-4ADF-A313-846AB8CC64BD}">
  <dimension ref="A1:E6"/>
  <sheetViews>
    <sheetView workbookViewId="0">
      <selection activeCell="A7" sqref="A7"/>
    </sheetView>
  </sheetViews>
  <sheetFormatPr defaultRowHeight="14.4" x14ac:dyDescent="0.3"/>
  <cols>
    <col min="2" max="2" width="31.109375" bestFit="1" customWidth="1"/>
    <col min="3" max="3" width="30.88671875" bestFit="1" customWidth="1"/>
    <col min="4" max="4" width="30.88671875" customWidth="1"/>
  </cols>
  <sheetData>
    <row r="1" spans="1:5" x14ac:dyDescent="0.3">
      <c r="A1" s="1" t="s">
        <v>11</v>
      </c>
      <c r="B1" s="1" t="s">
        <v>21</v>
      </c>
      <c r="C1" s="1" t="s">
        <v>22</v>
      </c>
      <c r="D1" s="1" t="s">
        <v>23</v>
      </c>
      <c r="E1" s="1" t="s">
        <v>13</v>
      </c>
    </row>
    <row r="2" spans="1:5" x14ac:dyDescent="0.3">
      <c r="A2" s="1" t="s">
        <v>1</v>
      </c>
      <c r="B2">
        <v>4.79</v>
      </c>
      <c r="C2">
        <v>3.62</v>
      </c>
      <c r="D2" t="s">
        <v>24</v>
      </c>
      <c r="E2" t="s">
        <v>20</v>
      </c>
    </row>
    <row r="3" spans="1:5" x14ac:dyDescent="0.3">
      <c r="A3" s="1" t="s">
        <v>2</v>
      </c>
      <c r="B3">
        <v>0.69</v>
      </c>
      <c r="C3">
        <v>0.49</v>
      </c>
      <c r="D3" t="s">
        <v>24</v>
      </c>
      <c r="E3" t="s">
        <v>20</v>
      </c>
    </row>
    <row r="4" spans="1:5" x14ac:dyDescent="0.3">
      <c r="A4" s="1" t="s">
        <v>12</v>
      </c>
      <c r="B4">
        <v>62.344999999999999</v>
      </c>
      <c r="C4">
        <v>107.639</v>
      </c>
      <c r="D4" t="s">
        <v>25</v>
      </c>
      <c r="E4" t="s">
        <v>20</v>
      </c>
    </row>
    <row r="5" spans="1:5" x14ac:dyDescent="0.3">
      <c r="A5" s="1" t="s">
        <v>4</v>
      </c>
      <c r="B5">
        <v>1.39</v>
      </c>
      <c r="C5">
        <v>2.42</v>
      </c>
      <c r="D5" t="s">
        <v>26</v>
      </c>
      <c r="E5" t="s">
        <v>20</v>
      </c>
    </row>
    <row r="6" spans="1:5" x14ac:dyDescent="0.3">
      <c r="A6" s="1" t="s">
        <v>5</v>
      </c>
      <c r="B6">
        <v>0.83</v>
      </c>
      <c r="C6">
        <v>0.74</v>
      </c>
      <c r="D6" t="s">
        <v>26</v>
      </c>
      <c r="E6" t="s">
        <v>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FB23C-0877-4B69-B22D-49FABBF5888C}">
  <dimension ref="A1"/>
  <sheetViews>
    <sheetView zoomScale="89" workbookViewId="0">
      <selection activeCell="I29" sqref="I29"/>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vt:lpstr>
      <vt:lpstr>Computations</vt:lpstr>
      <vt:lpstr>Steps and Issues</vt:lpstr>
      <vt:lpstr>Sellside earnings</vt:lpstr>
      <vt:lpstr>Major Factors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Yilin</dc:creator>
  <cp:lastModifiedBy>Raphaël Mignot-Bahisson</cp:lastModifiedBy>
  <dcterms:created xsi:type="dcterms:W3CDTF">2023-01-09T20:16:13Z</dcterms:created>
  <dcterms:modified xsi:type="dcterms:W3CDTF">2026-03-23T11:44:28Z</dcterms:modified>
</cp:coreProperties>
</file>