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otations" sheetId="1" r:id="rId4"/>
    <sheet state="visible" name="Q2" sheetId="2" r:id="rId5"/>
    <sheet state="visible" name="IR" sheetId="3" r:id="rId6"/>
    <sheet state="visible" name="SR" sheetId="4" r:id="rId7"/>
    <sheet state="visible" name="Index" sheetId="5" r:id="rId8"/>
    <sheet state="visible" name="Indications" sheetId="6" r:id="rId9"/>
    <sheet state="visible" name="BS_Valuation" sheetId="7" r:id="rId10"/>
  </sheets>
  <definedNames/>
  <calcPr/>
</workbook>
</file>

<file path=xl/sharedStrings.xml><?xml version="1.0" encoding="utf-8"?>
<sst xmlns="http://schemas.openxmlformats.org/spreadsheetml/2006/main" count="84" uniqueCount="48">
  <si>
    <t>Date</t>
  </si>
  <si>
    <t>UBEUECR</t>
  </si>
  <si>
    <t>CSLOGBB</t>
  </si>
  <si>
    <t>CBSWBOB</t>
  </si>
  <si>
    <t>BNOPLPT</t>
  </si>
  <si>
    <t>ETHAKTE</t>
  </si>
  <si>
    <t>MPCGLCA</t>
  </si>
  <si>
    <t>Weights</t>
  </si>
  <si>
    <t>Eur_1M</t>
  </si>
  <si>
    <t>Eur_3M</t>
  </si>
  <si>
    <t>Eur_6M</t>
  </si>
  <si>
    <t>Eur_12M</t>
  </si>
  <si>
    <t>Swap(vs6M)_2Y</t>
  </si>
  <si>
    <t>Swap(vs6M)_3Y</t>
  </si>
  <si>
    <t>Swap(vs6M)_5Y</t>
  </si>
  <si>
    <t>Basket Daily Returns</t>
  </si>
  <si>
    <t>BV Growth Factor</t>
  </si>
  <si>
    <t>Basket Value</t>
  </si>
  <si>
    <t>Realised Volatility</t>
  </si>
  <si>
    <t>Weighting</t>
  </si>
  <si>
    <t>DI Growth Factor</t>
  </si>
  <si>
    <t>Daily Index</t>
  </si>
  <si>
    <t>Settlement Amount</t>
  </si>
  <si>
    <t xml:space="preserve">Basket Value  </t>
  </si>
  <si>
    <t>Basket Value on April 30th 2014</t>
  </si>
  <si>
    <t>Daily Index on April 30th 2014</t>
  </si>
  <si>
    <t xml:space="preserve">Realised Volatility </t>
  </si>
  <si>
    <t xml:space="preserve">n </t>
  </si>
  <si>
    <t>d</t>
  </si>
  <si>
    <t>y</t>
  </si>
  <si>
    <t>m</t>
  </si>
  <si>
    <t>lag</t>
  </si>
  <si>
    <t>t-n+k-lag</t>
  </si>
  <si>
    <t>t+k-22</t>
  </si>
  <si>
    <t>t-n+k-1-lag</t>
  </si>
  <si>
    <t>t+k-23</t>
  </si>
  <si>
    <t xml:space="preserve">Underlying Strike </t>
  </si>
  <si>
    <t xml:space="preserve">Calculation Amount </t>
  </si>
  <si>
    <t>alpha</t>
  </si>
  <si>
    <t xml:space="preserve">K effective </t>
  </si>
  <si>
    <t>Index</t>
  </si>
  <si>
    <t>Time to Maturity (in years)</t>
  </si>
  <si>
    <t>Rate</t>
  </si>
  <si>
    <t>Volatility</t>
  </si>
  <si>
    <t>d1</t>
  </si>
  <si>
    <t>d2</t>
  </si>
  <si>
    <t>Call Value</t>
  </si>
  <si>
    <t xml:space="preserve">Fair Call Value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</si>
</sst>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%"/>
    <numFmt numFmtId="165" formatCode="0.000"/>
    <numFmt numFmtId="166" formatCode="0.0000"/>
    <numFmt numFmtId="167" formatCode="m/d/yy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sz val="11.0"/>
      <color theme="1"/>
      <name val="Calibri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  <fill>
      <patternFill patternType="solid">
        <fgColor rgb="FF00FF00"/>
        <bgColor rgb="FF00FF00"/>
      </patternFill>
    </fill>
    <fill>
      <patternFill patternType="solid">
        <fgColor rgb="FFE06666"/>
        <bgColor rgb="FFE06666"/>
      </patternFill>
    </fill>
  </fills>
  <borders count="1">
    <border/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1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3" numFmtId="10" xfId="0" applyAlignment="1" applyFont="1" applyNumberFormat="1">
      <alignment readingOrder="0"/>
    </xf>
    <xf borderId="0" fillId="0" fontId="2" numFmtId="1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3" numFmtId="14" xfId="0" applyFont="1" applyNumberFormat="1"/>
    <xf borderId="0" fillId="0" fontId="3" numFmtId="0" xfId="0" applyFont="1"/>
    <xf borderId="0" fillId="0" fontId="1" numFmtId="0" xfId="0" applyAlignment="1" applyFont="1">
      <alignment readingOrder="0" vertical="top"/>
    </xf>
    <xf borderId="0" fillId="0" fontId="2" numFmtId="164" xfId="0" applyAlignment="1" applyFont="1" applyNumberFormat="1">
      <alignment horizontal="right" vertical="bottom"/>
    </xf>
    <xf borderId="0" fillId="0" fontId="3" numFmtId="164" xfId="0" applyFont="1" applyNumberFormat="1"/>
    <xf borderId="0" fillId="2" fontId="3" numFmtId="164" xfId="0" applyFill="1" applyFont="1" applyNumberFormat="1"/>
    <xf borderId="0" fillId="3" fontId="3" numFmtId="0" xfId="0" applyFill="1" applyFont="1"/>
    <xf borderId="0" fillId="0" fontId="1" numFmtId="164" xfId="0" applyAlignment="1" applyFont="1" applyNumberFormat="1">
      <alignment readingOrder="0"/>
    </xf>
    <xf borderId="0" fillId="0" fontId="3" numFmtId="165" xfId="0" applyFont="1" applyNumberFormat="1"/>
    <xf borderId="0" fillId="3" fontId="3" numFmtId="165" xfId="0" applyFont="1" applyNumberFormat="1"/>
    <xf borderId="0" fillId="4" fontId="3" numFmtId="14" xfId="0" applyFill="1" applyFont="1" applyNumberFormat="1"/>
    <xf borderId="0" fillId="4" fontId="3" numFmtId="0" xfId="0" applyFont="1"/>
    <xf borderId="0" fillId="4" fontId="3" numFmtId="164" xfId="0" applyFont="1" applyNumberFormat="1"/>
    <xf borderId="0" fillId="4" fontId="3" numFmtId="165" xfId="0" applyAlignment="1" applyFont="1" applyNumberFormat="1">
      <alignment readingOrder="0"/>
    </xf>
    <xf borderId="0" fillId="4" fontId="3" numFmtId="165" xfId="0" applyFont="1" applyNumberFormat="1"/>
    <xf borderId="0" fillId="2" fontId="3" numFmtId="0" xfId="0" applyAlignment="1" applyFont="1">
      <alignment readingOrder="0"/>
    </xf>
    <xf borderId="0" fillId="2" fontId="3" numFmtId="0" xfId="0" applyFont="1"/>
    <xf borderId="0" fillId="3" fontId="3" numFmtId="164" xfId="0" applyFont="1" applyNumberFormat="1"/>
    <xf borderId="0" fillId="5" fontId="3" numFmtId="14" xfId="0" applyFill="1" applyFont="1" applyNumberFormat="1"/>
    <xf borderId="0" fillId="5" fontId="3" numFmtId="0" xfId="0" applyFont="1"/>
    <xf borderId="0" fillId="5" fontId="3" numFmtId="164" xfId="0" applyFont="1" applyNumberFormat="1"/>
    <xf borderId="0" fillId="5" fontId="3" numFmtId="165" xfId="0" applyFont="1" applyNumberFormat="1"/>
    <xf borderId="0" fillId="0" fontId="3" numFmtId="0" xfId="0" applyAlignment="1" applyFont="1">
      <alignment readingOrder="0"/>
    </xf>
    <xf borderId="0" fillId="0" fontId="3" numFmtId="14" xfId="0" applyFont="1" applyNumberFormat="1"/>
    <xf borderId="0" fillId="0" fontId="3" numFmtId="166" xfId="0" applyFont="1" applyNumberFormat="1"/>
    <xf borderId="0" fillId="0" fontId="3" numFmtId="167" xfId="0" applyAlignment="1" applyFont="1" applyNumberFormat="1">
      <alignment readingOrder="0"/>
    </xf>
    <xf borderId="0" fillId="0" fontId="3" numFmtId="1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0</v>
      </c>
      <c r="D1" s="1" t="s">
        <v>2</v>
      </c>
      <c r="E1" s="1" t="s">
        <v>0</v>
      </c>
      <c r="F1" s="1" t="s">
        <v>3</v>
      </c>
      <c r="G1" s="1" t="s">
        <v>0</v>
      </c>
      <c r="H1" s="1" t="s">
        <v>4</v>
      </c>
      <c r="I1" s="1" t="s">
        <v>0</v>
      </c>
      <c r="J1" s="1" t="s">
        <v>5</v>
      </c>
      <c r="K1" s="1" t="s">
        <v>0</v>
      </c>
      <c r="L1" s="1" t="s">
        <v>6</v>
      </c>
      <c r="O1" s="2" t="str">
        <f>B1</f>
        <v>UBEUECR</v>
      </c>
      <c r="P1" s="2" t="str">
        <f>D1</f>
        <v>CSLOGBB</v>
      </c>
      <c r="Q1" s="2" t="str">
        <f>F1</f>
        <v>CBSWBOB</v>
      </c>
      <c r="R1" s="2" t="str">
        <f>H1</f>
        <v>BNOPLPT</v>
      </c>
      <c r="S1" s="2" t="str">
        <f>J1</f>
        <v>ETHAKTE</v>
      </c>
      <c r="T1" s="2" t="str">
        <f>L1</f>
        <v>MPCGLCA</v>
      </c>
    </row>
    <row r="2">
      <c r="A2" s="3">
        <v>43465.0</v>
      </c>
      <c r="B2" s="4">
        <v>107.74</v>
      </c>
      <c r="C2" s="3">
        <v>43363.0</v>
      </c>
      <c r="D2" s="4">
        <v>23.93</v>
      </c>
      <c r="E2" s="3">
        <v>43465.0</v>
      </c>
      <c r="F2" s="4">
        <v>115.65</v>
      </c>
      <c r="G2" s="3">
        <v>43462.0</v>
      </c>
      <c r="H2" s="4">
        <v>109.46</v>
      </c>
      <c r="I2" s="3">
        <v>43462.0</v>
      </c>
      <c r="J2" s="4">
        <v>120.54</v>
      </c>
      <c r="K2" s="3">
        <v>43465.0</v>
      </c>
      <c r="L2" s="4">
        <v>1327.918</v>
      </c>
      <c r="N2" s="1" t="s">
        <v>7</v>
      </c>
      <c r="O2" s="5">
        <v>0.1666</v>
      </c>
      <c r="P2" s="5">
        <v>0.1666</v>
      </c>
      <c r="Q2" s="5">
        <v>0.1666</v>
      </c>
      <c r="R2" s="5">
        <v>0.1666</v>
      </c>
      <c r="S2" s="5">
        <v>0.1666</v>
      </c>
      <c r="T2" s="5">
        <v>0.1667</v>
      </c>
    </row>
    <row r="3">
      <c r="A3" s="3">
        <v>43462.0</v>
      </c>
      <c r="B3" s="4">
        <v>107.71</v>
      </c>
      <c r="C3" s="3">
        <v>43362.0</v>
      </c>
      <c r="D3" s="4">
        <v>23.94</v>
      </c>
      <c r="E3" s="3">
        <v>43462.0</v>
      </c>
      <c r="F3" s="4">
        <v>115.62</v>
      </c>
      <c r="G3" s="3">
        <v>43461.0</v>
      </c>
      <c r="H3" s="4">
        <v>109.34</v>
      </c>
      <c r="I3" s="3">
        <v>43461.0</v>
      </c>
      <c r="J3" s="4">
        <v>120.29</v>
      </c>
      <c r="K3" s="3">
        <v>43462.0</v>
      </c>
      <c r="L3" s="4">
        <v>1326.26</v>
      </c>
    </row>
    <row r="4">
      <c r="A4" s="3">
        <v>43461.0</v>
      </c>
      <c r="B4" s="4">
        <v>107.38</v>
      </c>
      <c r="C4" s="3">
        <v>43361.0</v>
      </c>
      <c r="D4" s="4">
        <v>23.94</v>
      </c>
      <c r="E4" s="3">
        <v>43461.0</v>
      </c>
      <c r="F4" s="4">
        <v>115.61</v>
      </c>
      <c r="G4" s="3">
        <v>43455.0</v>
      </c>
      <c r="H4" s="4">
        <v>109.29</v>
      </c>
      <c r="I4" s="3">
        <v>43455.0</v>
      </c>
      <c r="J4" s="4">
        <v>120.4</v>
      </c>
      <c r="K4" s="3">
        <v>43461.0</v>
      </c>
      <c r="L4" s="4">
        <v>1326.244</v>
      </c>
    </row>
    <row r="5">
      <c r="A5" s="3">
        <v>43455.0</v>
      </c>
      <c r="B5" s="4">
        <v>107.84</v>
      </c>
      <c r="C5" s="3">
        <v>43360.0</v>
      </c>
      <c r="D5" s="4">
        <v>23.94</v>
      </c>
      <c r="E5" s="3">
        <v>43455.0</v>
      </c>
      <c r="F5" s="4">
        <v>115.61</v>
      </c>
      <c r="G5" s="3">
        <v>43454.0</v>
      </c>
      <c r="H5" s="4">
        <v>109.29</v>
      </c>
      <c r="I5" s="3">
        <v>43454.0</v>
      </c>
      <c r="J5" s="4">
        <v>120.69</v>
      </c>
      <c r="K5" s="3">
        <v>43455.0</v>
      </c>
      <c r="L5" s="4">
        <v>1322.597</v>
      </c>
    </row>
    <row r="6">
      <c r="A6" s="3">
        <v>43454.0</v>
      </c>
      <c r="B6" s="4">
        <v>107.87</v>
      </c>
      <c r="C6" s="3">
        <v>43357.0</v>
      </c>
      <c r="D6" s="4">
        <v>23.93</v>
      </c>
      <c r="E6" s="3">
        <v>43454.0</v>
      </c>
      <c r="F6" s="4">
        <v>115.62</v>
      </c>
      <c r="G6" s="3">
        <v>43453.0</v>
      </c>
      <c r="H6" s="4">
        <v>109.14</v>
      </c>
      <c r="I6" s="3">
        <v>43453.0</v>
      </c>
      <c r="J6" s="4">
        <v>120.55</v>
      </c>
      <c r="K6" s="3">
        <v>43454.0</v>
      </c>
      <c r="L6" s="4">
        <v>1337.783</v>
      </c>
    </row>
    <row r="7">
      <c r="A7" s="3">
        <v>43453.0</v>
      </c>
      <c r="B7" s="4">
        <v>108.29</v>
      </c>
      <c r="C7" s="3">
        <v>43356.0</v>
      </c>
      <c r="D7" s="4">
        <v>23.93</v>
      </c>
      <c r="E7" s="3">
        <v>43453.0</v>
      </c>
      <c r="F7" s="4">
        <v>115.67</v>
      </c>
      <c r="G7" s="3">
        <v>43452.0</v>
      </c>
      <c r="H7" s="4">
        <v>109.0</v>
      </c>
      <c r="I7" s="3">
        <v>43452.0</v>
      </c>
      <c r="J7" s="4">
        <v>120.63</v>
      </c>
      <c r="K7" s="3">
        <v>43453.0</v>
      </c>
      <c r="L7" s="4">
        <v>1343.3</v>
      </c>
    </row>
    <row r="8">
      <c r="A8" s="3">
        <v>43452.0</v>
      </c>
      <c r="B8" s="4">
        <v>108.28</v>
      </c>
      <c r="C8" s="3">
        <v>43355.0</v>
      </c>
      <c r="D8" s="4">
        <v>23.94</v>
      </c>
      <c r="E8" s="3">
        <v>43452.0</v>
      </c>
      <c r="F8" s="4">
        <v>115.68</v>
      </c>
      <c r="G8" s="3">
        <v>43451.0</v>
      </c>
      <c r="H8" s="4">
        <v>108.91</v>
      </c>
      <c r="I8" s="3">
        <v>43451.0</v>
      </c>
      <c r="J8" s="4">
        <v>120.96</v>
      </c>
      <c r="K8" s="3">
        <v>43452.0</v>
      </c>
      <c r="L8" s="4">
        <v>1345.449</v>
      </c>
    </row>
    <row r="9">
      <c r="A9" s="3">
        <v>43451.0</v>
      </c>
      <c r="B9" s="4">
        <v>108.38</v>
      </c>
      <c r="C9" s="3">
        <v>43354.0</v>
      </c>
      <c r="D9" s="4">
        <v>23.94</v>
      </c>
      <c r="E9" s="3">
        <v>43451.0</v>
      </c>
      <c r="F9" s="4">
        <v>115.69</v>
      </c>
      <c r="G9" s="3">
        <v>43448.0</v>
      </c>
      <c r="H9" s="4">
        <v>108.92</v>
      </c>
      <c r="I9" s="3">
        <v>43448.0</v>
      </c>
      <c r="J9" s="4">
        <v>121.11</v>
      </c>
      <c r="K9" s="3">
        <v>43451.0</v>
      </c>
      <c r="L9" s="4">
        <v>1354.865</v>
      </c>
    </row>
    <row r="10">
      <c r="A10" s="3">
        <v>43448.0</v>
      </c>
      <c r="B10" s="4">
        <v>108.73</v>
      </c>
      <c r="C10" s="3">
        <v>43353.0</v>
      </c>
      <c r="D10" s="4">
        <v>23.94</v>
      </c>
      <c r="E10" s="3">
        <v>43448.0</v>
      </c>
      <c r="F10" s="4">
        <v>115.68</v>
      </c>
      <c r="G10" s="3">
        <v>43447.0</v>
      </c>
      <c r="H10" s="4">
        <v>108.95</v>
      </c>
      <c r="I10" s="3">
        <v>43447.0</v>
      </c>
      <c r="J10" s="4">
        <v>120.89</v>
      </c>
      <c r="K10" s="3">
        <v>43448.0</v>
      </c>
      <c r="L10" s="4">
        <v>1357.79</v>
      </c>
    </row>
    <row r="11">
      <c r="A11" s="3">
        <v>43447.0</v>
      </c>
      <c r="B11" s="4">
        <v>108.93</v>
      </c>
      <c r="C11" s="3">
        <v>43350.0</v>
      </c>
      <c r="D11" s="4">
        <v>23.94</v>
      </c>
      <c r="E11" s="3">
        <v>43447.0</v>
      </c>
      <c r="F11" s="4">
        <v>115.68</v>
      </c>
      <c r="G11" s="3">
        <v>43446.0</v>
      </c>
      <c r="H11" s="4">
        <v>108.81</v>
      </c>
      <c r="I11" s="3">
        <v>43446.0</v>
      </c>
      <c r="J11" s="4">
        <v>120.9</v>
      </c>
      <c r="K11" s="3">
        <v>43447.0</v>
      </c>
      <c r="L11" s="4">
        <v>1361.06</v>
      </c>
    </row>
    <row r="12">
      <c r="A12" s="3">
        <v>43446.0</v>
      </c>
      <c r="B12" s="4">
        <v>109.04</v>
      </c>
      <c r="C12" s="3">
        <v>43349.0</v>
      </c>
      <c r="D12" s="4">
        <v>23.94</v>
      </c>
      <c r="E12" s="3">
        <v>43446.0</v>
      </c>
      <c r="F12" s="4">
        <v>115.65</v>
      </c>
      <c r="G12" s="3">
        <v>43445.0</v>
      </c>
      <c r="H12" s="4">
        <v>108.5</v>
      </c>
      <c r="I12" s="3">
        <v>43445.0</v>
      </c>
      <c r="J12" s="4">
        <v>120.82</v>
      </c>
      <c r="K12" s="3">
        <v>43446.0</v>
      </c>
      <c r="L12" s="4">
        <v>1354.648</v>
      </c>
    </row>
    <row r="13">
      <c r="A13" s="3">
        <v>43445.0</v>
      </c>
      <c r="B13" s="4">
        <v>108.69</v>
      </c>
      <c r="C13" s="3">
        <v>43348.0</v>
      </c>
      <c r="D13" s="4">
        <v>23.93</v>
      </c>
      <c r="E13" s="3">
        <v>43445.0</v>
      </c>
      <c r="F13" s="4">
        <v>115.64</v>
      </c>
      <c r="G13" s="3">
        <v>43444.0</v>
      </c>
      <c r="H13" s="4">
        <v>108.91</v>
      </c>
      <c r="I13" s="3">
        <v>43444.0</v>
      </c>
      <c r="J13" s="4">
        <v>121.08</v>
      </c>
      <c r="K13" s="3">
        <v>43445.0</v>
      </c>
      <c r="L13" s="4">
        <v>1352.079</v>
      </c>
    </row>
    <row r="14">
      <c r="A14" s="3">
        <v>43444.0</v>
      </c>
      <c r="B14" s="4">
        <v>108.43</v>
      </c>
      <c r="C14" s="3">
        <v>43347.0</v>
      </c>
      <c r="D14" s="4">
        <v>23.95</v>
      </c>
      <c r="E14" s="3">
        <v>43444.0</v>
      </c>
      <c r="F14" s="4">
        <v>115.63</v>
      </c>
      <c r="G14" s="3">
        <v>43441.0</v>
      </c>
      <c r="H14" s="4">
        <v>108.73</v>
      </c>
      <c r="I14" s="3">
        <v>43441.0</v>
      </c>
      <c r="J14" s="4">
        <v>121.35</v>
      </c>
      <c r="K14" s="3">
        <v>43444.0</v>
      </c>
      <c r="L14" s="4">
        <v>1356.752</v>
      </c>
    </row>
    <row r="15">
      <c r="A15" s="3">
        <v>43441.0</v>
      </c>
      <c r="B15" s="4">
        <v>108.85</v>
      </c>
      <c r="C15" s="3">
        <v>43346.0</v>
      </c>
      <c r="D15" s="4">
        <v>23.94</v>
      </c>
      <c r="E15" s="3">
        <v>43441.0</v>
      </c>
      <c r="F15" s="4">
        <v>115.64</v>
      </c>
      <c r="G15" s="3">
        <v>43440.0</v>
      </c>
      <c r="H15" s="4">
        <v>109.32</v>
      </c>
      <c r="I15" s="3">
        <v>43440.0</v>
      </c>
      <c r="J15" s="4">
        <v>121.87</v>
      </c>
      <c r="K15" s="3">
        <v>43441.0</v>
      </c>
      <c r="L15" s="4">
        <v>1361.876</v>
      </c>
    </row>
    <row r="16">
      <c r="A16" s="3">
        <v>43440.0</v>
      </c>
      <c r="B16" s="4">
        <v>108.82</v>
      </c>
      <c r="C16" s="3">
        <v>43343.0</v>
      </c>
      <c r="D16" s="4">
        <v>23.94</v>
      </c>
      <c r="E16" s="3">
        <v>43440.0</v>
      </c>
      <c r="F16" s="4">
        <v>115.63</v>
      </c>
      <c r="G16" s="3">
        <v>43439.0</v>
      </c>
      <c r="H16" s="4">
        <v>109.62</v>
      </c>
      <c r="I16" s="3">
        <v>43439.0</v>
      </c>
      <c r="J16" s="4">
        <v>122.14</v>
      </c>
      <c r="K16" s="3">
        <v>43440.0</v>
      </c>
      <c r="L16" s="4">
        <v>1367.184</v>
      </c>
    </row>
    <row r="17">
      <c r="A17" s="3">
        <v>43439.0</v>
      </c>
      <c r="B17" s="4">
        <v>109.65</v>
      </c>
      <c r="C17" s="3">
        <v>43342.0</v>
      </c>
      <c r="D17" s="4">
        <v>23.93</v>
      </c>
      <c r="E17" s="3">
        <v>43439.0</v>
      </c>
      <c r="F17" s="4">
        <v>115.67</v>
      </c>
      <c r="G17" s="3">
        <v>43438.0</v>
      </c>
      <c r="H17" s="4">
        <v>109.61</v>
      </c>
      <c r="I17" s="3">
        <v>43438.0</v>
      </c>
      <c r="J17" s="4">
        <v>122.5</v>
      </c>
      <c r="K17" s="3">
        <v>43439.0</v>
      </c>
      <c r="L17" s="4">
        <v>1372.962</v>
      </c>
    </row>
    <row r="18">
      <c r="A18" s="3">
        <v>43438.0</v>
      </c>
      <c r="B18" s="4">
        <v>110.0</v>
      </c>
      <c r="C18" s="3">
        <v>43341.0</v>
      </c>
      <c r="D18" s="4">
        <v>23.92</v>
      </c>
      <c r="E18" s="3">
        <v>43438.0</v>
      </c>
      <c r="F18" s="4">
        <v>115.68</v>
      </c>
      <c r="G18" s="3">
        <v>43437.0</v>
      </c>
      <c r="H18" s="4">
        <v>109.69</v>
      </c>
      <c r="I18" s="3">
        <v>43437.0</v>
      </c>
      <c r="J18" s="4">
        <v>121.75</v>
      </c>
      <c r="K18" s="3">
        <v>43438.0</v>
      </c>
      <c r="L18" s="4">
        <v>1378.978</v>
      </c>
    </row>
    <row r="19">
      <c r="A19" s="3">
        <v>43437.0</v>
      </c>
      <c r="B19" s="4">
        <v>110.3</v>
      </c>
      <c r="C19" s="3">
        <v>43340.0</v>
      </c>
      <c r="D19" s="4">
        <v>23.92</v>
      </c>
      <c r="E19" s="3">
        <v>43437.0</v>
      </c>
      <c r="F19" s="4">
        <v>115.71</v>
      </c>
      <c r="G19" s="3">
        <v>43434.0</v>
      </c>
      <c r="H19" s="4">
        <v>109.64</v>
      </c>
      <c r="I19" s="3">
        <v>43434.0</v>
      </c>
      <c r="J19" s="4">
        <v>121.65</v>
      </c>
      <c r="K19" s="3">
        <v>43437.0</v>
      </c>
      <c r="L19" s="4">
        <v>1366.565</v>
      </c>
    </row>
    <row r="20">
      <c r="A20" s="3">
        <v>43434.0</v>
      </c>
      <c r="B20" s="4">
        <v>110.02</v>
      </c>
      <c r="C20" s="3">
        <v>43339.0</v>
      </c>
      <c r="D20" s="4">
        <v>23.94</v>
      </c>
      <c r="E20" s="3">
        <v>43434.0</v>
      </c>
      <c r="F20" s="4">
        <v>115.68</v>
      </c>
      <c r="G20" s="3">
        <v>43433.0</v>
      </c>
      <c r="H20" s="4">
        <v>109.48</v>
      </c>
      <c r="I20" s="3">
        <v>43433.0</v>
      </c>
      <c r="J20" s="4">
        <v>121.69</v>
      </c>
      <c r="K20" s="3">
        <v>43434.0</v>
      </c>
      <c r="L20" s="4">
        <v>1370.566</v>
      </c>
    </row>
    <row r="21">
      <c r="A21" s="3">
        <v>43433.0</v>
      </c>
      <c r="B21" s="4">
        <v>110.23</v>
      </c>
      <c r="C21" s="3">
        <v>43336.0</v>
      </c>
      <c r="D21" s="4">
        <v>23.95</v>
      </c>
      <c r="E21" s="3">
        <v>43433.0</v>
      </c>
      <c r="F21" s="4">
        <v>115.66</v>
      </c>
      <c r="G21" s="3">
        <v>43432.0</v>
      </c>
      <c r="H21" s="4">
        <v>109.46</v>
      </c>
      <c r="I21" s="3">
        <v>43432.0</v>
      </c>
      <c r="J21" s="4">
        <v>121.32</v>
      </c>
      <c r="K21" s="3">
        <v>43433.0</v>
      </c>
      <c r="L21" s="4">
        <v>1367.854</v>
      </c>
    </row>
    <row r="22">
      <c r="A22" s="3">
        <v>43432.0</v>
      </c>
      <c r="B22" s="4">
        <v>110.17</v>
      </c>
      <c r="C22" s="3">
        <v>43335.0</v>
      </c>
      <c r="D22" s="4">
        <v>23.96</v>
      </c>
      <c r="E22" s="3">
        <v>43432.0</v>
      </c>
      <c r="F22" s="4">
        <v>115.66</v>
      </c>
      <c r="G22" s="3">
        <v>43431.0</v>
      </c>
      <c r="H22" s="4">
        <v>109.38</v>
      </c>
      <c r="I22" s="3">
        <v>43431.0</v>
      </c>
      <c r="J22" s="4">
        <v>121.38</v>
      </c>
      <c r="K22" s="3">
        <v>43432.0</v>
      </c>
      <c r="L22" s="4">
        <v>1366.354</v>
      </c>
    </row>
    <row r="23">
      <c r="A23" s="3">
        <v>43431.0</v>
      </c>
      <c r="B23" s="4">
        <v>110.16</v>
      </c>
      <c r="C23" s="3">
        <v>43334.0</v>
      </c>
      <c r="D23" s="4">
        <v>23.97</v>
      </c>
      <c r="E23" s="3">
        <v>43431.0</v>
      </c>
      <c r="F23" s="4">
        <v>115.67</v>
      </c>
      <c r="G23" s="3">
        <v>43430.0</v>
      </c>
      <c r="H23" s="4">
        <v>109.42</v>
      </c>
      <c r="I23" s="3">
        <v>43430.0</v>
      </c>
      <c r="J23" s="4">
        <v>121.34</v>
      </c>
      <c r="K23" s="3">
        <v>43431.0</v>
      </c>
      <c r="L23" s="4">
        <v>1366.914</v>
      </c>
    </row>
    <row r="24">
      <c r="A24" s="3">
        <v>43430.0</v>
      </c>
      <c r="B24" s="4">
        <v>110.19</v>
      </c>
      <c r="C24" s="3">
        <v>43333.0</v>
      </c>
      <c r="D24" s="4">
        <v>23.98</v>
      </c>
      <c r="E24" s="3">
        <v>43430.0</v>
      </c>
      <c r="F24" s="4">
        <v>115.69</v>
      </c>
      <c r="G24" s="3">
        <v>43427.0</v>
      </c>
      <c r="H24" s="4">
        <v>109.36</v>
      </c>
      <c r="I24" s="3">
        <v>43427.0</v>
      </c>
      <c r="J24" s="4">
        <v>121.44</v>
      </c>
      <c r="K24" s="3">
        <v>43430.0</v>
      </c>
      <c r="L24" s="4">
        <v>1361.992</v>
      </c>
    </row>
    <row r="25">
      <c r="A25" s="3">
        <v>43427.0</v>
      </c>
      <c r="B25" s="4">
        <v>109.94</v>
      </c>
      <c r="C25" s="3">
        <v>43332.0</v>
      </c>
      <c r="D25" s="4">
        <v>23.99</v>
      </c>
      <c r="E25" s="3">
        <v>43427.0</v>
      </c>
      <c r="F25" s="4">
        <v>115.67</v>
      </c>
      <c r="G25" s="3">
        <v>43426.0</v>
      </c>
      <c r="H25" s="4">
        <v>109.36</v>
      </c>
      <c r="I25" s="3">
        <v>43426.0</v>
      </c>
      <c r="J25" s="4">
        <v>121.61</v>
      </c>
      <c r="K25" s="3">
        <v>43427.0</v>
      </c>
      <c r="L25" s="4">
        <v>1361.64</v>
      </c>
    </row>
    <row r="26">
      <c r="A26" s="3">
        <v>43426.0</v>
      </c>
      <c r="B26" s="4">
        <v>109.96</v>
      </c>
      <c r="C26" s="3">
        <v>43329.0</v>
      </c>
      <c r="D26" s="4">
        <v>23.99</v>
      </c>
      <c r="E26" s="3">
        <v>43426.0</v>
      </c>
      <c r="F26" s="4">
        <v>115.67</v>
      </c>
      <c r="G26" s="3">
        <v>43425.0</v>
      </c>
      <c r="H26" s="4">
        <v>109.46</v>
      </c>
      <c r="I26" s="3">
        <v>43425.0</v>
      </c>
      <c r="J26" s="4">
        <v>121.56</v>
      </c>
      <c r="K26" s="3">
        <v>43426.0</v>
      </c>
      <c r="L26" s="4">
        <v>1362.434</v>
      </c>
    </row>
    <row r="27">
      <c r="A27" s="3">
        <v>43425.0</v>
      </c>
      <c r="B27" s="4">
        <v>110.23</v>
      </c>
      <c r="C27" s="3">
        <v>43328.0</v>
      </c>
      <c r="D27" s="4">
        <v>24.0</v>
      </c>
      <c r="E27" s="3">
        <v>43425.0</v>
      </c>
      <c r="F27" s="4">
        <v>115.67</v>
      </c>
      <c r="G27" s="3">
        <v>43424.0</v>
      </c>
      <c r="H27" s="4">
        <v>109.39</v>
      </c>
      <c r="I27" s="3">
        <v>43424.0</v>
      </c>
      <c r="J27" s="4">
        <v>122.2</v>
      </c>
      <c r="K27" s="3">
        <v>43425.0</v>
      </c>
      <c r="L27" s="4">
        <v>1359.885</v>
      </c>
    </row>
    <row r="28">
      <c r="A28" s="3">
        <v>43424.0</v>
      </c>
      <c r="B28" s="4">
        <v>109.98</v>
      </c>
      <c r="C28" s="3">
        <v>43326.0</v>
      </c>
      <c r="D28" s="4">
        <v>24.02</v>
      </c>
      <c r="E28" s="3">
        <v>43424.0</v>
      </c>
      <c r="F28" s="4">
        <v>115.65</v>
      </c>
      <c r="G28" s="3">
        <v>43423.0</v>
      </c>
      <c r="H28" s="4">
        <v>109.41</v>
      </c>
      <c r="I28" s="3">
        <v>43423.0</v>
      </c>
      <c r="J28" s="4">
        <v>122.35</v>
      </c>
      <c r="K28" s="3">
        <v>43424.0</v>
      </c>
      <c r="L28" s="4">
        <v>1366.473</v>
      </c>
    </row>
    <row r="29">
      <c r="A29" s="3">
        <v>43423.0</v>
      </c>
      <c r="B29" s="4">
        <v>110.52</v>
      </c>
      <c r="C29" s="3">
        <v>43325.0</v>
      </c>
      <c r="D29" s="4">
        <v>24.01</v>
      </c>
      <c r="E29" s="3">
        <v>43423.0</v>
      </c>
      <c r="F29" s="4">
        <v>115.72</v>
      </c>
      <c r="G29" s="3">
        <v>43420.0</v>
      </c>
      <c r="H29" s="4">
        <v>109.39</v>
      </c>
      <c r="I29" s="3">
        <v>43420.0</v>
      </c>
      <c r="J29" s="4">
        <v>122.39</v>
      </c>
      <c r="K29" s="3">
        <v>43423.0</v>
      </c>
      <c r="L29" s="4">
        <v>1373.586</v>
      </c>
    </row>
    <row r="30">
      <c r="A30" s="3">
        <v>43420.0</v>
      </c>
      <c r="B30" s="4">
        <v>110.82</v>
      </c>
      <c r="C30" s="3">
        <v>43322.0</v>
      </c>
      <c r="D30" s="4">
        <v>24.01</v>
      </c>
      <c r="E30" s="3">
        <v>43420.0</v>
      </c>
      <c r="F30" s="4">
        <v>115.72</v>
      </c>
      <c r="G30" s="3">
        <v>43419.0</v>
      </c>
      <c r="H30" s="4">
        <v>109.21</v>
      </c>
      <c r="I30" s="3">
        <v>43419.0</v>
      </c>
      <c r="J30" s="4">
        <v>122.19</v>
      </c>
      <c r="K30" s="3">
        <v>43420.0</v>
      </c>
      <c r="L30" s="4">
        <v>1373.3</v>
      </c>
    </row>
    <row r="31">
      <c r="A31" s="3">
        <v>43419.0</v>
      </c>
      <c r="B31" s="4">
        <v>111.06</v>
      </c>
      <c r="C31" s="3">
        <v>43321.0</v>
      </c>
      <c r="D31" s="4">
        <v>23.97</v>
      </c>
      <c r="E31" s="3">
        <v>43419.0</v>
      </c>
      <c r="F31" s="4">
        <v>115.71</v>
      </c>
      <c r="G31" s="3">
        <v>43418.0</v>
      </c>
      <c r="H31" s="4">
        <v>109.17</v>
      </c>
      <c r="I31" s="3">
        <v>43418.0</v>
      </c>
      <c r="J31" s="4">
        <v>122.51</v>
      </c>
      <c r="K31" s="3">
        <v>43419.0</v>
      </c>
      <c r="L31" s="4">
        <v>1373.593</v>
      </c>
    </row>
    <row r="32">
      <c r="A32" s="3">
        <v>43418.0</v>
      </c>
      <c r="B32" s="4">
        <v>111.31</v>
      </c>
      <c r="C32" s="3">
        <v>43320.0</v>
      </c>
      <c r="D32" s="4">
        <v>23.97</v>
      </c>
      <c r="E32" s="3">
        <v>43418.0</v>
      </c>
      <c r="F32" s="4">
        <v>115.76</v>
      </c>
      <c r="G32" s="3">
        <v>43417.0</v>
      </c>
      <c r="H32" s="4">
        <v>109.21</v>
      </c>
      <c r="I32" s="3">
        <v>43417.0</v>
      </c>
      <c r="J32" s="4">
        <v>122.46</v>
      </c>
      <c r="K32" s="3">
        <v>43418.0</v>
      </c>
      <c r="L32" s="4">
        <v>1375.286</v>
      </c>
    </row>
    <row r="33">
      <c r="A33" s="3">
        <v>43417.0</v>
      </c>
      <c r="B33" s="4">
        <v>111.43</v>
      </c>
      <c r="C33" s="3">
        <v>43319.0</v>
      </c>
      <c r="D33" s="4">
        <v>23.97</v>
      </c>
      <c r="E33" s="3">
        <v>43417.0</v>
      </c>
      <c r="F33" s="4">
        <v>115.77</v>
      </c>
      <c r="G33" s="3">
        <v>43416.0</v>
      </c>
      <c r="H33" s="4">
        <v>109.07</v>
      </c>
      <c r="I33" s="3">
        <v>43416.0</v>
      </c>
      <c r="J33" s="4">
        <v>122.6</v>
      </c>
      <c r="K33" s="3">
        <v>43417.0</v>
      </c>
      <c r="L33" s="4">
        <v>1373.507</v>
      </c>
    </row>
    <row r="34">
      <c r="A34" s="3">
        <v>43416.0</v>
      </c>
      <c r="B34" s="4">
        <v>111.33</v>
      </c>
      <c r="C34" s="3">
        <v>43318.0</v>
      </c>
      <c r="D34" s="4">
        <v>23.98</v>
      </c>
      <c r="E34" s="3">
        <v>43416.0</v>
      </c>
      <c r="F34" s="4">
        <v>115.76</v>
      </c>
      <c r="G34" s="3">
        <v>43413.0</v>
      </c>
      <c r="H34" s="4">
        <v>108.86</v>
      </c>
      <c r="I34" s="3">
        <v>43413.0</v>
      </c>
      <c r="J34" s="4">
        <v>122.83</v>
      </c>
      <c r="K34" s="3">
        <v>43416.0</v>
      </c>
      <c r="L34" s="4">
        <v>1385.311</v>
      </c>
    </row>
    <row r="35">
      <c r="A35" s="3">
        <v>43413.0</v>
      </c>
      <c r="B35" s="4">
        <v>111.74</v>
      </c>
      <c r="C35" s="3">
        <v>43315.0</v>
      </c>
      <c r="D35" s="4">
        <v>23.97</v>
      </c>
      <c r="E35" s="3">
        <v>43413.0</v>
      </c>
      <c r="F35" s="4">
        <v>115.76</v>
      </c>
      <c r="G35" s="3">
        <v>43412.0</v>
      </c>
      <c r="H35" s="4">
        <v>108.96</v>
      </c>
      <c r="I35" s="3">
        <v>43412.0</v>
      </c>
      <c r="J35" s="4">
        <v>122.9</v>
      </c>
      <c r="K35" s="3">
        <v>43413.0</v>
      </c>
      <c r="L35" s="4">
        <v>1390.406</v>
      </c>
    </row>
    <row r="36">
      <c r="A36" s="3">
        <v>43412.0</v>
      </c>
      <c r="B36" s="4">
        <v>112.03</v>
      </c>
      <c r="C36" s="3">
        <v>43314.0</v>
      </c>
      <c r="D36" s="4">
        <v>23.96</v>
      </c>
      <c r="E36" s="3">
        <v>43412.0</v>
      </c>
      <c r="F36" s="4">
        <v>115.78</v>
      </c>
      <c r="G36" s="3">
        <v>43411.0</v>
      </c>
      <c r="H36" s="4">
        <v>109.05</v>
      </c>
      <c r="I36" s="3">
        <v>43411.0</v>
      </c>
      <c r="J36" s="4">
        <v>122.63</v>
      </c>
      <c r="K36" s="3">
        <v>43412.0</v>
      </c>
      <c r="L36" s="4">
        <v>1389.633</v>
      </c>
    </row>
    <row r="37">
      <c r="A37" s="3">
        <v>43411.0</v>
      </c>
      <c r="B37" s="4">
        <v>112.13</v>
      </c>
      <c r="C37" s="3">
        <v>43313.0</v>
      </c>
      <c r="D37" s="4">
        <v>23.95</v>
      </c>
      <c r="E37" s="3">
        <v>43411.0</v>
      </c>
      <c r="F37" s="4">
        <v>115.79</v>
      </c>
      <c r="G37" s="3">
        <v>43410.0</v>
      </c>
      <c r="H37" s="4">
        <v>109.11</v>
      </c>
      <c r="I37" s="3">
        <v>43410.0</v>
      </c>
      <c r="J37" s="4">
        <v>122.64</v>
      </c>
      <c r="K37" s="3">
        <v>43411.0</v>
      </c>
      <c r="L37" s="4">
        <v>1383.885</v>
      </c>
    </row>
    <row r="38">
      <c r="A38" s="3">
        <v>43410.0</v>
      </c>
      <c r="B38" s="4">
        <v>111.82</v>
      </c>
      <c r="C38" s="3">
        <v>43312.0</v>
      </c>
      <c r="D38" s="4">
        <v>23.96</v>
      </c>
      <c r="E38" s="3">
        <v>43410.0</v>
      </c>
      <c r="F38" s="4">
        <v>115.74</v>
      </c>
      <c r="G38" s="3">
        <v>43409.0</v>
      </c>
      <c r="H38" s="4">
        <v>109.06</v>
      </c>
      <c r="I38" s="3">
        <v>43409.0</v>
      </c>
      <c r="J38" s="4">
        <v>122.78</v>
      </c>
      <c r="K38" s="3">
        <v>43410.0</v>
      </c>
      <c r="L38" s="4">
        <v>1383.318</v>
      </c>
    </row>
    <row r="39">
      <c r="A39" s="3">
        <v>43409.0</v>
      </c>
      <c r="B39" s="4">
        <v>111.86</v>
      </c>
      <c r="C39" s="3">
        <v>43311.0</v>
      </c>
      <c r="D39" s="4">
        <v>23.95</v>
      </c>
      <c r="E39" s="3">
        <v>43409.0</v>
      </c>
      <c r="F39" s="4">
        <v>115.71</v>
      </c>
      <c r="G39" s="3">
        <v>43406.0</v>
      </c>
      <c r="H39" s="4">
        <v>109.3</v>
      </c>
      <c r="I39" s="3">
        <v>43406.0</v>
      </c>
      <c r="J39" s="4">
        <v>122.61</v>
      </c>
      <c r="K39" s="3">
        <v>43409.0</v>
      </c>
      <c r="L39" s="4">
        <v>1384.308</v>
      </c>
    </row>
    <row r="40">
      <c r="A40" s="3">
        <v>43406.0</v>
      </c>
      <c r="B40" s="4">
        <v>111.98</v>
      </c>
      <c r="C40" s="3">
        <v>43308.0</v>
      </c>
      <c r="D40" s="4">
        <v>23.97</v>
      </c>
      <c r="E40" s="3">
        <v>43406.0</v>
      </c>
      <c r="F40" s="4">
        <v>115.65</v>
      </c>
      <c r="G40" s="3">
        <v>43404.0</v>
      </c>
      <c r="H40" s="4">
        <v>109.39</v>
      </c>
      <c r="I40" s="3">
        <v>43404.0</v>
      </c>
      <c r="J40" s="4">
        <v>122.15</v>
      </c>
      <c r="K40" s="3">
        <v>43406.0</v>
      </c>
      <c r="L40" s="4">
        <v>1385.399</v>
      </c>
    </row>
    <row r="41">
      <c r="A41" s="3">
        <v>43404.0</v>
      </c>
      <c r="B41" s="4">
        <v>111.62</v>
      </c>
      <c r="C41" s="3">
        <v>43307.0</v>
      </c>
      <c r="D41" s="4">
        <v>23.97</v>
      </c>
      <c r="E41" s="3">
        <v>43404.0</v>
      </c>
      <c r="F41" s="4">
        <v>115.65</v>
      </c>
      <c r="G41" s="3">
        <v>43403.0</v>
      </c>
      <c r="H41" s="4">
        <v>109.45</v>
      </c>
      <c r="I41" s="3">
        <v>43403.0</v>
      </c>
      <c r="J41" s="4">
        <v>121.83</v>
      </c>
      <c r="K41" s="3">
        <v>43404.0</v>
      </c>
      <c r="L41" s="4">
        <v>1369.163</v>
      </c>
    </row>
    <row r="42">
      <c r="A42" s="3">
        <v>43403.0</v>
      </c>
      <c r="B42" s="4">
        <v>111.23</v>
      </c>
      <c r="C42" s="3">
        <v>43306.0</v>
      </c>
      <c r="D42" s="4">
        <v>23.97</v>
      </c>
      <c r="E42" s="3">
        <v>43403.0</v>
      </c>
      <c r="F42" s="4">
        <v>115.62</v>
      </c>
      <c r="G42" s="3">
        <v>43402.0</v>
      </c>
      <c r="H42" s="4">
        <v>109.48</v>
      </c>
      <c r="I42" s="3">
        <v>43402.0</v>
      </c>
      <c r="J42" s="4">
        <v>122.63</v>
      </c>
      <c r="K42" s="3">
        <v>43403.0</v>
      </c>
      <c r="L42" s="4">
        <v>1364.607</v>
      </c>
    </row>
    <row r="43">
      <c r="A43" s="3">
        <v>43402.0</v>
      </c>
      <c r="B43" s="4">
        <v>111.22</v>
      </c>
      <c r="C43" s="3">
        <v>43305.0</v>
      </c>
      <c r="D43" s="4">
        <v>23.95</v>
      </c>
      <c r="E43" s="3">
        <v>43402.0</v>
      </c>
      <c r="F43" s="4">
        <v>115.65</v>
      </c>
      <c r="G43" s="3">
        <v>43399.0</v>
      </c>
      <c r="H43" s="4">
        <v>109.29</v>
      </c>
      <c r="I43" s="3">
        <v>43399.0</v>
      </c>
      <c r="J43" s="4">
        <v>122.78</v>
      </c>
      <c r="K43" s="3">
        <v>43402.0</v>
      </c>
      <c r="L43" s="4">
        <v>1365.285</v>
      </c>
    </row>
    <row r="44">
      <c r="A44" s="3">
        <v>43399.0</v>
      </c>
      <c r="B44" s="4">
        <v>110.94</v>
      </c>
      <c r="C44" s="3">
        <v>43304.0</v>
      </c>
      <c r="D44" s="4">
        <v>23.95</v>
      </c>
      <c r="E44" s="3">
        <v>43399.0</v>
      </c>
      <c r="F44" s="4">
        <v>115.59</v>
      </c>
      <c r="G44" s="3">
        <v>43398.0</v>
      </c>
      <c r="H44" s="4">
        <v>109.31</v>
      </c>
      <c r="I44" s="3">
        <v>43398.0</v>
      </c>
      <c r="J44" s="4">
        <v>122.84</v>
      </c>
      <c r="K44" s="3">
        <v>43399.0</v>
      </c>
      <c r="L44" s="4">
        <v>1369.252</v>
      </c>
    </row>
    <row r="45">
      <c r="A45" s="3">
        <v>43398.0</v>
      </c>
      <c r="B45" s="4">
        <v>111.1</v>
      </c>
      <c r="C45" s="3">
        <v>43301.0</v>
      </c>
      <c r="D45" s="4">
        <v>23.95</v>
      </c>
      <c r="E45" s="3">
        <v>43398.0</v>
      </c>
      <c r="F45" s="4">
        <v>115.6</v>
      </c>
      <c r="G45" s="3">
        <v>43397.0</v>
      </c>
      <c r="H45" s="4">
        <v>109.05</v>
      </c>
      <c r="I45" s="3">
        <v>43397.0</v>
      </c>
      <c r="J45" s="4">
        <v>123.3</v>
      </c>
      <c r="K45" s="3">
        <v>43398.0</v>
      </c>
      <c r="L45" s="4">
        <v>1366.66</v>
      </c>
    </row>
    <row r="46">
      <c r="A46" s="3">
        <v>43397.0</v>
      </c>
      <c r="B46" s="4">
        <v>110.84</v>
      </c>
      <c r="C46" s="3">
        <v>43300.0</v>
      </c>
      <c r="D46" s="4">
        <v>23.98</v>
      </c>
      <c r="E46" s="3">
        <v>43397.0</v>
      </c>
      <c r="F46" s="4">
        <v>115.61</v>
      </c>
      <c r="G46" s="3">
        <v>43396.0</v>
      </c>
      <c r="H46" s="4">
        <v>109.23</v>
      </c>
      <c r="I46" s="3">
        <v>43396.0</v>
      </c>
      <c r="J46" s="4">
        <v>124.0</v>
      </c>
      <c r="K46" s="3">
        <v>43397.0</v>
      </c>
      <c r="L46" s="4">
        <v>1374.889</v>
      </c>
    </row>
    <row r="47">
      <c r="A47" s="3">
        <v>43396.0</v>
      </c>
      <c r="B47" s="4">
        <v>111.02</v>
      </c>
      <c r="C47" s="3">
        <v>43299.0</v>
      </c>
      <c r="D47" s="4">
        <v>23.98</v>
      </c>
      <c r="E47" s="3">
        <v>43396.0</v>
      </c>
      <c r="F47" s="4">
        <v>115.61</v>
      </c>
      <c r="G47" s="3">
        <v>43395.0</v>
      </c>
      <c r="H47" s="4">
        <v>109.32</v>
      </c>
      <c r="I47" s="3">
        <v>43395.0</v>
      </c>
      <c r="J47" s="4">
        <v>123.73</v>
      </c>
      <c r="K47" s="3">
        <v>43396.0</v>
      </c>
      <c r="L47" s="4">
        <v>1378.727</v>
      </c>
    </row>
    <row r="48">
      <c r="A48" s="3">
        <v>43395.0</v>
      </c>
      <c r="B48" s="4">
        <v>111.57</v>
      </c>
      <c r="C48" s="3">
        <v>43298.0</v>
      </c>
      <c r="D48" s="4">
        <v>23.98</v>
      </c>
      <c r="E48" s="3">
        <v>43395.0</v>
      </c>
      <c r="F48" s="4">
        <v>115.64</v>
      </c>
      <c r="G48" s="3">
        <v>43392.0</v>
      </c>
      <c r="H48" s="4">
        <v>109.42</v>
      </c>
      <c r="I48" s="3">
        <v>43392.0</v>
      </c>
      <c r="J48" s="4">
        <v>123.79</v>
      </c>
      <c r="K48" s="3">
        <v>43395.0</v>
      </c>
      <c r="L48" s="4">
        <v>1382.304</v>
      </c>
    </row>
    <row r="49">
      <c r="A49" s="3">
        <v>43392.0</v>
      </c>
      <c r="B49" s="4">
        <v>111.76</v>
      </c>
      <c r="C49" s="3">
        <v>43297.0</v>
      </c>
      <c r="D49" s="4">
        <v>23.97</v>
      </c>
      <c r="E49" s="3">
        <v>43392.0</v>
      </c>
      <c r="F49" s="4">
        <v>115.62</v>
      </c>
      <c r="G49" s="3">
        <v>43391.0</v>
      </c>
      <c r="H49" s="4">
        <v>109.68</v>
      </c>
      <c r="I49" s="3">
        <v>43391.0</v>
      </c>
      <c r="J49" s="4">
        <v>124.21</v>
      </c>
      <c r="K49" s="3">
        <v>43392.0</v>
      </c>
      <c r="L49" s="4">
        <v>1384.799</v>
      </c>
    </row>
    <row r="50">
      <c r="A50" s="3">
        <v>43391.0</v>
      </c>
      <c r="B50" s="4">
        <v>111.93</v>
      </c>
      <c r="C50" s="3">
        <v>43294.0</v>
      </c>
      <c r="D50" s="4">
        <v>23.98</v>
      </c>
      <c r="E50" s="3">
        <v>43391.0</v>
      </c>
      <c r="F50" s="4">
        <v>115.62</v>
      </c>
      <c r="G50" s="3">
        <v>43390.0</v>
      </c>
      <c r="H50" s="4">
        <v>109.78</v>
      </c>
      <c r="I50" s="3">
        <v>43390.0</v>
      </c>
      <c r="J50" s="4">
        <v>124.12</v>
      </c>
      <c r="K50" s="3">
        <v>43391.0</v>
      </c>
      <c r="L50" s="4">
        <v>1390.385</v>
      </c>
    </row>
    <row r="51">
      <c r="A51" s="3">
        <v>43390.0</v>
      </c>
      <c r="B51" s="4">
        <v>112.11</v>
      </c>
      <c r="C51" s="3">
        <v>43293.0</v>
      </c>
      <c r="D51" s="4">
        <v>23.98</v>
      </c>
      <c r="E51" s="3">
        <v>43390.0</v>
      </c>
      <c r="F51" s="4">
        <v>115.64</v>
      </c>
      <c r="G51" s="3">
        <v>43389.0</v>
      </c>
      <c r="H51" s="4">
        <v>109.4</v>
      </c>
      <c r="I51" s="3">
        <v>43389.0</v>
      </c>
      <c r="J51" s="4">
        <v>123.59</v>
      </c>
      <c r="K51" s="3">
        <v>43390.0</v>
      </c>
      <c r="L51" s="4">
        <v>1390.71</v>
      </c>
    </row>
    <row r="52">
      <c r="A52" s="3">
        <v>43389.0</v>
      </c>
      <c r="B52" s="4">
        <v>112.21</v>
      </c>
      <c r="C52" s="3">
        <v>43292.0</v>
      </c>
      <c r="D52" s="4">
        <v>23.97</v>
      </c>
      <c r="E52" s="3">
        <v>43389.0</v>
      </c>
      <c r="F52" s="4">
        <v>115.6</v>
      </c>
      <c r="G52" s="3">
        <v>43388.0</v>
      </c>
      <c r="H52" s="4">
        <v>109.32</v>
      </c>
      <c r="I52" s="3">
        <v>43388.0</v>
      </c>
      <c r="J52" s="4">
        <v>123.82</v>
      </c>
      <c r="K52" s="3">
        <v>43389.0</v>
      </c>
      <c r="L52" s="4">
        <v>1383.134</v>
      </c>
    </row>
    <row r="53">
      <c r="A53" s="3">
        <v>43388.0</v>
      </c>
      <c r="B53" s="4">
        <v>111.79</v>
      </c>
      <c r="C53" s="3">
        <v>43291.0</v>
      </c>
      <c r="D53" s="4">
        <v>23.98</v>
      </c>
      <c r="E53" s="3">
        <v>43388.0</v>
      </c>
      <c r="F53" s="4">
        <v>115.59</v>
      </c>
      <c r="G53" s="3">
        <v>43385.0</v>
      </c>
      <c r="H53" s="4">
        <v>109.45</v>
      </c>
      <c r="I53" s="3">
        <v>43385.0</v>
      </c>
      <c r="J53" s="4">
        <v>123.47</v>
      </c>
      <c r="K53" s="3">
        <v>43388.0</v>
      </c>
      <c r="L53" s="4">
        <v>1382.496</v>
      </c>
    </row>
    <row r="54">
      <c r="A54" s="3">
        <v>43385.0</v>
      </c>
      <c r="B54" s="4">
        <v>111.8</v>
      </c>
      <c r="C54" s="3">
        <v>43290.0</v>
      </c>
      <c r="D54" s="4">
        <v>23.97</v>
      </c>
      <c r="E54" s="3">
        <v>43385.0</v>
      </c>
      <c r="F54" s="4">
        <v>115.56</v>
      </c>
      <c r="G54" s="3">
        <v>43384.0</v>
      </c>
      <c r="H54" s="4">
        <v>109.72</v>
      </c>
      <c r="I54" s="3">
        <v>43384.0</v>
      </c>
      <c r="J54" s="4">
        <v>124.24</v>
      </c>
      <c r="K54" s="3">
        <v>43385.0</v>
      </c>
      <c r="L54" s="4">
        <v>1380.818</v>
      </c>
    </row>
    <row r="55">
      <c r="A55" s="3">
        <v>43384.0</v>
      </c>
      <c r="B55" s="4">
        <v>111.85</v>
      </c>
      <c r="C55" s="3">
        <v>43287.0</v>
      </c>
      <c r="D55" s="4">
        <v>23.97</v>
      </c>
      <c r="E55" s="3">
        <v>43384.0</v>
      </c>
      <c r="F55" s="4">
        <v>115.54</v>
      </c>
      <c r="G55" s="3">
        <v>43383.0</v>
      </c>
      <c r="H55" s="4">
        <v>110.09</v>
      </c>
      <c r="I55" s="3">
        <v>43383.0</v>
      </c>
      <c r="J55" s="4">
        <v>124.95</v>
      </c>
      <c r="K55" s="3">
        <v>43384.0</v>
      </c>
      <c r="L55" s="4">
        <v>1385.093</v>
      </c>
    </row>
    <row r="56">
      <c r="A56" s="3">
        <v>43383.0</v>
      </c>
      <c r="B56" s="4">
        <v>112.18</v>
      </c>
      <c r="C56" s="3">
        <v>43286.0</v>
      </c>
      <c r="D56" s="4">
        <v>23.98</v>
      </c>
      <c r="E56" s="3">
        <v>43383.0</v>
      </c>
      <c r="F56" s="4">
        <v>115.58</v>
      </c>
      <c r="G56" s="3">
        <v>43382.0</v>
      </c>
      <c r="H56" s="4">
        <v>109.98</v>
      </c>
      <c r="I56" s="3">
        <v>43382.0</v>
      </c>
      <c r="J56" s="4">
        <v>124.97</v>
      </c>
      <c r="K56" s="3">
        <v>43383.0</v>
      </c>
      <c r="L56" s="4">
        <v>1396.984</v>
      </c>
    </row>
    <row r="57">
      <c r="A57" s="3">
        <v>43382.0</v>
      </c>
      <c r="B57" s="4">
        <v>112.58</v>
      </c>
      <c r="C57" s="3">
        <v>43285.0</v>
      </c>
      <c r="D57" s="4">
        <v>24.0</v>
      </c>
      <c r="E57" s="3">
        <v>43382.0</v>
      </c>
      <c r="F57" s="4">
        <v>115.55</v>
      </c>
      <c r="G57" s="3">
        <v>43381.0</v>
      </c>
      <c r="H57" s="4">
        <v>110.21</v>
      </c>
      <c r="I57" s="3">
        <v>43381.0</v>
      </c>
      <c r="J57" s="4">
        <v>125.11</v>
      </c>
      <c r="K57" s="3">
        <v>43382.0</v>
      </c>
      <c r="L57" s="4">
        <v>1398.317</v>
      </c>
    </row>
    <row r="58">
      <c r="A58" s="3">
        <v>43381.0</v>
      </c>
      <c r="B58" s="4">
        <v>112.59</v>
      </c>
      <c r="C58" s="3">
        <v>43284.0</v>
      </c>
      <c r="D58" s="4">
        <v>23.99</v>
      </c>
      <c r="E58" s="3">
        <v>43381.0</v>
      </c>
      <c r="F58" s="4">
        <v>115.54</v>
      </c>
      <c r="G58" s="3">
        <v>43378.0</v>
      </c>
      <c r="H58" s="4">
        <v>110.53</v>
      </c>
      <c r="I58" s="3">
        <v>43378.0</v>
      </c>
      <c r="J58" s="4">
        <v>125.36</v>
      </c>
      <c r="K58" s="3">
        <v>43381.0</v>
      </c>
      <c r="L58" s="4">
        <v>1403.557</v>
      </c>
    </row>
    <row r="59">
      <c r="A59" s="3">
        <v>43378.0</v>
      </c>
      <c r="B59" s="4">
        <v>112.96</v>
      </c>
      <c r="C59" s="3">
        <v>43283.0</v>
      </c>
      <c r="D59" s="4">
        <v>23.99</v>
      </c>
      <c r="E59" s="3">
        <v>43378.0</v>
      </c>
      <c r="F59" s="4">
        <v>115.52</v>
      </c>
      <c r="G59" s="3">
        <v>43377.0</v>
      </c>
      <c r="H59" s="4">
        <v>110.95</v>
      </c>
      <c r="I59" s="3">
        <v>43377.0</v>
      </c>
      <c r="J59" s="4">
        <v>126.11</v>
      </c>
      <c r="K59" s="3">
        <v>43378.0</v>
      </c>
      <c r="L59" s="4">
        <v>1409.104</v>
      </c>
    </row>
    <row r="60">
      <c r="A60" s="3">
        <v>43377.0</v>
      </c>
      <c r="B60" s="4">
        <v>113.24</v>
      </c>
      <c r="C60" s="3">
        <v>43280.0</v>
      </c>
      <c r="D60" s="4">
        <v>23.97</v>
      </c>
      <c r="E60" s="3">
        <v>43377.0</v>
      </c>
      <c r="F60" s="4">
        <v>115.53</v>
      </c>
      <c r="G60" s="3">
        <v>43376.0</v>
      </c>
      <c r="H60" s="4">
        <v>110.98</v>
      </c>
      <c r="I60" s="3">
        <v>43376.0</v>
      </c>
      <c r="J60" s="4">
        <v>126.04</v>
      </c>
      <c r="K60" s="3">
        <v>43377.0</v>
      </c>
      <c r="L60" s="4">
        <v>1417.606</v>
      </c>
    </row>
    <row r="61">
      <c r="A61" s="3">
        <v>43376.0</v>
      </c>
      <c r="B61" s="4">
        <v>113.73</v>
      </c>
      <c r="C61" s="3">
        <v>43279.0</v>
      </c>
      <c r="D61" s="4">
        <v>24.0</v>
      </c>
      <c r="E61" s="3">
        <v>43376.0</v>
      </c>
      <c r="F61" s="4">
        <v>115.57</v>
      </c>
      <c r="G61" s="3">
        <v>43375.0</v>
      </c>
      <c r="H61" s="4">
        <v>111.11</v>
      </c>
      <c r="I61" s="3">
        <v>43375.0</v>
      </c>
      <c r="J61" s="4">
        <v>126.09</v>
      </c>
      <c r="K61" s="3">
        <v>43376.0</v>
      </c>
      <c r="L61" s="4">
        <v>1418.634</v>
      </c>
    </row>
    <row r="62">
      <c r="A62" s="3">
        <v>43375.0</v>
      </c>
      <c r="B62" s="4">
        <v>113.65</v>
      </c>
      <c r="C62" s="3">
        <v>43278.0</v>
      </c>
      <c r="D62" s="4">
        <v>24.0</v>
      </c>
      <c r="E62" s="3">
        <v>43375.0</v>
      </c>
      <c r="F62" s="4">
        <v>115.56</v>
      </c>
      <c r="G62" s="3">
        <v>43374.0</v>
      </c>
      <c r="H62" s="4">
        <v>111.08</v>
      </c>
      <c r="I62" s="3">
        <v>43374.0</v>
      </c>
      <c r="J62" s="4">
        <v>125.97</v>
      </c>
      <c r="K62" s="3">
        <v>43375.0</v>
      </c>
      <c r="L62" s="4">
        <v>1422.736</v>
      </c>
    </row>
    <row r="63">
      <c r="A63" s="3">
        <v>43374.0</v>
      </c>
      <c r="B63" s="4">
        <v>113.83</v>
      </c>
      <c r="C63" s="3">
        <v>43277.0</v>
      </c>
      <c r="D63" s="4">
        <v>23.99</v>
      </c>
      <c r="E63" s="3">
        <v>43374.0</v>
      </c>
      <c r="F63" s="4">
        <v>115.6</v>
      </c>
      <c r="G63" s="3">
        <v>43371.0</v>
      </c>
      <c r="H63" s="4">
        <v>111.32</v>
      </c>
      <c r="I63" s="3">
        <v>43371.0</v>
      </c>
      <c r="J63" s="4">
        <v>125.65</v>
      </c>
      <c r="K63" s="3">
        <v>43374.0</v>
      </c>
      <c r="L63" s="4">
        <v>1424.272</v>
      </c>
    </row>
    <row r="64">
      <c r="A64" s="3">
        <v>43371.0</v>
      </c>
      <c r="B64" s="4">
        <v>113.67</v>
      </c>
      <c r="C64" s="3">
        <v>43276.0</v>
      </c>
      <c r="D64" s="4">
        <v>23.99</v>
      </c>
      <c r="E64" s="3">
        <v>43371.0</v>
      </c>
      <c r="F64" s="4">
        <v>115.58</v>
      </c>
      <c r="G64" s="3">
        <v>43370.0</v>
      </c>
      <c r="H64" s="4">
        <v>111.22</v>
      </c>
      <c r="I64" s="3">
        <v>43370.0</v>
      </c>
      <c r="J64" s="4">
        <v>125.6</v>
      </c>
      <c r="K64" s="3">
        <v>43371.0</v>
      </c>
      <c r="L64" s="4">
        <v>1424.721</v>
      </c>
    </row>
    <row r="65">
      <c r="A65" s="3">
        <v>43370.0</v>
      </c>
      <c r="B65" s="4">
        <v>114.01</v>
      </c>
      <c r="C65" s="3">
        <v>43273.0</v>
      </c>
      <c r="D65" s="4">
        <v>24.01</v>
      </c>
      <c r="E65" s="3">
        <v>43370.0</v>
      </c>
      <c r="F65" s="4">
        <v>115.56</v>
      </c>
      <c r="G65" s="3">
        <v>43369.0</v>
      </c>
      <c r="H65" s="4">
        <v>111.04</v>
      </c>
      <c r="I65" s="3">
        <v>43369.0</v>
      </c>
      <c r="J65" s="4">
        <v>125.52</v>
      </c>
      <c r="K65" s="3">
        <v>43370.0</v>
      </c>
      <c r="L65" s="4">
        <v>1424.0</v>
      </c>
    </row>
    <row r="66">
      <c r="A66" s="3">
        <v>43369.0</v>
      </c>
      <c r="B66" s="4">
        <v>114.08</v>
      </c>
      <c r="C66" s="3">
        <v>43272.0</v>
      </c>
      <c r="D66" s="4">
        <v>24.02</v>
      </c>
      <c r="E66" s="3">
        <v>43369.0</v>
      </c>
      <c r="F66" s="4">
        <v>115.53</v>
      </c>
      <c r="G66" s="3">
        <v>43368.0</v>
      </c>
      <c r="H66" s="4">
        <v>111.07</v>
      </c>
      <c r="I66" s="3">
        <v>43368.0</v>
      </c>
      <c r="J66" s="4">
        <v>125.64</v>
      </c>
      <c r="K66" s="3">
        <v>43369.0</v>
      </c>
      <c r="L66" s="4">
        <v>1425.982</v>
      </c>
    </row>
    <row r="67">
      <c r="A67" s="3">
        <v>43368.0</v>
      </c>
      <c r="B67" s="4">
        <v>114.1</v>
      </c>
      <c r="C67" s="3">
        <v>43271.0</v>
      </c>
      <c r="D67" s="4">
        <v>24.03</v>
      </c>
      <c r="E67" s="3">
        <v>43368.0</v>
      </c>
      <c r="F67" s="4">
        <v>115.5</v>
      </c>
      <c r="G67" s="3">
        <v>43367.0</v>
      </c>
      <c r="H67" s="4">
        <v>111.38</v>
      </c>
      <c r="I67" s="3">
        <v>43367.0</v>
      </c>
      <c r="J67" s="4">
        <v>125.96</v>
      </c>
      <c r="K67" s="3">
        <v>43368.0</v>
      </c>
      <c r="L67" s="4">
        <v>1425.318</v>
      </c>
    </row>
    <row r="68">
      <c r="A68" s="3">
        <v>43367.0</v>
      </c>
      <c r="B68" s="4">
        <v>114.12</v>
      </c>
      <c r="C68" s="3">
        <v>43270.0</v>
      </c>
      <c r="D68" s="4">
        <v>24.03</v>
      </c>
      <c r="E68" s="3">
        <v>43367.0</v>
      </c>
      <c r="F68" s="4">
        <v>115.47</v>
      </c>
      <c r="G68" s="3">
        <v>43364.0</v>
      </c>
      <c r="H68" s="4">
        <v>111.14</v>
      </c>
      <c r="I68" s="3">
        <v>43364.0</v>
      </c>
      <c r="J68" s="4">
        <v>125.65</v>
      </c>
      <c r="K68" s="3">
        <v>43367.0</v>
      </c>
      <c r="L68" s="4">
        <v>1426.532</v>
      </c>
    </row>
    <row r="69">
      <c r="A69" s="3">
        <v>43364.0</v>
      </c>
      <c r="B69" s="4">
        <v>114.23</v>
      </c>
      <c r="C69" s="3">
        <v>43269.0</v>
      </c>
      <c r="D69" s="4">
        <v>24.03</v>
      </c>
      <c r="E69" s="3">
        <v>43364.0</v>
      </c>
      <c r="F69" s="4">
        <v>115.36</v>
      </c>
      <c r="G69" s="3">
        <v>43363.0</v>
      </c>
      <c r="H69" s="4">
        <v>110.88</v>
      </c>
      <c r="I69" s="3">
        <v>43363.0</v>
      </c>
      <c r="J69" s="4">
        <v>125.49</v>
      </c>
      <c r="K69" s="3">
        <v>43364.0</v>
      </c>
      <c r="L69" s="4">
        <v>1426.964</v>
      </c>
    </row>
    <row r="70">
      <c r="A70" s="3">
        <v>43363.0</v>
      </c>
      <c r="B70" s="4">
        <v>114.12</v>
      </c>
      <c r="C70" s="3">
        <v>43266.0</v>
      </c>
      <c r="D70" s="4">
        <v>24.03</v>
      </c>
      <c r="E70" s="3">
        <v>43363.0</v>
      </c>
      <c r="F70" s="4">
        <v>115.32</v>
      </c>
      <c r="G70" s="3">
        <v>43362.0</v>
      </c>
      <c r="H70" s="4">
        <v>110.91</v>
      </c>
      <c r="I70" s="3">
        <v>43362.0</v>
      </c>
      <c r="J70" s="4">
        <v>125.18</v>
      </c>
      <c r="K70" s="3">
        <v>43363.0</v>
      </c>
      <c r="L70" s="4">
        <v>1422.765</v>
      </c>
    </row>
    <row r="71">
      <c r="A71" s="3">
        <v>43362.0</v>
      </c>
      <c r="B71" s="4">
        <v>113.76</v>
      </c>
      <c r="C71" s="3">
        <v>43265.0</v>
      </c>
      <c r="D71" s="4">
        <v>24.03</v>
      </c>
      <c r="E71" s="3">
        <v>43362.0</v>
      </c>
      <c r="F71" s="4">
        <v>115.27</v>
      </c>
      <c r="G71" s="3">
        <v>43361.0</v>
      </c>
      <c r="H71" s="4">
        <v>111.01</v>
      </c>
      <c r="I71" s="3">
        <v>43361.0</v>
      </c>
      <c r="J71" s="4">
        <v>125.05</v>
      </c>
      <c r="K71" s="3">
        <v>43362.0</v>
      </c>
      <c r="L71" s="4">
        <v>1421.253</v>
      </c>
    </row>
    <row r="72">
      <c r="A72" s="3">
        <v>43361.0</v>
      </c>
      <c r="B72" s="4">
        <v>113.68</v>
      </c>
      <c r="C72" s="3">
        <v>43264.0</v>
      </c>
      <c r="D72" s="4">
        <v>23.99</v>
      </c>
      <c r="E72" s="3">
        <v>43361.0</v>
      </c>
      <c r="F72" s="4">
        <v>115.19</v>
      </c>
      <c r="G72" s="3">
        <v>43360.0</v>
      </c>
      <c r="H72" s="4">
        <v>111.15</v>
      </c>
      <c r="I72" s="3">
        <v>43360.0</v>
      </c>
      <c r="J72" s="4">
        <v>125.34</v>
      </c>
      <c r="K72" s="3">
        <v>43361.0</v>
      </c>
      <c r="L72" s="4">
        <v>1418.11</v>
      </c>
    </row>
    <row r="73">
      <c r="A73" s="3">
        <v>43360.0</v>
      </c>
      <c r="B73" s="4">
        <v>113.53</v>
      </c>
      <c r="C73" s="3">
        <v>43263.0</v>
      </c>
      <c r="D73" s="4">
        <v>23.99</v>
      </c>
      <c r="E73" s="3">
        <v>43360.0</v>
      </c>
      <c r="F73" s="4">
        <v>115.18</v>
      </c>
      <c r="G73" s="3">
        <v>43357.0</v>
      </c>
      <c r="H73" s="4">
        <v>111.08</v>
      </c>
      <c r="I73" s="3">
        <v>43357.0</v>
      </c>
      <c r="J73" s="4">
        <v>125.33</v>
      </c>
      <c r="K73" s="3">
        <v>43360.0</v>
      </c>
      <c r="L73" s="4">
        <v>1421.295</v>
      </c>
    </row>
    <row r="74">
      <c r="A74" s="3">
        <v>43357.0</v>
      </c>
      <c r="B74" s="4">
        <v>113.62</v>
      </c>
      <c r="C74" s="3">
        <v>43262.0</v>
      </c>
      <c r="D74" s="4">
        <v>23.98</v>
      </c>
      <c r="E74" s="3">
        <v>43357.0</v>
      </c>
      <c r="F74" s="4">
        <v>115.16</v>
      </c>
      <c r="G74" s="3">
        <v>43356.0</v>
      </c>
      <c r="H74" s="4">
        <v>111.03</v>
      </c>
      <c r="I74" s="3">
        <v>43356.0</v>
      </c>
      <c r="J74" s="4">
        <v>125.18</v>
      </c>
      <c r="K74" s="3">
        <v>43357.0</v>
      </c>
      <c r="L74" s="4">
        <v>1419.597</v>
      </c>
    </row>
    <row r="75">
      <c r="A75" s="3">
        <v>43356.0</v>
      </c>
      <c r="B75" s="4">
        <v>113.43</v>
      </c>
      <c r="C75" s="3">
        <v>43259.0</v>
      </c>
      <c r="D75" s="4">
        <v>23.98</v>
      </c>
      <c r="E75" s="3">
        <v>43356.0</v>
      </c>
      <c r="F75" s="4">
        <v>115.03</v>
      </c>
      <c r="G75" s="3">
        <v>43355.0</v>
      </c>
      <c r="H75" s="4">
        <v>110.72</v>
      </c>
      <c r="I75" s="3">
        <v>43355.0</v>
      </c>
      <c r="J75" s="4">
        <v>125.06</v>
      </c>
      <c r="K75" s="3">
        <v>43356.0</v>
      </c>
      <c r="L75" s="4">
        <v>1415.297</v>
      </c>
    </row>
    <row r="76">
      <c r="A76" s="3">
        <v>43355.0</v>
      </c>
      <c r="B76" s="4">
        <v>113.37</v>
      </c>
      <c r="C76" s="3">
        <v>43258.0</v>
      </c>
      <c r="D76" s="4">
        <v>23.97</v>
      </c>
      <c r="E76" s="3">
        <v>43355.0</v>
      </c>
      <c r="F76" s="4">
        <v>114.92</v>
      </c>
      <c r="G76" s="3">
        <v>43354.0</v>
      </c>
      <c r="H76" s="4">
        <v>110.97</v>
      </c>
      <c r="I76" s="3">
        <v>43354.0</v>
      </c>
      <c r="J76" s="4">
        <v>125.25</v>
      </c>
      <c r="K76" s="3">
        <v>43355.0</v>
      </c>
      <c r="L76" s="4">
        <v>1412.621</v>
      </c>
    </row>
    <row r="77">
      <c r="A77" s="3">
        <v>43354.0</v>
      </c>
      <c r="B77" s="4">
        <v>113.12</v>
      </c>
      <c r="C77" s="3">
        <v>43257.0</v>
      </c>
      <c r="D77" s="4">
        <v>23.98</v>
      </c>
      <c r="E77" s="3">
        <v>43354.0</v>
      </c>
      <c r="F77" s="4">
        <v>114.92</v>
      </c>
      <c r="G77" s="3">
        <v>43353.0</v>
      </c>
      <c r="H77" s="4">
        <v>110.69</v>
      </c>
      <c r="I77" s="3">
        <v>43353.0</v>
      </c>
      <c r="J77" s="4">
        <v>125.45</v>
      </c>
      <c r="K77" s="3">
        <v>43354.0</v>
      </c>
      <c r="L77" s="4">
        <v>1412.945</v>
      </c>
    </row>
    <row r="78">
      <c r="A78" s="3">
        <v>43353.0</v>
      </c>
      <c r="B78" s="4">
        <v>113.14</v>
      </c>
      <c r="C78" s="3">
        <v>43256.0</v>
      </c>
      <c r="D78" s="4">
        <v>24.03</v>
      </c>
      <c r="E78" s="3">
        <v>43353.0</v>
      </c>
      <c r="F78" s="4">
        <v>114.9</v>
      </c>
      <c r="G78" s="3">
        <v>43350.0</v>
      </c>
      <c r="H78" s="4">
        <v>111.05</v>
      </c>
      <c r="I78" s="3">
        <v>43350.0</v>
      </c>
      <c r="J78" s="4">
        <v>125.56</v>
      </c>
      <c r="K78" s="3">
        <v>43353.0</v>
      </c>
      <c r="L78" s="4">
        <v>1412.258</v>
      </c>
    </row>
    <row r="79">
      <c r="A79" s="3">
        <v>43350.0</v>
      </c>
      <c r="B79" s="4">
        <v>112.99</v>
      </c>
      <c r="C79" s="3">
        <v>43255.0</v>
      </c>
      <c r="D79" s="4">
        <v>24.03</v>
      </c>
      <c r="E79" s="3">
        <v>43350.0</v>
      </c>
      <c r="F79" s="4">
        <v>114.87</v>
      </c>
      <c r="G79" s="3">
        <v>43349.0</v>
      </c>
      <c r="H79" s="4">
        <v>111.18</v>
      </c>
      <c r="I79" s="3">
        <v>43349.0</v>
      </c>
      <c r="J79" s="4">
        <v>125.66</v>
      </c>
      <c r="K79" s="3">
        <v>43350.0</v>
      </c>
      <c r="L79" s="4">
        <v>1414.255</v>
      </c>
    </row>
    <row r="80">
      <c r="A80" s="3">
        <v>43349.0</v>
      </c>
      <c r="B80" s="4">
        <v>112.98</v>
      </c>
      <c r="C80" s="3">
        <v>43252.0</v>
      </c>
      <c r="D80" s="4">
        <v>24.02</v>
      </c>
      <c r="E80" s="3">
        <v>43349.0</v>
      </c>
      <c r="F80" s="4">
        <v>114.78</v>
      </c>
      <c r="G80" s="3">
        <v>43348.0</v>
      </c>
      <c r="H80" s="4">
        <v>111.84</v>
      </c>
      <c r="I80" s="3">
        <v>43348.0</v>
      </c>
      <c r="J80" s="4">
        <v>126.27</v>
      </c>
      <c r="K80" s="3">
        <v>43349.0</v>
      </c>
      <c r="L80" s="4">
        <v>1416.739</v>
      </c>
    </row>
    <row r="81">
      <c r="A81" s="3">
        <v>43348.0</v>
      </c>
      <c r="B81" s="4">
        <v>113.17</v>
      </c>
      <c r="C81" s="3">
        <v>43251.0</v>
      </c>
      <c r="D81" s="4">
        <v>24.03</v>
      </c>
      <c r="E81" s="3">
        <v>43348.0</v>
      </c>
      <c r="F81" s="4">
        <v>114.75</v>
      </c>
      <c r="G81" s="3">
        <v>43347.0</v>
      </c>
      <c r="H81" s="4">
        <v>112.46</v>
      </c>
      <c r="I81" s="3">
        <v>43347.0</v>
      </c>
      <c r="J81" s="4">
        <v>126.44</v>
      </c>
      <c r="K81" s="3">
        <v>43348.0</v>
      </c>
      <c r="L81" s="4">
        <v>1424.909</v>
      </c>
    </row>
    <row r="82">
      <c r="A82" s="3">
        <v>43347.0</v>
      </c>
      <c r="B82" s="4">
        <v>113.45</v>
      </c>
      <c r="C82" s="3">
        <v>43250.0</v>
      </c>
      <c r="D82" s="4">
        <v>24.03</v>
      </c>
      <c r="E82" s="3">
        <v>43347.0</v>
      </c>
      <c r="F82" s="4">
        <v>114.72</v>
      </c>
      <c r="G82" s="3">
        <v>43346.0</v>
      </c>
      <c r="H82" s="4">
        <v>112.4</v>
      </c>
      <c r="I82" s="3">
        <v>43346.0</v>
      </c>
      <c r="J82" s="4">
        <v>126.57</v>
      </c>
      <c r="K82" s="3">
        <v>43347.0</v>
      </c>
      <c r="L82" s="4">
        <v>1428.648</v>
      </c>
    </row>
    <row r="83">
      <c r="A83" s="3">
        <v>43346.0</v>
      </c>
      <c r="B83" s="4">
        <v>113.71</v>
      </c>
      <c r="C83" s="3">
        <v>43249.0</v>
      </c>
      <c r="D83" s="4">
        <v>24.04</v>
      </c>
      <c r="E83" s="3">
        <v>43346.0</v>
      </c>
      <c r="F83" s="4">
        <v>114.7</v>
      </c>
      <c r="G83" s="3">
        <v>43343.0</v>
      </c>
      <c r="H83" s="4">
        <v>112.63</v>
      </c>
      <c r="I83" s="3">
        <v>43343.0</v>
      </c>
      <c r="J83" s="4">
        <v>126.61</v>
      </c>
      <c r="K83" s="3">
        <v>43346.0</v>
      </c>
      <c r="L83" s="4">
        <v>1428.337</v>
      </c>
    </row>
    <row r="84">
      <c r="A84" s="3">
        <v>43343.0</v>
      </c>
      <c r="B84" s="4">
        <v>113.71</v>
      </c>
      <c r="C84" s="3">
        <v>43248.0</v>
      </c>
      <c r="D84" s="4">
        <v>24.05</v>
      </c>
      <c r="E84" s="3">
        <v>43343.0</v>
      </c>
      <c r="F84" s="4">
        <v>114.68</v>
      </c>
      <c r="G84" s="3">
        <v>43342.0</v>
      </c>
      <c r="H84" s="4">
        <v>112.68</v>
      </c>
      <c r="I84" s="3">
        <v>43342.0</v>
      </c>
      <c r="J84" s="4">
        <v>126.6</v>
      </c>
      <c r="K84" s="3">
        <v>43343.0</v>
      </c>
      <c r="L84" s="4">
        <v>1430.679</v>
      </c>
    </row>
    <row r="85">
      <c r="A85" s="3">
        <v>43342.0</v>
      </c>
      <c r="B85" s="4">
        <v>113.85</v>
      </c>
      <c r="C85" s="3">
        <v>43245.0</v>
      </c>
      <c r="D85" s="4">
        <v>24.06</v>
      </c>
      <c r="E85" s="3">
        <v>43342.0</v>
      </c>
      <c r="F85" s="4">
        <v>114.75</v>
      </c>
      <c r="G85" s="3">
        <v>43341.0</v>
      </c>
      <c r="H85" s="4">
        <v>112.72</v>
      </c>
      <c r="I85" s="3">
        <v>43341.0</v>
      </c>
      <c r="J85" s="4">
        <v>126.67</v>
      </c>
      <c r="K85" s="3">
        <v>43342.0</v>
      </c>
      <c r="L85" s="4">
        <v>1432.109</v>
      </c>
    </row>
    <row r="86">
      <c r="A86" s="3">
        <v>43341.0</v>
      </c>
      <c r="B86" s="4">
        <v>114.06</v>
      </c>
      <c r="C86" s="3">
        <v>43244.0</v>
      </c>
      <c r="D86" s="4">
        <v>24.04</v>
      </c>
      <c r="E86" s="3">
        <v>43341.0</v>
      </c>
      <c r="F86" s="4">
        <v>114.88</v>
      </c>
      <c r="G86" s="3">
        <v>43340.0</v>
      </c>
      <c r="H86" s="4">
        <v>112.9</v>
      </c>
      <c r="I86" s="3">
        <v>43340.0</v>
      </c>
      <c r="J86" s="4">
        <v>126.7</v>
      </c>
      <c r="K86" s="3">
        <v>43341.0</v>
      </c>
      <c r="L86" s="4">
        <v>1436.623</v>
      </c>
    </row>
    <row r="87">
      <c r="A87" s="3">
        <v>43340.0</v>
      </c>
      <c r="B87" s="4">
        <v>113.88</v>
      </c>
      <c r="C87" s="3">
        <v>43243.0</v>
      </c>
      <c r="D87" s="4">
        <v>24.04</v>
      </c>
      <c r="E87" s="3">
        <v>43340.0</v>
      </c>
      <c r="F87" s="4">
        <v>114.9</v>
      </c>
      <c r="G87" s="3">
        <v>43339.0</v>
      </c>
      <c r="H87" s="4">
        <v>112.89</v>
      </c>
      <c r="I87" s="3">
        <v>43339.0</v>
      </c>
      <c r="J87" s="4">
        <v>126.44</v>
      </c>
      <c r="K87" s="3">
        <v>43340.0</v>
      </c>
      <c r="L87" s="4">
        <v>1427.31</v>
      </c>
    </row>
    <row r="88">
      <c r="A88" s="3">
        <v>43339.0</v>
      </c>
      <c r="B88" s="4">
        <v>113.77</v>
      </c>
      <c r="C88" s="3">
        <v>43242.0</v>
      </c>
      <c r="D88" s="4">
        <v>24.03</v>
      </c>
      <c r="E88" s="3">
        <v>43339.0</v>
      </c>
      <c r="F88" s="4">
        <v>114.87</v>
      </c>
      <c r="G88" s="3">
        <v>43336.0</v>
      </c>
      <c r="H88" s="4">
        <v>112.86</v>
      </c>
      <c r="I88" s="3">
        <v>43336.0</v>
      </c>
      <c r="J88" s="4">
        <v>126.37</v>
      </c>
      <c r="K88" s="3">
        <v>43336.0</v>
      </c>
      <c r="L88" s="4">
        <v>1418.344</v>
      </c>
    </row>
    <row r="89">
      <c r="A89" s="3">
        <v>43336.0</v>
      </c>
      <c r="B89" s="4">
        <v>113.47</v>
      </c>
      <c r="C89" s="3">
        <v>43238.0</v>
      </c>
      <c r="D89" s="4">
        <v>24.03</v>
      </c>
      <c r="E89" s="3">
        <v>43336.0</v>
      </c>
      <c r="F89" s="4">
        <v>114.84</v>
      </c>
      <c r="G89" s="3">
        <v>43335.0</v>
      </c>
      <c r="H89" s="4">
        <v>112.88</v>
      </c>
      <c r="I89" s="3">
        <v>43335.0</v>
      </c>
      <c r="J89" s="4">
        <v>126.39</v>
      </c>
      <c r="K89" s="3">
        <v>43335.0</v>
      </c>
      <c r="L89" s="4">
        <v>1416.19</v>
      </c>
    </row>
    <row r="90">
      <c r="A90" s="3">
        <v>43335.0</v>
      </c>
      <c r="B90" s="4">
        <v>113.3</v>
      </c>
      <c r="C90" s="3">
        <v>43237.0</v>
      </c>
      <c r="D90" s="4">
        <v>24.02</v>
      </c>
      <c r="E90" s="3">
        <v>43335.0</v>
      </c>
      <c r="F90" s="4">
        <v>114.83</v>
      </c>
      <c r="G90" s="3">
        <v>43334.0</v>
      </c>
      <c r="H90" s="4">
        <v>112.84</v>
      </c>
      <c r="I90" s="3">
        <v>43334.0</v>
      </c>
      <c r="J90" s="4">
        <v>126.45</v>
      </c>
      <c r="K90" s="3">
        <v>43334.0</v>
      </c>
      <c r="L90" s="4">
        <v>1412.569</v>
      </c>
    </row>
    <row r="91">
      <c r="A91" s="3">
        <v>43334.0</v>
      </c>
      <c r="B91" s="4">
        <v>113.22</v>
      </c>
      <c r="C91" s="3">
        <v>43236.0</v>
      </c>
      <c r="D91" s="4">
        <v>24.03</v>
      </c>
      <c r="E91" s="3">
        <v>43334.0</v>
      </c>
      <c r="F91" s="4">
        <v>114.84</v>
      </c>
      <c r="G91" s="3">
        <v>43333.0</v>
      </c>
      <c r="H91" s="4">
        <v>112.74</v>
      </c>
      <c r="I91" s="3">
        <v>43333.0</v>
      </c>
      <c r="J91" s="4">
        <v>126.55</v>
      </c>
      <c r="K91" s="3">
        <v>43333.0</v>
      </c>
      <c r="L91" s="4">
        <v>1407.443</v>
      </c>
    </row>
    <row r="92">
      <c r="A92" s="3">
        <v>43333.0</v>
      </c>
      <c r="B92" s="4">
        <v>113.13</v>
      </c>
      <c r="C92" s="3">
        <v>43235.0</v>
      </c>
      <c r="D92" s="4">
        <v>24.01</v>
      </c>
      <c r="E92" s="3">
        <v>43333.0</v>
      </c>
      <c r="F92" s="4">
        <v>114.8</v>
      </c>
      <c r="G92" s="3">
        <v>43332.0</v>
      </c>
      <c r="H92" s="4">
        <v>112.44</v>
      </c>
      <c r="I92" s="3">
        <v>43332.0</v>
      </c>
      <c r="J92" s="4">
        <v>126.36</v>
      </c>
      <c r="K92" s="3">
        <v>43332.0</v>
      </c>
      <c r="L92" s="4">
        <v>1406.164</v>
      </c>
    </row>
    <row r="93">
      <c r="A93" s="3">
        <v>43332.0</v>
      </c>
      <c r="B93" s="4">
        <v>112.97</v>
      </c>
      <c r="C93" s="3">
        <v>43234.0</v>
      </c>
      <c r="D93" s="4">
        <v>24.0</v>
      </c>
      <c r="E93" s="3">
        <v>43332.0</v>
      </c>
      <c r="F93" s="4">
        <v>114.75</v>
      </c>
      <c r="G93" s="3">
        <v>43329.0</v>
      </c>
      <c r="H93" s="4">
        <v>112.52</v>
      </c>
      <c r="I93" s="3">
        <v>43329.0</v>
      </c>
      <c r="J93" s="4">
        <v>126.4</v>
      </c>
      <c r="K93" s="3">
        <v>43329.0</v>
      </c>
      <c r="L93" s="4">
        <v>1406.671</v>
      </c>
    </row>
    <row r="94">
      <c r="A94" s="3">
        <v>43329.0</v>
      </c>
      <c r="B94" s="4">
        <v>112.83</v>
      </c>
      <c r="C94" s="3">
        <v>43231.0</v>
      </c>
      <c r="D94" s="4">
        <v>24.01</v>
      </c>
      <c r="E94" s="3">
        <v>43329.0</v>
      </c>
      <c r="F94" s="4">
        <v>114.7</v>
      </c>
      <c r="G94" s="3">
        <v>43328.0</v>
      </c>
      <c r="H94" s="4">
        <v>112.97</v>
      </c>
      <c r="I94" s="3">
        <v>43328.0</v>
      </c>
      <c r="J94" s="4">
        <v>126.35</v>
      </c>
      <c r="K94" s="3">
        <v>43328.0</v>
      </c>
      <c r="L94" s="4">
        <v>1405.351</v>
      </c>
    </row>
    <row r="95">
      <c r="A95" s="3">
        <v>43328.0</v>
      </c>
      <c r="B95" s="4">
        <v>112.94</v>
      </c>
      <c r="C95" s="3">
        <v>43229.0</v>
      </c>
      <c r="D95" s="4">
        <v>24.02</v>
      </c>
      <c r="E95" s="3">
        <v>43328.0</v>
      </c>
      <c r="F95" s="4">
        <v>114.7</v>
      </c>
      <c r="G95" s="3">
        <v>43326.0</v>
      </c>
      <c r="H95" s="4">
        <v>113.01</v>
      </c>
      <c r="I95" s="3">
        <v>43326.0</v>
      </c>
      <c r="J95" s="4">
        <v>126.7</v>
      </c>
      <c r="K95" s="3">
        <v>43326.0</v>
      </c>
      <c r="L95" s="4">
        <v>1416.448</v>
      </c>
    </row>
    <row r="96">
      <c r="A96" s="3">
        <v>43326.0</v>
      </c>
      <c r="B96" s="4">
        <v>113.19</v>
      </c>
      <c r="C96" s="3">
        <v>43228.0</v>
      </c>
      <c r="D96" s="4">
        <v>24.02</v>
      </c>
      <c r="E96" s="3">
        <v>43326.0</v>
      </c>
      <c r="F96" s="4">
        <v>114.61</v>
      </c>
      <c r="G96" s="3">
        <v>43325.0</v>
      </c>
      <c r="H96" s="4">
        <v>113.23</v>
      </c>
      <c r="I96" s="3">
        <v>43325.0</v>
      </c>
      <c r="J96" s="4">
        <v>126.88</v>
      </c>
      <c r="K96" s="3">
        <v>43325.0</v>
      </c>
      <c r="L96" s="4">
        <v>1418.326</v>
      </c>
    </row>
    <row r="97">
      <c r="A97" s="3">
        <v>43325.0</v>
      </c>
      <c r="B97" s="4">
        <v>113.33</v>
      </c>
      <c r="C97" s="3">
        <v>43227.0</v>
      </c>
      <c r="D97" s="4">
        <v>24.02</v>
      </c>
      <c r="E97" s="3">
        <v>43325.0</v>
      </c>
      <c r="F97" s="4">
        <v>114.68</v>
      </c>
      <c r="G97" s="3">
        <v>43322.0</v>
      </c>
      <c r="H97" s="4">
        <v>113.9</v>
      </c>
      <c r="I97" s="3">
        <v>43322.0</v>
      </c>
      <c r="J97" s="4">
        <v>126.73</v>
      </c>
      <c r="K97" s="3">
        <v>43322.0</v>
      </c>
      <c r="L97" s="4">
        <v>1428.74</v>
      </c>
    </row>
    <row r="98">
      <c r="A98" s="3">
        <v>43322.0</v>
      </c>
      <c r="B98" s="4">
        <v>113.38</v>
      </c>
      <c r="C98" s="3">
        <v>43224.0</v>
      </c>
      <c r="D98" s="4">
        <v>24.01</v>
      </c>
      <c r="E98" s="3">
        <v>43322.0</v>
      </c>
      <c r="F98" s="4">
        <v>115.1</v>
      </c>
      <c r="G98" s="3">
        <v>43321.0</v>
      </c>
      <c r="H98" s="4">
        <v>113.75</v>
      </c>
      <c r="I98" s="3">
        <v>43321.0</v>
      </c>
      <c r="J98" s="4">
        <v>126.49</v>
      </c>
      <c r="K98" s="3">
        <v>43321.0</v>
      </c>
      <c r="L98" s="4">
        <v>1429.955</v>
      </c>
    </row>
    <row r="99">
      <c r="A99" s="3">
        <v>43321.0</v>
      </c>
      <c r="B99" s="4">
        <v>113.91</v>
      </c>
      <c r="C99" s="3">
        <v>43223.0</v>
      </c>
      <c r="D99" s="4">
        <v>24.0</v>
      </c>
      <c r="E99" s="3">
        <v>43321.0</v>
      </c>
      <c r="F99" s="4">
        <v>115.24</v>
      </c>
      <c r="G99" s="3">
        <v>43320.0</v>
      </c>
      <c r="H99" s="4">
        <v>113.89</v>
      </c>
      <c r="I99" s="3">
        <v>43320.0</v>
      </c>
      <c r="J99" s="4">
        <v>126.72</v>
      </c>
      <c r="K99" s="3">
        <v>43320.0</v>
      </c>
      <c r="L99" s="4">
        <v>1430.863</v>
      </c>
    </row>
    <row r="100">
      <c r="A100" s="3">
        <v>43320.0</v>
      </c>
      <c r="B100" s="4">
        <v>113.91</v>
      </c>
      <c r="C100" s="3">
        <v>43222.0</v>
      </c>
      <c r="D100" s="4">
        <v>23.99</v>
      </c>
      <c r="E100" s="3">
        <v>43320.0</v>
      </c>
      <c r="F100" s="4">
        <v>115.33</v>
      </c>
      <c r="G100" s="3">
        <v>43319.0</v>
      </c>
      <c r="H100" s="4">
        <v>113.73</v>
      </c>
      <c r="I100" s="3">
        <v>43319.0</v>
      </c>
      <c r="J100" s="4">
        <v>126.4</v>
      </c>
      <c r="K100" s="3">
        <v>43319.0</v>
      </c>
      <c r="L100" s="4">
        <v>1426.182</v>
      </c>
    </row>
    <row r="101">
      <c r="A101" s="3">
        <v>43319.0</v>
      </c>
      <c r="B101" s="4">
        <v>114.02</v>
      </c>
      <c r="C101" s="3">
        <v>43220.0</v>
      </c>
      <c r="D101" s="4">
        <v>23.98</v>
      </c>
      <c r="E101" s="3">
        <v>43319.0</v>
      </c>
      <c r="F101" s="4">
        <v>115.37</v>
      </c>
      <c r="G101" s="3">
        <v>43318.0</v>
      </c>
      <c r="H101" s="4">
        <v>113.68</v>
      </c>
      <c r="I101" s="3">
        <v>43318.0</v>
      </c>
      <c r="J101" s="4">
        <v>126.36</v>
      </c>
      <c r="K101" s="3">
        <v>43318.0</v>
      </c>
      <c r="L101" s="4">
        <v>1422.543</v>
      </c>
    </row>
    <row r="102">
      <c r="A102" s="3">
        <v>43318.0</v>
      </c>
      <c r="B102" s="4">
        <v>113.89</v>
      </c>
      <c r="C102" s="3">
        <v>43217.0</v>
      </c>
      <c r="D102" s="4">
        <v>23.98</v>
      </c>
      <c r="E102" s="3">
        <v>43318.0</v>
      </c>
      <c r="F102" s="4">
        <v>115.39</v>
      </c>
      <c r="G102" s="3">
        <v>43315.0</v>
      </c>
      <c r="H102" s="4">
        <v>113.3</v>
      </c>
      <c r="I102" s="3">
        <v>43315.0</v>
      </c>
      <c r="J102" s="4">
        <v>126.16</v>
      </c>
      <c r="K102" s="3">
        <v>43315.0</v>
      </c>
      <c r="L102" s="4">
        <v>1423.937</v>
      </c>
    </row>
    <row r="103">
      <c r="A103" s="3">
        <v>43315.0</v>
      </c>
      <c r="B103" s="4">
        <v>114.02</v>
      </c>
      <c r="C103" s="3">
        <v>43216.0</v>
      </c>
      <c r="D103" s="4">
        <v>23.98</v>
      </c>
      <c r="E103" s="3">
        <v>43315.0</v>
      </c>
      <c r="F103" s="4">
        <v>115.4</v>
      </c>
      <c r="G103" s="3">
        <v>43314.0</v>
      </c>
      <c r="H103" s="4">
        <v>113.88</v>
      </c>
      <c r="I103" s="3">
        <v>43314.0</v>
      </c>
      <c r="J103" s="4">
        <v>126.21</v>
      </c>
      <c r="K103" s="3">
        <v>43314.0</v>
      </c>
      <c r="L103" s="4">
        <v>1423.797</v>
      </c>
    </row>
    <row r="104">
      <c r="A104" s="3">
        <v>43314.0</v>
      </c>
      <c r="B104" s="4">
        <v>113.92</v>
      </c>
      <c r="C104" s="3">
        <v>43215.0</v>
      </c>
      <c r="D104" s="4">
        <v>23.96</v>
      </c>
      <c r="E104" s="3">
        <v>43314.0</v>
      </c>
      <c r="F104" s="4">
        <v>115.38</v>
      </c>
      <c r="G104" s="3">
        <v>43313.0</v>
      </c>
      <c r="H104" s="4">
        <v>114.35</v>
      </c>
      <c r="I104" s="3">
        <v>43313.0</v>
      </c>
      <c r="J104" s="4">
        <v>126.47</v>
      </c>
      <c r="K104" s="3">
        <v>43313.0</v>
      </c>
      <c r="L104" s="4">
        <v>1425.592</v>
      </c>
    </row>
    <row r="105">
      <c r="A105" s="3">
        <v>43313.0</v>
      </c>
      <c r="B105" s="4">
        <v>114.16</v>
      </c>
      <c r="C105" s="3">
        <v>43214.0</v>
      </c>
      <c r="D105" s="4">
        <v>23.96</v>
      </c>
      <c r="E105" s="3">
        <v>43313.0</v>
      </c>
      <c r="F105" s="4">
        <v>115.46</v>
      </c>
      <c r="G105" s="3">
        <v>43312.0</v>
      </c>
      <c r="H105" s="4">
        <v>114.3</v>
      </c>
      <c r="I105" s="3">
        <v>43312.0</v>
      </c>
      <c r="J105" s="4">
        <v>126.43</v>
      </c>
      <c r="K105" s="3">
        <v>43312.0</v>
      </c>
      <c r="L105" s="4">
        <v>1422.971</v>
      </c>
    </row>
    <row r="106">
      <c r="A106" s="3">
        <v>43312.0</v>
      </c>
      <c r="B106" s="4">
        <v>114.27</v>
      </c>
      <c r="C106" s="3">
        <v>43213.0</v>
      </c>
      <c r="D106" s="4">
        <v>23.97</v>
      </c>
      <c r="E106" s="3">
        <v>43312.0</v>
      </c>
      <c r="F106" s="4">
        <v>115.47</v>
      </c>
      <c r="G106" s="3">
        <v>43311.0</v>
      </c>
      <c r="H106" s="4">
        <v>114.66</v>
      </c>
      <c r="I106" s="3">
        <v>43311.0</v>
      </c>
      <c r="J106" s="4">
        <v>126.6</v>
      </c>
      <c r="K106" s="3">
        <v>43311.0</v>
      </c>
      <c r="L106" s="4">
        <v>1429.845</v>
      </c>
    </row>
    <row r="107">
      <c r="A107" s="3">
        <v>43311.0</v>
      </c>
      <c r="B107" s="4">
        <v>114.31</v>
      </c>
      <c r="C107" s="3">
        <v>43210.0</v>
      </c>
      <c r="D107" s="4">
        <v>23.97</v>
      </c>
      <c r="E107" s="3">
        <v>43311.0</v>
      </c>
      <c r="F107" s="4">
        <v>115.48</v>
      </c>
      <c r="G107" s="3">
        <v>43308.0</v>
      </c>
      <c r="H107" s="4">
        <v>114.55</v>
      </c>
      <c r="I107" s="3">
        <v>43308.0</v>
      </c>
      <c r="J107" s="4">
        <v>126.82</v>
      </c>
      <c r="K107" s="3">
        <v>43308.0</v>
      </c>
      <c r="L107" s="4">
        <v>1435.114</v>
      </c>
    </row>
    <row r="108">
      <c r="A108" s="3">
        <v>43308.0</v>
      </c>
      <c r="B108" s="4">
        <v>114.45</v>
      </c>
      <c r="C108" s="3">
        <v>43209.0</v>
      </c>
      <c r="D108" s="4">
        <v>23.96</v>
      </c>
      <c r="E108" s="3">
        <v>43308.0</v>
      </c>
      <c r="F108" s="4">
        <v>115.46</v>
      </c>
      <c r="G108" s="3">
        <v>43307.0</v>
      </c>
      <c r="H108" s="4">
        <v>114.28</v>
      </c>
      <c r="I108" s="3">
        <v>43307.0</v>
      </c>
      <c r="J108" s="4">
        <v>126.83</v>
      </c>
      <c r="K108" s="3">
        <v>43307.0</v>
      </c>
      <c r="L108" s="4">
        <v>1430.863</v>
      </c>
    </row>
    <row r="109">
      <c r="A109" s="3">
        <v>43307.0</v>
      </c>
      <c r="B109" s="4">
        <v>114.3</v>
      </c>
      <c r="C109" s="3">
        <v>43208.0</v>
      </c>
      <c r="D109" s="4">
        <v>23.97</v>
      </c>
      <c r="E109" s="3">
        <v>43307.0</v>
      </c>
      <c r="F109" s="4">
        <v>115.43</v>
      </c>
      <c r="G109" s="3">
        <v>43306.0</v>
      </c>
      <c r="H109" s="4">
        <v>114.46</v>
      </c>
      <c r="I109" s="3">
        <v>43306.0</v>
      </c>
      <c r="J109" s="4">
        <v>126.62</v>
      </c>
      <c r="K109" s="3">
        <v>43306.0</v>
      </c>
      <c r="L109" s="4">
        <v>1430.544</v>
      </c>
    </row>
    <row r="110">
      <c r="A110" s="3">
        <v>43306.0</v>
      </c>
      <c r="B110" s="4">
        <v>114.06</v>
      </c>
      <c r="C110" s="3">
        <v>43207.0</v>
      </c>
      <c r="D110" s="4">
        <v>23.97</v>
      </c>
      <c r="E110" s="3">
        <v>43306.0</v>
      </c>
      <c r="F110" s="4">
        <v>115.39</v>
      </c>
      <c r="G110" s="3">
        <v>43305.0</v>
      </c>
      <c r="H110" s="4">
        <v>114.09</v>
      </c>
      <c r="I110" s="3">
        <v>43305.0</v>
      </c>
      <c r="J110" s="4">
        <v>126.34</v>
      </c>
      <c r="K110" s="3">
        <v>43305.0</v>
      </c>
      <c r="L110" s="4">
        <v>1431.215</v>
      </c>
    </row>
    <row r="111">
      <c r="A111" s="3">
        <v>43305.0</v>
      </c>
      <c r="B111" s="4">
        <v>114.35</v>
      </c>
      <c r="C111" s="3">
        <v>43206.0</v>
      </c>
      <c r="D111" s="4">
        <v>23.96</v>
      </c>
      <c r="E111" s="3">
        <v>43305.0</v>
      </c>
      <c r="F111" s="4">
        <v>115.36</v>
      </c>
      <c r="G111" s="3">
        <v>43304.0</v>
      </c>
      <c r="H111" s="4">
        <v>114.49</v>
      </c>
      <c r="I111" s="3">
        <v>43304.0</v>
      </c>
      <c r="J111" s="4">
        <v>126.25</v>
      </c>
      <c r="K111" s="3">
        <v>43304.0</v>
      </c>
      <c r="L111" s="4">
        <v>1433.405</v>
      </c>
    </row>
    <row r="112">
      <c r="A112" s="3">
        <v>43304.0</v>
      </c>
      <c r="B112" s="4">
        <v>114.08</v>
      </c>
      <c r="C112" s="3">
        <v>43203.0</v>
      </c>
      <c r="D112" s="4">
        <v>23.98</v>
      </c>
      <c r="E112" s="3">
        <v>43304.0</v>
      </c>
      <c r="F112" s="4">
        <v>115.39</v>
      </c>
      <c r="G112" s="3">
        <v>43301.0</v>
      </c>
      <c r="H112" s="4">
        <v>114.94</v>
      </c>
      <c r="I112" s="3">
        <v>43301.0</v>
      </c>
      <c r="J112" s="4">
        <v>126.16</v>
      </c>
      <c r="K112" s="3">
        <v>43301.0</v>
      </c>
      <c r="L112" s="4">
        <v>1434.309</v>
      </c>
    </row>
    <row r="113">
      <c r="A113" s="3">
        <v>43301.0</v>
      </c>
      <c r="B113" s="4">
        <v>114.27</v>
      </c>
      <c r="C113" s="3">
        <v>43202.0</v>
      </c>
      <c r="D113" s="4">
        <v>23.98</v>
      </c>
      <c r="E113" s="3">
        <v>43301.0</v>
      </c>
      <c r="F113" s="4">
        <v>115.35</v>
      </c>
      <c r="G113" s="3">
        <v>43300.0</v>
      </c>
      <c r="H113" s="4">
        <v>115.01</v>
      </c>
      <c r="I113" s="3">
        <v>43300.0</v>
      </c>
      <c r="J113" s="4">
        <v>126.26</v>
      </c>
      <c r="K113" s="3">
        <v>43300.0</v>
      </c>
      <c r="L113" s="4">
        <v>1435.585</v>
      </c>
    </row>
    <row r="114">
      <c r="A114" s="3">
        <v>43300.0</v>
      </c>
      <c r="B114" s="4">
        <v>114.29</v>
      </c>
      <c r="C114" s="3">
        <v>43201.0</v>
      </c>
      <c r="D114" s="4">
        <v>23.97</v>
      </c>
      <c r="E114" s="3">
        <v>43300.0</v>
      </c>
      <c r="F114" s="4">
        <v>115.33</v>
      </c>
      <c r="G114" s="3">
        <v>43299.0</v>
      </c>
      <c r="H114" s="4">
        <v>114.88</v>
      </c>
      <c r="I114" s="3">
        <v>43299.0</v>
      </c>
      <c r="J114" s="4">
        <v>126.3</v>
      </c>
      <c r="K114" s="3">
        <v>43299.0</v>
      </c>
      <c r="L114" s="4">
        <v>1435.226</v>
      </c>
    </row>
    <row r="115">
      <c r="A115" s="3">
        <v>43299.0</v>
      </c>
      <c r="B115" s="4">
        <v>114.43</v>
      </c>
      <c r="C115" s="3">
        <v>43200.0</v>
      </c>
      <c r="D115" s="4">
        <v>23.98</v>
      </c>
      <c r="E115" s="3">
        <v>43299.0</v>
      </c>
      <c r="F115" s="4">
        <v>115.31</v>
      </c>
      <c r="G115" s="3">
        <v>43298.0</v>
      </c>
      <c r="H115" s="4">
        <v>114.58</v>
      </c>
      <c r="I115" s="3">
        <v>43298.0</v>
      </c>
      <c r="J115" s="4">
        <v>126.26</v>
      </c>
      <c r="K115" s="3">
        <v>43298.0</v>
      </c>
      <c r="L115" s="4">
        <v>1432.959</v>
      </c>
    </row>
    <row r="116">
      <c r="A116" s="3">
        <v>43298.0</v>
      </c>
      <c r="B116" s="4">
        <v>114.23</v>
      </c>
      <c r="C116" s="3">
        <v>43199.0</v>
      </c>
      <c r="D116" s="4">
        <v>23.99</v>
      </c>
      <c r="E116" s="3">
        <v>43298.0</v>
      </c>
      <c r="F116" s="4">
        <v>115.29</v>
      </c>
      <c r="G116" s="3">
        <v>43297.0</v>
      </c>
      <c r="H116" s="4">
        <v>114.78</v>
      </c>
      <c r="I116" s="3">
        <v>43297.0</v>
      </c>
      <c r="J116" s="4">
        <v>126.43</v>
      </c>
      <c r="K116" s="3">
        <v>43297.0</v>
      </c>
      <c r="L116" s="4">
        <v>1434.855</v>
      </c>
    </row>
    <row r="117">
      <c r="A117" s="3">
        <v>43297.0</v>
      </c>
      <c r="B117" s="4">
        <v>114.19</v>
      </c>
      <c r="C117" s="3">
        <v>43196.0</v>
      </c>
      <c r="D117" s="4">
        <v>23.99</v>
      </c>
      <c r="E117" s="3">
        <v>43297.0</v>
      </c>
      <c r="F117" s="4">
        <v>115.26</v>
      </c>
      <c r="G117" s="3">
        <v>43294.0</v>
      </c>
      <c r="H117" s="4">
        <v>114.68</v>
      </c>
      <c r="I117" s="3">
        <v>43294.0</v>
      </c>
      <c r="J117" s="4">
        <v>126.4</v>
      </c>
      <c r="K117" s="3">
        <v>43294.0</v>
      </c>
      <c r="L117" s="4">
        <v>1434.811</v>
      </c>
    </row>
    <row r="118">
      <c r="A118" s="3">
        <v>43294.0</v>
      </c>
      <c r="B118" s="4">
        <v>114.17</v>
      </c>
      <c r="C118" s="3">
        <v>43195.0</v>
      </c>
      <c r="D118" s="4">
        <v>23.99</v>
      </c>
      <c r="E118" s="3">
        <v>43294.0</v>
      </c>
      <c r="F118" s="4">
        <v>115.19</v>
      </c>
      <c r="G118" s="3">
        <v>43293.0</v>
      </c>
      <c r="H118" s="4">
        <v>114.65</v>
      </c>
      <c r="I118" s="3">
        <v>43293.0</v>
      </c>
      <c r="J118" s="4">
        <v>126.11</v>
      </c>
      <c r="K118" s="3">
        <v>43293.0</v>
      </c>
      <c r="L118" s="4">
        <v>1429.788</v>
      </c>
    </row>
    <row r="119">
      <c r="A119" s="3">
        <v>43293.0</v>
      </c>
      <c r="B119" s="4">
        <v>114.12</v>
      </c>
      <c r="C119" s="3">
        <v>43194.0</v>
      </c>
      <c r="D119" s="4">
        <v>23.99</v>
      </c>
      <c r="E119" s="3">
        <v>43293.0</v>
      </c>
      <c r="F119" s="4">
        <v>115.15</v>
      </c>
      <c r="G119" s="3">
        <v>43292.0</v>
      </c>
      <c r="H119" s="4">
        <v>114.62</v>
      </c>
      <c r="I119" s="3">
        <v>43292.0</v>
      </c>
      <c r="J119" s="4">
        <v>126.46</v>
      </c>
      <c r="K119" s="3">
        <v>43292.0</v>
      </c>
      <c r="L119" s="4">
        <v>1433.114</v>
      </c>
    </row>
    <row r="120">
      <c r="A120" s="3">
        <v>43292.0</v>
      </c>
      <c r="B120" s="4">
        <v>114.02</v>
      </c>
      <c r="C120" s="3">
        <v>43193.0</v>
      </c>
      <c r="D120" s="4">
        <v>23.99</v>
      </c>
      <c r="E120" s="3">
        <v>43292.0</v>
      </c>
      <c r="F120" s="4">
        <v>115.19</v>
      </c>
      <c r="G120" s="3">
        <v>43291.0</v>
      </c>
      <c r="H120" s="4">
        <v>114.69</v>
      </c>
      <c r="I120" s="3">
        <v>43291.0</v>
      </c>
      <c r="J120" s="4">
        <v>126.44</v>
      </c>
      <c r="K120" s="3">
        <v>43291.0</v>
      </c>
      <c r="L120" s="4">
        <v>1431.76</v>
      </c>
    </row>
    <row r="121">
      <c r="A121" s="3">
        <v>43291.0</v>
      </c>
      <c r="B121" s="4">
        <v>114.37</v>
      </c>
      <c r="C121" s="3">
        <v>43188.0</v>
      </c>
      <c r="D121" s="4">
        <v>23.98</v>
      </c>
      <c r="E121" s="3">
        <v>43291.0</v>
      </c>
      <c r="F121" s="4">
        <v>115.23</v>
      </c>
      <c r="G121" s="3">
        <v>43290.0</v>
      </c>
      <c r="H121" s="4">
        <v>114.77</v>
      </c>
      <c r="I121" s="3">
        <v>43290.0</v>
      </c>
      <c r="J121" s="4">
        <v>126.03</v>
      </c>
      <c r="K121" s="3">
        <v>43290.0</v>
      </c>
      <c r="L121" s="4">
        <v>1428.672</v>
      </c>
    </row>
    <row r="122">
      <c r="A122" s="3">
        <v>43290.0</v>
      </c>
      <c r="B122" s="4">
        <v>114.23</v>
      </c>
      <c r="C122" s="3">
        <v>43187.0</v>
      </c>
      <c r="D122" s="4">
        <v>23.98</v>
      </c>
      <c r="E122" s="3">
        <v>43290.0</v>
      </c>
      <c r="F122" s="4">
        <v>115.24</v>
      </c>
      <c r="G122" s="3">
        <v>43287.0</v>
      </c>
      <c r="H122" s="4">
        <v>114.72</v>
      </c>
      <c r="I122" s="3">
        <v>43287.0</v>
      </c>
      <c r="J122" s="4">
        <v>125.77</v>
      </c>
      <c r="K122" s="3">
        <v>43287.0</v>
      </c>
      <c r="L122" s="4">
        <v>1423.294</v>
      </c>
    </row>
    <row r="123">
      <c r="A123" s="3">
        <v>43287.0</v>
      </c>
      <c r="B123" s="4">
        <v>114.17</v>
      </c>
      <c r="C123" s="3">
        <v>43186.0</v>
      </c>
      <c r="D123" s="4">
        <v>23.98</v>
      </c>
      <c r="E123" s="3">
        <v>43287.0</v>
      </c>
      <c r="F123" s="4">
        <v>115.19</v>
      </c>
      <c r="G123" s="3">
        <v>43286.0</v>
      </c>
      <c r="H123" s="4">
        <v>114.78</v>
      </c>
      <c r="I123" s="3">
        <v>43286.0</v>
      </c>
      <c r="J123" s="4">
        <v>125.52</v>
      </c>
      <c r="K123" s="3">
        <v>43286.0</v>
      </c>
      <c r="L123" s="4">
        <v>1421.415</v>
      </c>
    </row>
    <row r="124">
      <c r="A124" s="3">
        <v>43286.0</v>
      </c>
      <c r="B124" s="4">
        <v>114.37</v>
      </c>
      <c r="C124" s="3">
        <v>43185.0</v>
      </c>
      <c r="D124" s="4">
        <v>23.97</v>
      </c>
      <c r="E124" s="3">
        <v>43286.0</v>
      </c>
      <c r="F124" s="4">
        <v>115.17</v>
      </c>
      <c r="G124" s="3">
        <v>43285.0</v>
      </c>
      <c r="H124" s="4">
        <v>114.83</v>
      </c>
      <c r="I124" s="3">
        <v>43285.0</v>
      </c>
      <c r="J124" s="4">
        <v>125.59</v>
      </c>
      <c r="K124" s="3">
        <v>43285.0</v>
      </c>
      <c r="L124" s="4">
        <v>1423.637</v>
      </c>
    </row>
    <row r="125">
      <c r="A125" s="3">
        <v>43285.0</v>
      </c>
      <c r="B125" s="4">
        <v>114.26</v>
      </c>
      <c r="C125" s="3">
        <v>43182.0</v>
      </c>
      <c r="D125" s="4">
        <v>23.99</v>
      </c>
      <c r="E125" s="3">
        <v>43285.0</v>
      </c>
      <c r="F125" s="4">
        <v>115.15</v>
      </c>
      <c r="G125" s="3">
        <v>43284.0</v>
      </c>
      <c r="H125" s="4">
        <v>114.78</v>
      </c>
      <c r="I125" s="3">
        <v>43284.0</v>
      </c>
      <c r="J125" s="4">
        <v>125.65</v>
      </c>
      <c r="K125" s="3">
        <v>43284.0</v>
      </c>
      <c r="L125" s="4">
        <v>1426.244</v>
      </c>
    </row>
    <row r="126">
      <c r="A126" s="3">
        <v>43284.0</v>
      </c>
      <c r="B126" s="4">
        <v>114.25</v>
      </c>
      <c r="C126" s="3">
        <v>43181.0</v>
      </c>
      <c r="D126" s="4">
        <v>24.0</v>
      </c>
      <c r="E126" s="3">
        <v>43284.0</v>
      </c>
      <c r="F126" s="4">
        <v>115.16</v>
      </c>
      <c r="G126" s="3">
        <v>43283.0</v>
      </c>
      <c r="H126" s="4">
        <v>114.72</v>
      </c>
      <c r="I126" s="3">
        <v>43283.0</v>
      </c>
      <c r="J126" s="4">
        <v>126.12</v>
      </c>
      <c r="K126" s="3">
        <v>43283.0</v>
      </c>
      <c r="L126" s="4">
        <v>1428.584</v>
      </c>
    </row>
    <row r="127">
      <c r="A127" s="3">
        <v>43283.0</v>
      </c>
      <c r="B127" s="4">
        <v>114.21</v>
      </c>
      <c r="C127" s="3">
        <v>43180.0</v>
      </c>
      <c r="D127" s="4">
        <v>24.01</v>
      </c>
      <c r="E127" s="3">
        <v>43283.0</v>
      </c>
      <c r="F127" s="4">
        <v>115.16</v>
      </c>
      <c r="G127" s="3">
        <v>43280.0</v>
      </c>
      <c r="H127" s="4">
        <v>114.7</v>
      </c>
      <c r="I127" s="3">
        <v>43280.0</v>
      </c>
      <c r="J127" s="4">
        <v>126.14</v>
      </c>
      <c r="K127" s="3">
        <v>43280.0</v>
      </c>
      <c r="L127" s="4">
        <v>1427.024</v>
      </c>
    </row>
    <row r="128">
      <c r="A128" s="3">
        <v>43280.0</v>
      </c>
      <c r="B128" s="4">
        <v>114.58</v>
      </c>
      <c r="C128" s="3">
        <v>43179.0</v>
      </c>
      <c r="D128" s="4">
        <v>24.01</v>
      </c>
      <c r="E128" s="3">
        <v>43280.0</v>
      </c>
      <c r="F128" s="4">
        <v>115.14</v>
      </c>
      <c r="G128" s="3">
        <v>43279.0</v>
      </c>
      <c r="H128" s="4">
        <v>114.71</v>
      </c>
      <c r="I128" s="3">
        <v>43279.0</v>
      </c>
      <c r="J128" s="4">
        <v>126.12</v>
      </c>
      <c r="K128" s="3">
        <v>43279.0</v>
      </c>
      <c r="L128" s="4">
        <v>1428.087</v>
      </c>
    </row>
    <row r="129">
      <c r="A129" s="3">
        <v>43279.0</v>
      </c>
      <c r="B129" s="4">
        <v>114.35</v>
      </c>
      <c r="C129" s="3">
        <v>43178.0</v>
      </c>
      <c r="D129" s="4">
        <v>24.01</v>
      </c>
      <c r="E129" s="3">
        <v>43279.0</v>
      </c>
      <c r="F129" s="4">
        <v>115.12</v>
      </c>
      <c r="G129" s="3">
        <v>43278.0</v>
      </c>
      <c r="H129" s="4">
        <v>114.55</v>
      </c>
      <c r="I129" s="3">
        <v>43278.0</v>
      </c>
      <c r="J129" s="4">
        <v>126.63</v>
      </c>
      <c r="K129" s="3">
        <v>43278.0</v>
      </c>
      <c r="L129" s="4">
        <v>1430.921</v>
      </c>
    </row>
    <row r="130">
      <c r="A130" s="3">
        <v>43278.0</v>
      </c>
      <c r="B130" s="4">
        <v>114.7</v>
      </c>
      <c r="C130" s="3">
        <v>43175.0</v>
      </c>
      <c r="D130" s="4">
        <v>24.02</v>
      </c>
      <c r="E130" s="3">
        <v>43278.0</v>
      </c>
      <c r="F130" s="4">
        <v>115.13</v>
      </c>
      <c r="G130" s="3">
        <v>43277.0</v>
      </c>
      <c r="H130" s="4">
        <v>114.57</v>
      </c>
      <c r="I130" s="3">
        <v>43277.0</v>
      </c>
      <c r="J130" s="4">
        <v>126.85</v>
      </c>
      <c r="K130" s="3">
        <v>43277.0</v>
      </c>
      <c r="L130" s="4">
        <v>1433.36</v>
      </c>
    </row>
    <row r="131">
      <c r="A131" s="3">
        <v>43277.0</v>
      </c>
      <c r="B131" s="4">
        <v>114.57</v>
      </c>
      <c r="C131" s="3">
        <v>43174.0</v>
      </c>
      <c r="D131" s="4">
        <v>24.02</v>
      </c>
      <c r="E131" s="3">
        <v>43277.0</v>
      </c>
      <c r="F131" s="4">
        <v>115.13</v>
      </c>
      <c r="G131" s="3">
        <v>43276.0</v>
      </c>
      <c r="H131" s="4">
        <v>115.0</v>
      </c>
      <c r="I131" s="3">
        <v>43276.0</v>
      </c>
      <c r="J131" s="4">
        <v>127.24</v>
      </c>
      <c r="K131" s="3">
        <v>43276.0</v>
      </c>
      <c r="L131" s="4">
        <v>1444.194</v>
      </c>
    </row>
    <row r="132">
      <c r="A132" s="3">
        <v>43276.0</v>
      </c>
      <c r="B132" s="4">
        <v>114.82</v>
      </c>
      <c r="C132" s="3">
        <v>43173.0</v>
      </c>
      <c r="D132" s="4">
        <v>24.01</v>
      </c>
      <c r="E132" s="3">
        <v>43276.0</v>
      </c>
      <c r="F132" s="4">
        <v>115.16</v>
      </c>
      <c r="G132" s="3">
        <v>43273.0</v>
      </c>
      <c r="H132" s="4">
        <v>114.97</v>
      </c>
      <c r="I132" s="3">
        <v>43273.0</v>
      </c>
      <c r="J132" s="4">
        <v>127.28</v>
      </c>
      <c r="K132" s="3">
        <v>43273.0</v>
      </c>
      <c r="L132" s="4">
        <v>1445.385</v>
      </c>
    </row>
    <row r="133">
      <c r="A133" s="3">
        <v>43273.0</v>
      </c>
      <c r="B133" s="4">
        <v>115.24</v>
      </c>
      <c r="C133" s="3">
        <v>43172.0</v>
      </c>
      <c r="D133" s="4">
        <v>24.0</v>
      </c>
      <c r="E133" s="3">
        <v>43273.0</v>
      </c>
      <c r="F133" s="4">
        <v>115.14</v>
      </c>
      <c r="G133" s="3">
        <v>43272.0</v>
      </c>
      <c r="H133" s="4">
        <v>115.24</v>
      </c>
      <c r="I133" s="3">
        <v>43272.0</v>
      </c>
      <c r="J133" s="4">
        <v>127.49</v>
      </c>
      <c r="K133" s="3">
        <v>43272.0</v>
      </c>
      <c r="L133" s="4">
        <v>1450.742</v>
      </c>
    </row>
    <row r="134">
      <c r="A134" s="3">
        <v>43272.0</v>
      </c>
      <c r="B134" s="4">
        <v>114.82</v>
      </c>
      <c r="C134" s="3">
        <v>43171.0</v>
      </c>
      <c r="D134" s="4">
        <v>24.02</v>
      </c>
      <c r="E134" s="3">
        <v>43272.0</v>
      </c>
      <c r="F134" s="4">
        <v>115.1</v>
      </c>
      <c r="G134" s="3">
        <v>43271.0</v>
      </c>
      <c r="H134" s="4">
        <v>115.26</v>
      </c>
      <c r="I134" s="3">
        <v>43271.0</v>
      </c>
      <c r="J134" s="4">
        <v>127.46</v>
      </c>
      <c r="K134" s="3">
        <v>43271.0</v>
      </c>
      <c r="L134" s="4">
        <v>1448.252</v>
      </c>
    </row>
    <row r="135">
      <c r="A135" s="3">
        <v>43271.0</v>
      </c>
      <c r="B135" s="4">
        <v>115.16</v>
      </c>
      <c r="C135" s="3">
        <v>43168.0</v>
      </c>
      <c r="D135" s="4">
        <v>24.02</v>
      </c>
      <c r="E135" s="3">
        <v>43271.0</v>
      </c>
      <c r="F135" s="4">
        <v>115.09</v>
      </c>
      <c r="G135" s="3">
        <v>43270.0</v>
      </c>
      <c r="H135" s="4">
        <v>115.36</v>
      </c>
      <c r="I135" s="3">
        <v>43270.0</v>
      </c>
      <c r="J135" s="4">
        <v>127.85</v>
      </c>
      <c r="K135" s="3">
        <v>43270.0</v>
      </c>
      <c r="L135" s="4">
        <v>1453.131</v>
      </c>
    </row>
    <row r="136">
      <c r="A136" s="3">
        <v>43270.0</v>
      </c>
      <c r="B136" s="4">
        <v>115.11</v>
      </c>
      <c r="C136" s="3">
        <v>43167.0</v>
      </c>
      <c r="D136" s="4">
        <v>24.01</v>
      </c>
      <c r="E136" s="3">
        <v>43270.0</v>
      </c>
      <c r="F136" s="4">
        <v>115.05</v>
      </c>
      <c r="G136" s="3">
        <v>43269.0</v>
      </c>
      <c r="H136" s="4">
        <v>115.64</v>
      </c>
      <c r="I136" s="3">
        <v>43269.0</v>
      </c>
      <c r="J136" s="4">
        <v>128.07</v>
      </c>
      <c r="K136" s="3">
        <v>43269.0</v>
      </c>
      <c r="L136" s="4">
        <v>1459.309</v>
      </c>
    </row>
    <row r="137">
      <c r="A137" s="3">
        <v>43269.0</v>
      </c>
      <c r="B137" s="4">
        <v>115.41</v>
      </c>
      <c r="C137" s="3">
        <v>43166.0</v>
      </c>
      <c r="D137" s="4">
        <v>23.99</v>
      </c>
      <c r="E137" s="3">
        <v>43269.0</v>
      </c>
      <c r="F137" s="4">
        <v>115.14</v>
      </c>
      <c r="G137" s="3">
        <v>43266.0</v>
      </c>
      <c r="H137" s="4">
        <v>115.58</v>
      </c>
      <c r="I137" s="3">
        <v>43266.0</v>
      </c>
      <c r="J137" s="4">
        <v>128.29</v>
      </c>
      <c r="K137" s="3">
        <v>43266.0</v>
      </c>
      <c r="L137" s="4">
        <v>1461.553</v>
      </c>
    </row>
    <row r="138">
      <c r="A138" s="3">
        <v>43266.0</v>
      </c>
      <c r="B138" s="4">
        <v>115.74</v>
      </c>
      <c r="C138" s="3">
        <v>43165.0</v>
      </c>
      <c r="D138" s="4">
        <v>24.0</v>
      </c>
      <c r="E138" s="3">
        <v>43266.0</v>
      </c>
      <c r="F138" s="4">
        <v>115.13</v>
      </c>
      <c r="G138" s="3">
        <v>43265.0</v>
      </c>
      <c r="H138" s="4">
        <v>114.85</v>
      </c>
      <c r="I138" s="3">
        <v>43265.0</v>
      </c>
      <c r="J138" s="4">
        <v>127.9</v>
      </c>
      <c r="K138" s="3">
        <v>43265.0</v>
      </c>
      <c r="L138" s="4">
        <v>1458.393</v>
      </c>
    </row>
    <row r="139">
      <c r="A139" s="3">
        <v>43265.0</v>
      </c>
      <c r="B139" s="4">
        <v>115.96</v>
      </c>
      <c r="C139" s="3">
        <v>43164.0</v>
      </c>
      <c r="D139" s="4">
        <v>24.01</v>
      </c>
      <c r="E139" s="3">
        <v>43265.0</v>
      </c>
      <c r="F139" s="4">
        <v>115.16</v>
      </c>
      <c r="G139" s="3">
        <v>43264.0</v>
      </c>
      <c r="H139" s="4">
        <v>114.69</v>
      </c>
      <c r="I139" s="3">
        <v>43264.0</v>
      </c>
      <c r="J139" s="4">
        <v>127.89</v>
      </c>
      <c r="K139" s="3">
        <v>43264.0</v>
      </c>
      <c r="L139" s="4">
        <v>1458.647</v>
      </c>
    </row>
    <row r="140">
      <c r="A140" s="3">
        <v>43264.0</v>
      </c>
      <c r="B140" s="4">
        <v>115.73</v>
      </c>
      <c r="C140" s="3">
        <v>43161.0</v>
      </c>
      <c r="D140" s="4">
        <v>24.02</v>
      </c>
      <c r="E140" s="3">
        <v>43264.0</v>
      </c>
      <c r="F140" s="4">
        <v>115.16</v>
      </c>
      <c r="G140" s="3">
        <v>43263.0</v>
      </c>
      <c r="H140" s="4">
        <v>114.71</v>
      </c>
      <c r="I140" s="3">
        <v>43263.0</v>
      </c>
      <c r="J140" s="4">
        <v>127.78</v>
      </c>
      <c r="K140" s="3">
        <v>43263.0</v>
      </c>
      <c r="L140" s="4">
        <v>1457.83</v>
      </c>
    </row>
    <row r="141">
      <c r="A141" s="3">
        <v>43263.0</v>
      </c>
      <c r="B141" s="4">
        <v>115.57</v>
      </c>
      <c r="C141" s="3">
        <v>43160.0</v>
      </c>
      <c r="D141" s="4">
        <v>24.05</v>
      </c>
      <c r="E141" s="3">
        <v>43263.0</v>
      </c>
      <c r="F141" s="4">
        <v>115.22</v>
      </c>
      <c r="G141" s="3">
        <v>43262.0</v>
      </c>
      <c r="H141" s="4">
        <v>114.7</v>
      </c>
      <c r="I141" s="3">
        <v>43262.0</v>
      </c>
      <c r="J141" s="4">
        <v>127.85</v>
      </c>
      <c r="K141" s="3">
        <v>43262.0</v>
      </c>
      <c r="L141" s="4">
        <v>1453.557</v>
      </c>
    </row>
    <row r="142">
      <c r="A142" s="3">
        <v>43262.0</v>
      </c>
      <c r="B142" s="4">
        <v>115.52</v>
      </c>
      <c r="C142" s="3">
        <v>43159.0</v>
      </c>
      <c r="D142" s="4">
        <v>24.05</v>
      </c>
      <c r="E142" s="3">
        <v>43262.0</v>
      </c>
      <c r="F142" s="4">
        <v>115.24</v>
      </c>
      <c r="G142" s="3">
        <v>43259.0</v>
      </c>
      <c r="H142" s="4">
        <v>114.65</v>
      </c>
      <c r="I142" s="3">
        <v>43259.0</v>
      </c>
      <c r="J142" s="4">
        <v>127.92</v>
      </c>
      <c r="K142" s="3">
        <v>43259.0</v>
      </c>
      <c r="L142" s="4">
        <v>1452.401</v>
      </c>
    </row>
    <row r="143">
      <c r="A143" s="3">
        <v>43259.0</v>
      </c>
      <c r="B143" s="4">
        <v>115.27</v>
      </c>
      <c r="C143" s="3">
        <v>43158.0</v>
      </c>
      <c r="D143" s="4">
        <v>24.04</v>
      </c>
      <c r="E143" s="3">
        <v>43259.0</v>
      </c>
      <c r="F143" s="4">
        <v>115.2</v>
      </c>
      <c r="G143" s="3">
        <v>43258.0</v>
      </c>
      <c r="H143" s="4">
        <v>114.72</v>
      </c>
      <c r="I143" s="3">
        <v>43258.0</v>
      </c>
      <c r="J143" s="4">
        <v>128.12</v>
      </c>
      <c r="K143" s="3">
        <v>43258.0</v>
      </c>
      <c r="L143" s="4">
        <v>1455.28</v>
      </c>
    </row>
    <row r="144">
      <c r="A144" s="3">
        <v>43258.0</v>
      </c>
      <c r="B144" s="4">
        <v>115.49</v>
      </c>
      <c r="C144" s="3">
        <v>43157.0</v>
      </c>
      <c r="D144" s="4">
        <v>24.04</v>
      </c>
      <c r="E144" s="3">
        <v>43258.0</v>
      </c>
      <c r="F144" s="4">
        <v>115.23</v>
      </c>
      <c r="G144" s="3">
        <v>43257.0</v>
      </c>
      <c r="H144" s="4">
        <v>115.22</v>
      </c>
      <c r="I144" s="3">
        <v>43257.0</v>
      </c>
      <c r="J144" s="4">
        <v>128.19</v>
      </c>
      <c r="K144" s="3">
        <v>43257.0</v>
      </c>
      <c r="L144" s="4">
        <v>1451.512</v>
      </c>
    </row>
    <row r="145">
      <c r="A145" s="3">
        <v>43257.0</v>
      </c>
      <c r="B145" s="4">
        <v>115.58</v>
      </c>
      <c r="C145" s="3">
        <v>43154.0</v>
      </c>
      <c r="D145" s="4">
        <v>24.04</v>
      </c>
      <c r="E145" s="3">
        <v>43257.0</v>
      </c>
      <c r="F145" s="4">
        <v>115.23</v>
      </c>
      <c r="G145" s="3">
        <v>43256.0</v>
      </c>
      <c r="H145" s="4">
        <v>115.02</v>
      </c>
      <c r="I145" s="3">
        <v>43256.0</v>
      </c>
      <c r="J145" s="4">
        <v>127.98</v>
      </c>
      <c r="K145" s="3">
        <v>43256.0</v>
      </c>
      <c r="L145" s="4">
        <v>1448.735</v>
      </c>
    </row>
    <row r="146">
      <c r="A146" s="3">
        <v>43256.0</v>
      </c>
      <c r="B146" s="4">
        <v>115.49</v>
      </c>
      <c r="C146" s="3">
        <v>43153.0</v>
      </c>
      <c r="D146" s="4">
        <v>24.03</v>
      </c>
      <c r="E146" s="3">
        <v>43256.0</v>
      </c>
      <c r="F146" s="4">
        <v>115.18</v>
      </c>
      <c r="G146" s="3">
        <v>43255.0</v>
      </c>
      <c r="H146" s="4">
        <v>115.01</v>
      </c>
      <c r="I146" s="3">
        <v>43255.0</v>
      </c>
      <c r="J146" s="4">
        <v>127.77</v>
      </c>
      <c r="K146" s="3">
        <v>43255.0</v>
      </c>
      <c r="L146" s="4">
        <v>1444.782</v>
      </c>
    </row>
    <row r="147">
      <c r="A147" s="3">
        <v>43255.0</v>
      </c>
      <c r="B147" s="4">
        <v>115.46</v>
      </c>
      <c r="C147" s="3">
        <v>43152.0</v>
      </c>
      <c r="D147" s="4">
        <v>24.04</v>
      </c>
      <c r="E147" s="3">
        <v>43255.0</v>
      </c>
      <c r="F147" s="4">
        <v>115.2</v>
      </c>
      <c r="G147" s="3">
        <v>43252.0</v>
      </c>
      <c r="H147" s="4">
        <v>115.27</v>
      </c>
      <c r="I147" s="3">
        <v>43252.0</v>
      </c>
      <c r="J147" s="4">
        <v>127.64</v>
      </c>
      <c r="K147" s="3">
        <v>43252.0</v>
      </c>
      <c r="L147" s="4">
        <v>1437.099</v>
      </c>
    </row>
    <row r="148">
      <c r="A148" s="3">
        <v>43252.0</v>
      </c>
      <c r="B148" s="4">
        <v>115.27</v>
      </c>
      <c r="C148" s="3">
        <v>43151.0</v>
      </c>
      <c r="D148" s="4">
        <v>24.03</v>
      </c>
      <c r="E148" s="3">
        <v>43252.0</v>
      </c>
      <c r="F148" s="4">
        <v>115.16</v>
      </c>
      <c r="G148" s="3">
        <v>43251.0</v>
      </c>
      <c r="H148" s="4">
        <v>115.12</v>
      </c>
      <c r="I148" s="3">
        <v>43251.0</v>
      </c>
      <c r="J148" s="4">
        <v>127.47</v>
      </c>
      <c r="K148" s="3">
        <v>43251.0</v>
      </c>
      <c r="L148" s="4">
        <v>1438.424</v>
      </c>
    </row>
    <row r="149">
      <c r="A149" s="3">
        <v>43251.0</v>
      </c>
      <c r="B149" s="4">
        <v>115.09</v>
      </c>
      <c r="C149" s="3">
        <v>43150.0</v>
      </c>
      <c r="D149" s="4">
        <v>24.03</v>
      </c>
      <c r="E149" s="3">
        <v>43251.0</v>
      </c>
      <c r="F149" s="4">
        <v>115.17</v>
      </c>
      <c r="G149" s="3">
        <v>43250.0</v>
      </c>
      <c r="H149" s="4">
        <v>115.48</v>
      </c>
      <c r="I149" s="3">
        <v>43250.0</v>
      </c>
      <c r="J149" s="4">
        <v>127.69</v>
      </c>
      <c r="K149" s="3">
        <v>43250.0</v>
      </c>
      <c r="L149" s="4">
        <v>1434.616</v>
      </c>
    </row>
    <row r="150">
      <c r="A150" s="3">
        <v>43250.0</v>
      </c>
      <c r="B150" s="4">
        <v>115.22</v>
      </c>
      <c r="C150" s="3">
        <v>43147.0</v>
      </c>
      <c r="D150" s="4">
        <v>24.03</v>
      </c>
      <c r="E150" s="3">
        <v>43250.0</v>
      </c>
      <c r="F150" s="4">
        <v>115.22</v>
      </c>
      <c r="G150" s="3">
        <v>43249.0</v>
      </c>
      <c r="H150" s="4">
        <v>114.91</v>
      </c>
      <c r="I150" s="3">
        <v>43249.0</v>
      </c>
      <c r="J150" s="4">
        <v>128.01</v>
      </c>
      <c r="K150" s="3">
        <v>43249.0</v>
      </c>
      <c r="L150" s="4">
        <v>1441.571</v>
      </c>
    </row>
    <row r="151">
      <c r="A151" s="3">
        <v>43249.0</v>
      </c>
      <c r="B151" s="4">
        <v>115.3</v>
      </c>
      <c r="C151" s="3">
        <v>43146.0</v>
      </c>
      <c r="D151" s="4">
        <v>24.01</v>
      </c>
      <c r="E151" s="3">
        <v>43249.0</v>
      </c>
      <c r="F151" s="4">
        <v>115.23</v>
      </c>
      <c r="G151" s="3">
        <v>43248.0</v>
      </c>
      <c r="H151" s="4">
        <v>114.79</v>
      </c>
      <c r="I151" s="3">
        <v>43248.0</v>
      </c>
      <c r="J151" s="4">
        <v>128.02</v>
      </c>
      <c r="K151" s="3">
        <v>43245.0</v>
      </c>
      <c r="L151" s="4">
        <v>1442.911</v>
      </c>
    </row>
    <row r="152">
      <c r="A152" s="3">
        <v>43248.0</v>
      </c>
      <c r="B152" s="4">
        <v>115.85</v>
      </c>
      <c r="C152" s="3">
        <v>43145.0</v>
      </c>
      <c r="D152" s="4">
        <v>24.02</v>
      </c>
      <c r="E152" s="3">
        <v>43248.0</v>
      </c>
      <c r="F152" s="4">
        <v>115.22</v>
      </c>
      <c r="G152" s="3">
        <v>43245.0</v>
      </c>
      <c r="H152" s="4">
        <v>114.55</v>
      </c>
      <c r="I152" s="3">
        <v>43245.0</v>
      </c>
      <c r="J152" s="4">
        <v>128.15</v>
      </c>
      <c r="K152" s="3">
        <v>43244.0</v>
      </c>
      <c r="L152" s="4">
        <v>1443.801</v>
      </c>
    </row>
    <row r="153">
      <c r="A153" s="3">
        <v>43245.0</v>
      </c>
      <c r="B153" s="4">
        <v>116.02</v>
      </c>
      <c r="C153" s="3">
        <v>43144.0</v>
      </c>
      <c r="D153" s="4">
        <v>24.02</v>
      </c>
      <c r="E153" s="3">
        <v>43245.0</v>
      </c>
      <c r="F153" s="4">
        <v>115.25</v>
      </c>
      <c r="G153" s="3">
        <v>43244.0</v>
      </c>
      <c r="H153" s="4">
        <v>114.39</v>
      </c>
      <c r="I153" s="3">
        <v>43244.0</v>
      </c>
      <c r="J153" s="4">
        <v>128.25</v>
      </c>
      <c r="K153" s="3">
        <v>43243.0</v>
      </c>
      <c r="L153" s="4">
        <v>1448.559</v>
      </c>
    </row>
    <row r="154">
      <c r="A154" s="3">
        <v>43244.0</v>
      </c>
      <c r="B154" s="4">
        <v>116.0</v>
      </c>
      <c r="C154" s="3">
        <v>43143.0</v>
      </c>
      <c r="D154" s="4">
        <v>24.04</v>
      </c>
      <c r="E154" s="3">
        <v>43244.0</v>
      </c>
      <c r="F154" s="4">
        <v>115.27</v>
      </c>
      <c r="G154" s="3">
        <v>43243.0</v>
      </c>
      <c r="H154" s="4">
        <v>114.03</v>
      </c>
      <c r="I154" s="3">
        <v>43243.0</v>
      </c>
      <c r="J154" s="4">
        <v>128.43</v>
      </c>
      <c r="K154" s="3">
        <v>43242.0</v>
      </c>
      <c r="L154" s="4">
        <v>1452.147</v>
      </c>
    </row>
    <row r="155">
      <c r="A155" s="3">
        <v>43243.0</v>
      </c>
      <c r="B155" s="4">
        <v>116.2</v>
      </c>
      <c r="C155" s="3">
        <v>43140.0</v>
      </c>
      <c r="D155" s="4">
        <v>24.06</v>
      </c>
      <c r="E155" s="3">
        <v>43243.0</v>
      </c>
      <c r="F155" s="4">
        <v>115.3</v>
      </c>
      <c r="G155" s="3">
        <v>43242.0</v>
      </c>
      <c r="H155" s="4">
        <v>114.01</v>
      </c>
      <c r="I155" s="3">
        <v>43242.0</v>
      </c>
      <c r="J155" s="4">
        <v>128.59</v>
      </c>
      <c r="K155" s="3">
        <v>43238.0</v>
      </c>
      <c r="L155" s="4">
        <v>1451.073</v>
      </c>
    </row>
    <row r="156">
      <c r="A156" s="3">
        <v>43242.0</v>
      </c>
      <c r="B156" s="4">
        <v>116.7</v>
      </c>
      <c r="C156" s="3">
        <v>43139.0</v>
      </c>
      <c r="D156" s="4">
        <v>24.06</v>
      </c>
      <c r="E156" s="3">
        <v>43242.0</v>
      </c>
      <c r="F156" s="4">
        <v>115.29</v>
      </c>
      <c r="G156" s="3">
        <v>43238.0</v>
      </c>
      <c r="H156" s="4">
        <v>113.86</v>
      </c>
      <c r="I156" s="3">
        <v>43238.0</v>
      </c>
      <c r="J156" s="4">
        <v>128.6</v>
      </c>
      <c r="K156" s="3">
        <v>43237.0</v>
      </c>
      <c r="L156" s="4">
        <v>1448.911</v>
      </c>
    </row>
    <row r="157">
      <c r="A157" s="3">
        <v>43238.0</v>
      </c>
      <c r="B157" s="4">
        <v>116.59</v>
      </c>
      <c r="C157" s="3">
        <v>43138.0</v>
      </c>
      <c r="D157" s="4">
        <v>24.07</v>
      </c>
      <c r="E157" s="3">
        <v>43238.0</v>
      </c>
      <c r="F157" s="4">
        <v>115.26</v>
      </c>
      <c r="G157" s="3">
        <v>43237.0</v>
      </c>
      <c r="H157" s="4">
        <v>113.93</v>
      </c>
      <c r="I157" s="3">
        <v>43237.0</v>
      </c>
      <c r="J157" s="4">
        <v>128.75</v>
      </c>
      <c r="K157" s="3">
        <v>43236.0</v>
      </c>
      <c r="L157" s="4">
        <v>1448.052</v>
      </c>
    </row>
    <row r="158">
      <c r="A158" s="3">
        <v>43237.0</v>
      </c>
      <c r="B158" s="4">
        <v>116.7</v>
      </c>
      <c r="C158" s="3">
        <v>43137.0</v>
      </c>
      <c r="D158" s="4">
        <v>24.07</v>
      </c>
      <c r="E158" s="3">
        <v>43237.0</v>
      </c>
      <c r="F158" s="4">
        <v>115.28</v>
      </c>
      <c r="G158" s="3">
        <v>43236.0</v>
      </c>
      <c r="H158" s="4">
        <v>113.92</v>
      </c>
      <c r="I158" s="3">
        <v>43236.0</v>
      </c>
      <c r="J158" s="4">
        <v>128.68</v>
      </c>
      <c r="K158" s="3">
        <v>43235.0</v>
      </c>
      <c r="L158" s="4">
        <v>1449.02</v>
      </c>
    </row>
    <row r="159">
      <c r="A159" s="3">
        <v>43236.0</v>
      </c>
      <c r="B159" s="4">
        <v>116.59</v>
      </c>
      <c r="C159" s="3">
        <v>43136.0</v>
      </c>
      <c r="D159" s="4">
        <v>24.06</v>
      </c>
      <c r="E159" s="3">
        <v>43236.0</v>
      </c>
      <c r="F159" s="4">
        <v>115.29</v>
      </c>
      <c r="G159" s="3">
        <v>43235.0</v>
      </c>
      <c r="H159" s="4">
        <v>114.16</v>
      </c>
      <c r="I159" s="3">
        <v>43235.0</v>
      </c>
      <c r="J159" s="4">
        <v>128.77</v>
      </c>
      <c r="K159" s="3">
        <v>43234.0</v>
      </c>
      <c r="L159" s="4">
        <v>1446.647</v>
      </c>
    </row>
    <row r="160">
      <c r="A160" s="3">
        <v>43235.0</v>
      </c>
      <c r="B160" s="4">
        <v>116.73</v>
      </c>
      <c r="C160" s="3">
        <v>43133.0</v>
      </c>
      <c r="D160" s="4">
        <v>24.06</v>
      </c>
      <c r="E160" s="3">
        <v>43235.0</v>
      </c>
      <c r="F160" s="4">
        <v>115.3</v>
      </c>
      <c r="G160" s="3">
        <v>43234.0</v>
      </c>
      <c r="H160" s="4">
        <v>114.35</v>
      </c>
      <c r="I160" s="3">
        <v>43234.0</v>
      </c>
      <c r="J160" s="4">
        <v>128.6</v>
      </c>
      <c r="K160" s="3">
        <v>43231.0</v>
      </c>
      <c r="L160" s="4">
        <v>1446.706</v>
      </c>
    </row>
    <row r="161">
      <c r="A161" s="3">
        <v>43234.0</v>
      </c>
      <c r="B161" s="4">
        <v>116.96</v>
      </c>
      <c r="C161" s="3">
        <v>43132.0</v>
      </c>
      <c r="D161" s="4">
        <v>24.07</v>
      </c>
      <c r="E161" s="3">
        <v>43234.0</v>
      </c>
      <c r="F161" s="4">
        <v>115.32</v>
      </c>
      <c r="G161" s="3">
        <v>43231.0</v>
      </c>
      <c r="H161" s="4">
        <v>114.32</v>
      </c>
      <c r="I161" s="3">
        <v>43231.0</v>
      </c>
      <c r="J161" s="4">
        <v>128.57</v>
      </c>
      <c r="K161" s="3">
        <v>43229.0</v>
      </c>
      <c r="L161" s="4">
        <v>1437.3278</v>
      </c>
    </row>
    <row r="162">
      <c r="A162" s="3">
        <v>43231.0</v>
      </c>
      <c r="B162" s="4">
        <v>117.04</v>
      </c>
      <c r="C162" s="3">
        <v>43131.0</v>
      </c>
      <c r="D162" s="4">
        <v>24.07</v>
      </c>
      <c r="E162" s="3">
        <v>43231.0</v>
      </c>
      <c r="F162" s="4">
        <v>115.31</v>
      </c>
      <c r="G162" s="3">
        <v>43229.0</v>
      </c>
      <c r="H162" s="4">
        <v>114.4</v>
      </c>
      <c r="I162" s="3">
        <v>43229.0</v>
      </c>
      <c r="J162" s="4">
        <v>128.45</v>
      </c>
      <c r="K162" s="3">
        <v>43228.0</v>
      </c>
      <c r="L162" s="4">
        <v>1437.0566</v>
      </c>
    </row>
    <row r="163">
      <c r="A163" s="3">
        <v>43229.0</v>
      </c>
      <c r="B163" s="4">
        <v>116.96</v>
      </c>
      <c r="C163" s="3">
        <v>43130.0</v>
      </c>
      <c r="D163" s="4">
        <v>24.07</v>
      </c>
      <c r="E163" s="3">
        <v>43229.0</v>
      </c>
      <c r="F163" s="4">
        <v>115.29</v>
      </c>
      <c r="G163" s="3">
        <v>43228.0</v>
      </c>
      <c r="H163" s="4">
        <v>114.59</v>
      </c>
      <c r="I163" s="3">
        <v>43228.0</v>
      </c>
      <c r="J163" s="4">
        <v>128.33</v>
      </c>
      <c r="K163" s="3">
        <v>43224.0</v>
      </c>
      <c r="L163" s="4">
        <v>1424.0153</v>
      </c>
    </row>
    <row r="164">
      <c r="A164" s="3">
        <v>43227.0</v>
      </c>
      <c r="B164" s="4">
        <v>116.99</v>
      </c>
      <c r="C164" s="3">
        <v>43129.0</v>
      </c>
      <c r="D164" s="4">
        <v>24.09</v>
      </c>
      <c r="E164" s="3">
        <v>43228.0</v>
      </c>
      <c r="F164" s="4">
        <v>115.32</v>
      </c>
      <c r="G164" s="3">
        <v>43227.0</v>
      </c>
      <c r="H164" s="4">
        <v>114.55</v>
      </c>
      <c r="I164" s="3">
        <v>43227.0</v>
      </c>
      <c r="J164" s="4">
        <v>128.2</v>
      </c>
      <c r="K164" s="3">
        <v>43223.0</v>
      </c>
      <c r="L164" s="4">
        <v>1425.9613</v>
      </c>
    </row>
    <row r="165">
      <c r="A165" s="3">
        <v>43224.0</v>
      </c>
      <c r="B165" s="4">
        <v>116.73</v>
      </c>
      <c r="C165" s="3">
        <v>43126.0</v>
      </c>
      <c r="D165" s="4">
        <v>24.08</v>
      </c>
      <c r="E165" s="3">
        <v>43227.0</v>
      </c>
      <c r="F165" s="4">
        <v>115.32</v>
      </c>
      <c r="G165" s="3">
        <v>43224.0</v>
      </c>
      <c r="H165" s="4">
        <v>114.63</v>
      </c>
      <c r="I165" s="3">
        <v>43224.0</v>
      </c>
      <c r="J165" s="4">
        <v>128.09</v>
      </c>
      <c r="K165" s="3">
        <v>43222.0</v>
      </c>
      <c r="L165" s="4">
        <v>1425.8887</v>
      </c>
    </row>
    <row r="166">
      <c r="A166" s="3">
        <v>43223.0</v>
      </c>
      <c r="B166" s="4">
        <v>116.58</v>
      </c>
      <c r="C166" s="3">
        <v>43125.0</v>
      </c>
      <c r="D166" s="4">
        <v>24.07</v>
      </c>
      <c r="E166" s="3">
        <v>43224.0</v>
      </c>
      <c r="F166" s="4">
        <v>115.3</v>
      </c>
      <c r="G166" s="3">
        <v>43223.0</v>
      </c>
      <c r="H166" s="4">
        <v>114.41</v>
      </c>
      <c r="I166" s="3">
        <v>43223.0</v>
      </c>
      <c r="J166" s="4">
        <v>128.18</v>
      </c>
      <c r="K166" s="3">
        <v>43220.0</v>
      </c>
      <c r="L166" s="4">
        <v>1428.251</v>
      </c>
    </row>
    <row r="167">
      <c r="A167" s="3">
        <v>43222.0</v>
      </c>
      <c r="B167" s="4">
        <v>116.7</v>
      </c>
      <c r="C167" s="3">
        <v>43124.0</v>
      </c>
      <c r="D167" s="4">
        <v>24.09</v>
      </c>
      <c r="E167" s="3">
        <v>43223.0</v>
      </c>
      <c r="F167" s="4">
        <v>115.33</v>
      </c>
      <c r="G167" s="3">
        <v>43222.0</v>
      </c>
      <c r="H167" s="4">
        <v>114.49</v>
      </c>
      <c r="I167" s="3">
        <v>43222.0</v>
      </c>
      <c r="J167" s="4">
        <v>128.33</v>
      </c>
      <c r="K167" s="3">
        <v>43217.0</v>
      </c>
      <c r="L167" s="4">
        <v>1429.4464</v>
      </c>
    </row>
    <row r="168">
      <c r="A168" s="3">
        <v>43220.0</v>
      </c>
      <c r="B168" s="4">
        <v>116.39</v>
      </c>
      <c r="C168" s="3">
        <v>43123.0</v>
      </c>
      <c r="D168" s="4">
        <v>24.1</v>
      </c>
      <c r="E168" s="3">
        <v>43222.0</v>
      </c>
      <c r="F168" s="4">
        <v>115.41</v>
      </c>
      <c r="G168" s="3">
        <v>43220.0</v>
      </c>
      <c r="H168" s="4">
        <v>114.44</v>
      </c>
      <c r="I168" s="3">
        <v>43220.0</v>
      </c>
      <c r="J168" s="4">
        <v>128.34</v>
      </c>
      <c r="K168" s="3">
        <v>43216.0</v>
      </c>
      <c r="L168" s="4">
        <v>1424.2535</v>
      </c>
    </row>
    <row r="169">
      <c r="A169" s="3">
        <v>43217.0</v>
      </c>
      <c r="B169" s="4">
        <v>116.23</v>
      </c>
      <c r="C169" s="3">
        <v>43122.0</v>
      </c>
      <c r="D169" s="4">
        <v>24.11</v>
      </c>
      <c r="E169" s="3">
        <v>43220.0</v>
      </c>
      <c r="F169" s="4">
        <v>115.42</v>
      </c>
      <c r="G169" s="3">
        <v>43217.0</v>
      </c>
      <c r="H169" s="4">
        <v>114.25</v>
      </c>
      <c r="I169" s="3">
        <v>43217.0</v>
      </c>
      <c r="J169" s="4">
        <v>128.33</v>
      </c>
      <c r="K169" s="3">
        <v>43215.0</v>
      </c>
      <c r="L169" s="4">
        <v>1429.0782</v>
      </c>
    </row>
    <row r="170">
      <c r="A170" s="3">
        <v>43216.0</v>
      </c>
      <c r="B170" s="4">
        <v>116.14</v>
      </c>
      <c r="C170" s="3">
        <v>43119.0</v>
      </c>
      <c r="D170" s="4">
        <v>24.11</v>
      </c>
      <c r="E170" s="3">
        <v>43217.0</v>
      </c>
      <c r="F170" s="4">
        <v>115.38</v>
      </c>
      <c r="G170" s="3">
        <v>43216.0</v>
      </c>
      <c r="H170" s="4">
        <v>114.0</v>
      </c>
      <c r="I170" s="3">
        <v>43216.0</v>
      </c>
      <c r="J170" s="4">
        <v>128.32</v>
      </c>
      <c r="K170" s="3">
        <v>43214.0</v>
      </c>
      <c r="L170" s="4">
        <v>1433.7015</v>
      </c>
    </row>
    <row r="171">
      <c r="A171" s="3">
        <v>43215.0</v>
      </c>
      <c r="B171" s="4">
        <v>115.99</v>
      </c>
      <c r="C171" s="3">
        <v>43118.0</v>
      </c>
      <c r="D171" s="4">
        <v>24.11</v>
      </c>
      <c r="E171" s="3">
        <v>43216.0</v>
      </c>
      <c r="F171" s="4">
        <v>115.42</v>
      </c>
      <c r="G171" s="3">
        <v>43215.0</v>
      </c>
      <c r="H171" s="4">
        <v>114.11</v>
      </c>
      <c r="I171" s="3">
        <v>43215.0</v>
      </c>
      <c r="J171" s="4">
        <v>128.5</v>
      </c>
      <c r="K171" s="3">
        <v>43213.0</v>
      </c>
      <c r="L171" s="4">
        <v>1434.435</v>
      </c>
    </row>
    <row r="172">
      <c r="A172" s="3">
        <v>43214.0</v>
      </c>
      <c r="B172" s="4">
        <v>116.27</v>
      </c>
      <c r="C172" s="3">
        <v>43117.0</v>
      </c>
      <c r="D172" s="4">
        <v>24.1</v>
      </c>
      <c r="E172" s="3">
        <v>43215.0</v>
      </c>
      <c r="F172" s="4">
        <v>115.44</v>
      </c>
      <c r="G172" s="3">
        <v>43214.0</v>
      </c>
      <c r="H172" s="4">
        <v>114.13</v>
      </c>
      <c r="I172" s="3">
        <v>43214.0</v>
      </c>
      <c r="J172" s="4">
        <v>128.58</v>
      </c>
      <c r="K172" s="3">
        <v>43210.0</v>
      </c>
      <c r="L172" s="4">
        <v>1437.953</v>
      </c>
    </row>
    <row r="173">
      <c r="A173" s="3">
        <v>43213.0</v>
      </c>
      <c r="B173" s="4">
        <v>116.41</v>
      </c>
      <c r="C173" s="3">
        <v>43116.0</v>
      </c>
      <c r="D173" s="4">
        <v>24.1</v>
      </c>
      <c r="E173" s="3">
        <v>43214.0</v>
      </c>
      <c r="F173" s="4">
        <v>115.45</v>
      </c>
      <c r="G173" s="3">
        <v>43213.0</v>
      </c>
      <c r="H173" s="4">
        <v>114.35</v>
      </c>
      <c r="I173" s="3">
        <v>43213.0</v>
      </c>
      <c r="J173" s="4">
        <v>128.55</v>
      </c>
      <c r="K173" s="3">
        <v>43209.0</v>
      </c>
      <c r="L173" s="4">
        <v>1442.247</v>
      </c>
    </row>
    <row r="174">
      <c r="A174" s="3">
        <v>43210.0</v>
      </c>
      <c r="B174" s="4">
        <v>116.44</v>
      </c>
      <c r="C174" s="3">
        <v>43115.0</v>
      </c>
      <c r="D174" s="4">
        <v>24.09</v>
      </c>
      <c r="E174" s="3">
        <v>43213.0</v>
      </c>
      <c r="F174" s="4">
        <v>115.43</v>
      </c>
      <c r="G174" s="3">
        <v>43210.0</v>
      </c>
      <c r="H174" s="4">
        <v>114.47</v>
      </c>
      <c r="I174" s="3">
        <v>43210.0</v>
      </c>
      <c r="J174" s="4">
        <v>128.71</v>
      </c>
      <c r="K174" s="3">
        <v>43208.0</v>
      </c>
      <c r="L174" s="4">
        <v>1438.085</v>
      </c>
    </row>
    <row r="175">
      <c r="A175" s="3">
        <v>43209.0</v>
      </c>
      <c r="B175" s="4">
        <v>116.42</v>
      </c>
      <c r="C175" s="3">
        <v>43112.0</v>
      </c>
      <c r="D175" s="4">
        <v>24.11</v>
      </c>
      <c r="E175" s="3">
        <v>43210.0</v>
      </c>
      <c r="F175" s="4">
        <v>115.41</v>
      </c>
      <c r="G175" s="3">
        <v>43209.0</v>
      </c>
      <c r="H175" s="4">
        <v>114.86</v>
      </c>
      <c r="I175" s="3">
        <v>43209.0</v>
      </c>
      <c r="J175" s="4">
        <v>128.73</v>
      </c>
      <c r="K175" s="3">
        <v>43207.0</v>
      </c>
      <c r="L175" s="4">
        <v>1431.644</v>
      </c>
    </row>
    <row r="176">
      <c r="A176" s="3">
        <v>43208.0</v>
      </c>
      <c r="B176" s="4">
        <v>116.53</v>
      </c>
      <c r="C176" s="3">
        <v>43111.0</v>
      </c>
      <c r="D176" s="4">
        <v>24.13</v>
      </c>
      <c r="E176" s="3">
        <v>43209.0</v>
      </c>
      <c r="F176" s="4">
        <v>115.4</v>
      </c>
      <c r="G176" s="3">
        <v>43208.0</v>
      </c>
      <c r="H176" s="4">
        <v>115.1</v>
      </c>
      <c r="I176" s="3">
        <v>43208.0</v>
      </c>
      <c r="J176" s="4">
        <v>128.65</v>
      </c>
      <c r="K176" s="3">
        <v>43206.0</v>
      </c>
      <c r="L176" s="4">
        <v>1434.221</v>
      </c>
    </row>
    <row r="177">
      <c r="A177" s="3">
        <v>43207.0</v>
      </c>
      <c r="B177" s="4">
        <v>116.44</v>
      </c>
      <c r="C177" s="3">
        <v>43110.0</v>
      </c>
      <c r="D177" s="4">
        <v>24.14</v>
      </c>
      <c r="E177" s="3">
        <v>43208.0</v>
      </c>
      <c r="F177" s="4">
        <v>115.38</v>
      </c>
      <c r="G177" s="3">
        <v>43207.0</v>
      </c>
      <c r="H177" s="4">
        <v>115.01</v>
      </c>
      <c r="I177" s="3">
        <v>43207.0</v>
      </c>
      <c r="J177" s="4">
        <v>128.43</v>
      </c>
      <c r="K177" s="3">
        <v>43203.0</v>
      </c>
      <c r="L177" s="4">
        <v>1437.714</v>
      </c>
    </row>
    <row r="178">
      <c r="A178" s="3">
        <v>43206.0</v>
      </c>
      <c r="B178" s="4">
        <v>116.14</v>
      </c>
      <c r="C178" s="3">
        <v>43109.0</v>
      </c>
      <c r="D178" s="4">
        <v>24.15</v>
      </c>
      <c r="E178" s="3">
        <v>43207.0</v>
      </c>
      <c r="F178" s="4">
        <v>115.35</v>
      </c>
      <c r="G178" s="3">
        <v>43206.0</v>
      </c>
      <c r="H178" s="4">
        <v>115.07</v>
      </c>
      <c r="I178" s="3">
        <v>43206.0</v>
      </c>
      <c r="J178" s="4">
        <v>128.44</v>
      </c>
      <c r="K178" s="3">
        <v>43202.0</v>
      </c>
      <c r="L178" s="4">
        <v>1434.671</v>
      </c>
    </row>
    <row r="179">
      <c r="A179" s="3">
        <v>43203.0</v>
      </c>
      <c r="B179" s="4">
        <v>116.26</v>
      </c>
      <c r="C179" s="3">
        <v>43108.0</v>
      </c>
      <c r="D179" s="4">
        <v>24.14</v>
      </c>
      <c r="E179" s="3">
        <v>43206.0</v>
      </c>
      <c r="F179" s="4">
        <v>115.35</v>
      </c>
      <c r="G179" s="3">
        <v>43203.0</v>
      </c>
      <c r="H179" s="4">
        <v>115.04</v>
      </c>
      <c r="I179" s="3">
        <v>43203.0</v>
      </c>
      <c r="J179" s="4">
        <v>128.42</v>
      </c>
      <c r="K179" s="3">
        <v>43201.0</v>
      </c>
      <c r="L179" s="4">
        <v>1434.073</v>
      </c>
    </row>
    <row r="180">
      <c r="A180" s="3">
        <v>43202.0</v>
      </c>
      <c r="B180" s="4">
        <v>116.09</v>
      </c>
      <c r="C180" s="3">
        <v>43105.0</v>
      </c>
      <c r="D180" s="4">
        <v>24.13</v>
      </c>
      <c r="E180" s="3">
        <v>43203.0</v>
      </c>
      <c r="F180" s="4">
        <v>115.34</v>
      </c>
      <c r="G180" s="3">
        <v>43202.0</v>
      </c>
      <c r="H180" s="4">
        <v>115.22</v>
      </c>
      <c r="I180" s="3">
        <v>43202.0</v>
      </c>
      <c r="J180" s="4">
        <v>128.28</v>
      </c>
      <c r="K180" s="3">
        <v>43200.0</v>
      </c>
      <c r="L180" s="4">
        <v>1426.966</v>
      </c>
    </row>
    <row r="181">
      <c r="A181" s="3">
        <v>43201.0</v>
      </c>
      <c r="B181" s="4">
        <v>115.86</v>
      </c>
      <c r="C181" s="3">
        <v>43104.0</v>
      </c>
      <c r="D181" s="4">
        <v>24.12</v>
      </c>
      <c r="E181" s="3">
        <v>43202.0</v>
      </c>
      <c r="F181" s="4">
        <v>115.34</v>
      </c>
      <c r="G181" s="3">
        <v>43201.0</v>
      </c>
      <c r="H181" s="4">
        <v>115.04</v>
      </c>
      <c r="I181" s="3">
        <v>43201.0</v>
      </c>
      <c r="J181" s="4">
        <v>128.39</v>
      </c>
      <c r="K181" s="3">
        <v>43199.0</v>
      </c>
      <c r="L181" s="4">
        <v>1423.624</v>
      </c>
    </row>
    <row r="182">
      <c r="A182" s="3">
        <v>43200.0</v>
      </c>
      <c r="B182" s="4">
        <v>116.01</v>
      </c>
      <c r="C182" s="3">
        <v>43103.0</v>
      </c>
      <c r="D182" s="4">
        <v>24.13</v>
      </c>
      <c r="E182" s="3">
        <v>43201.0</v>
      </c>
      <c r="F182" s="4">
        <v>115.33</v>
      </c>
      <c r="G182" s="3">
        <v>43200.0</v>
      </c>
      <c r="H182" s="4">
        <v>115.22</v>
      </c>
      <c r="I182" s="3">
        <v>43200.0</v>
      </c>
      <c r="J182" s="4">
        <v>128.1</v>
      </c>
      <c r="K182" s="3">
        <v>43196.0</v>
      </c>
      <c r="L182" s="4">
        <v>1429.482</v>
      </c>
    </row>
    <row r="183">
      <c r="A183" s="3">
        <v>43199.0</v>
      </c>
      <c r="B183" s="4">
        <v>115.8</v>
      </c>
      <c r="C183" s="3">
        <v>43102.0</v>
      </c>
      <c r="D183" s="4">
        <v>24.12</v>
      </c>
      <c r="E183" s="3">
        <v>43200.0</v>
      </c>
      <c r="F183" s="4">
        <v>115.34</v>
      </c>
      <c r="G183" s="3">
        <v>43199.0</v>
      </c>
      <c r="H183" s="4">
        <v>115.32</v>
      </c>
      <c r="I183" s="3">
        <v>43199.0</v>
      </c>
      <c r="J183" s="4">
        <v>128.07</v>
      </c>
      <c r="K183" s="3">
        <v>43195.0</v>
      </c>
      <c r="L183" s="4">
        <v>1422.465</v>
      </c>
    </row>
    <row r="184">
      <c r="A184" s="3">
        <v>43196.0</v>
      </c>
      <c r="B184" s="4">
        <v>115.83</v>
      </c>
      <c r="C184" s="3">
        <v>43098.0</v>
      </c>
      <c r="D184" s="4">
        <v>24.13</v>
      </c>
      <c r="E184" s="3">
        <v>43199.0</v>
      </c>
      <c r="F184" s="4">
        <v>115.34</v>
      </c>
      <c r="G184" s="3">
        <v>43196.0</v>
      </c>
      <c r="H184" s="4">
        <v>115.08</v>
      </c>
      <c r="I184" s="3">
        <v>43196.0</v>
      </c>
      <c r="J184" s="4">
        <v>128.28</v>
      </c>
      <c r="K184" s="3">
        <v>43194.0</v>
      </c>
      <c r="L184" s="4">
        <v>1420.31</v>
      </c>
    </row>
    <row r="185">
      <c r="A185" s="3">
        <v>43195.0</v>
      </c>
      <c r="B185" s="4">
        <v>115.97</v>
      </c>
      <c r="C185" s="3">
        <v>43097.0</v>
      </c>
      <c r="D185" s="4">
        <v>24.13</v>
      </c>
      <c r="E185" s="3">
        <v>43196.0</v>
      </c>
      <c r="F185" s="4">
        <v>115.34</v>
      </c>
      <c r="G185" s="3">
        <v>43195.0</v>
      </c>
      <c r="H185" s="4">
        <v>115.33</v>
      </c>
      <c r="I185" s="3">
        <v>43195.0</v>
      </c>
      <c r="J185" s="4">
        <v>128.03</v>
      </c>
      <c r="K185" s="3">
        <v>43193.0</v>
      </c>
      <c r="L185" s="4">
        <v>1420.282</v>
      </c>
    </row>
    <row r="186">
      <c r="A186" s="3">
        <v>43194.0</v>
      </c>
      <c r="B186" s="4">
        <v>115.19</v>
      </c>
      <c r="C186" s="3">
        <v>43096.0</v>
      </c>
      <c r="D186" s="4">
        <v>24.15</v>
      </c>
      <c r="E186" s="3">
        <v>43195.0</v>
      </c>
      <c r="F186" s="4">
        <v>115.35</v>
      </c>
      <c r="G186" s="3">
        <v>43194.0</v>
      </c>
      <c r="H186" s="4">
        <v>115.28</v>
      </c>
      <c r="I186" s="3">
        <v>43194.0</v>
      </c>
      <c r="J186" s="4">
        <v>128.07</v>
      </c>
      <c r="K186" s="3">
        <v>43188.0</v>
      </c>
      <c r="L186" s="4">
        <v>1422.646</v>
      </c>
    </row>
    <row r="187">
      <c r="A187" s="3">
        <v>43193.0</v>
      </c>
      <c r="B187" s="4">
        <v>115.23</v>
      </c>
      <c r="C187" s="3">
        <v>43091.0</v>
      </c>
      <c r="D187" s="4">
        <v>24.16</v>
      </c>
      <c r="E187" s="3">
        <v>43194.0</v>
      </c>
      <c r="F187" s="4">
        <v>115.36</v>
      </c>
      <c r="G187" s="3">
        <v>43193.0</v>
      </c>
      <c r="H187" s="4">
        <v>115.46</v>
      </c>
      <c r="I187" s="3">
        <v>43193.0</v>
      </c>
      <c r="J187" s="4">
        <v>128.28</v>
      </c>
      <c r="K187" s="3">
        <v>43187.0</v>
      </c>
      <c r="L187" s="4">
        <v>1429.532</v>
      </c>
    </row>
    <row r="188">
      <c r="A188" s="3">
        <v>43188.0</v>
      </c>
      <c r="B188" s="4">
        <v>115.42</v>
      </c>
      <c r="C188" s="3">
        <v>43090.0</v>
      </c>
      <c r="D188" s="4">
        <v>24.14</v>
      </c>
      <c r="E188" s="3">
        <v>43193.0</v>
      </c>
      <c r="F188" s="4">
        <v>115.36</v>
      </c>
      <c r="G188" s="3">
        <v>43188.0</v>
      </c>
      <c r="H188" s="4">
        <v>115.37</v>
      </c>
      <c r="I188" s="3">
        <v>43188.0</v>
      </c>
      <c r="J188" s="4">
        <v>128.32</v>
      </c>
      <c r="K188" s="3">
        <v>43186.0</v>
      </c>
      <c r="L188" s="4">
        <v>1436.394</v>
      </c>
    </row>
    <row r="189">
      <c r="A189" s="3">
        <v>43187.0</v>
      </c>
      <c r="B189" s="4">
        <v>115.14</v>
      </c>
      <c r="C189" s="3">
        <v>43089.0</v>
      </c>
      <c r="D189" s="4">
        <v>24.13</v>
      </c>
      <c r="E189" s="3">
        <v>43188.0</v>
      </c>
      <c r="F189" s="4">
        <v>115.36</v>
      </c>
      <c r="G189" s="3">
        <v>43187.0</v>
      </c>
      <c r="H189" s="4">
        <v>115.33</v>
      </c>
      <c r="I189" s="3">
        <v>43187.0</v>
      </c>
      <c r="J189" s="4">
        <v>128.56</v>
      </c>
      <c r="K189" s="3">
        <v>43185.0</v>
      </c>
      <c r="L189" s="4">
        <v>1427.608</v>
      </c>
    </row>
    <row r="190">
      <c r="A190" s="3">
        <v>43186.0</v>
      </c>
      <c r="B190" s="4">
        <v>115.22</v>
      </c>
      <c r="C190" s="3">
        <v>43088.0</v>
      </c>
      <c r="D190" s="4">
        <v>24.16</v>
      </c>
      <c r="E190" s="3">
        <v>43187.0</v>
      </c>
      <c r="F190" s="4">
        <v>115.31</v>
      </c>
      <c r="G190" s="3">
        <v>43186.0</v>
      </c>
      <c r="H190" s="4">
        <v>115.14</v>
      </c>
      <c r="I190" s="3">
        <v>43186.0</v>
      </c>
      <c r="J190" s="4">
        <v>128.63</v>
      </c>
      <c r="K190" s="3">
        <v>43182.0</v>
      </c>
      <c r="L190" s="4">
        <v>1435.756</v>
      </c>
    </row>
    <row r="191">
      <c r="A191" s="3">
        <v>43185.0</v>
      </c>
      <c r="B191" s="4">
        <v>114.84</v>
      </c>
      <c r="C191" s="3">
        <v>43087.0</v>
      </c>
      <c r="D191" s="4">
        <v>24.17</v>
      </c>
      <c r="E191" s="3">
        <v>43186.0</v>
      </c>
      <c r="F191" s="4">
        <v>115.35</v>
      </c>
      <c r="G191" s="3">
        <v>43185.0</v>
      </c>
      <c r="H191" s="4">
        <v>115.19</v>
      </c>
      <c r="I191" s="3">
        <v>43185.0</v>
      </c>
      <c r="J191" s="4">
        <v>128.38</v>
      </c>
      <c r="K191" s="3">
        <v>43181.0</v>
      </c>
      <c r="L191" s="4">
        <v>1450.554</v>
      </c>
    </row>
    <row r="192">
      <c r="A192" s="3">
        <v>43182.0</v>
      </c>
      <c r="B192" s="4">
        <v>115.13</v>
      </c>
      <c r="C192" s="3">
        <v>43084.0</v>
      </c>
      <c r="D192" s="4">
        <v>24.18</v>
      </c>
      <c r="E192" s="3">
        <v>43185.0</v>
      </c>
      <c r="F192" s="4">
        <v>115.35</v>
      </c>
      <c r="G192" s="3">
        <v>43182.0</v>
      </c>
      <c r="H192" s="4">
        <v>115.18</v>
      </c>
      <c r="I192" s="3">
        <v>43182.0</v>
      </c>
      <c r="J192" s="4">
        <v>128.79</v>
      </c>
      <c r="K192" s="3">
        <v>43180.0</v>
      </c>
      <c r="L192" s="4">
        <v>1449.721</v>
      </c>
    </row>
    <row r="193">
      <c r="A193" s="3">
        <v>43181.0</v>
      </c>
      <c r="B193" s="4">
        <v>115.38</v>
      </c>
      <c r="C193" s="3">
        <v>43083.0</v>
      </c>
      <c r="D193" s="4">
        <v>24.18</v>
      </c>
      <c r="E193" s="3">
        <v>43182.0</v>
      </c>
      <c r="F193" s="4">
        <v>115.34</v>
      </c>
      <c r="G193" s="3">
        <v>43181.0</v>
      </c>
      <c r="H193" s="4">
        <v>114.85</v>
      </c>
      <c r="I193" s="3">
        <v>43181.0</v>
      </c>
      <c r="J193" s="4">
        <v>129.49</v>
      </c>
      <c r="K193" s="3">
        <v>43179.0</v>
      </c>
      <c r="L193" s="4">
        <v>1447.741</v>
      </c>
    </row>
    <row r="194">
      <c r="A194" s="3">
        <v>43180.0</v>
      </c>
      <c r="B194" s="4">
        <v>115.79</v>
      </c>
      <c r="C194" s="3">
        <v>43082.0</v>
      </c>
      <c r="D194" s="4">
        <v>24.18</v>
      </c>
      <c r="E194" s="3">
        <v>43181.0</v>
      </c>
      <c r="F194" s="4">
        <v>115.34</v>
      </c>
      <c r="G194" s="3">
        <v>43180.0</v>
      </c>
      <c r="H194" s="4">
        <v>114.93</v>
      </c>
      <c r="I194" s="3">
        <v>43180.0</v>
      </c>
      <c r="J194" s="4">
        <v>129.52</v>
      </c>
      <c r="K194" s="3">
        <v>43178.0</v>
      </c>
      <c r="L194" s="4">
        <v>1454.347</v>
      </c>
    </row>
    <row r="195">
      <c r="A195" s="3">
        <v>43179.0</v>
      </c>
      <c r="B195" s="4">
        <v>115.86</v>
      </c>
      <c r="C195" s="3">
        <v>43081.0</v>
      </c>
      <c r="D195" s="4">
        <v>24.19</v>
      </c>
      <c r="E195" s="3">
        <v>43180.0</v>
      </c>
      <c r="F195" s="4">
        <v>115.38</v>
      </c>
      <c r="G195" s="3">
        <v>43179.0</v>
      </c>
      <c r="H195" s="4">
        <v>115.03</v>
      </c>
      <c r="I195" s="3">
        <v>43179.0</v>
      </c>
      <c r="J195" s="4">
        <v>129.4</v>
      </c>
      <c r="K195" s="3">
        <v>43175.0</v>
      </c>
      <c r="L195" s="4">
        <v>1453.988</v>
      </c>
    </row>
    <row r="196">
      <c r="A196" s="3">
        <v>43178.0</v>
      </c>
      <c r="B196" s="4">
        <v>115.74</v>
      </c>
      <c r="C196" s="3">
        <v>43080.0</v>
      </c>
      <c r="D196" s="4">
        <v>24.17</v>
      </c>
      <c r="E196" s="3">
        <v>43179.0</v>
      </c>
      <c r="F196" s="4">
        <v>115.39</v>
      </c>
      <c r="G196" s="3">
        <v>43178.0</v>
      </c>
      <c r="H196" s="4">
        <v>115.0</v>
      </c>
      <c r="I196" s="3">
        <v>43178.0</v>
      </c>
      <c r="J196" s="4">
        <v>129.88</v>
      </c>
      <c r="K196" s="3">
        <v>43174.0</v>
      </c>
      <c r="L196" s="4">
        <v>1454.255</v>
      </c>
    </row>
    <row r="197">
      <c r="A197" s="3">
        <v>43175.0</v>
      </c>
      <c r="B197" s="4">
        <v>116.11</v>
      </c>
      <c r="C197" s="3">
        <v>43077.0</v>
      </c>
      <c r="D197" s="4">
        <v>24.18</v>
      </c>
      <c r="E197" s="3">
        <v>43178.0</v>
      </c>
      <c r="F197" s="4">
        <v>115.39</v>
      </c>
      <c r="G197" s="3">
        <v>43175.0</v>
      </c>
      <c r="H197" s="4">
        <v>115.03</v>
      </c>
      <c r="I197" s="3">
        <v>43175.0</v>
      </c>
      <c r="J197" s="4">
        <v>129.84</v>
      </c>
      <c r="K197" s="3">
        <v>43173.0</v>
      </c>
      <c r="L197" s="4">
        <v>1456.77</v>
      </c>
    </row>
    <row r="198">
      <c r="A198" s="3">
        <v>43174.0</v>
      </c>
      <c r="B198" s="4">
        <v>116.15</v>
      </c>
      <c r="C198" s="3">
        <v>43076.0</v>
      </c>
      <c r="D198" s="4">
        <v>24.17</v>
      </c>
      <c r="E198" s="3">
        <v>43175.0</v>
      </c>
      <c r="F198" s="4">
        <v>115.39</v>
      </c>
      <c r="G198" s="3">
        <v>43174.0</v>
      </c>
      <c r="H198" s="4">
        <v>114.99</v>
      </c>
      <c r="I198" s="3">
        <v>43174.0</v>
      </c>
      <c r="J198" s="4">
        <v>129.84</v>
      </c>
      <c r="K198" s="3">
        <v>43172.0</v>
      </c>
      <c r="L198" s="4">
        <v>1461.805</v>
      </c>
    </row>
    <row r="199">
      <c r="A199" s="3">
        <v>43173.0</v>
      </c>
      <c r="B199" s="4">
        <v>116.03</v>
      </c>
      <c r="C199" s="3">
        <v>43075.0</v>
      </c>
      <c r="D199" s="4">
        <v>24.18</v>
      </c>
      <c r="E199" s="3">
        <v>43174.0</v>
      </c>
      <c r="F199" s="4">
        <v>115.42</v>
      </c>
      <c r="G199" s="3">
        <v>43173.0</v>
      </c>
      <c r="H199" s="4">
        <v>114.86</v>
      </c>
      <c r="I199" s="3">
        <v>43173.0</v>
      </c>
      <c r="J199" s="4">
        <v>129.94</v>
      </c>
      <c r="K199" s="3">
        <v>43171.0</v>
      </c>
      <c r="L199" s="4">
        <v>1457.198</v>
      </c>
    </row>
    <row r="200">
      <c r="A200" s="3">
        <v>43172.0</v>
      </c>
      <c r="B200" s="4">
        <v>116.16</v>
      </c>
      <c r="C200" s="3">
        <v>43074.0</v>
      </c>
      <c r="D200" s="4">
        <v>24.16</v>
      </c>
      <c r="E200" s="3">
        <v>43173.0</v>
      </c>
      <c r="F200" s="4">
        <v>115.43</v>
      </c>
      <c r="G200" s="3">
        <v>43172.0</v>
      </c>
      <c r="H200" s="4">
        <v>114.8</v>
      </c>
      <c r="I200" s="3">
        <v>43172.0</v>
      </c>
      <c r="J200" s="4">
        <v>130.42</v>
      </c>
      <c r="K200" s="3">
        <v>43168.0</v>
      </c>
      <c r="L200" s="4">
        <v>1450.189</v>
      </c>
    </row>
    <row r="201">
      <c r="A201" s="3">
        <v>43171.0</v>
      </c>
      <c r="B201" s="4">
        <v>116.43</v>
      </c>
      <c r="C201" s="3">
        <v>43073.0</v>
      </c>
      <c r="D201" s="4">
        <v>24.15</v>
      </c>
      <c r="E201" s="3">
        <v>43172.0</v>
      </c>
      <c r="F201" s="4">
        <v>115.43</v>
      </c>
      <c r="G201" s="3">
        <v>43171.0</v>
      </c>
      <c r="H201" s="4">
        <v>114.67</v>
      </c>
      <c r="I201" s="3">
        <v>43171.0</v>
      </c>
      <c r="J201" s="4">
        <v>130.32</v>
      </c>
      <c r="K201" s="3">
        <v>43167.0</v>
      </c>
      <c r="L201" s="4">
        <v>1445.455</v>
      </c>
    </row>
    <row r="202">
      <c r="A202" s="3">
        <v>43168.0</v>
      </c>
      <c r="B202" s="4">
        <v>116.39</v>
      </c>
      <c r="C202" s="3">
        <v>43070.0</v>
      </c>
      <c r="D202" s="4">
        <v>24.16</v>
      </c>
      <c r="E202" s="3">
        <v>43171.0</v>
      </c>
      <c r="F202" s="4">
        <v>115.44</v>
      </c>
      <c r="G202" s="3">
        <v>43168.0</v>
      </c>
      <c r="H202" s="4">
        <v>114.77</v>
      </c>
      <c r="I202" s="3">
        <v>43168.0</v>
      </c>
      <c r="J202" s="4">
        <v>130.23</v>
      </c>
      <c r="K202" s="3">
        <v>43166.0</v>
      </c>
      <c r="L202" s="4">
        <v>1441.748</v>
      </c>
    </row>
    <row r="203">
      <c r="A203" s="3">
        <v>43167.0</v>
      </c>
      <c r="B203" s="4">
        <v>116.41</v>
      </c>
      <c r="C203" s="3">
        <v>43069.0</v>
      </c>
      <c r="D203" s="4">
        <v>24.14</v>
      </c>
      <c r="E203" s="3">
        <v>43168.0</v>
      </c>
      <c r="F203" s="4">
        <v>115.43</v>
      </c>
      <c r="G203" s="3">
        <v>43167.0</v>
      </c>
      <c r="H203" s="4">
        <v>114.67</v>
      </c>
      <c r="I203" s="3">
        <v>43167.0</v>
      </c>
      <c r="J203" s="4">
        <v>130.03</v>
      </c>
      <c r="K203" s="3">
        <v>43165.0</v>
      </c>
      <c r="L203" s="4">
        <v>1436.634</v>
      </c>
    </row>
    <row r="204">
      <c r="A204" s="3">
        <v>43166.0</v>
      </c>
      <c r="B204" s="4">
        <v>116.07</v>
      </c>
      <c r="C204" s="3">
        <v>43068.0</v>
      </c>
      <c r="D204" s="4">
        <v>24.16</v>
      </c>
      <c r="E204" s="3">
        <v>43167.0</v>
      </c>
      <c r="F204" s="4">
        <v>115.43</v>
      </c>
      <c r="G204" s="3">
        <v>43166.0</v>
      </c>
      <c r="H204" s="4">
        <v>114.61</v>
      </c>
      <c r="I204" s="3">
        <v>43166.0</v>
      </c>
      <c r="J204" s="4">
        <v>130.07</v>
      </c>
      <c r="K204" s="3">
        <v>43164.0</v>
      </c>
      <c r="L204" s="4">
        <v>1428.118</v>
      </c>
    </row>
    <row r="205">
      <c r="A205" s="3">
        <v>43165.0</v>
      </c>
      <c r="B205" s="4">
        <v>116.04</v>
      </c>
      <c r="C205" s="3">
        <v>43067.0</v>
      </c>
      <c r="D205" s="4">
        <v>24.17</v>
      </c>
      <c r="E205" s="3">
        <v>43166.0</v>
      </c>
      <c r="F205" s="4">
        <v>115.46</v>
      </c>
      <c r="G205" s="3">
        <v>43165.0</v>
      </c>
      <c r="H205" s="4">
        <v>114.72</v>
      </c>
      <c r="I205" s="3">
        <v>43165.0</v>
      </c>
      <c r="J205" s="4">
        <v>130.09</v>
      </c>
      <c r="K205" s="3">
        <v>43161.0</v>
      </c>
      <c r="L205" s="4">
        <v>1430.821</v>
      </c>
    </row>
    <row r="206">
      <c r="A206" s="3">
        <v>43164.0</v>
      </c>
      <c r="B206" s="4">
        <v>115.89</v>
      </c>
      <c r="C206" s="3">
        <v>43066.0</v>
      </c>
      <c r="D206" s="4">
        <v>24.17</v>
      </c>
      <c r="E206" s="3">
        <v>43165.0</v>
      </c>
      <c r="F206" s="4">
        <v>115.47</v>
      </c>
      <c r="G206" s="3">
        <v>43164.0</v>
      </c>
      <c r="H206" s="4">
        <v>114.72</v>
      </c>
      <c r="I206" s="3">
        <v>43164.0</v>
      </c>
      <c r="J206" s="4">
        <v>130.16</v>
      </c>
      <c r="K206" s="3">
        <v>43160.0</v>
      </c>
      <c r="L206" s="4">
        <v>1439.243</v>
      </c>
    </row>
    <row r="207">
      <c r="A207" s="3">
        <v>43161.0</v>
      </c>
      <c r="B207" s="4">
        <v>115.58</v>
      </c>
      <c r="C207" s="3">
        <v>43063.0</v>
      </c>
      <c r="D207" s="4">
        <v>24.17</v>
      </c>
      <c r="E207" s="3">
        <v>43164.0</v>
      </c>
      <c r="F207" s="4">
        <v>115.45</v>
      </c>
      <c r="G207" s="3">
        <v>43161.0</v>
      </c>
      <c r="H207" s="4">
        <v>114.84</v>
      </c>
      <c r="I207" s="3">
        <v>43161.0</v>
      </c>
      <c r="J207" s="4">
        <v>130.56</v>
      </c>
      <c r="K207" s="3">
        <v>43159.0</v>
      </c>
      <c r="L207" s="4">
        <v>1443.861</v>
      </c>
    </row>
    <row r="208">
      <c r="A208" s="3">
        <v>43160.0</v>
      </c>
      <c r="B208" s="4">
        <v>116.17</v>
      </c>
      <c r="C208" s="3">
        <v>43062.0</v>
      </c>
      <c r="D208" s="4">
        <v>24.18</v>
      </c>
      <c r="E208" s="3">
        <v>43161.0</v>
      </c>
      <c r="F208" s="4">
        <v>115.43</v>
      </c>
      <c r="G208" s="3">
        <v>43160.0</v>
      </c>
      <c r="H208" s="4">
        <v>114.74</v>
      </c>
      <c r="I208" s="3">
        <v>43160.0</v>
      </c>
      <c r="J208" s="4">
        <v>131.07</v>
      </c>
      <c r="K208" s="3">
        <v>43158.0</v>
      </c>
      <c r="L208" s="4">
        <v>1448.561</v>
      </c>
    </row>
    <row r="209">
      <c r="A209" s="3">
        <v>43159.0</v>
      </c>
      <c r="B209" s="4">
        <v>116.58</v>
      </c>
      <c r="C209" s="3">
        <v>43061.0</v>
      </c>
      <c r="D209" s="4">
        <v>24.19</v>
      </c>
      <c r="E209" s="3">
        <v>43160.0</v>
      </c>
      <c r="F209" s="4">
        <v>115.45</v>
      </c>
      <c r="G209" s="3">
        <v>43159.0</v>
      </c>
      <c r="H209" s="4">
        <v>114.76</v>
      </c>
      <c r="I209" s="3">
        <v>43159.0</v>
      </c>
      <c r="J209" s="4">
        <v>131.34</v>
      </c>
      <c r="K209" s="3">
        <v>43157.0</v>
      </c>
      <c r="L209" s="4">
        <v>1446.229</v>
      </c>
    </row>
    <row r="210">
      <c r="A210" s="3">
        <v>43158.0</v>
      </c>
      <c r="B210" s="4">
        <v>116.74</v>
      </c>
      <c r="C210" s="3">
        <v>43060.0</v>
      </c>
      <c r="D210" s="4">
        <v>24.2</v>
      </c>
      <c r="E210" s="3">
        <v>43159.0</v>
      </c>
      <c r="F210" s="4">
        <v>115.46</v>
      </c>
      <c r="G210" s="3">
        <v>43158.0</v>
      </c>
      <c r="H210" s="4">
        <v>114.95</v>
      </c>
      <c r="I210" s="3">
        <v>43158.0</v>
      </c>
      <c r="J210" s="4">
        <v>131.65</v>
      </c>
      <c r="K210" s="3">
        <v>43154.0</v>
      </c>
      <c r="L210" s="4">
        <v>1440.047</v>
      </c>
    </row>
    <row r="211">
      <c r="A211" s="3">
        <v>43157.0</v>
      </c>
      <c r="B211" s="4">
        <v>116.88</v>
      </c>
      <c r="C211" s="3">
        <v>43059.0</v>
      </c>
      <c r="D211" s="4">
        <v>24.18</v>
      </c>
      <c r="E211" s="3">
        <v>43158.0</v>
      </c>
      <c r="F211" s="4">
        <v>115.45</v>
      </c>
      <c r="G211" s="3">
        <v>43157.0</v>
      </c>
      <c r="H211" s="4">
        <v>114.74</v>
      </c>
      <c r="I211" s="3">
        <v>43157.0</v>
      </c>
      <c r="J211" s="4">
        <v>131.46</v>
      </c>
      <c r="K211" s="3">
        <v>43153.0</v>
      </c>
      <c r="L211" s="4">
        <v>1438.423</v>
      </c>
    </row>
    <row r="212">
      <c r="A212" s="3">
        <v>43154.0</v>
      </c>
      <c r="B212" s="4">
        <v>116.8</v>
      </c>
      <c r="C212" s="3">
        <v>43056.0</v>
      </c>
      <c r="D212" s="4">
        <v>24.17</v>
      </c>
      <c r="E212" s="3">
        <v>43157.0</v>
      </c>
      <c r="F212" s="4">
        <v>115.42</v>
      </c>
      <c r="G212" s="3">
        <v>43154.0</v>
      </c>
      <c r="H212" s="4">
        <v>114.64</v>
      </c>
      <c r="I212" s="3">
        <v>43154.0</v>
      </c>
      <c r="J212" s="4">
        <v>131.35</v>
      </c>
      <c r="K212" s="3">
        <v>43152.0</v>
      </c>
      <c r="L212" s="4">
        <v>1439.934</v>
      </c>
    </row>
    <row r="213">
      <c r="A213" s="3">
        <v>43153.0</v>
      </c>
      <c r="B213" s="4">
        <v>116.72</v>
      </c>
      <c r="C213" s="3">
        <v>43055.0</v>
      </c>
      <c r="D213" s="4">
        <v>24.18</v>
      </c>
      <c r="E213" s="3">
        <v>43154.0</v>
      </c>
      <c r="F213" s="4">
        <v>115.39</v>
      </c>
      <c r="G213" s="3">
        <v>43153.0</v>
      </c>
      <c r="H213" s="4">
        <v>114.55</v>
      </c>
      <c r="I213" s="3">
        <v>43153.0</v>
      </c>
      <c r="J213" s="4">
        <v>131.45</v>
      </c>
      <c r="K213" s="3">
        <v>43151.0</v>
      </c>
      <c r="L213" s="4">
        <v>1435.984</v>
      </c>
    </row>
    <row r="214">
      <c r="A214" s="3">
        <v>43152.0</v>
      </c>
      <c r="B214" s="4">
        <v>116.77</v>
      </c>
      <c r="C214" s="3">
        <v>43054.0</v>
      </c>
      <c r="D214" s="4">
        <v>24.17</v>
      </c>
      <c r="E214" s="3">
        <v>43153.0</v>
      </c>
      <c r="F214" s="4">
        <v>115.4</v>
      </c>
      <c r="G214" s="3">
        <v>43152.0</v>
      </c>
      <c r="H214" s="4">
        <v>114.6</v>
      </c>
      <c r="I214" s="3">
        <v>43152.0</v>
      </c>
      <c r="J214" s="4">
        <v>131.34</v>
      </c>
      <c r="K214" s="3">
        <v>43150.0</v>
      </c>
      <c r="L214" s="4">
        <v>1437.0</v>
      </c>
    </row>
    <row r="215">
      <c r="A215" s="3">
        <v>43151.0</v>
      </c>
      <c r="B215" s="4">
        <v>116.77</v>
      </c>
      <c r="C215" s="3">
        <v>43053.0</v>
      </c>
      <c r="D215" s="4">
        <v>24.18</v>
      </c>
      <c r="E215" s="3">
        <v>43152.0</v>
      </c>
      <c r="F215" s="4">
        <v>115.41</v>
      </c>
      <c r="G215" s="3">
        <v>43151.0</v>
      </c>
      <c r="H215" s="4">
        <v>114.43</v>
      </c>
      <c r="I215" s="3">
        <v>43151.0</v>
      </c>
      <c r="J215" s="4">
        <v>131.38</v>
      </c>
      <c r="K215" s="3">
        <v>43147.0</v>
      </c>
      <c r="L215" s="4">
        <v>1432.56</v>
      </c>
    </row>
    <row r="216">
      <c r="A216" s="3">
        <v>43150.0</v>
      </c>
      <c r="B216" s="4">
        <v>116.54</v>
      </c>
      <c r="C216" s="3">
        <v>43052.0</v>
      </c>
      <c r="D216" s="4">
        <v>24.21</v>
      </c>
      <c r="E216" s="3">
        <v>43151.0</v>
      </c>
      <c r="F216" s="4">
        <v>115.41</v>
      </c>
      <c r="G216" s="3">
        <v>43150.0</v>
      </c>
      <c r="H216" s="4">
        <v>114.66</v>
      </c>
      <c r="I216" s="3">
        <v>43150.0</v>
      </c>
      <c r="J216" s="4">
        <v>131.4</v>
      </c>
      <c r="K216" s="3">
        <v>43146.0</v>
      </c>
      <c r="L216" s="4">
        <v>1425.77</v>
      </c>
    </row>
    <row r="217">
      <c r="A217" s="3">
        <v>43147.0</v>
      </c>
      <c r="B217" s="4">
        <v>116.66</v>
      </c>
      <c r="C217" s="3">
        <v>43049.0</v>
      </c>
      <c r="D217" s="4">
        <v>24.23</v>
      </c>
      <c r="E217" s="3">
        <v>43150.0</v>
      </c>
      <c r="F217" s="4">
        <v>115.4</v>
      </c>
      <c r="G217" s="3">
        <v>43147.0</v>
      </c>
      <c r="H217" s="4">
        <v>114.28</v>
      </c>
      <c r="I217" s="3">
        <v>43147.0</v>
      </c>
      <c r="J217" s="4">
        <v>131.19</v>
      </c>
      <c r="K217" s="3">
        <v>43145.0</v>
      </c>
      <c r="L217" s="4">
        <v>1424.751</v>
      </c>
    </row>
    <row r="218">
      <c r="A218" s="3">
        <v>43146.0</v>
      </c>
      <c r="B218" s="4">
        <v>116.33</v>
      </c>
      <c r="C218" s="3">
        <v>43048.0</v>
      </c>
      <c r="D218" s="4">
        <v>24.24</v>
      </c>
      <c r="E218" s="3">
        <v>43147.0</v>
      </c>
      <c r="F218" s="4">
        <v>115.36</v>
      </c>
      <c r="G218" s="3">
        <v>43146.0</v>
      </c>
      <c r="H218" s="4">
        <v>114.23</v>
      </c>
      <c r="I218" s="3">
        <v>43146.0</v>
      </c>
      <c r="J218" s="4">
        <v>131.01</v>
      </c>
      <c r="K218" s="3">
        <v>43144.0</v>
      </c>
      <c r="L218" s="4">
        <v>1414.945</v>
      </c>
    </row>
    <row r="219">
      <c r="A219" s="3">
        <v>43145.0</v>
      </c>
      <c r="B219" s="4">
        <v>116.28</v>
      </c>
      <c r="C219" s="3">
        <v>43047.0</v>
      </c>
      <c r="D219" s="4">
        <v>24.25</v>
      </c>
      <c r="E219" s="3">
        <v>43146.0</v>
      </c>
      <c r="F219" s="4">
        <v>115.37</v>
      </c>
      <c r="G219" s="3">
        <v>43145.0</v>
      </c>
      <c r="H219" s="4">
        <v>114.05</v>
      </c>
      <c r="I219" s="3">
        <v>43145.0</v>
      </c>
      <c r="J219" s="4">
        <v>130.71</v>
      </c>
      <c r="K219" s="3">
        <v>43143.0</v>
      </c>
      <c r="L219" s="4">
        <v>1408.838</v>
      </c>
    </row>
    <row r="220">
      <c r="A220" s="3">
        <v>43144.0</v>
      </c>
      <c r="B220" s="4">
        <v>116.1</v>
      </c>
      <c r="C220" s="3">
        <v>43046.0</v>
      </c>
      <c r="D220" s="4">
        <v>24.25</v>
      </c>
      <c r="E220" s="3">
        <v>43145.0</v>
      </c>
      <c r="F220" s="4">
        <v>115.37</v>
      </c>
      <c r="G220" s="3">
        <v>43144.0</v>
      </c>
      <c r="H220" s="4">
        <v>114.29</v>
      </c>
      <c r="I220" s="3">
        <v>43144.0</v>
      </c>
      <c r="J220" s="4">
        <v>131.04</v>
      </c>
      <c r="K220" s="3">
        <v>43140.0</v>
      </c>
      <c r="L220" s="4">
        <v>1410.8</v>
      </c>
    </row>
    <row r="221">
      <c r="A221" s="3">
        <v>43143.0</v>
      </c>
      <c r="B221" s="4">
        <v>116.23</v>
      </c>
      <c r="C221" s="3">
        <v>43045.0</v>
      </c>
      <c r="D221" s="4">
        <v>24.26</v>
      </c>
      <c r="E221" s="3">
        <v>43144.0</v>
      </c>
      <c r="F221" s="4">
        <v>115.37</v>
      </c>
      <c r="G221" s="3">
        <v>43143.0</v>
      </c>
      <c r="H221" s="4">
        <v>113.89</v>
      </c>
      <c r="I221" s="3">
        <v>43143.0</v>
      </c>
      <c r="J221" s="4">
        <v>130.81</v>
      </c>
      <c r="K221" s="3">
        <v>43139.0</v>
      </c>
      <c r="L221" s="4">
        <v>1427.4</v>
      </c>
    </row>
    <row r="222">
      <c r="A222" s="3">
        <v>43140.0</v>
      </c>
      <c r="B222" s="4">
        <v>116.06</v>
      </c>
      <c r="C222" s="3">
        <v>43042.0</v>
      </c>
      <c r="D222" s="4">
        <v>24.25</v>
      </c>
      <c r="E222" s="3">
        <v>43143.0</v>
      </c>
      <c r="F222" s="4">
        <v>115.38</v>
      </c>
      <c r="G222" s="3">
        <v>43140.0</v>
      </c>
      <c r="H222" s="4">
        <v>114.21</v>
      </c>
      <c r="I222" s="3">
        <v>43140.0</v>
      </c>
      <c r="J222" s="4">
        <v>131.13</v>
      </c>
      <c r="K222" s="3">
        <v>43138.0</v>
      </c>
      <c r="L222" s="4">
        <v>1425.759</v>
      </c>
    </row>
    <row r="223">
      <c r="A223" s="3">
        <v>43139.0</v>
      </c>
      <c r="B223" s="4">
        <v>116.41</v>
      </c>
      <c r="C223" s="3">
        <v>43041.0</v>
      </c>
      <c r="D223" s="4">
        <v>24.24</v>
      </c>
      <c r="E223" s="3">
        <v>43140.0</v>
      </c>
      <c r="F223" s="4">
        <v>115.36</v>
      </c>
      <c r="G223" s="3">
        <v>43139.0</v>
      </c>
      <c r="H223" s="4">
        <v>115.64</v>
      </c>
      <c r="I223" s="3">
        <v>43139.0</v>
      </c>
      <c r="J223" s="4">
        <v>131.86</v>
      </c>
      <c r="K223" s="3">
        <v>43137.0</v>
      </c>
      <c r="L223" s="4">
        <v>1429.648</v>
      </c>
    </row>
    <row r="224">
      <c r="A224" s="3">
        <v>43138.0</v>
      </c>
      <c r="B224" s="4">
        <v>116.85</v>
      </c>
      <c r="C224" s="3">
        <v>43039.0</v>
      </c>
      <c r="D224" s="4">
        <v>24.24</v>
      </c>
      <c r="E224" s="3">
        <v>43139.0</v>
      </c>
      <c r="F224" s="4">
        <v>115.39</v>
      </c>
      <c r="G224" s="3">
        <v>43138.0</v>
      </c>
      <c r="H224" s="4">
        <v>114.94</v>
      </c>
      <c r="I224" s="3">
        <v>43138.0</v>
      </c>
      <c r="J224" s="4">
        <v>131.63</v>
      </c>
      <c r="K224" s="3">
        <v>43136.0</v>
      </c>
      <c r="L224" s="4">
        <v>1448.744</v>
      </c>
    </row>
    <row r="225">
      <c r="A225" s="3">
        <v>43137.0</v>
      </c>
      <c r="B225" s="4">
        <v>116.44</v>
      </c>
      <c r="C225" s="3">
        <v>43038.0</v>
      </c>
      <c r="D225" s="4">
        <v>24.25</v>
      </c>
      <c r="E225" s="3">
        <v>43138.0</v>
      </c>
      <c r="F225" s="4">
        <v>115.41</v>
      </c>
      <c r="G225" s="3">
        <v>43137.0</v>
      </c>
      <c r="H225" s="4">
        <v>115.95</v>
      </c>
      <c r="I225" s="3">
        <v>43137.0</v>
      </c>
      <c r="J225" s="4">
        <v>131.73</v>
      </c>
      <c r="K225" s="3">
        <v>43133.0</v>
      </c>
      <c r="L225" s="4">
        <v>1459.803</v>
      </c>
    </row>
    <row r="226">
      <c r="A226" s="3">
        <v>43136.0</v>
      </c>
      <c r="B226" s="4">
        <v>116.84</v>
      </c>
      <c r="C226" s="3">
        <v>43035.0</v>
      </c>
      <c r="D226" s="4">
        <v>24.25</v>
      </c>
      <c r="E226" s="3">
        <v>43137.0</v>
      </c>
      <c r="F226" s="4">
        <v>115.39</v>
      </c>
      <c r="G226" s="3">
        <v>43136.0</v>
      </c>
      <c r="H226" s="4">
        <v>116.32</v>
      </c>
      <c r="I226" s="3">
        <v>43136.0</v>
      </c>
      <c r="J226" s="4">
        <v>131.96</v>
      </c>
      <c r="K226" s="3">
        <v>43132.0</v>
      </c>
      <c r="L226" s="4">
        <v>1461.43</v>
      </c>
    </row>
    <row r="227">
      <c r="A227" s="3">
        <v>43133.0</v>
      </c>
      <c r="B227" s="4">
        <v>117.18</v>
      </c>
      <c r="C227" s="3">
        <v>43034.0</v>
      </c>
      <c r="D227" s="4">
        <v>24.23</v>
      </c>
      <c r="E227" s="3">
        <v>43136.0</v>
      </c>
      <c r="F227" s="4">
        <v>115.43</v>
      </c>
      <c r="G227" s="3">
        <v>43133.0</v>
      </c>
      <c r="H227" s="4">
        <v>117.14</v>
      </c>
      <c r="I227" s="3">
        <v>43133.0</v>
      </c>
      <c r="J227" s="4">
        <v>132.22</v>
      </c>
      <c r="K227" s="3">
        <v>43131.0</v>
      </c>
      <c r="L227" s="4">
        <v>1461.267</v>
      </c>
    </row>
    <row r="228">
      <c r="A228" s="3">
        <v>43132.0</v>
      </c>
      <c r="B228" s="4">
        <v>117.65</v>
      </c>
      <c r="C228" s="3">
        <v>43033.0</v>
      </c>
      <c r="D228" s="4">
        <v>24.22</v>
      </c>
      <c r="E228" s="3">
        <v>43133.0</v>
      </c>
      <c r="F228" s="4">
        <v>115.44</v>
      </c>
      <c r="G228" s="3">
        <v>43132.0</v>
      </c>
      <c r="H228" s="4">
        <v>117.76</v>
      </c>
      <c r="I228" s="3">
        <v>43132.0</v>
      </c>
      <c r="J228" s="4">
        <v>132.23</v>
      </c>
      <c r="K228" s="3">
        <v>43130.0</v>
      </c>
      <c r="L228" s="4">
        <v>1468.201</v>
      </c>
    </row>
    <row r="229">
      <c r="A229" s="3">
        <v>43131.0</v>
      </c>
      <c r="B229" s="4">
        <v>117.84</v>
      </c>
      <c r="C229" s="3">
        <v>43032.0</v>
      </c>
      <c r="D229" s="4">
        <v>24.23</v>
      </c>
      <c r="E229" s="3">
        <v>43132.0</v>
      </c>
      <c r="F229" s="4">
        <v>115.42</v>
      </c>
      <c r="G229" s="3">
        <v>43131.0</v>
      </c>
      <c r="H229" s="4">
        <v>117.83</v>
      </c>
      <c r="I229" s="3">
        <v>43131.0</v>
      </c>
      <c r="J229" s="4">
        <v>132.18</v>
      </c>
      <c r="K229" s="3">
        <v>43129.0</v>
      </c>
      <c r="L229" s="4">
        <v>1473.658</v>
      </c>
    </row>
    <row r="230">
      <c r="A230" s="3">
        <v>43130.0</v>
      </c>
      <c r="B230" s="4">
        <v>117.84</v>
      </c>
      <c r="C230" s="3">
        <v>43031.0</v>
      </c>
      <c r="D230" s="4">
        <v>24.24</v>
      </c>
      <c r="E230" s="3">
        <v>43131.0</v>
      </c>
      <c r="F230" s="4">
        <v>115.42</v>
      </c>
      <c r="G230" s="3">
        <v>43130.0</v>
      </c>
      <c r="H230" s="4">
        <v>118.26</v>
      </c>
      <c r="I230" s="3">
        <v>43130.0</v>
      </c>
      <c r="J230" s="4">
        <v>132.49</v>
      </c>
      <c r="K230" s="3">
        <v>43126.0</v>
      </c>
      <c r="L230" s="4">
        <v>1468.683</v>
      </c>
    </row>
    <row r="231">
      <c r="A231" s="3">
        <v>43129.0</v>
      </c>
      <c r="B231" s="4">
        <v>118.06</v>
      </c>
      <c r="C231" s="3">
        <v>43028.0</v>
      </c>
      <c r="D231" s="4">
        <v>24.23</v>
      </c>
      <c r="E231" s="3">
        <v>43130.0</v>
      </c>
      <c r="F231" s="4">
        <v>115.43</v>
      </c>
      <c r="G231" s="3">
        <v>43129.0</v>
      </c>
      <c r="H231" s="4">
        <v>118.48</v>
      </c>
      <c r="I231" s="3">
        <v>43129.0</v>
      </c>
      <c r="J231" s="4">
        <v>132.57</v>
      </c>
      <c r="K231" s="3">
        <v>43125.0</v>
      </c>
      <c r="L231" s="4">
        <v>1469.656</v>
      </c>
    </row>
    <row r="232">
      <c r="A232" s="3">
        <v>43126.0</v>
      </c>
      <c r="B232" s="4">
        <v>118.16</v>
      </c>
      <c r="C232" s="3">
        <v>43027.0</v>
      </c>
      <c r="D232" s="4">
        <v>24.22</v>
      </c>
      <c r="E232" s="3">
        <v>43129.0</v>
      </c>
      <c r="F232" s="4">
        <v>115.43</v>
      </c>
      <c r="G232" s="3">
        <v>43126.0</v>
      </c>
      <c r="H232" s="4">
        <v>118.45</v>
      </c>
      <c r="I232" s="3">
        <v>43126.0</v>
      </c>
      <c r="J232" s="4">
        <v>132.19</v>
      </c>
      <c r="K232" s="3">
        <v>43124.0</v>
      </c>
      <c r="L232" s="4">
        <v>1475.314</v>
      </c>
    </row>
    <row r="233">
      <c r="A233" s="3">
        <v>43125.0</v>
      </c>
      <c r="B233" s="4">
        <v>118.09</v>
      </c>
      <c r="C233" s="3">
        <v>43026.0</v>
      </c>
      <c r="D233" s="4">
        <v>24.24</v>
      </c>
      <c r="E233" s="3">
        <v>43126.0</v>
      </c>
      <c r="F233" s="4">
        <v>115.4</v>
      </c>
      <c r="G233" s="3">
        <v>43125.0</v>
      </c>
      <c r="H233" s="4">
        <v>118.96</v>
      </c>
      <c r="I233" s="3">
        <v>43125.0</v>
      </c>
      <c r="J233" s="4">
        <v>132.43</v>
      </c>
      <c r="K233" s="3">
        <v>43123.0</v>
      </c>
      <c r="L233" s="4">
        <v>1473.7509</v>
      </c>
    </row>
    <row r="234">
      <c r="A234" s="3">
        <v>43124.0</v>
      </c>
      <c r="B234" s="4">
        <v>118.23</v>
      </c>
      <c r="C234" s="3">
        <v>43025.0</v>
      </c>
      <c r="D234" s="4">
        <v>24.25</v>
      </c>
      <c r="E234" s="3">
        <v>43125.0</v>
      </c>
      <c r="F234" s="4">
        <v>115.38</v>
      </c>
      <c r="G234" s="3">
        <v>43124.0</v>
      </c>
      <c r="H234" s="4">
        <v>119.38</v>
      </c>
      <c r="I234" s="3">
        <v>43124.0</v>
      </c>
      <c r="J234" s="4">
        <v>132.58</v>
      </c>
      <c r="K234" s="3">
        <v>43122.0</v>
      </c>
      <c r="L234" s="4">
        <v>1469.7258</v>
      </c>
    </row>
    <row r="235">
      <c r="A235" s="3">
        <v>43123.0</v>
      </c>
      <c r="B235" s="4">
        <v>118.47</v>
      </c>
      <c r="C235" s="3">
        <v>43024.0</v>
      </c>
      <c r="D235" s="4">
        <v>24.24</v>
      </c>
      <c r="E235" s="3">
        <v>43124.0</v>
      </c>
      <c r="F235" s="4">
        <v>115.39</v>
      </c>
      <c r="G235" s="3">
        <v>43123.0</v>
      </c>
      <c r="H235" s="4">
        <v>119.06</v>
      </c>
      <c r="I235" s="3">
        <v>43123.0</v>
      </c>
      <c r="J235" s="4">
        <v>132.48</v>
      </c>
      <c r="K235" s="3">
        <v>43119.0</v>
      </c>
      <c r="L235" s="4">
        <v>1467.9423</v>
      </c>
    </row>
    <row r="236">
      <c r="A236" s="3">
        <v>43122.0</v>
      </c>
      <c r="B236" s="4">
        <v>118.37</v>
      </c>
      <c r="C236" s="3">
        <v>43021.0</v>
      </c>
      <c r="D236" s="4">
        <v>24.24</v>
      </c>
      <c r="E236" s="3">
        <v>43123.0</v>
      </c>
      <c r="F236" s="4">
        <v>115.39</v>
      </c>
      <c r="G236" s="3">
        <v>43122.0</v>
      </c>
      <c r="H236" s="4">
        <v>118.94</v>
      </c>
      <c r="I236" s="3">
        <v>43122.0</v>
      </c>
      <c r="J236" s="4">
        <v>132.35</v>
      </c>
      <c r="K236" s="3">
        <v>43118.0</v>
      </c>
      <c r="L236" s="4">
        <v>1466.9772</v>
      </c>
    </row>
    <row r="237">
      <c r="A237" s="3">
        <v>43119.0</v>
      </c>
      <c r="B237" s="4">
        <v>118.43</v>
      </c>
      <c r="C237" s="3">
        <v>43020.0</v>
      </c>
      <c r="D237" s="4">
        <v>24.22</v>
      </c>
      <c r="E237" s="3">
        <v>43122.0</v>
      </c>
      <c r="F237" s="4">
        <v>115.39</v>
      </c>
      <c r="G237" s="3">
        <v>43119.0</v>
      </c>
      <c r="H237" s="4">
        <v>118.43</v>
      </c>
      <c r="I237" s="3">
        <v>43119.0</v>
      </c>
      <c r="J237" s="4">
        <v>132.17</v>
      </c>
      <c r="K237" s="3">
        <v>43117.0</v>
      </c>
      <c r="L237" s="4">
        <v>1467.2858</v>
      </c>
    </row>
    <row r="238">
      <c r="A238" s="3">
        <v>43118.0</v>
      </c>
      <c r="B238" s="4">
        <v>118.38</v>
      </c>
      <c r="C238" s="3">
        <v>43019.0</v>
      </c>
      <c r="D238" s="4">
        <v>24.22</v>
      </c>
      <c r="E238" s="3">
        <v>43119.0</v>
      </c>
      <c r="F238" s="4">
        <v>115.38</v>
      </c>
      <c r="G238" s="3">
        <v>43118.0</v>
      </c>
      <c r="H238" s="4">
        <v>118.27</v>
      </c>
      <c r="I238" s="3">
        <v>43118.0</v>
      </c>
      <c r="J238" s="4">
        <v>132.19</v>
      </c>
      <c r="K238" s="3">
        <v>43116.0</v>
      </c>
      <c r="L238" s="4">
        <v>1469.5487</v>
      </c>
    </row>
    <row r="239">
      <c r="A239" s="3">
        <v>43117.0</v>
      </c>
      <c r="B239" s="4">
        <v>118.38</v>
      </c>
      <c r="C239" s="3">
        <v>43018.0</v>
      </c>
      <c r="D239" s="4">
        <v>24.23</v>
      </c>
      <c r="E239" s="3">
        <v>43118.0</v>
      </c>
      <c r="F239" s="4">
        <v>115.38</v>
      </c>
      <c r="G239" s="3">
        <v>43117.0</v>
      </c>
      <c r="H239" s="4">
        <v>118.47</v>
      </c>
      <c r="I239" s="3">
        <v>43117.0</v>
      </c>
      <c r="J239" s="4">
        <v>132.05</v>
      </c>
      <c r="K239" s="3">
        <v>43115.0</v>
      </c>
      <c r="L239" s="4">
        <v>1467.9044</v>
      </c>
    </row>
    <row r="240">
      <c r="A240" s="3">
        <v>43116.0</v>
      </c>
      <c r="B240" s="4">
        <v>118.43</v>
      </c>
      <c r="C240" s="3">
        <v>43017.0</v>
      </c>
      <c r="D240" s="4">
        <v>24.24</v>
      </c>
      <c r="E240" s="3">
        <v>43117.0</v>
      </c>
      <c r="F240" s="4">
        <v>115.39</v>
      </c>
      <c r="G240" s="3">
        <v>43116.0</v>
      </c>
      <c r="H240" s="4">
        <v>118.39</v>
      </c>
      <c r="I240" s="3">
        <v>43116.0</v>
      </c>
      <c r="J240" s="4">
        <v>131.85</v>
      </c>
      <c r="K240" s="3">
        <v>43112.0</v>
      </c>
      <c r="L240" s="4">
        <v>1467.0609</v>
      </c>
    </row>
    <row r="241">
      <c r="A241" s="3">
        <v>43115.0</v>
      </c>
      <c r="B241" s="4">
        <v>118.31</v>
      </c>
      <c r="C241" s="3">
        <v>43014.0</v>
      </c>
      <c r="D241" s="4">
        <v>24.24</v>
      </c>
      <c r="E241" s="3">
        <v>43116.0</v>
      </c>
      <c r="F241" s="4">
        <v>115.38</v>
      </c>
      <c r="G241" s="3">
        <v>43115.0</v>
      </c>
      <c r="H241" s="4">
        <v>118.35</v>
      </c>
      <c r="I241" s="3">
        <v>43115.0</v>
      </c>
      <c r="J241" s="4">
        <v>131.97</v>
      </c>
      <c r="K241" s="3">
        <v>43111.0</v>
      </c>
      <c r="L241" s="4">
        <v>1464.2045</v>
      </c>
    </row>
    <row r="242">
      <c r="A242" s="3">
        <v>43112.0</v>
      </c>
      <c r="B242" s="4">
        <v>118.4</v>
      </c>
      <c r="C242" s="3">
        <v>43013.0</v>
      </c>
      <c r="D242" s="4">
        <v>24.25</v>
      </c>
      <c r="E242" s="3">
        <v>43115.0</v>
      </c>
      <c r="F242" s="4">
        <v>115.38</v>
      </c>
      <c r="G242" s="3">
        <v>43112.0</v>
      </c>
      <c r="H242" s="4">
        <v>118.25</v>
      </c>
      <c r="I242" s="3">
        <v>43112.0</v>
      </c>
      <c r="J242" s="4">
        <v>131.64</v>
      </c>
      <c r="K242" s="3">
        <v>43110.0</v>
      </c>
      <c r="L242" s="4">
        <v>1466.0641</v>
      </c>
    </row>
    <row r="243">
      <c r="A243" s="3">
        <v>43111.0</v>
      </c>
      <c r="B243" s="4">
        <v>118.31</v>
      </c>
      <c r="C243" s="3">
        <v>43012.0</v>
      </c>
      <c r="D243" s="4">
        <v>24.25</v>
      </c>
      <c r="E243" s="3">
        <v>43112.0</v>
      </c>
      <c r="F243" s="4">
        <v>115.34</v>
      </c>
      <c r="G243" s="3">
        <v>43111.0</v>
      </c>
      <c r="H243" s="4">
        <v>118.56</v>
      </c>
      <c r="I243" s="3">
        <v>43111.0</v>
      </c>
      <c r="J243" s="4">
        <v>131.7</v>
      </c>
      <c r="K243" s="3">
        <v>43109.0</v>
      </c>
      <c r="L243" s="4">
        <v>1466.276</v>
      </c>
    </row>
    <row r="244">
      <c r="A244" s="3">
        <v>43110.0</v>
      </c>
      <c r="B244" s="4">
        <v>118.48</v>
      </c>
      <c r="C244" s="3">
        <v>43011.0</v>
      </c>
      <c r="D244" s="4">
        <v>24.25</v>
      </c>
      <c r="E244" s="3">
        <v>43111.0</v>
      </c>
      <c r="F244" s="4">
        <v>115.33</v>
      </c>
      <c r="G244" s="3">
        <v>43110.0</v>
      </c>
      <c r="H244" s="4">
        <v>118.95</v>
      </c>
      <c r="I244" s="3">
        <v>43110.0</v>
      </c>
      <c r="J244" s="4">
        <v>131.91</v>
      </c>
      <c r="K244" s="3">
        <v>43108.0</v>
      </c>
      <c r="L244" s="4">
        <v>1463.6907</v>
      </c>
    </row>
    <row r="245">
      <c r="A245" s="3">
        <v>43109.0</v>
      </c>
      <c r="B245" s="4">
        <v>118.74</v>
      </c>
      <c r="C245" s="3">
        <v>43010.0</v>
      </c>
      <c r="D245" s="4">
        <v>24.25</v>
      </c>
      <c r="E245" s="3">
        <v>43110.0</v>
      </c>
      <c r="F245" s="4">
        <v>115.35</v>
      </c>
      <c r="G245" s="3">
        <v>43109.0</v>
      </c>
      <c r="H245" s="4">
        <v>118.98</v>
      </c>
      <c r="I245" s="3">
        <v>43109.0</v>
      </c>
      <c r="J245" s="4">
        <v>131.66</v>
      </c>
      <c r="K245" s="3">
        <v>43105.0</v>
      </c>
      <c r="L245" s="4">
        <v>1460.2819</v>
      </c>
    </row>
    <row r="246">
      <c r="A246" s="3">
        <v>43108.0</v>
      </c>
      <c r="B246" s="4">
        <v>118.64</v>
      </c>
      <c r="C246" s="3">
        <v>43007.0</v>
      </c>
      <c r="D246" s="4">
        <v>24.24</v>
      </c>
      <c r="E246" s="3">
        <v>43109.0</v>
      </c>
      <c r="F246" s="4">
        <v>115.36</v>
      </c>
      <c r="G246" s="3">
        <v>43108.0</v>
      </c>
      <c r="H246" s="4">
        <v>118.75</v>
      </c>
      <c r="I246" s="3">
        <v>43108.0</v>
      </c>
      <c r="J246" s="4">
        <v>131.51</v>
      </c>
      <c r="K246" s="3">
        <v>43104.0</v>
      </c>
      <c r="L246" s="4">
        <v>1456.0037</v>
      </c>
    </row>
    <row r="247">
      <c r="A247" s="3">
        <v>43105.0</v>
      </c>
      <c r="B247" s="4">
        <v>118.63</v>
      </c>
      <c r="C247" s="3">
        <v>43006.0</v>
      </c>
      <c r="D247" s="4">
        <v>24.25</v>
      </c>
      <c r="E247" s="3">
        <v>43108.0</v>
      </c>
      <c r="F247" s="4">
        <v>115.35</v>
      </c>
      <c r="G247" s="3">
        <v>43105.0</v>
      </c>
      <c r="H247" s="4">
        <v>118.25</v>
      </c>
      <c r="I247" s="3">
        <v>43105.0</v>
      </c>
      <c r="J247" s="4">
        <v>131.07</v>
      </c>
      <c r="K247" s="3">
        <v>43103.0</v>
      </c>
      <c r="L247" s="4">
        <v>1447.6658</v>
      </c>
    </row>
    <row r="248">
      <c r="A248" s="3">
        <v>43104.0</v>
      </c>
      <c r="B248" s="4">
        <v>118.34</v>
      </c>
      <c r="C248" s="3">
        <v>43005.0</v>
      </c>
      <c r="D248" s="4">
        <v>24.26</v>
      </c>
      <c r="E248" s="3">
        <v>43105.0</v>
      </c>
      <c r="F248" s="4">
        <v>115.32</v>
      </c>
      <c r="G248" s="3">
        <v>43104.0</v>
      </c>
      <c r="H248" s="4">
        <v>117.58</v>
      </c>
      <c r="I248" s="3">
        <v>43104.0</v>
      </c>
      <c r="J248" s="4">
        <v>130.66</v>
      </c>
      <c r="K248" s="3">
        <v>43102.0</v>
      </c>
      <c r="L248" s="4">
        <v>1441.3029</v>
      </c>
    </row>
    <row r="249">
      <c r="A249" s="3">
        <v>43103.0</v>
      </c>
      <c r="B249" s="4">
        <v>117.96</v>
      </c>
      <c r="C249" s="3">
        <v>43004.0</v>
      </c>
      <c r="D249" s="4">
        <v>24.26</v>
      </c>
      <c r="E249" s="3">
        <v>43104.0</v>
      </c>
      <c r="F249" s="4">
        <v>115.3</v>
      </c>
      <c r="G249" s="3">
        <v>43103.0</v>
      </c>
      <c r="H249" s="4">
        <v>117.11</v>
      </c>
      <c r="I249" s="3">
        <v>43103.0</v>
      </c>
      <c r="J249" s="4">
        <v>130.28</v>
      </c>
      <c r="K249" s="3">
        <v>43098.0</v>
      </c>
      <c r="L249" s="4">
        <v>1442.7939</v>
      </c>
    </row>
    <row r="250">
      <c r="A250" s="3">
        <v>43102.0</v>
      </c>
      <c r="B250" s="4">
        <v>117.73</v>
      </c>
      <c r="C250" s="3">
        <v>43003.0</v>
      </c>
      <c r="D250" s="4">
        <v>24.26</v>
      </c>
      <c r="E250" s="3">
        <v>43103.0</v>
      </c>
      <c r="F250" s="4">
        <v>115.32</v>
      </c>
      <c r="G250" s="3">
        <v>43102.0</v>
      </c>
      <c r="H250" s="4">
        <v>117.46</v>
      </c>
      <c r="I250" s="3">
        <v>43102.0</v>
      </c>
      <c r="J250" s="4">
        <v>129.96</v>
      </c>
      <c r="K250" s="3">
        <v>43097.0</v>
      </c>
      <c r="L250" s="4">
        <v>1442.26</v>
      </c>
    </row>
    <row r="251">
      <c r="A251" s="3">
        <v>43098.0</v>
      </c>
      <c r="B251" s="4">
        <v>117.8</v>
      </c>
      <c r="C251" s="3">
        <v>43000.0</v>
      </c>
      <c r="D251" s="4">
        <v>24.24</v>
      </c>
      <c r="E251" s="3">
        <v>43102.0</v>
      </c>
      <c r="F251" s="4">
        <v>115.3</v>
      </c>
      <c r="G251" s="3">
        <v>43098.0</v>
      </c>
      <c r="H251" s="4">
        <v>117.73</v>
      </c>
      <c r="I251" s="3">
        <v>43098.0</v>
      </c>
      <c r="J251" s="4">
        <v>130.24</v>
      </c>
      <c r="K251" s="3">
        <v>43096.0</v>
      </c>
      <c r="L251" s="4">
        <v>1444.3239</v>
      </c>
    </row>
    <row r="252">
      <c r="A252" s="3">
        <v>43097.0</v>
      </c>
      <c r="B252" s="4">
        <v>117.86</v>
      </c>
      <c r="C252" s="3">
        <v>42999.0</v>
      </c>
      <c r="D252" s="4">
        <v>24.24</v>
      </c>
      <c r="E252" s="3">
        <v>43098.0</v>
      </c>
      <c r="F252" s="4">
        <v>115.29</v>
      </c>
      <c r="G252" s="3">
        <v>43097.0</v>
      </c>
      <c r="H252" s="4">
        <v>118.28</v>
      </c>
      <c r="I252" s="3">
        <v>43097.0</v>
      </c>
      <c r="J252" s="4">
        <v>130.09</v>
      </c>
      <c r="K252" s="3">
        <v>43091.0</v>
      </c>
      <c r="L252" s="4">
        <v>1447.2386</v>
      </c>
    </row>
    <row r="253">
      <c r="A253" s="3">
        <v>43096.0</v>
      </c>
      <c r="B253" s="4">
        <v>117.88</v>
      </c>
      <c r="C253" s="3">
        <v>42998.0</v>
      </c>
      <c r="D253" s="4">
        <v>24.24</v>
      </c>
      <c r="E253" s="3">
        <v>43097.0</v>
      </c>
      <c r="F253" s="4">
        <v>115.25</v>
      </c>
      <c r="G253" s="3">
        <v>43096.0</v>
      </c>
      <c r="H253" s="4">
        <v>118.19</v>
      </c>
      <c r="I253" s="3">
        <v>43096.0</v>
      </c>
      <c r="J253" s="4">
        <v>130.23</v>
      </c>
      <c r="K253" s="3">
        <v>43090.0</v>
      </c>
      <c r="L253" s="4">
        <v>1445.3517</v>
      </c>
    </row>
    <row r="254">
      <c r="A254" s="3">
        <v>43091.0</v>
      </c>
      <c r="B254" s="4">
        <v>117.9</v>
      </c>
      <c r="C254" s="3">
        <v>42997.0</v>
      </c>
      <c r="D254" s="4">
        <v>24.24</v>
      </c>
      <c r="E254" s="3">
        <v>43096.0</v>
      </c>
      <c r="F254" s="4">
        <v>115.32</v>
      </c>
      <c r="G254" s="3">
        <v>43091.0</v>
      </c>
      <c r="H254" s="4">
        <v>118.42</v>
      </c>
      <c r="I254" s="3">
        <v>43091.0</v>
      </c>
      <c r="J254" s="4">
        <v>130.24</v>
      </c>
      <c r="K254" s="3">
        <v>43089.0</v>
      </c>
      <c r="L254" s="4">
        <v>1446.1488</v>
      </c>
    </row>
    <row r="255">
      <c r="A255" s="3">
        <v>43090.0</v>
      </c>
      <c r="B255" s="4">
        <v>118.0</v>
      </c>
      <c r="C255" s="3">
        <v>42996.0</v>
      </c>
      <c r="D255" s="4">
        <v>24.24</v>
      </c>
      <c r="E255" s="3">
        <v>43091.0</v>
      </c>
      <c r="F255" s="4">
        <v>115.3</v>
      </c>
      <c r="G255" s="3">
        <v>43090.0</v>
      </c>
      <c r="H255" s="4">
        <v>118.22</v>
      </c>
      <c r="I255" s="3">
        <v>43090.0</v>
      </c>
      <c r="J255" s="4">
        <v>130.08</v>
      </c>
      <c r="K255" s="3">
        <v>43088.0</v>
      </c>
      <c r="L255" s="4">
        <v>1446.8092</v>
      </c>
    </row>
    <row r="256">
      <c r="A256" s="3">
        <v>43089.0</v>
      </c>
      <c r="B256" s="4">
        <v>117.94</v>
      </c>
      <c r="C256" s="3">
        <v>42993.0</v>
      </c>
      <c r="D256" s="4">
        <v>24.24</v>
      </c>
      <c r="E256" s="3">
        <v>43090.0</v>
      </c>
      <c r="F256" s="4">
        <v>115.29</v>
      </c>
      <c r="G256" s="3">
        <v>43089.0</v>
      </c>
      <c r="H256" s="4">
        <v>118.88</v>
      </c>
      <c r="I256" s="3">
        <v>43089.0</v>
      </c>
      <c r="J256" s="4">
        <v>130.33</v>
      </c>
      <c r="K256" s="3">
        <v>43087.0</v>
      </c>
      <c r="L256" s="4">
        <v>1440.9205</v>
      </c>
    </row>
    <row r="257">
      <c r="A257" s="3">
        <v>43088.0</v>
      </c>
      <c r="B257" s="4">
        <v>118.12</v>
      </c>
      <c r="C257" s="3">
        <v>42992.0</v>
      </c>
      <c r="D257" s="4">
        <v>24.25</v>
      </c>
      <c r="E257" s="3">
        <v>43089.0</v>
      </c>
      <c r="F257" s="4">
        <v>115.27</v>
      </c>
      <c r="G257" s="3">
        <v>43088.0</v>
      </c>
      <c r="H257" s="4">
        <v>119.48</v>
      </c>
      <c r="I257" s="3">
        <v>43088.0</v>
      </c>
      <c r="J257" s="4">
        <v>130.41</v>
      </c>
      <c r="K257" s="3">
        <v>43084.0</v>
      </c>
      <c r="L257" s="4">
        <v>1439.46</v>
      </c>
    </row>
    <row r="258">
      <c r="A258" s="3">
        <v>43087.0</v>
      </c>
      <c r="B258" s="4">
        <v>118.14</v>
      </c>
      <c r="C258" s="3">
        <v>42991.0</v>
      </c>
      <c r="D258" s="4">
        <v>24.24</v>
      </c>
      <c r="E258" s="3">
        <v>43088.0</v>
      </c>
      <c r="F258" s="4">
        <v>115.29</v>
      </c>
      <c r="G258" s="3">
        <v>43087.0</v>
      </c>
      <c r="H258" s="4">
        <v>118.81</v>
      </c>
      <c r="I258" s="3">
        <v>43087.0</v>
      </c>
      <c r="J258" s="4">
        <v>130.01</v>
      </c>
      <c r="K258" s="3">
        <v>43083.0</v>
      </c>
      <c r="L258" s="4">
        <v>1441.65</v>
      </c>
    </row>
    <row r="259">
      <c r="A259" s="3">
        <v>43084.0</v>
      </c>
      <c r="B259" s="4">
        <v>117.72</v>
      </c>
      <c r="C259" s="3">
        <v>42990.0</v>
      </c>
      <c r="D259" s="4">
        <v>24.25</v>
      </c>
      <c r="E259" s="3">
        <v>43087.0</v>
      </c>
      <c r="F259" s="4">
        <v>115.33</v>
      </c>
      <c r="G259" s="3">
        <v>43084.0</v>
      </c>
      <c r="H259" s="4">
        <v>118.8</v>
      </c>
      <c r="I259" s="3">
        <v>43084.0</v>
      </c>
      <c r="J259" s="4">
        <v>129.91</v>
      </c>
      <c r="K259" s="3">
        <v>43082.0</v>
      </c>
      <c r="L259" s="4">
        <v>1440.054</v>
      </c>
    </row>
    <row r="260">
      <c r="A260" s="3">
        <v>43083.0</v>
      </c>
      <c r="B260" s="4">
        <v>117.7</v>
      </c>
      <c r="C260" s="3">
        <v>42989.0</v>
      </c>
      <c r="D260" s="4">
        <v>24.24</v>
      </c>
      <c r="E260" s="3">
        <v>43084.0</v>
      </c>
      <c r="F260" s="4">
        <v>115.33</v>
      </c>
      <c r="G260" s="3">
        <v>43083.0</v>
      </c>
      <c r="H260" s="4">
        <v>119.01</v>
      </c>
      <c r="I260" s="3">
        <v>43083.0</v>
      </c>
      <c r="J260" s="4">
        <v>130.09</v>
      </c>
      <c r="K260" s="3">
        <v>43081.0</v>
      </c>
      <c r="L260" s="4">
        <v>1440.934</v>
      </c>
    </row>
    <row r="261">
      <c r="A261" s="3">
        <v>43082.0</v>
      </c>
      <c r="B261" s="4">
        <v>117.84</v>
      </c>
      <c r="C261" s="3">
        <v>42986.0</v>
      </c>
      <c r="D261" s="4">
        <v>24.24</v>
      </c>
      <c r="E261" s="3">
        <v>43083.0</v>
      </c>
      <c r="F261" s="4">
        <v>115.29</v>
      </c>
      <c r="G261" s="3">
        <v>43082.0</v>
      </c>
      <c r="H261" s="4">
        <v>119.1</v>
      </c>
      <c r="I261" s="3">
        <v>43082.0</v>
      </c>
      <c r="J261" s="4">
        <v>130.21</v>
      </c>
      <c r="K261" s="3">
        <v>43080.0</v>
      </c>
      <c r="L261" s="4">
        <v>1437.989</v>
      </c>
    </row>
    <row r="262">
      <c r="A262" s="3">
        <v>43081.0</v>
      </c>
      <c r="B262" s="4">
        <v>117.93</v>
      </c>
      <c r="C262" s="3">
        <v>42985.0</v>
      </c>
      <c r="D262" s="4">
        <v>24.24</v>
      </c>
      <c r="E262" s="3">
        <v>43082.0</v>
      </c>
      <c r="F262" s="4">
        <v>115.29</v>
      </c>
      <c r="G262" s="3">
        <v>43081.0</v>
      </c>
      <c r="H262" s="4">
        <v>119.02</v>
      </c>
      <c r="I262" s="3">
        <v>43081.0</v>
      </c>
      <c r="J262" s="4">
        <v>130.15</v>
      </c>
      <c r="K262" s="3">
        <v>43077.0</v>
      </c>
      <c r="L262" s="4">
        <v>1436.442</v>
      </c>
    </row>
    <row r="263">
      <c r="A263" s="3">
        <v>43080.0</v>
      </c>
      <c r="B263" s="4">
        <v>117.8</v>
      </c>
      <c r="C263" s="3">
        <v>42984.0</v>
      </c>
      <c r="D263" s="4">
        <v>24.25</v>
      </c>
      <c r="E263" s="3">
        <v>43081.0</v>
      </c>
      <c r="F263" s="4">
        <v>115.26</v>
      </c>
      <c r="G263" s="3">
        <v>43080.0</v>
      </c>
      <c r="H263" s="4">
        <v>119.03</v>
      </c>
      <c r="I263" s="3">
        <v>43080.0</v>
      </c>
      <c r="J263" s="4">
        <v>129.95</v>
      </c>
      <c r="K263" s="3">
        <v>43076.0</v>
      </c>
      <c r="L263" s="4">
        <v>1433.718</v>
      </c>
    </row>
    <row r="264">
      <c r="A264" s="3">
        <v>43077.0</v>
      </c>
      <c r="B264" s="4">
        <v>117.62</v>
      </c>
      <c r="C264" s="3">
        <v>42983.0</v>
      </c>
      <c r="D264" s="4">
        <v>24.26</v>
      </c>
      <c r="E264" s="3">
        <v>43080.0</v>
      </c>
      <c r="F264" s="4">
        <v>115.22</v>
      </c>
      <c r="G264" s="3">
        <v>43077.0</v>
      </c>
      <c r="H264" s="4">
        <v>118.83</v>
      </c>
      <c r="I264" s="3">
        <v>43077.0</v>
      </c>
      <c r="J264" s="4">
        <v>129.65</v>
      </c>
      <c r="K264" s="3">
        <v>43075.0</v>
      </c>
      <c r="L264" s="4">
        <v>1438.666</v>
      </c>
    </row>
    <row r="265">
      <c r="A265" s="3">
        <v>43076.0</v>
      </c>
      <c r="B265" s="4">
        <v>118.1</v>
      </c>
      <c r="C265" s="3">
        <v>42982.0</v>
      </c>
      <c r="D265" s="4">
        <v>24.24</v>
      </c>
      <c r="E265" s="3">
        <v>43077.0</v>
      </c>
      <c r="F265" s="4">
        <v>115.22</v>
      </c>
      <c r="G265" s="3">
        <v>43076.0</v>
      </c>
      <c r="H265" s="4">
        <v>118.72</v>
      </c>
      <c r="I265" s="3">
        <v>43076.0</v>
      </c>
      <c r="J265" s="4">
        <v>129.5</v>
      </c>
      <c r="K265" s="3">
        <v>43074.0</v>
      </c>
      <c r="L265" s="4">
        <v>1442.924</v>
      </c>
    </row>
    <row r="266">
      <c r="A266" s="3">
        <v>43075.0</v>
      </c>
      <c r="B266" s="4">
        <v>117.83</v>
      </c>
      <c r="C266" s="3">
        <v>42979.0</v>
      </c>
      <c r="D266" s="4">
        <v>24.25</v>
      </c>
      <c r="E266" s="3">
        <v>43076.0</v>
      </c>
      <c r="F266" s="4">
        <v>115.22</v>
      </c>
      <c r="G266" s="3">
        <v>43075.0</v>
      </c>
      <c r="H266" s="4">
        <v>118.85</v>
      </c>
      <c r="I266" s="3">
        <v>43075.0</v>
      </c>
      <c r="J266" s="4">
        <v>129.64</v>
      </c>
      <c r="K266" s="3">
        <v>43073.0</v>
      </c>
      <c r="L266" s="4">
        <v>1445.588</v>
      </c>
    </row>
    <row r="267">
      <c r="A267" s="3">
        <v>43074.0</v>
      </c>
      <c r="B267" s="4">
        <v>119.31</v>
      </c>
      <c r="C267" s="3">
        <v>42978.0</v>
      </c>
      <c r="D267" s="4">
        <v>24.25</v>
      </c>
      <c r="E267" s="3">
        <v>43075.0</v>
      </c>
      <c r="F267" s="4">
        <v>115.23</v>
      </c>
      <c r="G267" s="3">
        <v>43074.0</v>
      </c>
      <c r="H267" s="4">
        <v>118.76</v>
      </c>
      <c r="I267" s="3">
        <v>43074.0</v>
      </c>
      <c r="J267" s="4">
        <v>129.65</v>
      </c>
      <c r="K267" s="3">
        <v>43070.0</v>
      </c>
      <c r="L267" s="4">
        <v>1448.4514</v>
      </c>
    </row>
    <row r="268">
      <c r="A268" s="3">
        <v>43073.0</v>
      </c>
      <c r="B268" s="4">
        <v>119.52</v>
      </c>
      <c r="C268" s="3">
        <v>42977.0</v>
      </c>
      <c r="D268" s="4">
        <v>24.24</v>
      </c>
      <c r="E268" s="3">
        <v>43074.0</v>
      </c>
      <c r="F268" s="4">
        <v>115.24</v>
      </c>
      <c r="G268" s="3">
        <v>43073.0</v>
      </c>
      <c r="H268" s="4">
        <v>118.15</v>
      </c>
      <c r="I268" s="3">
        <v>43073.0</v>
      </c>
      <c r="J268" s="4">
        <v>129.59</v>
      </c>
      <c r="K268" s="3">
        <v>43069.0</v>
      </c>
      <c r="L268" s="4">
        <v>1448.288</v>
      </c>
    </row>
    <row r="269">
      <c r="A269" s="3">
        <v>43070.0</v>
      </c>
      <c r="B269" s="4">
        <v>119.54</v>
      </c>
      <c r="C269" s="3">
        <v>42976.0</v>
      </c>
      <c r="D269" s="4">
        <v>24.23</v>
      </c>
      <c r="E269" s="3">
        <v>43073.0</v>
      </c>
      <c r="F269" s="4">
        <v>115.2</v>
      </c>
      <c r="G269" s="3">
        <v>43070.0</v>
      </c>
      <c r="H269" s="4">
        <v>118.68</v>
      </c>
      <c r="I269" s="3">
        <v>43070.0</v>
      </c>
      <c r="J269" s="4">
        <v>129.87</v>
      </c>
      <c r="K269" s="3">
        <v>43068.0</v>
      </c>
      <c r="L269" s="4">
        <v>1453.685</v>
      </c>
    </row>
    <row r="270">
      <c r="A270" s="3">
        <v>43069.0</v>
      </c>
      <c r="B270" s="4">
        <v>119.73</v>
      </c>
      <c r="C270" s="3">
        <v>42975.0</v>
      </c>
      <c r="D270" s="4">
        <v>24.24</v>
      </c>
      <c r="E270" s="3">
        <v>43070.0</v>
      </c>
      <c r="F270" s="4">
        <v>115.17</v>
      </c>
      <c r="G270" s="3">
        <v>43069.0</v>
      </c>
      <c r="H270" s="4">
        <v>118.8</v>
      </c>
      <c r="I270" s="3">
        <v>43069.0</v>
      </c>
      <c r="J270" s="4">
        <v>129.99</v>
      </c>
      <c r="K270" s="3">
        <v>43067.0</v>
      </c>
      <c r="L270" s="4">
        <v>1451.03</v>
      </c>
    </row>
    <row r="271">
      <c r="A271" s="3">
        <v>43068.0</v>
      </c>
      <c r="B271" s="4">
        <v>119.69</v>
      </c>
      <c r="C271" s="3">
        <v>42972.0</v>
      </c>
      <c r="D271" s="4">
        <v>24.25</v>
      </c>
      <c r="E271" s="3">
        <v>43069.0</v>
      </c>
      <c r="F271" s="4">
        <v>115.17</v>
      </c>
      <c r="G271" s="3">
        <v>43068.0</v>
      </c>
      <c r="H271" s="4">
        <v>118.8</v>
      </c>
      <c r="I271" s="3">
        <v>43068.0</v>
      </c>
      <c r="J271" s="4">
        <v>130.19</v>
      </c>
      <c r="K271" s="3">
        <v>43066.0</v>
      </c>
      <c r="L271" s="4">
        <v>1454.512</v>
      </c>
    </row>
    <row r="272">
      <c r="A272" s="3">
        <v>43067.0</v>
      </c>
      <c r="B272" s="4">
        <v>119.78</v>
      </c>
      <c r="C272" s="3">
        <v>42971.0</v>
      </c>
      <c r="D272" s="4">
        <v>24.26</v>
      </c>
      <c r="E272" s="3">
        <v>43068.0</v>
      </c>
      <c r="F272" s="4">
        <v>115.22</v>
      </c>
      <c r="G272" s="3">
        <v>43067.0</v>
      </c>
      <c r="H272" s="4">
        <v>118.59</v>
      </c>
      <c r="I272" s="3">
        <v>43067.0</v>
      </c>
      <c r="J272" s="4">
        <v>130.03</v>
      </c>
      <c r="K272" s="3">
        <v>43063.0</v>
      </c>
      <c r="L272" s="4">
        <v>1455.362</v>
      </c>
    </row>
    <row r="273">
      <c r="A273" s="3">
        <v>43066.0</v>
      </c>
      <c r="B273" s="4">
        <v>119.68</v>
      </c>
      <c r="C273" s="3">
        <v>42970.0</v>
      </c>
      <c r="D273" s="4">
        <v>24.26</v>
      </c>
      <c r="E273" s="3">
        <v>43067.0</v>
      </c>
      <c r="F273" s="4">
        <v>115.23</v>
      </c>
      <c r="G273" s="3">
        <v>43066.0</v>
      </c>
      <c r="H273" s="4">
        <v>118.75</v>
      </c>
      <c r="I273" s="3">
        <v>43066.0</v>
      </c>
      <c r="J273" s="4">
        <v>130.2</v>
      </c>
      <c r="K273" s="3">
        <v>43062.0</v>
      </c>
      <c r="L273" s="4">
        <v>1454.375</v>
      </c>
    </row>
    <row r="274">
      <c r="A274" s="3">
        <v>43063.0</v>
      </c>
      <c r="B274" s="4">
        <v>119.81</v>
      </c>
      <c r="C274" s="3">
        <v>42969.0</v>
      </c>
      <c r="D274" s="4">
        <v>24.27</v>
      </c>
      <c r="E274" s="3">
        <v>43066.0</v>
      </c>
      <c r="F274" s="4">
        <v>115.25</v>
      </c>
      <c r="G274" s="3">
        <v>43063.0</v>
      </c>
      <c r="H274" s="4">
        <v>118.64</v>
      </c>
      <c r="I274" s="3">
        <v>43063.0</v>
      </c>
      <c r="J274" s="4">
        <v>130.14</v>
      </c>
      <c r="K274" s="3">
        <v>43061.0</v>
      </c>
      <c r="L274" s="4">
        <v>1455.108</v>
      </c>
    </row>
    <row r="275">
      <c r="A275" s="3">
        <v>43062.0</v>
      </c>
      <c r="B275" s="4">
        <v>119.77</v>
      </c>
      <c r="C275" s="3">
        <v>42968.0</v>
      </c>
      <c r="D275" s="4">
        <v>24.26</v>
      </c>
      <c r="E275" s="3">
        <v>43063.0</v>
      </c>
      <c r="F275" s="4">
        <v>115.2</v>
      </c>
      <c r="G275" s="3">
        <v>43062.0</v>
      </c>
      <c r="H275" s="4">
        <v>118.65</v>
      </c>
      <c r="I275" s="3">
        <v>43062.0</v>
      </c>
      <c r="J275" s="4">
        <v>130.38</v>
      </c>
      <c r="K275" s="3">
        <v>43060.0</v>
      </c>
      <c r="L275" s="4">
        <v>1449.114</v>
      </c>
    </row>
    <row r="276">
      <c r="A276" s="3">
        <v>43061.0</v>
      </c>
      <c r="B276" s="4">
        <v>119.7</v>
      </c>
      <c r="C276" s="3">
        <v>42965.0</v>
      </c>
      <c r="D276" s="4">
        <v>24.27</v>
      </c>
      <c r="E276" s="3">
        <v>43062.0</v>
      </c>
      <c r="F276" s="4">
        <v>115.21</v>
      </c>
      <c r="G276" s="3">
        <v>43061.0</v>
      </c>
      <c r="H276" s="4">
        <v>118.92</v>
      </c>
      <c r="I276" s="3">
        <v>43061.0</v>
      </c>
      <c r="J276" s="4">
        <v>130.46</v>
      </c>
      <c r="K276" s="3">
        <v>43059.0</v>
      </c>
      <c r="L276" s="4">
        <v>1446.324</v>
      </c>
    </row>
    <row r="277">
      <c r="A277" s="3">
        <v>43060.0</v>
      </c>
      <c r="B277" s="4">
        <v>119.81</v>
      </c>
      <c r="C277" s="3">
        <v>42964.0</v>
      </c>
      <c r="D277" s="4">
        <v>24.27</v>
      </c>
      <c r="E277" s="3">
        <v>43061.0</v>
      </c>
      <c r="F277" s="4">
        <v>115.18</v>
      </c>
      <c r="G277" s="3">
        <v>43060.0</v>
      </c>
      <c r="H277" s="4">
        <v>118.55</v>
      </c>
      <c r="I277" s="3">
        <v>43060.0</v>
      </c>
      <c r="J277" s="4">
        <v>129.99</v>
      </c>
      <c r="K277" s="3">
        <v>43056.0</v>
      </c>
      <c r="L277" s="4">
        <v>1444.773</v>
      </c>
    </row>
    <row r="278">
      <c r="A278" s="3">
        <v>43059.0</v>
      </c>
      <c r="B278" s="4">
        <v>119.68</v>
      </c>
      <c r="C278" s="3">
        <v>42963.0</v>
      </c>
      <c r="D278" s="4">
        <v>24.28</v>
      </c>
      <c r="E278" s="3">
        <v>43060.0</v>
      </c>
      <c r="F278" s="4">
        <v>115.21</v>
      </c>
      <c r="G278" s="3">
        <v>43059.0</v>
      </c>
      <c r="H278" s="4">
        <v>118.36</v>
      </c>
      <c r="I278" s="3">
        <v>43059.0</v>
      </c>
      <c r="J278" s="4">
        <v>129.77</v>
      </c>
      <c r="K278" s="3">
        <v>43055.0</v>
      </c>
      <c r="L278" s="4">
        <v>1441.103</v>
      </c>
    </row>
    <row r="279">
      <c r="A279" s="3">
        <v>43056.0</v>
      </c>
      <c r="B279" s="4">
        <v>119.59</v>
      </c>
      <c r="C279" s="3">
        <v>42961.0</v>
      </c>
      <c r="D279" s="4">
        <v>24.27</v>
      </c>
      <c r="E279" s="3">
        <v>43059.0</v>
      </c>
      <c r="F279" s="4">
        <v>115.2</v>
      </c>
      <c r="G279" s="3">
        <v>43056.0</v>
      </c>
      <c r="H279" s="4">
        <v>118.56</v>
      </c>
      <c r="I279" s="3">
        <v>43056.0</v>
      </c>
      <c r="J279" s="4">
        <v>129.64</v>
      </c>
      <c r="K279" s="3">
        <v>43054.0</v>
      </c>
      <c r="L279" s="4">
        <v>1443.297</v>
      </c>
    </row>
    <row r="280">
      <c r="A280" s="3">
        <v>43055.0</v>
      </c>
      <c r="B280" s="4">
        <v>119.51</v>
      </c>
      <c r="C280" s="3">
        <v>42958.0</v>
      </c>
      <c r="D280" s="4">
        <v>24.27</v>
      </c>
      <c r="E280" s="3">
        <v>43056.0</v>
      </c>
      <c r="F280" s="4">
        <v>115.17</v>
      </c>
      <c r="G280" s="3">
        <v>43055.0</v>
      </c>
      <c r="H280" s="4">
        <v>118.42</v>
      </c>
      <c r="I280" s="3">
        <v>43055.0</v>
      </c>
      <c r="J280" s="4">
        <v>129.17</v>
      </c>
      <c r="K280" s="3">
        <v>43053.0</v>
      </c>
      <c r="L280" s="4">
        <v>1449.622</v>
      </c>
    </row>
    <row r="281">
      <c r="A281" s="3">
        <v>43054.0</v>
      </c>
      <c r="B281" s="4">
        <v>119.19</v>
      </c>
      <c r="C281" s="3">
        <v>42957.0</v>
      </c>
      <c r="D281" s="4">
        <v>24.28</v>
      </c>
      <c r="E281" s="3">
        <v>43055.0</v>
      </c>
      <c r="F281" s="4">
        <v>115.19</v>
      </c>
      <c r="G281" s="3">
        <v>43054.0</v>
      </c>
      <c r="H281" s="4">
        <v>118.47</v>
      </c>
      <c r="I281" s="3">
        <v>43054.0</v>
      </c>
      <c r="J281" s="4">
        <v>129.75</v>
      </c>
      <c r="K281" s="3">
        <v>43052.0</v>
      </c>
      <c r="L281" s="4">
        <v>1444.734</v>
      </c>
    </row>
    <row r="282">
      <c r="A282" s="3">
        <v>43053.0</v>
      </c>
      <c r="B282" s="4">
        <v>119.54</v>
      </c>
      <c r="C282" s="3">
        <v>42956.0</v>
      </c>
      <c r="D282" s="4">
        <v>24.28</v>
      </c>
      <c r="E282" s="3">
        <v>43054.0</v>
      </c>
      <c r="F282" s="4">
        <v>115.17</v>
      </c>
      <c r="G282" s="3">
        <v>43053.0</v>
      </c>
      <c r="H282" s="4">
        <v>118.67</v>
      </c>
      <c r="I282" s="3">
        <v>43053.0</v>
      </c>
      <c r="J282" s="4">
        <v>130.06</v>
      </c>
      <c r="K282" s="3">
        <v>43049.0</v>
      </c>
      <c r="L282" s="4">
        <v>1454.653</v>
      </c>
    </row>
    <row r="283">
      <c r="A283" s="3">
        <v>43052.0</v>
      </c>
      <c r="B283" s="4">
        <v>119.69</v>
      </c>
      <c r="C283" s="3">
        <v>42955.0</v>
      </c>
      <c r="D283" s="4">
        <v>24.28</v>
      </c>
      <c r="E283" s="3">
        <v>43053.0</v>
      </c>
      <c r="F283" s="4">
        <v>115.2</v>
      </c>
      <c r="G283" s="3">
        <v>43052.0</v>
      </c>
      <c r="H283" s="4">
        <v>118.82</v>
      </c>
      <c r="I283" s="3">
        <v>43052.0</v>
      </c>
      <c r="J283" s="4">
        <v>130.1</v>
      </c>
      <c r="K283" s="3">
        <v>43048.0</v>
      </c>
      <c r="L283" s="4">
        <v>1460.358</v>
      </c>
    </row>
    <row r="284">
      <c r="A284" s="3">
        <v>43049.0</v>
      </c>
      <c r="B284" s="4">
        <v>120.07</v>
      </c>
      <c r="C284" s="3">
        <v>42954.0</v>
      </c>
      <c r="D284" s="4">
        <v>24.27</v>
      </c>
      <c r="E284" s="3">
        <v>43052.0</v>
      </c>
      <c r="F284" s="4">
        <v>115.24</v>
      </c>
      <c r="G284" s="3">
        <v>43049.0</v>
      </c>
      <c r="H284" s="4">
        <v>119.26</v>
      </c>
      <c r="I284" s="3">
        <v>43049.0</v>
      </c>
      <c r="J284" s="4">
        <v>130.38</v>
      </c>
      <c r="K284" s="3">
        <v>43047.0</v>
      </c>
      <c r="L284" s="4">
        <v>1460.006</v>
      </c>
    </row>
    <row r="285">
      <c r="A285" s="3">
        <v>43048.0</v>
      </c>
      <c r="B285" s="4">
        <v>120.22</v>
      </c>
      <c r="C285" s="3">
        <v>42951.0</v>
      </c>
      <c r="D285" s="4">
        <v>24.28</v>
      </c>
      <c r="E285" s="3">
        <v>43049.0</v>
      </c>
      <c r="F285" s="4">
        <v>115.22</v>
      </c>
      <c r="G285" s="3">
        <v>43048.0</v>
      </c>
      <c r="H285" s="4">
        <v>119.92</v>
      </c>
      <c r="I285" s="3">
        <v>43048.0</v>
      </c>
      <c r="J285" s="4">
        <v>130.71</v>
      </c>
      <c r="K285" s="3">
        <v>43046.0</v>
      </c>
      <c r="L285" s="4">
        <v>1464.007</v>
      </c>
    </row>
    <row r="286">
      <c r="A286" s="3">
        <v>43047.0</v>
      </c>
      <c r="B286" s="4">
        <v>120.66</v>
      </c>
      <c r="C286" s="3">
        <v>42950.0</v>
      </c>
      <c r="D286" s="4">
        <v>24.27</v>
      </c>
      <c r="E286" s="3">
        <v>43048.0</v>
      </c>
      <c r="F286" s="4">
        <v>115.26</v>
      </c>
      <c r="G286" s="3">
        <v>43047.0</v>
      </c>
      <c r="H286" s="4">
        <v>120.05</v>
      </c>
      <c r="I286" s="3">
        <v>43047.0</v>
      </c>
      <c r="J286" s="4">
        <v>130.72</v>
      </c>
      <c r="K286" s="3">
        <v>43045.0</v>
      </c>
      <c r="L286" s="4">
        <v>1459.627</v>
      </c>
    </row>
    <row r="287">
      <c r="A287" s="3">
        <v>43046.0</v>
      </c>
      <c r="B287" s="4">
        <v>120.66</v>
      </c>
      <c r="C287" s="3">
        <v>42949.0</v>
      </c>
      <c r="D287" s="4">
        <v>24.27</v>
      </c>
      <c r="E287" s="3">
        <v>43047.0</v>
      </c>
      <c r="F287" s="4">
        <v>115.25</v>
      </c>
      <c r="G287" s="3">
        <v>43046.0</v>
      </c>
      <c r="H287" s="4">
        <v>120.22</v>
      </c>
      <c r="I287" s="3">
        <v>43046.0</v>
      </c>
      <c r="J287" s="4">
        <v>130.64</v>
      </c>
      <c r="K287" s="3">
        <v>43042.0</v>
      </c>
      <c r="L287" s="4">
        <v>1456.026</v>
      </c>
    </row>
    <row r="288">
      <c r="A288" s="3">
        <v>43045.0</v>
      </c>
      <c r="B288" s="4">
        <v>120.77</v>
      </c>
      <c r="C288" s="3">
        <v>42948.0</v>
      </c>
      <c r="D288" s="4">
        <v>24.29</v>
      </c>
      <c r="E288" s="3">
        <v>43046.0</v>
      </c>
      <c r="F288" s="4">
        <v>115.26</v>
      </c>
      <c r="G288" s="3">
        <v>43045.0</v>
      </c>
      <c r="H288" s="4">
        <v>120.23</v>
      </c>
      <c r="I288" s="3">
        <v>43045.0</v>
      </c>
      <c r="J288" s="4">
        <v>130.5</v>
      </c>
      <c r="K288" s="3">
        <v>43041.0</v>
      </c>
      <c r="L288" s="4">
        <v>1458.859</v>
      </c>
    </row>
    <row r="289">
      <c r="A289" s="3">
        <v>43042.0</v>
      </c>
      <c r="B289" s="4">
        <v>120.77</v>
      </c>
      <c r="C289" s="3">
        <v>42947.0</v>
      </c>
      <c r="D289" s="4">
        <v>24.29</v>
      </c>
      <c r="E289" s="3">
        <v>43045.0</v>
      </c>
      <c r="F289" s="4">
        <v>115.28</v>
      </c>
      <c r="G289" s="3">
        <v>43042.0</v>
      </c>
      <c r="H289" s="4">
        <v>120.12</v>
      </c>
      <c r="I289" s="3">
        <v>43042.0</v>
      </c>
      <c r="J289" s="4">
        <v>130.41</v>
      </c>
      <c r="K289" s="3">
        <v>43039.0</v>
      </c>
      <c r="L289" s="4">
        <v>1454.1483</v>
      </c>
    </row>
    <row r="290">
      <c r="A290" s="3">
        <v>43041.0</v>
      </c>
      <c r="B290" s="4">
        <v>120.62</v>
      </c>
      <c r="C290" s="3">
        <v>42944.0</v>
      </c>
      <c r="D290" s="4">
        <v>24.3</v>
      </c>
      <c r="E290" s="3">
        <v>43042.0</v>
      </c>
      <c r="F290" s="4">
        <v>115.32</v>
      </c>
      <c r="G290" s="3">
        <v>43041.0</v>
      </c>
      <c r="H290" s="4">
        <v>119.65</v>
      </c>
      <c r="I290" s="3">
        <v>43041.0</v>
      </c>
      <c r="J290" s="4">
        <v>130.56</v>
      </c>
      <c r="K290" s="3">
        <v>43038.0</v>
      </c>
      <c r="L290" s="4">
        <v>1448.876</v>
      </c>
    </row>
    <row r="291">
      <c r="A291" s="3">
        <v>43039.0</v>
      </c>
      <c r="B291" s="4">
        <v>120.4</v>
      </c>
      <c r="C291" s="3">
        <v>42943.0</v>
      </c>
      <c r="D291" s="4">
        <v>24.31</v>
      </c>
      <c r="E291" s="3">
        <v>43041.0</v>
      </c>
      <c r="F291" s="4">
        <v>115.32</v>
      </c>
      <c r="G291" s="3">
        <v>43039.0</v>
      </c>
      <c r="H291" s="4">
        <v>119.48</v>
      </c>
      <c r="I291" s="3">
        <v>43039.0</v>
      </c>
      <c r="J291" s="4">
        <v>129.92</v>
      </c>
      <c r="K291" s="3">
        <v>43035.0</v>
      </c>
      <c r="L291" s="4">
        <v>1446.793</v>
      </c>
    </row>
    <row r="292">
      <c r="A292" s="3">
        <v>43038.0</v>
      </c>
      <c r="B292" s="4">
        <v>120.29</v>
      </c>
      <c r="C292" s="3">
        <v>42942.0</v>
      </c>
      <c r="D292" s="4">
        <v>24.31</v>
      </c>
      <c r="E292" s="3">
        <v>43039.0</v>
      </c>
      <c r="F292" s="4">
        <v>115.33</v>
      </c>
      <c r="G292" s="3">
        <v>43038.0</v>
      </c>
      <c r="H292" s="4">
        <v>119.24</v>
      </c>
      <c r="I292" s="3">
        <v>43038.0</v>
      </c>
      <c r="J292" s="4">
        <v>129.84</v>
      </c>
      <c r="K292" s="3">
        <v>43034.0</v>
      </c>
      <c r="L292" s="4">
        <v>1443.32</v>
      </c>
    </row>
    <row r="293">
      <c r="A293" s="3">
        <v>43035.0</v>
      </c>
      <c r="B293" s="4">
        <v>120.11</v>
      </c>
      <c r="C293" s="3">
        <v>42941.0</v>
      </c>
      <c r="D293" s="4">
        <v>24.3</v>
      </c>
      <c r="E293" s="3">
        <v>43038.0</v>
      </c>
      <c r="F293" s="4">
        <v>115.34</v>
      </c>
      <c r="G293" s="3">
        <v>43035.0</v>
      </c>
      <c r="H293" s="4">
        <v>118.87</v>
      </c>
      <c r="I293" s="3">
        <v>43035.0</v>
      </c>
      <c r="J293" s="4">
        <v>129.15</v>
      </c>
      <c r="K293" s="3">
        <v>43033.0</v>
      </c>
      <c r="L293" s="4">
        <v>1447.368</v>
      </c>
    </row>
    <row r="294">
      <c r="A294" s="3">
        <v>43034.0</v>
      </c>
      <c r="B294" s="4">
        <v>119.97</v>
      </c>
      <c r="C294" s="3">
        <v>42940.0</v>
      </c>
      <c r="D294" s="4">
        <v>24.3</v>
      </c>
      <c r="E294" s="3">
        <v>43035.0</v>
      </c>
      <c r="F294" s="4">
        <v>115.3</v>
      </c>
      <c r="G294" s="3">
        <v>43034.0</v>
      </c>
      <c r="H294" s="4">
        <v>118.03</v>
      </c>
      <c r="I294" s="3">
        <v>43034.0</v>
      </c>
      <c r="J294" s="4">
        <v>128.73</v>
      </c>
      <c r="K294" s="3">
        <v>43032.0</v>
      </c>
      <c r="L294" s="4">
        <v>1446.54</v>
      </c>
    </row>
    <row r="295">
      <c r="A295" s="3">
        <v>43033.0</v>
      </c>
      <c r="B295" s="4">
        <v>119.45</v>
      </c>
      <c r="C295" s="3">
        <v>42937.0</v>
      </c>
      <c r="D295" s="4">
        <v>24.3</v>
      </c>
      <c r="E295" s="3">
        <v>43034.0</v>
      </c>
      <c r="F295" s="4">
        <v>115.29</v>
      </c>
      <c r="G295" s="3">
        <v>43033.0</v>
      </c>
      <c r="H295" s="4">
        <v>118.4</v>
      </c>
      <c r="I295" s="3">
        <v>43033.0</v>
      </c>
      <c r="J295" s="4">
        <v>128.93</v>
      </c>
      <c r="K295" s="3">
        <v>43031.0</v>
      </c>
      <c r="L295" s="4">
        <v>1447.749</v>
      </c>
    </row>
    <row r="296">
      <c r="A296" s="3">
        <v>43032.0</v>
      </c>
      <c r="B296" s="4">
        <v>119.58</v>
      </c>
      <c r="C296" s="3">
        <v>42936.0</v>
      </c>
      <c r="D296" s="4">
        <v>24.3</v>
      </c>
      <c r="E296" s="3">
        <v>43033.0</v>
      </c>
      <c r="F296" s="4">
        <v>115.33</v>
      </c>
      <c r="G296" s="3">
        <v>43032.0</v>
      </c>
      <c r="H296" s="4">
        <v>118.52</v>
      </c>
      <c r="I296" s="3">
        <v>43032.0</v>
      </c>
      <c r="J296" s="4">
        <v>128.88</v>
      </c>
      <c r="K296" s="3">
        <v>43028.0</v>
      </c>
      <c r="L296" s="4">
        <v>1447.231</v>
      </c>
    </row>
    <row r="297">
      <c r="A297" s="3">
        <v>43031.0</v>
      </c>
      <c r="B297" s="4">
        <v>119.42</v>
      </c>
      <c r="C297" s="3">
        <v>42935.0</v>
      </c>
      <c r="D297" s="4">
        <v>24.33</v>
      </c>
      <c r="E297" s="3">
        <v>43032.0</v>
      </c>
      <c r="F297" s="4">
        <v>115.35</v>
      </c>
      <c r="G297" s="3">
        <v>43031.0</v>
      </c>
      <c r="H297" s="4">
        <v>118.35</v>
      </c>
      <c r="I297" s="3">
        <v>43031.0</v>
      </c>
      <c r="J297" s="4">
        <v>128.89</v>
      </c>
      <c r="K297" s="3">
        <v>43027.0</v>
      </c>
      <c r="L297" s="4">
        <v>1448.521</v>
      </c>
    </row>
    <row r="298">
      <c r="A298" s="3">
        <v>43028.0</v>
      </c>
      <c r="B298" s="4">
        <v>119.27</v>
      </c>
      <c r="C298" s="3">
        <v>42934.0</v>
      </c>
      <c r="D298" s="4">
        <v>24.31</v>
      </c>
      <c r="E298" s="3">
        <v>43031.0</v>
      </c>
      <c r="F298" s="4">
        <v>115.37</v>
      </c>
      <c r="G298" s="3">
        <v>43028.0</v>
      </c>
      <c r="H298" s="4">
        <v>118.53</v>
      </c>
      <c r="I298" s="3">
        <v>43028.0</v>
      </c>
      <c r="J298" s="4">
        <v>128.79</v>
      </c>
      <c r="K298" s="3">
        <v>43026.0</v>
      </c>
      <c r="L298" s="4">
        <v>1448.965</v>
      </c>
    </row>
    <row r="299">
      <c r="A299" s="3">
        <v>43027.0</v>
      </c>
      <c r="B299" s="4">
        <v>119.4</v>
      </c>
      <c r="C299" s="3">
        <v>42933.0</v>
      </c>
      <c r="D299" s="4">
        <v>24.33</v>
      </c>
      <c r="E299" s="3">
        <v>43028.0</v>
      </c>
      <c r="F299" s="4">
        <v>115.35</v>
      </c>
      <c r="G299" s="3">
        <v>43027.0</v>
      </c>
      <c r="H299" s="4">
        <v>118.72</v>
      </c>
      <c r="I299" s="3">
        <v>43027.0</v>
      </c>
      <c r="J299" s="4">
        <v>129.03</v>
      </c>
      <c r="K299" s="3">
        <v>43025.0</v>
      </c>
      <c r="L299" s="4">
        <v>1448.839</v>
      </c>
    </row>
    <row r="300">
      <c r="A300" s="3">
        <v>43026.0</v>
      </c>
      <c r="B300" s="4">
        <v>119.56</v>
      </c>
      <c r="C300" s="3">
        <v>42930.0</v>
      </c>
      <c r="D300" s="4">
        <v>24.32</v>
      </c>
      <c r="E300" s="3">
        <v>43027.0</v>
      </c>
      <c r="F300" s="4">
        <v>115.34</v>
      </c>
      <c r="G300" s="3">
        <v>43026.0</v>
      </c>
      <c r="H300" s="4">
        <v>118.83</v>
      </c>
      <c r="I300" s="3">
        <v>43026.0</v>
      </c>
      <c r="J300" s="4">
        <v>128.9</v>
      </c>
      <c r="K300" s="3">
        <v>43024.0</v>
      </c>
      <c r="L300" s="4">
        <v>1449.397</v>
      </c>
    </row>
    <row r="301">
      <c r="A301" s="3">
        <v>43025.0</v>
      </c>
      <c r="B301" s="4">
        <v>119.54</v>
      </c>
      <c r="C301" s="3">
        <v>42929.0</v>
      </c>
      <c r="D301" s="4">
        <v>24.32</v>
      </c>
      <c r="E301" s="3">
        <v>43026.0</v>
      </c>
      <c r="F301" s="4">
        <v>115.36</v>
      </c>
      <c r="G301" s="3">
        <v>43025.0</v>
      </c>
      <c r="H301" s="4">
        <v>118.71</v>
      </c>
      <c r="I301" s="3">
        <v>43025.0</v>
      </c>
      <c r="J301" s="4">
        <v>129.02</v>
      </c>
      <c r="K301" s="3">
        <v>43021.0</v>
      </c>
      <c r="L301" s="4">
        <v>1447.864</v>
      </c>
    </row>
    <row r="302">
      <c r="A302" s="3">
        <v>43024.0</v>
      </c>
      <c r="B302" s="4">
        <v>119.64</v>
      </c>
      <c r="C302" s="3">
        <v>42928.0</v>
      </c>
      <c r="D302" s="4">
        <v>24.31</v>
      </c>
      <c r="E302" s="3">
        <v>43025.0</v>
      </c>
      <c r="F302" s="4">
        <v>115.36</v>
      </c>
      <c r="G302" s="3">
        <v>43024.0</v>
      </c>
      <c r="H302" s="4">
        <v>118.68</v>
      </c>
      <c r="I302" s="3">
        <v>43024.0</v>
      </c>
      <c r="J302" s="4">
        <v>128.86</v>
      </c>
      <c r="K302" s="3">
        <v>43020.0</v>
      </c>
      <c r="L302" s="4">
        <v>1448.437</v>
      </c>
    </row>
    <row r="303">
      <c r="A303" s="3">
        <v>43021.0</v>
      </c>
      <c r="B303" s="4">
        <v>119.63</v>
      </c>
      <c r="C303" s="3">
        <v>42927.0</v>
      </c>
      <c r="D303" s="4">
        <v>24.3</v>
      </c>
      <c r="E303" s="3">
        <v>43024.0</v>
      </c>
      <c r="F303" s="4">
        <v>115.36</v>
      </c>
      <c r="G303" s="3">
        <v>43021.0</v>
      </c>
      <c r="H303" s="4">
        <v>118.45</v>
      </c>
      <c r="I303" s="3">
        <v>43021.0</v>
      </c>
      <c r="J303" s="4">
        <v>128.73</v>
      </c>
      <c r="K303" s="3">
        <v>43019.0</v>
      </c>
      <c r="L303" s="4">
        <v>1448.693</v>
      </c>
    </row>
    <row r="304">
      <c r="A304" s="3">
        <v>43020.0</v>
      </c>
      <c r="B304" s="4">
        <v>119.63</v>
      </c>
      <c r="C304" s="3">
        <v>42926.0</v>
      </c>
      <c r="D304" s="4">
        <v>24.31</v>
      </c>
      <c r="E304" s="3">
        <v>43021.0</v>
      </c>
      <c r="F304" s="4">
        <v>115.33</v>
      </c>
      <c r="G304" s="3">
        <v>43020.0</v>
      </c>
      <c r="H304" s="4">
        <v>118.33</v>
      </c>
      <c r="I304" s="3">
        <v>43020.0</v>
      </c>
      <c r="J304" s="4">
        <v>128.67</v>
      </c>
      <c r="K304" s="3">
        <v>43018.0</v>
      </c>
      <c r="L304" s="4">
        <v>1449.395</v>
      </c>
    </row>
    <row r="305">
      <c r="A305" s="3">
        <v>43019.0</v>
      </c>
      <c r="B305" s="4">
        <v>119.53</v>
      </c>
      <c r="C305" s="3">
        <v>42923.0</v>
      </c>
      <c r="D305" s="4">
        <v>24.31</v>
      </c>
      <c r="E305" s="3">
        <v>43020.0</v>
      </c>
      <c r="F305" s="4">
        <v>115.33</v>
      </c>
      <c r="G305" s="3">
        <v>43019.0</v>
      </c>
      <c r="H305" s="4">
        <v>118.24</v>
      </c>
      <c r="I305" s="3">
        <v>43019.0</v>
      </c>
      <c r="J305" s="4">
        <v>128.59</v>
      </c>
      <c r="K305" s="3">
        <v>43017.0</v>
      </c>
      <c r="L305" s="4">
        <v>1450.068</v>
      </c>
    </row>
    <row r="306">
      <c r="A306" s="3">
        <v>43018.0</v>
      </c>
      <c r="B306" s="4">
        <v>119.35</v>
      </c>
      <c r="C306" s="3">
        <v>42922.0</v>
      </c>
      <c r="D306" s="4">
        <v>24.3</v>
      </c>
      <c r="E306" s="3">
        <v>43019.0</v>
      </c>
      <c r="F306" s="4">
        <v>115.34</v>
      </c>
      <c r="G306" s="3">
        <v>43018.0</v>
      </c>
      <c r="H306" s="4">
        <v>118.34</v>
      </c>
      <c r="I306" s="3">
        <v>43018.0</v>
      </c>
      <c r="J306" s="4">
        <v>128.47</v>
      </c>
      <c r="K306" s="3">
        <v>43014.0</v>
      </c>
      <c r="L306" s="4">
        <v>1449.767</v>
      </c>
    </row>
    <row r="307">
      <c r="A307" s="3">
        <v>43017.0</v>
      </c>
      <c r="B307" s="4">
        <v>119.33</v>
      </c>
      <c r="C307" s="3">
        <v>42921.0</v>
      </c>
      <c r="D307" s="4">
        <v>24.33</v>
      </c>
      <c r="E307" s="3">
        <v>43018.0</v>
      </c>
      <c r="F307" s="4">
        <v>115.33</v>
      </c>
      <c r="G307" s="3">
        <v>43017.0</v>
      </c>
      <c r="H307" s="4">
        <v>118.17</v>
      </c>
      <c r="I307" s="3">
        <v>43017.0</v>
      </c>
      <c r="J307" s="4">
        <v>128.5</v>
      </c>
      <c r="K307" s="3">
        <v>43013.0</v>
      </c>
      <c r="L307" s="4">
        <v>1448.655</v>
      </c>
    </row>
    <row r="308">
      <c r="A308" s="3">
        <v>43014.0</v>
      </c>
      <c r="B308" s="4">
        <v>119.29</v>
      </c>
      <c r="C308" s="3">
        <v>42920.0</v>
      </c>
      <c r="D308" s="4">
        <v>24.33</v>
      </c>
      <c r="E308" s="3">
        <v>43017.0</v>
      </c>
      <c r="F308" s="4">
        <v>115.31</v>
      </c>
      <c r="G308" s="3">
        <v>43014.0</v>
      </c>
      <c r="H308" s="4">
        <v>118.33</v>
      </c>
      <c r="I308" s="3">
        <v>43014.0</v>
      </c>
      <c r="J308" s="4">
        <v>128.58</v>
      </c>
      <c r="K308" s="3">
        <v>43012.0</v>
      </c>
      <c r="L308" s="4">
        <v>1447.838</v>
      </c>
    </row>
    <row r="309">
      <c r="A309" s="3">
        <v>43013.0</v>
      </c>
      <c r="B309" s="4">
        <v>119.35</v>
      </c>
      <c r="C309" s="3">
        <v>42919.0</v>
      </c>
      <c r="D309" s="4">
        <v>24.32</v>
      </c>
      <c r="E309" s="3">
        <v>43014.0</v>
      </c>
      <c r="F309" s="4">
        <v>115.32</v>
      </c>
      <c r="G309" s="3">
        <v>43013.0</v>
      </c>
      <c r="H309" s="4">
        <v>118.21</v>
      </c>
      <c r="I309" s="3">
        <v>43013.0</v>
      </c>
      <c r="J309" s="4">
        <v>128.37</v>
      </c>
      <c r="K309" s="3">
        <v>43011.0</v>
      </c>
      <c r="L309" s="4">
        <v>1445.76</v>
      </c>
    </row>
    <row r="310">
      <c r="A310" s="3">
        <v>43012.0</v>
      </c>
      <c r="B310" s="4">
        <v>119.29</v>
      </c>
      <c r="C310" s="3">
        <v>42916.0</v>
      </c>
      <c r="D310" s="4">
        <v>24.31</v>
      </c>
      <c r="E310" s="3">
        <v>43013.0</v>
      </c>
      <c r="F310" s="4">
        <v>115.32</v>
      </c>
      <c r="G310" s="3">
        <v>43012.0</v>
      </c>
      <c r="H310" s="4">
        <v>118.18</v>
      </c>
      <c r="I310" s="3">
        <v>43012.0</v>
      </c>
      <c r="J310" s="4">
        <v>128.24</v>
      </c>
      <c r="K310" s="3">
        <v>43010.0</v>
      </c>
      <c r="L310" s="4">
        <v>1441.707</v>
      </c>
    </row>
    <row r="311">
      <c r="A311" s="3">
        <v>43011.0</v>
      </c>
      <c r="B311" s="4">
        <v>119.35</v>
      </c>
      <c r="C311" s="3">
        <v>42915.0</v>
      </c>
      <c r="D311" s="4">
        <v>24.31</v>
      </c>
      <c r="E311" s="3">
        <v>43012.0</v>
      </c>
      <c r="F311" s="4">
        <v>115.34</v>
      </c>
      <c r="G311" s="3">
        <v>43011.0</v>
      </c>
      <c r="H311" s="4">
        <v>118.16</v>
      </c>
      <c r="I311" s="3">
        <v>43011.0</v>
      </c>
      <c r="J311" s="4">
        <v>128.07</v>
      </c>
      <c r="K311" s="3">
        <v>43007.0</v>
      </c>
      <c r="L311" s="4">
        <v>1438.505</v>
      </c>
    </row>
    <row r="312">
      <c r="A312" s="3">
        <v>43010.0</v>
      </c>
      <c r="B312" s="4">
        <v>119.31</v>
      </c>
      <c r="C312" s="3">
        <v>42914.0</v>
      </c>
      <c r="D312" s="4">
        <v>24.32</v>
      </c>
      <c r="E312" s="3">
        <v>43011.0</v>
      </c>
      <c r="F312" s="4">
        <v>115.33</v>
      </c>
      <c r="G312" s="3">
        <v>43010.0</v>
      </c>
      <c r="H312" s="4">
        <v>118.14</v>
      </c>
      <c r="I312" s="3">
        <v>43010.0</v>
      </c>
      <c r="J312" s="4">
        <v>127.8</v>
      </c>
      <c r="K312" s="3">
        <v>43006.0</v>
      </c>
      <c r="L312" s="4">
        <v>1437.081</v>
      </c>
    </row>
    <row r="313">
      <c r="A313" s="3">
        <v>43007.0</v>
      </c>
      <c r="B313" s="4">
        <v>119.26</v>
      </c>
      <c r="C313" s="3">
        <v>42913.0</v>
      </c>
      <c r="D313" s="4">
        <v>24.34</v>
      </c>
      <c r="E313" s="3">
        <v>43010.0</v>
      </c>
      <c r="F313" s="4">
        <v>115.33</v>
      </c>
      <c r="G313" s="3">
        <v>43007.0</v>
      </c>
      <c r="H313" s="4">
        <v>117.99</v>
      </c>
      <c r="I313" s="3">
        <v>43007.0</v>
      </c>
      <c r="J313" s="4">
        <v>127.44</v>
      </c>
      <c r="K313" s="3">
        <v>43005.0</v>
      </c>
      <c r="L313" s="4">
        <v>1433.759</v>
      </c>
    </row>
    <row r="314">
      <c r="A314" s="3">
        <v>43006.0</v>
      </c>
      <c r="B314" s="4">
        <v>119.08</v>
      </c>
      <c r="C314" s="3">
        <v>42912.0</v>
      </c>
      <c r="D314" s="4">
        <v>24.36</v>
      </c>
      <c r="E314" s="3">
        <v>43007.0</v>
      </c>
      <c r="F314" s="4">
        <v>115.32</v>
      </c>
      <c r="G314" s="3">
        <v>43006.0</v>
      </c>
      <c r="H314" s="4">
        <v>117.98</v>
      </c>
      <c r="I314" s="3">
        <v>43006.0</v>
      </c>
      <c r="J314" s="4">
        <v>127.51</v>
      </c>
      <c r="K314" s="3">
        <v>43004.0</v>
      </c>
      <c r="L314" s="4">
        <v>1433.497</v>
      </c>
    </row>
    <row r="315">
      <c r="A315" s="3">
        <v>43005.0</v>
      </c>
      <c r="B315" s="4">
        <v>119.12</v>
      </c>
      <c r="C315" s="3">
        <v>42908.0</v>
      </c>
      <c r="D315" s="4">
        <v>24.37</v>
      </c>
      <c r="E315" s="3">
        <v>43006.0</v>
      </c>
      <c r="F315" s="4">
        <v>115.28</v>
      </c>
      <c r="G315" s="3">
        <v>43005.0</v>
      </c>
      <c r="H315" s="4">
        <v>118.23</v>
      </c>
      <c r="I315" s="3">
        <v>43005.0</v>
      </c>
      <c r="J315" s="4">
        <v>127.27</v>
      </c>
      <c r="K315" s="3">
        <v>43003.0</v>
      </c>
      <c r="L315" s="4">
        <v>1436.619</v>
      </c>
    </row>
    <row r="316">
      <c r="A316" s="3">
        <v>43004.0</v>
      </c>
      <c r="B316" s="4">
        <v>119.12</v>
      </c>
      <c r="C316" s="3">
        <v>42907.0</v>
      </c>
      <c r="D316" s="4">
        <v>24.37</v>
      </c>
      <c r="E316" s="3">
        <v>43005.0</v>
      </c>
      <c r="F316" s="4">
        <v>115.29</v>
      </c>
      <c r="G316" s="3">
        <v>43004.0</v>
      </c>
      <c r="H316" s="4">
        <v>118.32</v>
      </c>
      <c r="I316" s="3">
        <v>43004.0</v>
      </c>
      <c r="J316" s="4">
        <v>127.23</v>
      </c>
      <c r="K316" s="3">
        <v>43000.0</v>
      </c>
      <c r="L316" s="4">
        <v>1437.611</v>
      </c>
    </row>
    <row r="317">
      <c r="A317" s="3">
        <v>43003.0</v>
      </c>
      <c r="B317" s="4">
        <v>119.12</v>
      </c>
      <c r="C317" s="3">
        <v>42906.0</v>
      </c>
      <c r="D317" s="4">
        <v>24.37</v>
      </c>
      <c r="E317" s="3">
        <v>43004.0</v>
      </c>
      <c r="F317" s="4">
        <v>115.3</v>
      </c>
      <c r="G317" s="3">
        <v>43003.0</v>
      </c>
      <c r="H317" s="4">
        <v>118.08</v>
      </c>
      <c r="I317" s="3">
        <v>43003.0</v>
      </c>
      <c r="J317" s="4">
        <v>127.25</v>
      </c>
      <c r="K317" s="3">
        <v>42999.0</v>
      </c>
      <c r="L317" s="4">
        <v>1440.347</v>
      </c>
    </row>
    <row r="318">
      <c r="A318" s="3">
        <v>43000.0</v>
      </c>
      <c r="B318" s="4">
        <v>119.32</v>
      </c>
      <c r="C318" s="3">
        <v>42905.0</v>
      </c>
      <c r="D318" s="4">
        <v>24.37</v>
      </c>
      <c r="E318" s="3">
        <v>43003.0</v>
      </c>
      <c r="F318" s="4">
        <v>115.29</v>
      </c>
      <c r="G318" s="3">
        <v>43000.0</v>
      </c>
      <c r="H318" s="4">
        <v>118.05</v>
      </c>
      <c r="I318" s="3">
        <v>43000.0</v>
      </c>
      <c r="J318" s="4">
        <v>127.23</v>
      </c>
      <c r="K318" s="3">
        <v>42998.0</v>
      </c>
      <c r="L318" s="4">
        <v>1442.082</v>
      </c>
    </row>
    <row r="319">
      <c r="A319" s="3">
        <v>42999.0</v>
      </c>
      <c r="B319" s="4">
        <v>119.3</v>
      </c>
      <c r="C319" s="3">
        <v>42902.0</v>
      </c>
      <c r="D319" s="4">
        <v>24.37</v>
      </c>
      <c r="E319" s="3">
        <v>43000.0</v>
      </c>
      <c r="F319" s="4">
        <v>115.29</v>
      </c>
      <c r="G319" s="3">
        <v>42999.0</v>
      </c>
      <c r="H319" s="4">
        <v>117.98</v>
      </c>
      <c r="I319" s="3">
        <v>42999.0</v>
      </c>
      <c r="J319" s="4">
        <v>127.27</v>
      </c>
      <c r="K319" s="3">
        <v>42997.0</v>
      </c>
      <c r="L319" s="4">
        <v>1442.909</v>
      </c>
    </row>
    <row r="320">
      <c r="A320" s="3">
        <v>42998.0</v>
      </c>
      <c r="B320" s="4">
        <v>119.37</v>
      </c>
      <c r="C320" s="3">
        <v>42901.0</v>
      </c>
      <c r="D320" s="4">
        <v>24.38</v>
      </c>
      <c r="E320" s="3">
        <v>42999.0</v>
      </c>
      <c r="F320" s="4">
        <v>115.29</v>
      </c>
      <c r="G320" s="3">
        <v>42998.0</v>
      </c>
      <c r="H320" s="4">
        <v>118.12</v>
      </c>
      <c r="I320" s="3">
        <v>42998.0</v>
      </c>
      <c r="J320" s="4">
        <v>127.13</v>
      </c>
      <c r="K320" s="3">
        <v>42996.0</v>
      </c>
      <c r="L320" s="4">
        <v>1438.943</v>
      </c>
    </row>
    <row r="321">
      <c r="A321" s="3">
        <v>42997.0</v>
      </c>
      <c r="B321" s="4">
        <v>119.49</v>
      </c>
      <c r="C321" s="3">
        <v>42900.0</v>
      </c>
      <c r="D321" s="4">
        <v>24.37</v>
      </c>
      <c r="E321" s="3">
        <v>42998.0</v>
      </c>
      <c r="F321" s="4">
        <v>115.3</v>
      </c>
      <c r="G321" s="3">
        <v>42997.0</v>
      </c>
      <c r="H321" s="4">
        <v>118.11</v>
      </c>
      <c r="I321" s="3">
        <v>42997.0</v>
      </c>
      <c r="J321" s="4">
        <v>127.0</v>
      </c>
      <c r="K321" s="3">
        <v>42993.0</v>
      </c>
      <c r="L321" s="4">
        <v>1438.059</v>
      </c>
    </row>
    <row r="322">
      <c r="A322" s="3">
        <v>42996.0</v>
      </c>
      <c r="B322" s="4">
        <v>119.46</v>
      </c>
      <c r="C322" s="3">
        <v>42899.0</v>
      </c>
      <c r="D322" s="4">
        <v>24.37</v>
      </c>
      <c r="E322" s="3">
        <v>42997.0</v>
      </c>
      <c r="F322" s="4">
        <v>115.31</v>
      </c>
      <c r="G322" s="3">
        <v>42996.0</v>
      </c>
      <c r="H322" s="4">
        <v>118.16</v>
      </c>
      <c r="I322" s="3">
        <v>42996.0</v>
      </c>
      <c r="J322" s="4">
        <v>126.86</v>
      </c>
      <c r="K322" s="3">
        <v>42992.0</v>
      </c>
      <c r="L322" s="4">
        <v>1437.517</v>
      </c>
    </row>
    <row r="323">
      <c r="A323" s="3">
        <v>42993.0</v>
      </c>
      <c r="B323" s="4">
        <v>119.35</v>
      </c>
      <c r="C323" s="3">
        <v>42898.0</v>
      </c>
      <c r="D323" s="4">
        <v>24.37</v>
      </c>
      <c r="E323" s="3">
        <v>42996.0</v>
      </c>
      <c r="F323" s="4">
        <v>115.31</v>
      </c>
      <c r="G323" s="3">
        <v>42993.0</v>
      </c>
      <c r="H323" s="4">
        <v>118.37</v>
      </c>
      <c r="I323" s="3">
        <v>42993.0</v>
      </c>
      <c r="J323" s="4">
        <v>126.94</v>
      </c>
      <c r="K323" s="3">
        <v>42991.0</v>
      </c>
      <c r="L323" s="4">
        <v>1436.691</v>
      </c>
    </row>
    <row r="324">
      <c r="A324" s="3">
        <v>42992.0</v>
      </c>
      <c r="B324" s="4">
        <v>119.36</v>
      </c>
      <c r="C324" s="3">
        <v>42895.0</v>
      </c>
      <c r="D324" s="4">
        <v>24.38</v>
      </c>
      <c r="E324" s="3">
        <v>42993.0</v>
      </c>
      <c r="F324" s="4">
        <v>115.28</v>
      </c>
      <c r="G324" s="3">
        <v>42992.0</v>
      </c>
      <c r="H324" s="4">
        <v>118.4</v>
      </c>
      <c r="I324" s="3">
        <v>42992.0</v>
      </c>
      <c r="J324" s="4">
        <v>126.96</v>
      </c>
      <c r="K324" s="3">
        <v>42990.0</v>
      </c>
      <c r="L324" s="4">
        <v>1435.119</v>
      </c>
    </row>
    <row r="325">
      <c r="A325" s="3">
        <v>42991.0</v>
      </c>
      <c r="B325" s="4">
        <v>119.3</v>
      </c>
      <c r="C325" s="3">
        <v>42894.0</v>
      </c>
      <c r="D325" s="4">
        <v>24.38</v>
      </c>
      <c r="E325" s="3">
        <v>42992.0</v>
      </c>
      <c r="F325" s="4">
        <v>115.28</v>
      </c>
      <c r="G325" s="3">
        <v>42991.0</v>
      </c>
      <c r="H325" s="4">
        <v>118.39</v>
      </c>
      <c r="I325" s="3">
        <v>42991.0</v>
      </c>
      <c r="J325" s="4">
        <v>126.84</v>
      </c>
      <c r="K325" s="3">
        <v>42989.0</v>
      </c>
      <c r="L325" s="4">
        <v>1429.223</v>
      </c>
    </row>
    <row r="326">
      <c r="A326" s="3">
        <v>42990.0</v>
      </c>
      <c r="B326" s="4">
        <v>119.28</v>
      </c>
      <c r="C326" s="3">
        <v>42893.0</v>
      </c>
      <c r="D326" s="4">
        <v>24.37</v>
      </c>
      <c r="E326" s="3">
        <v>42991.0</v>
      </c>
      <c r="F326" s="4">
        <v>115.3</v>
      </c>
      <c r="G326" s="3">
        <v>42990.0</v>
      </c>
      <c r="H326" s="4">
        <v>118.58</v>
      </c>
      <c r="I326" s="3">
        <v>42990.0</v>
      </c>
      <c r="J326" s="4">
        <v>126.6</v>
      </c>
      <c r="K326" s="3">
        <v>42986.0</v>
      </c>
      <c r="L326" s="4">
        <v>1430.072</v>
      </c>
    </row>
    <row r="327">
      <c r="A327" s="3">
        <v>42989.0</v>
      </c>
      <c r="B327" s="4">
        <v>119.19</v>
      </c>
      <c r="C327" s="3">
        <v>42892.0</v>
      </c>
      <c r="D327" s="4">
        <v>24.37</v>
      </c>
      <c r="E327" s="3">
        <v>42990.0</v>
      </c>
      <c r="F327" s="4">
        <v>115.31</v>
      </c>
      <c r="G327" s="3">
        <v>42989.0</v>
      </c>
      <c r="H327" s="4">
        <v>118.53</v>
      </c>
      <c r="I327" s="3">
        <v>42989.0</v>
      </c>
      <c r="J327" s="4">
        <v>126.21</v>
      </c>
      <c r="K327" s="3">
        <v>42985.0</v>
      </c>
      <c r="L327" s="4">
        <v>1429.009</v>
      </c>
    </row>
    <row r="328">
      <c r="A328" s="3">
        <v>42986.0</v>
      </c>
      <c r="B328" s="4">
        <v>118.86</v>
      </c>
      <c r="C328" s="3">
        <v>42888.0</v>
      </c>
      <c r="D328" s="4">
        <v>24.37</v>
      </c>
      <c r="E328" s="3">
        <v>42989.0</v>
      </c>
      <c r="F328" s="4">
        <v>115.3</v>
      </c>
      <c r="G328" s="3">
        <v>42986.0</v>
      </c>
      <c r="H328" s="4">
        <v>118.61</v>
      </c>
      <c r="I328" s="3">
        <v>42986.0</v>
      </c>
      <c r="J328" s="4">
        <v>126.25</v>
      </c>
      <c r="K328" s="3">
        <v>42984.0</v>
      </c>
      <c r="L328" s="4">
        <v>1429.347</v>
      </c>
    </row>
    <row r="329">
      <c r="A329" s="3">
        <v>42985.0</v>
      </c>
      <c r="B329" s="4">
        <v>118.74</v>
      </c>
      <c r="C329" s="3">
        <v>42887.0</v>
      </c>
      <c r="D329" s="4">
        <v>24.38</v>
      </c>
      <c r="E329" s="3">
        <v>42986.0</v>
      </c>
      <c r="F329" s="4">
        <v>115.27</v>
      </c>
      <c r="G329" s="3">
        <v>42985.0</v>
      </c>
      <c r="H329" s="4">
        <v>118.23</v>
      </c>
      <c r="I329" s="3">
        <v>42985.0</v>
      </c>
      <c r="J329" s="4">
        <v>126.21</v>
      </c>
      <c r="K329" s="3">
        <v>42983.0</v>
      </c>
      <c r="L329" s="4">
        <v>1432.705</v>
      </c>
    </row>
    <row r="330">
      <c r="A330" s="3">
        <v>42984.0</v>
      </c>
      <c r="B330" s="4">
        <v>118.57</v>
      </c>
      <c r="C330" s="3">
        <v>42886.0</v>
      </c>
      <c r="D330" s="4">
        <v>24.38</v>
      </c>
      <c r="E330" s="3">
        <v>42985.0</v>
      </c>
      <c r="F330" s="4">
        <v>115.28</v>
      </c>
      <c r="G330" s="3">
        <v>42984.0</v>
      </c>
      <c r="H330" s="4">
        <v>118.32</v>
      </c>
      <c r="I330" s="3">
        <v>42984.0</v>
      </c>
      <c r="J330" s="4">
        <v>126.09</v>
      </c>
      <c r="K330" s="3">
        <v>42982.0</v>
      </c>
      <c r="L330" s="4">
        <v>1433.03</v>
      </c>
    </row>
    <row r="331">
      <c r="A331" s="3">
        <v>42983.0</v>
      </c>
      <c r="B331" s="4">
        <v>118.53</v>
      </c>
      <c r="C331" s="3">
        <v>42885.0</v>
      </c>
      <c r="D331" s="4">
        <v>24.39</v>
      </c>
      <c r="E331" s="3">
        <v>42984.0</v>
      </c>
      <c r="F331" s="4">
        <v>115.28</v>
      </c>
      <c r="G331" s="3">
        <v>42983.0</v>
      </c>
      <c r="H331" s="4">
        <v>117.97</v>
      </c>
      <c r="I331" s="3">
        <v>42983.0</v>
      </c>
      <c r="J331" s="4">
        <v>126.34</v>
      </c>
      <c r="K331" s="3">
        <v>42979.0</v>
      </c>
      <c r="L331" s="4">
        <v>1430.49</v>
      </c>
    </row>
    <row r="332">
      <c r="A332" s="3">
        <v>42982.0</v>
      </c>
      <c r="B332" s="4">
        <v>118.66</v>
      </c>
      <c r="C332" s="3">
        <v>42884.0</v>
      </c>
      <c r="D332" s="4">
        <v>24.39</v>
      </c>
      <c r="E332" s="3">
        <v>42983.0</v>
      </c>
      <c r="F332" s="4">
        <v>115.27</v>
      </c>
      <c r="G332" s="3">
        <v>42982.0</v>
      </c>
      <c r="H332" s="4">
        <v>118.01</v>
      </c>
      <c r="I332" s="3">
        <v>42982.0</v>
      </c>
      <c r="J332" s="4">
        <v>126.48</v>
      </c>
      <c r="K332" s="3">
        <v>42978.0</v>
      </c>
      <c r="L332" s="4">
        <v>1427.279</v>
      </c>
    </row>
    <row r="333">
      <c r="A333" s="3">
        <v>42979.0</v>
      </c>
      <c r="B333" s="4">
        <v>118.73</v>
      </c>
      <c r="C333" s="3">
        <v>42881.0</v>
      </c>
      <c r="D333" s="4">
        <v>24.38</v>
      </c>
      <c r="E333" s="3">
        <v>42982.0</v>
      </c>
      <c r="F333" s="4">
        <v>115.28</v>
      </c>
      <c r="G333" s="3">
        <v>42979.0</v>
      </c>
      <c r="H333" s="4">
        <v>118.05</v>
      </c>
      <c r="I333" s="3">
        <v>42979.0</v>
      </c>
      <c r="J333" s="4">
        <v>126.32</v>
      </c>
      <c r="K333" s="3">
        <v>42977.0</v>
      </c>
      <c r="L333" s="4">
        <v>1423.436</v>
      </c>
    </row>
    <row r="334">
      <c r="A334" s="3">
        <v>42978.0</v>
      </c>
      <c r="B334" s="4">
        <v>118.57</v>
      </c>
      <c r="C334" s="3">
        <v>42879.0</v>
      </c>
      <c r="D334" s="4">
        <v>24.39</v>
      </c>
      <c r="E334" s="3">
        <v>42979.0</v>
      </c>
      <c r="F334" s="4">
        <v>115.26</v>
      </c>
      <c r="G334" s="3">
        <v>42978.0</v>
      </c>
      <c r="H334" s="4">
        <v>117.65</v>
      </c>
      <c r="I334" s="3">
        <v>42978.0</v>
      </c>
      <c r="J334" s="4">
        <v>126.22</v>
      </c>
      <c r="K334" s="3">
        <v>42976.0</v>
      </c>
      <c r="L334" s="4">
        <v>1424.224</v>
      </c>
    </row>
    <row r="335">
      <c r="A335" s="3">
        <v>42977.0</v>
      </c>
      <c r="B335" s="4">
        <v>118.36</v>
      </c>
      <c r="C335" s="3">
        <v>42878.0</v>
      </c>
      <c r="D335" s="4">
        <v>24.38</v>
      </c>
      <c r="E335" s="3">
        <v>42978.0</v>
      </c>
      <c r="F335" s="4">
        <v>115.25</v>
      </c>
      <c r="G335" s="3">
        <v>42977.0</v>
      </c>
      <c r="H335" s="4">
        <v>117.46</v>
      </c>
      <c r="I335" s="3">
        <v>42977.0</v>
      </c>
      <c r="J335" s="4">
        <v>126.09</v>
      </c>
      <c r="K335" s="3">
        <v>42972.0</v>
      </c>
      <c r="L335" s="4">
        <v>1425.185</v>
      </c>
    </row>
    <row r="336">
      <c r="A336" s="3">
        <v>42976.0</v>
      </c>
      <c r="B336" s="4">
        <v>118.28</v>
      </c>
      <c r="C336" s="3">
        <v>42877.0</v>
      </c>
      <c r="D336" s="4">
        <v>24.38</v>
      </c>
      <c r="E336" s="3">
        <v>42977.0</v>
      </c>
      <c r="F336" s="4">
        <v>115.26</v>
      </c>
      <c r="G336" s="3">
        <v>42976.0</v>
      </c>
      <c r="H336" s="4">
        <v>117.97</v>
      </c>
      <c r="I336" s="3">
        <v>42976.0</v>
      </c>
      <c r="J336" s="4">
        <v>126.22</v>
      </c>
      <c r="K336" s="3">
        <v>42971.0</v>
      </c>
      <c r="L336" s="4">
        <v>1425.229</v>
      </c>
    </row>
    <row r="337">
      <c r="A337" s="3">
        <v>42975.0</v>
      </c>
      <c r="B337" s="4">
        <v>118.6</v>
      </c>
      <c r="C337" s="3">
        <v>42874.0</v>
      </c>
      <c r="D337" s="4">
        <v>24.38</v>
      </c>
      <c r="E337" s="3">
        <v>42976.0</v>
      </c>
      <c r="F337" s="4">
        <v>115.24</v>
      </c>
      <c r="G337" s="3">
        <v>42975.0</v>
      </c>
      <c r="H337" s="4">
        <v>118.12</v>
      </c>
      <c r="I337" s="3">
        <v>42975.0</v>
      </c>
      <c r="J337" s="4">
        <v>126.34</v>
      </c>
      <c r="K337" s="3">
        <v>42970.0</v>
      </c>
      <c r="L337" s="4">
        <v>1425.165</v>
      </c>
    </row>
    <row r="338">
      <c r="A338" s="3">
        <v>42972.0</v>
      </c>
      <c r="B338" s="4">
        <v>118.63</v>
      </c>
      <c r="C338" s="3">
        <v>42873.0</v>
      </c>
      <c r="D338" s="4">
        <v>24.4</v>
      </c>
      <c r="E338" s="3">
        <v>42975.0</v>
      </c>
      <c r="F338" s="4">
        <v>115.23</v>
      </c>
      <c r="G338" s="3">
        <v>42972.0</v>
      </c>
      <c r="H338" s="4">
        <v>118.14</v>
      </c>
      <c r="I338" s="3">
        <v>42972.0</v>
      </c>
      <c r="J338" s="4">
        <v>126.36</v>
      </c>
      <c r="K338" s="3">
        <v>42969.0</v>
      </c>
      <c r="L338" s="4">
        <v>1419.656</v>
      </c>
    </row>
    <row r="339">
      <c r="A339" s="3">
        <v>42971.0</v>
      </c>
      <c r="B339" s="4">
        <v>118.66</v>
      </c>
      <c r="C339" s="3">
        <v>42872.0</v>
      </c>
      <c r="D339" s="4">
        <v>24.4</v>
      </c>
      <c r="E339" s="3">
        <v>42972.0</v>
      </c>
      <c r="F339" s="4">
        <v>115.21</v>
      </c>
      <c r="G339" s="3">
        <v>42971.0</v>
      </c>
      <c r="H339" s="4">
        <v>118.17</v>
      </c>
      <c r="I339" s="3">
        <v>42971.0</v>
      </c>
      <c r="J339" s="4">
        <v>126.31</v>
      </c>
      <c r="K339" s="3">
        <v>42968.0</v>
      </c>
      <c r="L339" s="4">
        <v>1421.296</v>
      </c>
    </row>
    <row r="340">
      <c r="A340" s="3">
        <v>42970.0</v>
      </c>
      <c r="B340" s="4">
        <v>119.29</v>
      </c>
      <c r="C340" s="3">
        <v>42871.0</v>
      </c>
      <c r="D340" s="4">
        <v>24.4</v>
      </c>
      <c r="E340" s="3">
        <v>42971.0</v>
      </c>
      <c r="F340" s="4">
        <v>115.21</v>
      </c>
      <c r="G340" s="3">
        <v>42970.0</v>
      </c>
      <c r="H340" s="4">
        <v>118.21</v>
      </c>
      <c r="I340" s="3">
        <v>42970.0</v>
      </c>
      <c r="J340" s="4">
        <v>126.46</v>
      </c>
      <c r="K340" s="3">
        <v>42965.0</v>
      </c>
      <c r="L340" s="4">
        <v>1423.328</v>
      </c>
    </row>
    <row r="341">
      <c r="A341" s="3">
        <v>42969.0</v>
      </c>
      <c r="B341" s="4">
        <v>119.36</v>
      </c>
      <c r="C341" s="3">
        <v>42870.0</v>
      </c>
      <c r="D341" s="4">
        <v>24.42</v>
      </c>
      <c r="E341" s="3">
        <v>42970.0</v>
      </c>
      <c r="F341" s="4">
        <v>115.22</v>
      </c>
      <c r="G341" s="3">
        <v>42969.0</v>
      </c>
      <c r="H341" s="4">
        <v>117.82</v>
      </c>
      <c r="I341" s="3">
        <v>42969.0</v>
      </c>
      <c r="J341" s="4">
        <v>126.08</v>
      </c>
      <c r="K341" s="3">
        <v>42964.0</v>
      </c>
      <c r="L341" s="4">
        <v>1429.688</v>
      </c>
    </row>
    <row r="342">
      <c r="A342" s="3">
        <v>42968.0</v>
      </c>
      <c r="B342" s="4">
        <v>119.11</v>
      </c>
      <c r="C342" s="3">
        <v>42867.0</v>
      </c>
      <c r="D342" s="4">
        <v>24.43</v>
      </c>
      <c r="E342" s="3">
        <v>42969.0</v>
      </c>
      <c r="F342" s="4">
        <v>115.18</v>
      </c>
      <c r="G342" s="3">
        <v>42968.0</v>
      </c>
      <c r="H342" s="4">
        <v>118.17</v>
      </c>
      <c r="I342" s="3">
        <v>42968.0</v>
      </c>
      <c r="J342" s="4">
        <v>126.22</v>
      </c>
      <c r="K342" s="3">
        <v>42963.0</v>
      </c>
      <c r="L342" s="4">
        <v>1427.319</v>
      </c>
    </row>
    <row r="343">
      <c r="A343" s="3">
        <v>42965.0</v>
      </c>
      <c r="B343" s="4">
        <v>119.23</v>
      </c>
      <c r="C343" s="3">
        <v>42866.0</v>
      </c>
      <c r="D343" s="4">
        <v>24.44</v>
      </c>
      <c r="E343" s="3">
        <v>42968.0</v>
      </c>
      <c r="F343" s="4">
        <v>115.27</v>
      </c>
      <c r="G343" s="3">
        <v>42965.0</v>
      </c>
      <c r="H343" s="4">
        <v>118.28</v>
      </c>
      <c r="I343" s="3">
        <v>42965.0</v>
      </c>
      <c r="J343" s="4">
        <v>126.32</v>
      </c>
      <c r="K343" s="3">
        <v>42961.0</v>
      </c>
      <c r="L343" s="4">
        <v>1422.814</v>
      </c>
    </row>
    <row r="344">
      <c r="A344" s="3">
        <v>42964.0</v>
      </c>
      <c r="B344" s="4">
        <v>119.46</v>
      </c>
      <c r="C344" s="3">
        <v>42865.0</v>
      </c>
      <c r="D344" s="4">
        <v>24.44</v>
      </c>
      <c r="E344" s="3">
        <v>42965.0</v>
      </c>
      <c r="F344" s="4">
        <v>115.25</v>
      </c>
      <c r="G344" s="3">
        <v>42964.0</v>
      </c>
      <c r="H344" s="4">
        <v>118.44</v>
      </c>
      <c r="I344" s="3">
        <v>42964.0</v>
      </c>
      <c r="J344" s="4">
        <v>126.6</v>
      </c>
      <c r="K344" s="3">
        <v>42958.0</v>
      </c>
      <c r="L344" s="4">
        <v>1424.572</v>
      </c>
    </row>
    <row r="345">
      <c r="A345" s="3">
        <v>42963.0</v>
      </c>
      <c r="B345" s="4">
        <v>119.6</v>
      </c>
      <c r="C345" s="3">
        <v>42864.0</v>
      </c>
      <c r="D345" s="4">
        <v>24.43</v>
      </c>
      <c r="E345" s="3">
        <v>42964.0</v>
      </c>
      <c r="F345" s="4">
        <v>115.25</v>
      </c>
      <c r="G345" s="3">
        <v>42963.0</v>
      </c>
      <c r="H345" s="4">
        <v>118.16</v>
      </c>
      <c r="I345" s="3">
        <v>42963.0</v>
      </c>
      <c r="J345" s="4">
        <v>126.45</v>
      </c>
      <c r="K345" s="3">
        <v>42957.0</v>
      </c>
      <c r="L345" s="4">
        <v>1435.393</v>
      </c>
    </row>
    <row r="346">
      <c r="A346" s="3">
        <v>42961.0</v>
      </c>
      <c r="B346" s="4">
        <v>119.36</v>
      </c>
      <c r="C346" s="3">
        <v>42863.0</v>
      </c>
      <c r="D346" s="4">
        <v>24.43</v>
      </c>
      <c r="E346" s="3">
        <v>42963.0</v>
      </c>
      <c r="F346" s="4">
        <v>115.28</v>
      </c>
      <c r="G346" s="3">
        <v>42961.0</v>
      </c>
      <c r="H346" s="4">
        <v>117.57</v>
      </c>
      <c r="I346" s="3">
        <v>42961.0</v>
      </c>
      <c r="J346" s="4">
        <v>125.78</v>
      </c>
      <c r="K346" s="3">
        <v>42956.0</v>
      </c>
      <c r="L346" s="4">
        <v>1440.249</v>
      </c>
    </row>
    <row r="347">
      <c r="A347" s="3">
        <v>42958.0</v>
      </c>
      <c r="B347" s="4">
        <v>119.07</v>
      </c>
      <c r="C347" s="3">
        <v>42860.0</v>
      </c>
      <c r="D347" s="4">
        <v>24.42</v>
      </c>
      <c r="E347" s="3">
        <v>42961.0</v>
      </c>
      <c r="F347" s="4">
        <v>115.27</v>
      </c>
      <c r="G347" s="3">
        <v>42958.0</v>
      </c>
      <c r="H347" s="4">
        <v>117.67</v>
      </c>
      <c r="I347" s="3">
        <v>42958.0</v>
      </c>
      <c r="J347" s="4">
        <v>126.19</v>
      </c>
      <c r="K347" s="3">
        <v>42955.0</v>
      </c>
      <c r="L347" s="4">
        <v>1441.451</v>
      </c>
    </row>
    <row r="348">
      <c r="A348" s="3">
        <v>42957.0</v>
      </c>
      <c r="B348" s="4">
        <v>119.42</v>
      </c>
      <c r="C348" s="3">
        <v>42859.0</v>
      </c>
      <c r="D348" s="4">
        <v>24.42</v>
      </c>
      <c r="E348" s="3">
        <v>42958.0</v>
      </c>
      <c r="F348" s="4">
        <v>115.23</v>
      </c>
      <c r="G348" s="3">
        <v>42957.0</v>
      </c>
      <c r="H348" s="4">
        <v>118.14</v>
      </c>
      <c r="I348" s="3">
        <v>42957.0</v>
      </c>
      <c r="J348" s="4">
        <v>126.73</v>
      </c>
      <c r="K348" s="3">
        <v>42954.0</v>
      </c>
      <c r="L348" s="4">
        <v>1438.635</v>
      </c>
    </row>
    <row r="349">
      <c r="A349" s="3">
        <v>42956.0</v>
      </c>
      <c r="B349" s="4">
        <v>119.71</v>
      </c>
      <c r="C349" s="3">
        <v>42858.0</v>
      </c>
      <c r="D349" s="4">
        <v>24.44</v>
      </c>
      <c r="E349" s="3">
        <v>42957.0</v>
      </c>
      <c r="F349" s="4">
        <v>115.25</v>
      </c>
      <c r="G349" s="3">
        <v>42956.0</v>
      </c>
      <c r="H349" s="4">
        <v>118.51</v>
      </c>
      <c r="I349" s="3">
        <v>42956.0</v>
      </c>
      <c r="J349" s="4">
        <v>127.01</v>
      </c>
      <c r="K349" s="3">
        <v>42951.0</v>
      </c>
      <c r="L349" s="4">
        <v>1436.651</v>
      </c>
    </row>
    <row r="350">
      <c r="A350" s="3">
        <v>42955.0</v>
      </c>
      <c r="B350" s="4">
        <v>120.12</v>
      </c>
      <c r="C350" s="3">
        <v>42857.0</v>
      </c>
      <c r="D350" s="4">
        <v>24.44</v>
      </c>
      <c r="E350" s="3">
        <v>42956.0</v>
      </c>
      <c r="F350" s="4">
        <v>115.26</v>
      </c>
      <c r="G350" s="3">
        <v>42955.0</v>
      </c>
      <c r="H350" s="4">
        <v>118.47</v>
      </c>
      <c r="I350" s="3">
        <v>42955.0</v>
      </c>
      <c r="J350" s="4">
        <v>126.99</v>
      </c>
      <c r="K350" s="3">
        <v>42950.0</v>
      </c>
      <c r="L350" s="4">
        <v>1436.658</v>
      </c>
    </row>
    <row r="351">
      <c r="A351" s="3">
        <v>42954.0</v>
      </c>
      <c r="B351" s="4">
        <v>120.12</v>
      </c>
      <c r="C351" s="3">
        <v>42853.0</v>
      </c>
      <c r="D351" s="4">
        <v>24.44</v>
      </c>
      <c r="E351" s="3">
        <v>42955.0</v>
      </c>
      <c r="F351" s="4">
        <v>115.27</v>
      </c>
      <c r="G351" s="3">
        <v>42954.0</v>
      </c>
      <c r="H351" s="4">
        <v>118.55</v>
      </c>
      <c r="I351" s="3">
        <v>42954.0</v>
      </c>
      <c r="J351" s="4">
        <v>126.92</v>
      </c>
      <c r="K351" s="3">
        <v>42949.0</v>
      </c>
      <c r="L351" s="4">
        <v>1441.277</v>
      </c>
    </row>
    <row r="352">
      <c r="A352" s="3">
        <v>42951.0</v>
      </c>
      <c r="B352" s="4">
        <v>120.1</v>
      </c>
      <c r="C352" s="3">
        <v>42852.0</v>
      </c>
      <c r="D352" s="4">
        <v>24.45</v>
      </c>
      <c r="E352" s="3">
        <v>42954.0</v>
      </c>
      <c r="F352" s="4">
        <v>115.26</v>
      </c>
      <c r="G352" s="3">
        <v>42951.0</v>
      </c>
      <c r="H352" s="4">
        <v>118.2</v>
      </c>
      <c r="I352" s="3">
        <v>42951.0</v>
      </c>
      <c r="J352" s="4">
        <v>126.78</v>
      </c>
      <c r="K352" s="3">
        <v>42948.0</v>
      </c>
      <c r="L352" s="4">
        <v>1438.896</v>
      </c>
    </row>
    <row r="353">
      <c r="A353" s="3">
        <v>42950.0</v>
      </c>
      <c r="B353" s="4">
        <v>119.92</v>
      </c>
      <c r="C353" s="3">
        <v>42851.0</v>
      </c>
      <c r="D353" s="4">
        <v>24.44</v>
      </c>
      <c r="E353" s="3">
        <v>42951.0</v>
      </c>
      <c r="F353" s="4">
        <v>115.23</v>
      </c>
      <c r="G353" s="3">
        <v>42950.0</v>
      </c>
      <c r="H353" s="4">
        <v>118.03</v>
      </c>
      <c r="I353" s="3">
        <v>42950.0</v>
      </c>
      <c r="J353" s="4">
        <v>126.93</v>
      </c>
      <c r="K353" s="3">
        <v>42947.0</v>
      </c>
      <c r="L353" s="4">
        <v>1440.376</v>
      </c>
    </row>
    <row r="354">
      <c r="A354" s="3">
        <v>42949.0</v>
      </c>
      <c r="B354" s="4">
        <v>119.89</v>
      </c>
      <c r="C354" s="3">
        <v>42850.0</v>
      </c>
      <c r="D354" s="4">
        <v>24.43</v>
      </c>
      <c r="E354" s="3">
        <v>42950.0</v>
      </c>
      <c r="F354" s="4">
        <v>115.21</v>
      </c>
      <c r="G354" s="3">
        <v>42949.0</v>
      </c>
      <c r="H354" s="4">
        <v>118.32</v>
      </c>
      <c r="I354" s="3">
        <v>42949.0</v>
      </c>
      <c r="J354" s="4">
        <v>126.92</v>
      </c>
      <c r="K354" s="3">
        <v>42944.0</v>
      </c>
      <c r="L354" s="4">
        <v>1442.648</v>
      </c>
    </row>
    <row r="355">
      <c r="A355" s="3">
        <v>42948.0</v>
      </c>
      <c r="B355" s="4">
        <v>119.92</v>
      </c>
      <c r="C355" s="3">
        <v>42849.0</v>
      </c>
      <c r="D355" s="4">
        <v>24.44</v>
      </c>
      <c r="E355" s="3">
        <v>42949.0</v>
      </c>
      <c r="F355" s="4">
        <v>115.23</v>
      </c>
      <c r="G355" s="3">
        <v>42948.0</v>
      </c>
      <c r="H355" s="4">
        <v>117.74</v>
      </c>
      <c r="I355" s="3">
        <v>42948.0</v>
      </c>
      <c r="J355" s="4">
        <v>126.74</v>
      </c>
      <c r="K355" s="3">
        <v>42943.0</v>
      </c>
      <c r="L355" s="4">
        <v>1445.817</v>
      </c>
    </row>
    <row r="356">
      <c r="A356" s="3">
        <v>42947.0</v>
      </c>
      <c r="B356" s="4">
        <v>119.75</v>
      </c>
      <c r="C356" s="3">
        <v>42846.0</v>
      </c>
      <c r="D356" s="4">
        <v>24.48</v>
      </c>
      <c r="E356" s="3">
        <v>42948.0</v>
      </c>
      <c r="F356" s="4">
        <v>115.24</v>
      </c>
      <c r="G356" s="3">
        <v>42947.0</v>
      </c>
      <c r="H356" s="4">
        <v>117.85</v>
      </c>
      <c r="I356" s="3">
        <v>42947.0</v>
      </c>
      <c r="J356" s="4">
        <v>126.84</v>
      </c>
      <c r="K356" s="3">
        <v>42942.0</v>
      </c>
      <c r="L356" s="4">
        <v>1442.634</v>
      </c>
    </row>
    <row r="357">
      <c r="A357" s="3">
        <v>42944.0</v>
      </c>
      <c r="B357" s="4">
        <v>119.84</v>
      </c>
      <c r="C357" s="3">
        <v>42845.0</v>
      </c>
      <c r="D357" s="4">
        <v>24.47</v>
      </c>
      <c r="E357" s="3">
        <v>42947.0</v>
      </c>
      <c r="F357" s="4">
        <v>115.21</v>
      </c>
      <c r="G357" s="3">
        <v>42944.0</v>
      </c>
      <c r="H357" s="4">
        <v>118.03</v>
      </c>
      <c r="I357" s="3">
        <v>42944.0</v>
      </c>
      <c r="J357" s="4">
        <v>127.13</v>
      </c>
      <c r="K357" s="3">
        <v>42941.0</v>
      </c>
      <c r="L357" s="4">
        <v>1443.27</v>
      </c>
    </row>
    <row r="358">
      <c r="A358" s="3">
        <v>42943.0</v>
      </c>
      <c r="B358" s="4">
        <v>120.06</v>
      </c>
      <c r="C358" s="3">
        <v>42844.0</v>
      </c>
      <c r="D358" s="4">
        <v>24.48</v>
      </c>
      <c r="E358" s="3">
        <v>42944.0</v>
      </c>
      <c r="F358" s="4">
        <v>115.19</v>
      </c>
      <c r="G358" s="3">
        <v>42943.0</v>
      </c>
      <c r="H358" s="4">
        <v>118.37</v>
      </c>
      <c r="I358" s="3">
        <v>42943.0</v>
      </c>
      <c r="J358" s="4">
        <v>127.06</v>
      </c>
      <c r="K358" s="3">
        <v>42940.0</v>
      </c>
      <c r="L358" s="4">
        <v>1442.548</v>
      </c>
    </row>
    <row r="359">
      <c r="A359" s="3">
        <v>42942.0</v>
      </c>
      <c r="B359" s="4">
        <v>120.04</v>
      </c>
      <c r="C359" s="3">
        <v>42843.0</v>
      </c>
      <c r="D359" s="4">
        <v>24.49</v>
      </c>
      <c r="E359" s="3">
        <v>42943.0</v>
      </c>
      <c r="F359" s="4">
        <v>115.19</v>
      </c>
      <c r="G359" s="3">
        <v>42942.0</v>
      </c>
      <c r="H359" s="4">
        <v>118.13</v>
      </c>
      <c r="I359" s="3">
        <v>42942.0</v>
      </c>
      <c r="J359" s="4">
        <v>127.0</v>
      </c>
      <c r="K359" s="3">
        <v>42937.0</v>
      </c>
      <c r="L359" s="4">
        <v>1445.609</v>
      </c>
    </row>
    <row r="360">
      <c r="A360" s="3">
        <v>42941.0</v>
      </c>
      <c r="B360" s="4">
        <v>119.92</v>
      </c>
      <c r="C360" s="3">
        <v>42838.0</v>
      </c>
      <c r="D360" s="4">
        <v>24.49</v>
      </c>
      <c r="E360" s="3">
        <v>42942.0</v>
      </c>
      <c r="F360" s="4">
        <v>115.19</v>
      </c>
      <c r="G360" s="3">
        <v>42941.0</v>
      </c>
      <c r="H360" s="4">
        <v>118.05</v>
      </c>
      <c r="I360" s="3">
        <v>42941.0</v>
      </c>
      <c r="J360" s="4">
        <v>127.06</v>
      </c>
      <c r="K360" s="3">
        <v>42936.0</v>
      </c>
      <c r="L360" s="4">
        <v>1445.283</v>
      </c>
    </row>
    <row r="361">
      <c r="A361" s="3">
        <v>42940.0</v>
      </c>
      <c r="B361" s="4">
        <v>119.84</v>
      </c>
      <c r="C361" s="3">
        <v>42837.0</v>
      </c>
      <c r="D361" s="4">
        <v>24.49</v>
      </c>
      <c r="E361" s="3">
        <v>42941.0</v>
      </c>
      <c r="F361" s="4">
        <v>115.18</v>
      </c>
      <c r="G361" s="3">
        <v>42940.0</v>
      </c>
      <c r="H361" s="4">
        <v>118.22</v>
      </c>
      <c r="I361" s="3">
        <v>42940.0</v>
      </c>
      <c r="J361" s="4">
        <v>126.98</v>
      </c>
      <c r="K361" s="3">
        <v>42935.0</v>
      </c>
      <c r="L361" s="4">
        <v>1441.234</v>
      </c>
    </row>
    <row r="362">
      <c r="A362" s="3">
        <v>42937.0</v>
      </c>
      <c r="B362" s="4">
        <v>119.87</v>
      </c>
      <c r="C362" s="3">
        <v>42836.0</v>
      </c>
      <c r="D362" s="4">
        <v>24.49</v>
      </c>
      <c r="E362" s="3">
        <v>42940.0</v>
      </c>
      <c r="F362" s="4">
        <v>115.18</v>
      </c>
      <c r="G362" s="3">
        <v>42937.0</v>
      </c>
      <c r="H362" s="4">
        <v>118.79</v>
      </c>
      <c r="I362" s="3">
        <v>42937.0</v>
      </c>
      <c r="J362" s="4">
        <v>127.16</v>
      </c>
      <c r="K362" s="3">
        <v>42934.0</v>
      </c>
      <c r="L362" s="4">
        <v>1441.816</v>
      </c>
    </row>
    <row r="363">
      <c r="A363" s="3">
        <v>42936.0</v>
      </c>
      <c r="B363" s="4">
        <v>120.3</v>
      </c>
      <c r="C363" s="3">
        <v>42835.0</v>
      </c>
      <c r="D363" s="4">
        <v>24.49</v>
      </c>
      <c r="E363" s="3">
        <v>42937.0</v>
      </c>
      <c r="F363" s="4">
        <v>115.15</v>
      </c>
      <c r="G363" s="3">
        <v>42936.0</v>
      </c>
      <c r="H363" s="4">
        <v>118.77</v>
      </c>
      <c r="I363" s="3">
        <v>42936.0</v>
      </c>
      <c r="J363" s="4">
        <v>127.37</v>
      </c>
      <c r="K363" s="3">
        <v>42933.0</v>
      </c>
      <c r="L363" s="4">
        <v>1442.599</v>
      </c>
    </row>
    <row r="364">
      <c r="A364" s="3">
        <v>42935.0</v>
      </c>
      <c r="B364" s="4">
        <v>120.41</v>
      </c>
      <c r="C364" s="3">
        <v>42832.0</v>
      </c>
      <c r="D364" s="4">
        <v>24.49</v>
      </c>
      <c r="E364" s="3">
        <v>42936.0</v>
      </c>
      <c r="F364" s="4">
        <v>115.14</v>
      </c>
      <c r="G364" s="3">
        <v>42935.0</v>
      </c>
      <c r="H364" s="4">
        <v>118.66</v>
      </c>
      <c r="I364" s="3">
        <v>42935.0</v>
      </c>
      <c r="J364" s="4">
        <v>127.07</v>
      </c>
      <c r="K364" s="3">
        <v>42930.0</v>
      </c>
      <c r="L364" s="4">
        <v>1438.005</v>
      </c>
    </row>
    <row r="365">
      <c r="A365" s="3">
        <v>42934.0</v>
      </c>
      <c r="B365" s="4">
        <v>120.23</v>
      </c>
      <c r="C365" s="3">
        <v>42831.0</v>
      </c>
      <c r="D365" s="4">
        <v>24.48</v>
      </c>
      <c r="E365" s="3">
        <v>42935.0</v>
      </c>
      <c r="F365" s="4">
        <v>115.16</v>
      </c>
      <c r="G365" s="3">
        <v>42934.0</v>
      </c>
      <c r="H365" s="4">
        <v>119.07</v>
      </c>
      <c r="I365" s="3">
        <v>42934.0</v>
      </c>
      <c r="J365" s="4">
        <v>127.32</v>
      </c>
      <c r="K365" s="3">
        <v>42929.0</v>
      </c>
      <c r="L365" s="4">
        <v>1436.538</v>
      </c>
    </row>
    <row r="366">
      <c r="A366" s="3">
        <v>42933.0</v>
      </c>
      <c r="B366" s="4">
        <v>120.45</v>
      </c>
      <c r="C366" s="3">
        <v>42830.0</v>
      </c>
      <c r="D366" s="4">
        <v>24.48</v>
      </c>
      <c r="E366" s="3">
        <v>42934.0</v>
      </c>
      <c r="F366" s="4">
        <v>115.14</v>
      </c>
      <c r="G366" s="3">
        <v>42933.0</v>
      </c>
      <c r="H366" s="4">
        <v>119.1</v>
      </c>
      <c r="I366" s="3">
        <v>42933.0</v>
      </c>
      <c r="J366" s="4">
        <v>127.27</v>
      </c>
      <c r="K366" s="3">
        <v>42928.0</v>
      </c>
      <c r="L366" s="4">
        <v>1428.429</v>
      </c>
    </row>
    <row r="367">
      <c r="A367" s="3">
        <v>42929.0</v>
      </c>
      <c r="B367" s="4">
        <v>120.29</v>
      </c>
      <c r="C367" s="3">
        <v>42829.0</v>
      </c>
      <c r="D367" s="4">
        <v>24.48</v>
      </c>
      <c r="E367" s="3">
        <v>42933.0</v>
      </c>
      <c r="F367" s="4">
        <v>115.13</v>
      </c>
      <c r="G367" s="3">
        <v>42930.0</v>
      </c>
      <c r="H367" s="4">
        <v>119.07</v>
      </c>
      <c r="I367" s="3">
        <v>42930.0</v>
      </c>
      <c r="J367" s="4">
        <v>127.14</v>
      </c>
      <c r="K367" s="3">
        <v>42927.0</v>
      </c>
      <c r="L367" s="4">
        <v>1426.616</v>
      </c>
    </row>
    <row r="368">
      <c r="A368" s="3">
        <v>42928.0</v>
      </c>
      <c r="B368" s="4">
        <v>120.09</v>
      </c>
      <c r="C368" s="3">
        <v>42828.0</v>
      </c>
      <c r="D368" s="4">
        <v>24.49</v>
      </c>
      <c r="E368" s="3">
        <v>42930.0</v>
      </c>
      <c r="F368" s="4">
        <v>115.11</v>
      </c>
      <c r="G368" s="3">
        <v>42929.0</v>
      </c>
      <c r="H368" s="4">
        <v>119.1</v>
      </c>
      <c r="I368" s="3">
        <v>42929.0</v>
      </c>
      <c r="J368" s="4">
        <v>127.06</v>
      </c>
      <c r="K368" s="3">
        <v>42926.0</v>
      </c>
      <c r="L368" s="4">
        <v>1423.72</v>
      </c>
    </row>
    <row r="369">
      <c r="A369" s="3">
        <v>42927.0</v>
      </c>
      <c r="B369" s="4">
        <v>119.64</v>
      </c>
      <c r="C369" s="3">
        <v>42825.0</v>
      </c>
      <c r="D369" s="4">
        <v>24.48</v>
      </c>
      <c r="E369" s="3">
        <v>42929.0</v>
      </c>
      <c r="F369" s="4">
        <v>115.11</v>
      </c>
      <c r="G369" s="3">
        <v>42928.0</v>
      </c>
      <c r="H369" s="4">
        <v>118.23</v>
      </c>
      <c r="I369" s="3">
        <v>42928.0</v>
      </c>
      <c r="J369" s="4">
        <v>126.5</v>
      </c>
      <c r="K369" s="3">
        <v>42923.0</v>
      </c>
      <c r="L369" s="4">
        <v>1421.085</v>
      </c>
    </row>
    <row r="370">
      <c r="A370" s="3">
        <v>42926.0</v>
      </c>
      <c r="B370" s="4">
        <v>119.74</v>
      </c>
      <c r="C370" s="3">
        <v>42824.0</v>
      </c>
      <c r="D370" s="4">
        <v>24.47</v>
      </c>
      <c r="E370" s="3">
        <v>42928.0</v>
      </c>
      <c r="F370" s="4">
        <v>115.12</v>
      </c>
      <c r="G370" s="3">
        <v>42927.0</v>
      </c>
      <c r="H370" s="4">
        <v>118.36</v>
      </c>
      <c r="I370" s="3">
        <v>42927.0</v>
      </c>
      <c r="J370" s="4">
        <v>126.61</v>
      </c>
      <c r="K370" s="3">
        <v>42922.0</v>
      </c>
      <c r="L370" s="4">
        <v>1425.911</v>
      </c>
    </row>
    <row r="371">
      <c r="A371" s="3">
        <v>42923.0</v>
      </c>
      <c r="B371" s="4">
        <v>119.6</v>
      </c>
      <c r="C371" s="3">
        <v>42823.0</v>
      </c>
      <c r="D371" s="4">
        <v>24.46</v>
      </c>
      <c r="E371" s="3">
        <v>42927.0</v>
      </c>
      <c r="F371" s="4">
        <v>115.11</v>
      </c>
      <c r="G371" s="3">
        <v>42926.0</v>
      </c>
      <c r="H371" s="4">
        <v>118.06</v>
      </c>
      <c r="I371" s="3">
        <v>42926.0</v>
      </c>
      <c r="J371" s="4">
        <v>126.44</v>
      </c>
      <c r="K371" s="3">
        <v>42921.0</v>
      </c>
      <c r="L371" s="4">
        <v>1424.226</v>
      </c>
    </row>
    <row r="372">
      <c r="A372" s="3">
        <v>42922.0</v>
      </c>
      <c r="B372" s="4">
        <v>119.64</v>
      </c>
      <c r="C372" s="3">
        <v>42822.0</v>
      </c>
      <c r="D372" s="4">
        <v>24.44</v>
      </c>
      <c r="E372" s="3">
        <v>42926.0</v>
      </c>
      <c r="F372" s="4">
        <v>115.1</v>
      </c>
      <c r="G372" s="3">
        <v>42923.0</v>
      </c>
      <c r="H372" s="4">
        <v>118.19</v>
      </c>
      <c r="I372" s="3">
        <v>42923.0</v>
      </c>
      <c r="J372" s="4">
        <v>126.54</v>
      </c>
      <c r="K372" s="3">
        <v>42920.0</v>
      </c>
      <c r="L372" s="4">
        <v>1423.671</v>
      </c>
    </row>
    <row r="373">
      <c r="A373" s="3">
        <v>42921.0</v>
      </c>
      <c r="B373" s="4">
        <v>119.78</v>
      </c>
      <c r="C373" s="3">
        <v>42821.0</v>
      </c>
      <c r="D373" s="4">
        <v>24.44</v>
      </c>
      <c r="E373" s="3">
        <v>42923.0</v>
      </c>
      <c r="F373" s="4">
        <v>115.07</v>
      </c>
      <c r="G373" s="3">
        <v>42922.0</v>
      </c>
      <c r="H373" s="4">
        <v>118.62</v>
      </c>
      <c r="I373" s="3">
        <v>42922.0</v>
      </c>
      <c r="J373" s="4">
        <v>126.82</v>
      </c>
      <c r="K373" s="3">
        <v>42919.0</v>
      </c>
      <c r="L373" s="4">
        <v>1425.574</v>
      </c>
    </row>
    <row r="374">
      <c r="A374" s="3">
        <v>42920.0</v>
      </c>
      <c r="B374" s="4">
        <v>119.81</v>
      </c>
      <c r="C374" s="3">
        <v>42818.0</v>
      </c>
      <c r="D374" s="4">
        <v>24.46</v>
      </c>
      <c r="E374" s="3">
        <v>42922.0</v>
      </c>
      <c r="F374" s="4">
        <v>115.07</v>
      </c>
      <c r="G374" s="3">
        <v>42921.0</v>
      </c>
      <c r="H374" s="4">
        <v>118.64</v>
      </c>
      <c r="I374" s="3">
        <v>42921.0</v>
      </c>
      <c r="J374" s="4">
        <v>126.77</v>
      </c>
      <c r="K374" s="3">
        <v>42916.0</v>
      </c>
      <c r="L374" s="4">
        <v>1426.61</v>
      </c>
    </row>
    <row r="375">
      <c r="A375" s="3">
        <v>42919.0</v>
      </c>
      <c r="B375" s="4">
        <v>119.92</v>
      </c>
      <c r="C375" s="3">
        <v>42817.0</v>
      </c>
      <c r="D375" s="4">
        <v>24.47</v>
      </c>
      <c r="E375" s="3">
        <v>42921.0</v>
      </c>
      <c r="F375" s="4">
        <v>115.11</v>
      </c>
      <c r="G375" s="3">
        <v>42920.0</v>
      </c>
      <c r="H375" s="4">
        <v>118.71</v>
      </c>
      <c r="I375" s="3">
        <v>42920.0</v>
      </c>
      <c r="J375" s="4">
        <v>126.75</v>
      </c>
      <c r="K375" s="3">
        <v>42915.0</v>
      </c>
      <c r="L375" s="4">
        <v>1436.404</v>
      </c>
    </row>
    <row r="376">
      <c r="A376" s="3">
        <v>42916.0</v>
      </c>
      <c r="B376" s="4">
        <v>119.6</v>
      </c>
      <c r="C376" s="3">
        <v>42816.0</v>
      </c>
      <c r="D376" s="4">
        <v>24.47</v>
      </c>
      <c r="E376" s="3">
        <v>42920.0</v>
      </c>
      <c r="F376" s="4">
        <v>115.12</v>
      </c>
      <c r="G376" s="3">
        <v>42919.0</v>
      </c>
      <c r="H376" s="4">
        <v>118.21</v>
      </c>
      <c r="I376" s="3">
        <v>42919.0</v>
      </c>
      <c r="J376" s="4">
        <v>126.57</v>
      </c>
      <c r="K376" s="3">
        <v>42914.0</v>
      </c>
      <c r="L376" s="4">
        <v>1432.36</v>
      </c>
    </row>
    <row r="377">
      <c r="A377" s="3">
        <v>42915.0</v>
      </c>
      <c r="B377" s="4">
        <v>119.65</v>
      </c>
      <c r="C377" s="3">
        <v>42815.0</v>
      </c>
      <c r="D377" s="4">
        <v>24.46</v>
      </c>
      <c r="E377" s="3">
        <v>42919.0</v>
      </c>
      <c r="F377" s="4">
        <v>115.11</v>
      </c>
      <c r="G377" s="3">
        <v>42916.0</v>
      </c>
      <c r="H377" s="4">
        <v>118.69</v>
      </c>
      <c r="I377" s="3">
        <v>42916.0</v>
      </c>
      <c r="J377" s="4">
        <v>126.54</v>
      </c>
      <c r="K377" s="3">
        <v>42913.0</v>
      </c>
      <c r="L377" s="4">
        <v>1440.195</v>
      </c>
    </row>
    <row r="378">
      <c r="A378" s="3">
        <v>42914.0</v>
      </c>
      <c r="B378" s="4">
        <v>120.2</v>
      </c>
      <c r="C378" s="3">
        <v>42814.0</v>
      </c>
      <c r="D378" s="4">
        <v>24.47</v>
      </c>
      <c r="E378" s="3">
        <v>42916.0</v>
      </c>
      <c r="F378" s="4">
        <v>115.11</v>
      </c>
      <c r="G378" s="3">
        <v>42915.0</v>
      </c>
      <c r="H378" s="4">
        <v>119.94</v>
      </c>
      <c r="I378" s="3">
        <v>42915.0</v>
      </c>
      <c r="J378" s="4">
        <v>126.96</v>
      </c>
      <c r="K378" s="3">
        <v>42912.0</v>
      </c>
      <c r="L378" s="4">
        <v>1441.376</v>
      </c>
    </row>
    <row r="379">
      <c r="A379" s="3">
        <v>42913.0</v>
      </c>
      <c r="B379" s="4">
        <v>120.28</v>
      </c>
      <c r="C379" s="3">
        <v>42811.0</v>
      </c>
      <c r="D379" s="4">
        <v>24.47</v>
      </c>
      <c r="E379" s="3">
        <v>42915.0</v>
      </c>
      <c r="F379" s="4">
        <v>115.13</v>
      </c>
      <c r="G379" s="3">
        <v>42914.0</v>
      </c>
      <c r="H379" s="4">
        <v>120.03</v>
      </c>
      <c r="I379" s="3">
        <v>42914.0</v>
      </c>
      <c r="J379" s="4">
        <v>127.02</v>
      </c>
      <c r="K379" s="3">
        <v>42908.0</v>
      </c>
      <c r="L379" s="4">
        <v>1438.99</v>
      </c>
    </row>
    <row r="380">
      <c r="A380" s="3">
        <v>42912.0</v>
      </c>
      <c r="B380" s="4">
        <v>120.53</v>
      </c>
      <c r="C380" s="3">
        <v>42810.0</v>
      </c>
      <c r="D380" s="4">
        <v>24.47</v>
      </c>
      <c r="E380" s="3">
        <v>42914.0</v>
      </c>
      <c r="F380" s="4">
        <v>115.14</v>
      </c>
      <c r="G380" s="3">
        <v>42913.0</v>
      </c>
      <c r="H380" s="4">
        <v>120.84</v>
      </c>
      <c r="I380" s="3">
        <v>42913.0</v>
      </c>
      <c r="J380" s="4">
        <v>127.42</v>
      </c>
      <c r="K380" s="3">
        <v>42907.0</v>
      </c>
      <c r="L380" s="4">
        <v>1438.393</v>
      </c>
    </row>
    <row r="381">
      <c r="A381" s="3">
        <v>42908.0</v>
      </c>
      <c r="B381" s="4">
        <v>120.67</v>
      </c>
      <c r="C381" s="3">
        <v>42809.0</v>
      </c>
      <c r="D381" s="4">
        <v>24.48</v>
      </c>
      <c r="E381" s="3">
        <v>42913.0</v>
      </c>
      <c r="F381" s="4">
        <v>115.17</v>
      </c>
      <c r="G381" s="3">
        <v>42912.0</v>
      </c>
      <c r="H381" s="4">
        <v>120.83</v>
      </c>
      <c r="I381" s="3">
        <v>42912.0</v>
      </c>
      <c r="J381" s="4">
        <v>127.37</v>
      </c>
      <c r="K381" s="3">
        <v>42906.0</v>
      </c>
      <c r="L381" s="4">
        <v>1443.898</v>
      </c>
    </row>
    <row r="382">
      <c r="A382" s="3">
        <v>42907.0</v>
      </c>
      <c r="B382" s="4">
        <v>120.82</v>
      </c>
      <c r="C382" s="3">
        <v>42808.0</v>
      </c>
      <c r="D382" s="4">
        <v>24.47</v>
      </c>
      <c r="E382" s="3">
        <v>42912.0</v>
      </c>
      <c r="F382" s="4">
        <v>115.18</v>
      </c>
      <c r="G382" s="3">
        <v>42908.0</v>
      </c>
      <c r="H382" s="4">
        <v>120.75</v>
      </c>
      <c r="I382" s="3">
        <v>42908.0</v>
      </c>
      <c r="J382" s="4">
        <v>127.22</v>
      </c>
      <c r="K382" s="3">
        <v>42905.0</v>
      </c>
      <c r="L382" s="4">
        <v>1436.621</v>
      </c>
    </row>
    <row r="383">
      <c r="A383" s="3">
        <v>42906.0</v>
      </c>
      <c r="B383" s="4">
        <v>120.91</v>
      </c>
      <c r="C383" s="3">
        <v>42807.0</v>
      </c>
      <c r="D383" s="4">
        <v>24.47</v>
      </c>
      <c r="E383" s="3">
        <v>42908.0</v>
      </c>
      <c r="F383" s="4">
        <v>115.16</v>
      </c>
      <c r="G383" s="3">
        <v>42907.0</v>
      </c>
      <c r="H383" s="4">
        <v>120.91</v>
      </c>
      <c r="I383" s="3">
        <v>42907.0</v>
      </c>
      <c r="J383" s="4">
        <v>127.29</v>
      </c>
      <c r="K383" s="3">
        <v>42902.0</v>
      </c>
      <c r="L383" s="4">
        <v>1435.389</v>
      </c>
    </row>
    <row r="384">
      <c r="A384" s="3">
        <v>42905.0</v>
      </c>
      <c r="B384" s="4">
        <v>121.21</v>
      </c>
      <c r="C384" s="3">
        <v>42804.0</v>
      </c>
      <c r="D384" s="4">
        <v>24.47</v>
      </c>
      <c r="E384" s="3">
        <v>42907.0</v>
      </c>
      <c r="F384" s="4">
        <v>115.17</v>
      </c>
      <c r="G384" s="3">
        <v>42906.0</v>
      </c>
      <c r="H384" s="4">
        <v>121.0</v>
      </c>
      <c r="I384" s="3">
        <v>42906.0</v>
      </c>
      <c r="J384" s="4">
        <v>127.51</v>
      </c>
      <c r="K384" s="3">
        <v>42901.0</v>
      </c>
      <c r="L384" s="4">
        <v>1439.839</v>
      </c>
    </row>
    <row r="385">
      <c r="A385" s="3">
        <v>42902.0</v>
      </c>
      <c r="B385" s="4">
        <v>120.93</v>
      </c>
      <c r="C385" s="3">
        <v>42803.0</v>
      </c>
      <c r="D385" s="4">
        <v>24.49</v>
      </c>
      <c r="E385" s="3">
        <v>42906.0</v>
      </c>
      <c r="F385" s="4">
        <v>115.2</v>
      </c>
      <c r="G385" s="3">
        <v>42905.0</v>
      </c>
      <c r="H385" s="4">
        <v>120.47</v>
      </c>
      <c r="I385" s="3">
        <v>42905.0</v>
      </c>
      <c r="J385" s="4">
        <v>127.17</v>
      </c>
      <c r="K385" s="3">
        <v>42900.0</v>
      </c>
      <c r="L385" s="4">
        <v>1442.111</v>
      </c>
    </row>
    <row r="386">
      <c r="A386" s="3">
        <v>42901.0</v>
      </c>
      <c r="B386" s="4">
        <v>120.77</v>
      </c>
      <c r="C386" s="3">
        <v>42802.0</v>
      </c>
      <c r="D386" s="4">
        <v>24.51</v>
      </c>
      <c r="E386" s="3">
        <v>42905.0</v>
      </c>
      <c r="F386" s="4">
        <v>115.23</v>
      </c>
      <c r="G386" s="3">
        <v>42902.0</v>
      </c>
      <c r="H386" s="4">
        <v>120.3</v>
      </c>
      <c r="I386" s="3">
        <v>42902.0</v>
      </c>
      <c r="J386" s="4">
        <v>127.05</v>
      </c>
      <c r="K386" s="3">
        <v>42899.0</v>
      </c>
      <c r="L386" s="4">
        <v>1438.0</v>
      </c>
    </row>
    <row r="387">
      <c r="A387" s="3">
        <v>42900.0</v>
      </c>
      <c r="B387" s="4">
        <v>121.28</v>
      </c>
      <c r="C387" s="3">
        <v>42801.0</v>
      </c>
      <c r="D387" s="4">
        <v>24.51</v>
      </c>
      <c r="E387" s="3">
        <v>42902.0</v>
      </c>
      <c r="F387" s="4">
        <v>115.21</v>
      </c>
      <c r="G387" s="3">
        <v>42901.0</v>
      </c>
      <c r="H387" s="4">
        <v>120.88</v>
      </c>
      <c r="I387" s="3">
        <v>42901.0</v>
      </c>
      <c r="J387" s="4">
        <v>127.25</v>
      </c>
      <c r="K387" s="3">
        <v>42898.0</v>
      </c>
      <c r="L387" s="4">
        <v>1440.681</v>
      </c>
    </row>
    <row r="388">
      <c r="A388" s="3">
        <v>42899.0</v>
      </c>
      <c r="B388" s="4">
        <v>121.26</v>
      </c>
      <c r="C388" s="3">
        <v>42800.0</v>
      </c>
      <c r="D388" s="4">
        <v>24.51</v>
      </c>
      <c r="E388" s="3">
        <v>42901.0</v>
      </c>
      <c r="F388" s="4">
        <v>115.21</v>
      </c>
      <c r="G388" s="3">
        <v>42900.0</v>
      </c>
      <c r="H388" s="4">
        <v>120.49</v>
      </c>
      <c r="I388" s="3">
        <v>42900.0</v>
      </c>
      <c r="J388" s="4">
        <v>127.18</v>
      </c>
      <c r="K388" s="3">
        <v>42895.0</v>
      </c>
      <c r="L388" s="4">
        <v>1447.547</v>
      </c>
    </row>
    <row r="389">
      <c r="A389" s="3">
        <v>42898.0</v>
      </c>
      <c r="B389" s="4">
        <v>121.16</v>
      </c>
      <c r="C389" s="3">
        <v>42797.0</v>
      </c>
      <c r="D389" s="4">
        <v>24.52</v>
      </c>
      <c r="E389" s="3">
        <v>42900.0</v>
      </c>
      <c r="F389" s="4">
        <v>115.22</v>
      </c>
      <c r="G389" s="3">
        <v>42899.0</v>
      </c>
      <c r="H389" s="4">
        <v>120.29</v>
      </c>
      <c r="I389" s="3">
        <v>42899.0</v>
      </c>
      <c r="J389" s="4">
        <v>127.15</v>
      </c>
      <c r="K389" s="3">
        <v>42894.0</v>
      </c>
      <c r="L389" s="4">
        <v>1447.396</v>
      </c>
    </row>
    <row r="390">
      <c r="A390" s="3">
        <v>42895.0</v>
      </c>
      <c r="B390" s="4">
        <v>121.51</v>
      </c>
      <c r="C390" s="3">
        <v>42796.0</v>
      </c>
      <c r="D390" s="4">
        <v>24.53</v>
      </c>
      <c r="E390" s="3">
        <v>42899.0</v>
      </c>
      <c r="F390" s="4">
        <v>115.23</v>
      </c>
      <c r="G390" s="3">
        <v>42898.0</v>
      </c>
      <c r="H390" s="4">
        <v>120.7</v>
      </c>
      <c r="I390" s="3">
        <v>42898.0</v>
      </c>
      <c r="J390" s="4">
        <v>127.25</v>
      </c>
      <c r="K390" s="3">
        <v>42893.0</v>
      </c>
      <c r="L390" s="4">
        <v>1449.009</v>
      </c>
    </row>
    <row r="391">
      <c r="A391" s="3">
        <v>42894.0</v>
      </c>
      <c r="B391" s="4">
        <v>121.32</v>
      </c>
      <c r="C391" s="3">
        <v>42795.0</v>
      </c>
      <c r="D391" s="4">
        <v>24.53</v>
      </c>
      <c r="E391" s="3">
        <v>42898.0</v>
      </c>
      <c r="F391" s="4">
        <v>115.23</v>
      </c>
      <c r="G391" s="3">
        <v>42895.0</v>
      </c>
      <c r="H391" s="4">
        <v>120.36</v>
      </c>
      <c r="I391" s="3">
        <v>42895.0</v>
      </c>
      <c r="J391" s="4">
        <v>127.28</v>
      </c>
      <c r="K391" s="3">
        <v>42892.0</v>
      </c>
      <c r="L391" s="4">
        <v>1450.608</v>
      </c>
    </row>
    <row r="392">
      <c r="A392" s="3">
        <v>42893.0</v>
      </c>
      <c r="B392" s="4">
        <v>121.35</v>
      </c>
      <c r="C392" s="3">
        <v>42794.0</v>
      </c>
      <c r="D392" s="4">
        <v>24.53</v>
      </c>
      <c r="E392" s="3">
        <v>42895.0</v>
      </c>
      <c r="F392" s="4">
        <v>115.21</v>
      </c>
      <c r="G392" s="3">
        <v>42894.0</v>
      </c>
      <c r="H392" s="4">
        <v>120.09</v>
      </c>
      <c r="I392" s="3">
        <v>42894.0</v>
      </c>
      <c r="J392" s="4">
        <v>127.44</v>
      </c>
      <c r="K392" s="3">
        <v>42888.0</v>
      </c>
      <c r="L392" s="4">
        <v>1447.7821</v>
      </c>
    </row>
    <row r="393">
      <c r="A393" s="3">
        <v>42892.0</v>
      </c>
      <c r="B393" s="4">
        <v>121.46</v>
      </c>
      <c r="C393" s="3">
        <v>42793.0</v>
      </c>
      <c r="D393" s="4">
        <v>24.54</v>
      </c>
      <c r="E393" s="3">
        <v>42894.0</v>
      </c>
      <c r="F393" s="4">
        <v>115.2</v>
      </c>
      <c r="G393" s="3">
        <v>42893.0</v>
      </c>
      <c r="H393" s="4">
        <v>120.33</v>
      </c>
      <c r="I393" s="3">
        <v>42893.0</v>
      </c>
      <c r="J393" s="4">
        <v>127.56</v>
      </c>
      <c r="K393" s="3">
        <v>42887.0</v>
      </c>
      <c r="L393" s="4">
        <v>1440.438</v>
      </c>
    </row>
    <row r="394">
      <c r="A394" s="3">
        <v>42888.0</v>
      </c>
      <c r="B394" s="4">
        <v>121.84</v>
      </c>
      <c r="C394" s="3">
        <v>42790.0</v>
      </c>
      <c r="D394" s="4">
        <v>24.55</v>
      </c>
      <c r="E394" s="3">
        <v>42893.0</v>
      </c>
      <c r="F394" s="4">
        <v>115.21</v>
      </c>
      <c r="G394" s="3">
        <v>42892.0</v>
      </c>
      <c r="H394" s="4">
        <v>120.68</v>
      </c>
      <c r="I394" s="3">
        <v>42892.0</v>
      </c>
      <c r="J394" s="4">
        <v>127.46</v>
      </c>
      <c r="K394" s="3">
        <v>42886.0</v>
      </c>
      <c r="L394" s="4">
        <v>1440.24</v>
      </c>
    </row>
    <row r="395">
      <c r="A395" s="3">
        <v>42887.0</v>
      </c>
      <c r="B395" s="4">
        <v>121.55</v>
      </c>
      <c r="C395" s="3">
        <v>42789.0</v>
      </c>
      <c r="D395" s="4">
        <v>24.54</v>
      </c>
      <c r="E395" s="3">
        <v>42892.0</v>
      </c>
      <c r="F395" s="4">
        <v>115.22</v>
      </c>
      <c r="G395" s="3">
        <v>42888.0</v>
      </c>
      <c r="H395" s="4">
        <v>120.14</v>
      </c>
      <c r="I395" s="3">
        <v>42888.0</v>
      </c>
      <c r="J395" s="4">
        <v>127.33</v>
      </c>
      <c r="K395" s="3">
        <v>42885.0</v>
      </c>
      <c r="L395" s="4">
        <v>1442.006</v>
      </c>
    </row>
    <row r="396">
      <c r="A396" s="3">
        <v>42886.0</v>
      </c>
      <c r="B396" s="4">
        <v>121.33</v>
      </c>
      <c r="C396" s="3">
        <v>42788.0</v>
      </c>
      <c r="D396" s="4">
        <v>24.55</v>
      </c>
      <c r="E396" s="3">
        <v>42888.0</v>
      </c>
      <c r="F396" s="4">
        <v>115.2</v>
      </c>
      <c r="G396" s="3">
        <v>42887.0</v>
      </c>
      <c r="H396" s="4">
        <v>120.17</v>
      </c>
      <c r="I396" s="3">
        <v>42887.0</v>
      </c>
      <c r="J396" s="4">
        <v>127.19</v>
      </c>
      <c r="K396" s="3">
        <v>42881.0</v>
      </c>
      <c r="L396" s="4">
        <v>1439.827</v>
      </c>
    </row>
    <row r="397">
      <c r="A397" s="3">
        <v>42885.0</v>
      </c>
      <c r="B397" s="4">
        <v>121.41</v>
      </c>
      <c r="C397" s="3">
        <v>42787.0</v>
      </c>
      <c r="D397" s="4">
        <v>24.55</v>
      </c>
      <c r="E397" s="3">
        <v>42887.0</v>
      </c>
      <c r="F397" s="4">
        <v>115.2</v>
      </c>
      <c r="G397" s="3">
        <v>42886.0</v>
      </c>
      <c r="H397" s="4">
        <v>119.97</v>
      </c>
      <c r="I397" s="3">
        <v>42886.0</v>
      </c>
      <c r="J397" s="4">
        <v>127.23</v>
      </c>
      <c r="K397" s="3">
        <v>42879.0</v>
      </c>
      <c r="L397" s="4">
        <v>1438.781</v>
      </c>
    </row>
    <row r="398">
      <c r="A398" s="3">
        <v>42884.0</v>
      </c>
      <c r="B398" s="4">
        <v>121.47</v>
      </c>
      <c r="C398" s="3">
        <v>42786.0</v>
      </c>
      <c r="D398" s="4">
        <v>24.53</v>
      </c>
      <c r="E398" s="3">
        <v>42886.0</v>
      </c>
      <c r="F398" s="4">
        <v>115.22</v>
      </c>
      <c r="G398" s="3">
        <v>42885.0</v>
      </c>
      <c r="H398" s="4">
        <v>120.03</v>
      </c>
      <c r="I398" s="3">
        <v>42885.0</v>
      </c>
      <c r="J398" s="4">
        <v>127.3</v>
      </c>
      <c r="K398" s="3">
        <v>42878.0</v>
      </c>
      <c r="L398" s="4">
        <v>1439.185</v>
      </c>
    </row>
    <row r="399">
      <c r="A399" s="3">
        <v>42881.0</v>
      </c>
      <c r="B399" s="4">
        <v>121.52</v>
      </c>
      <c r="C399" s="3">
        <v>42783.0</v>
      </c>
      <c r="D399" s="4">
        <v>24.53</v>
      </c>
      <c r="E399" s="3">
        <v>42885.0</v>
      </c>
      <c r="F399" s="4">
        <v>115.24</v>
      </c>
      <c r="G399" s="3">
        <v>42884.0</v>
      </c>
      <c r="H399" s="4">
        <v>120.03</v>
      </c>
      <c r="I399" s="3">
        <v>42884.0</v>
      </c>
      <c r="J399" s="4">
        <v>127.35</v>
      </c>
      <c r="K399" s="3">
        <v>42877.0</v>
      </c>
      <c r="L399" s="4">
        <v>1435.849</v>
      </c>
    </row>
    <row r="400">
      <c r="A400" s="3">
        <v>42879.0</v>
      </c>
      <c r="B400" s="4">
        <v>121.49</v>
      </c>
      <c r="C400" s="3">
        <v>42782.0</v>
      </c>
      <c r="D400" s="4">
        <v>24.52</v>
      </c>
      <c r="E400" s="3">
        <v>42884.0</v>
      </c>
      <c r="F400" s="4">
        <v>115.25</v>
      </c>
      <c r="G400" s="3">
        <v>42881.0</v>
      </c>
      <c r="H400" s="4">
        <v>120.14</v>
      </c>
      <c r="I400" s="3">
        <v>42881.0</v>
      </c>
      <c r="J400" s="4">
        <v>127.16</v>
      </c>
      <c r="K400" s="3">
        <v>42874.0</v>
      </c>
      <c r="L400" s="4">
        <v>1431.062</v>
      </c>
    </row>
    <row r="401">
      <c r="A401" s="3">
        <v>42878.0</v>
      </c>
      <c r="B401" s="4">
        <v>121.48</v>
      </c>
      <c r="C401" s="3">
        <v>42781.0</v>
      </c>
      <c r="D401" s="4">
        <v>24.54</v>
      </c>
      <c r="E401" s="3">
        <v>42881.0</v>
      </c>
      <c r="F401" s="4">
        <v>115.22</v>
      </c>
      <c r="G401" s="3">
        <v>42879.0</v>
      </c>
      <c r="H401" s="4">
        <v>120.2</v>
      </c>
      <c r="I401" s="3">
        <v>42879.0</v>
      </c>
      <c r="J401" s="4">
        <v>127.03</v>
      </c>
      <c r="K401" s="3">
        <v>42873.0</v>
      </c>
      <c r="L401" s="4">
        <v>1431.636</v>
      </c>
    </row>
    <row r="402">
      <c r="A402" s="3">
        <v>42877.0</v>
      </c>
      <c r="B402" s="4">
        <v>121.39</v>
      </c>
      <c r="C402" s="3">
        <v>42780.0</v>
      </c>
      <c r="D402" s="4">
        <v>24.54</v>
      </c>
      <c r="E402" s="3">
        <v>42879.0</v>
      </c>
      <c r="F402" s="4">
        <v>115.2</v>
      </c>
      <c r="G402" s="3">
        <v>42878.0</v>
      </c>
      <c r="H402" s="4">
        <v>120.07</v>
      </c>
      <c r="I402" s="3">
        <v>42878.0</v>
      </c>
      <c r="J402" s="4">
        <v>126.97</v>
      </c>
      <c r="K402" s="3">
        <v>42872.0</v>
      </c>
      <c r="L402" s="4">
        <v>1442.991</v>
      </c>
    </row>
    <row r="403">
      <c r="A403" s="3">
        <v>42874.0</v>
      </c>
      <c r="B403" s="4">
        <v>121.42</v>
      </c>
      <c r="C403" s="3">
        <v>42779.0</v>
      </c>
      <c r="D403" s="4">
        <v>24.54</v>
      </c>
      <c r="E403" s="3">
        <v>42878.0</v>
      </c>
      <c r="F403" s="4">
        <v>115.19</v>
      </c>
      <c r="G403" s="3">
        <v>42877.0</v>
      </c>
      <c r="H403" s="4">
        <v>120.19</v>
      </c>
      <c r="I403" s="3">
        <v>42877.0</v>
      </c>
      <c r="J403" s="4">
        <v>126.85</v>
      </c>
      <c r="K403" s="3">
        <v>42871.0</v>
      </c>
      <c r="L403" s="4">
        <v>1442.343</v>
      </c>
    </row>
    <row r="404">
      <c r="A404" s="3">
        <v>42873.0</v>
      </c>
      <c r="B404" s="4">
        <v>121.01</v>
      </c>
      <c r="C404" s="3">
        <v>42776.0</v>
      </c>
      <c r="D404" s="4">
        <v>24.53</v>
      </c>
      <c r="E404" s="3">
        <v>42877.0</v>
      </c>
      <c r="F404" s="4">
        <v>115.18</v>
      </c>
      <c r="G404" s="3">
        <v>42874.0</v>
      </c>
      <c r="H404" s="4">
        <v>119.95</v>
      </c>
      <c r="I404" s="3">
        <v>42874.0</v>
      </c>
      <c r="J404" s="4">
        <v>126.75</v>
      </c>
      <c r="K404" s="3">
        <v>42870.0</v>
      </c>
      <c r="L404" s="4">
        <v>1438.8512</v>
      </c>
    </row>
    <row r="405">
      <c r="A405" s="3">
        <v>42872.0</v>
      </c>
      <c r="B405" s="4">
        <v>121.21</v>
      </c>
      <c r="C405" s="3">
        <v>42775.0</v>
      </c>
      <c r="D405" s="4">
        <v>24.52</v>
      </c>
      <c r="E405" s="3">
        <v>42874.0</v>
      </c>
      <c r="F405" s="4">
        <v>115.16</v>
      </c>
      <c r="G405" s="3">
        <v>42873.0</v>
      </c>
      <c r="H405" s="4">
        <v>120.26</v>
      </c>
      <c r="I405" s="3">
        <v>42873.0</v>
      </c>
      <c r="J405" s="4">
        <v>126.98</v>
      </c>
      <c r="K405" s="3">
        <v>42867.0</v>
      </c>
      <c r="L405" s="4">
        <v>1438.9351</v>
      </c>
    </row>
    <row r="406">
      <c r="A406" s="3">
        <v>42871.0</v>
      </c>
      <c r="B406" s="4">
        <v>121.73</v>
      </c>
      <c r="C406" s="3">
        <v>42774.0</v>
      </c>
      <c r="D406" s="4">
        <v>24.52</v>
      </c>
      <c r="E406" s="3">
        <v>42873.0</v>
      </c>
      <c r="F406" s="4">
        <v>115.15</v>
      </c>
      <c r="G406" s="3">
        <v>42872.0</v>
      </c>
      <c r="H406" s="4">
        <v>120.76</v>
      </c>
      <c r="I406" s="3">
        <v>42872.0</v>
      </c>
      <c r="J406" s="4">
        <v>127.39</v>
      </c>
      <c r="K406" s="3">
        <v>42866.0</v>
      </c>
      <c r="L406" s="4">
        <v>1441.6419</v>
      </c>
    </row>
    <row r="407">
      <c r="A407" s="3">
        <v>42870.0</v>
      </c>
      <c r="B407" s="4">
        <v>121.6</v>
      </c>
      <c r="C407" s="3">
        <v>42773.0</v>
      </c>
      <c r="D407" s="4">
        <v>24.52</v>
      </c>
      <c r="E407" s="3">
        <v>42872.0</v>
      </c>
      <c r="F407" s="4">
        <v>115.21</v>
      </c>
      <c r="G407" s="3">
        <v>42871.0</v>
      </c>
      <c r="H407" s="4">
        <v>120.64</v>
      </c>
      <c r="I407" s="3">
        <v>42871.0</v>
      </c>
      <c r="J407" s="4">
        <v>127.4</v>
      </c>
      <c r="K407" s="3">
        <v>42865.0</v>
      </c>
      <c r="L407" s="4">
        <v>1440.1399</v>
      </c>
    </row>
    <row r="408">
      <c r="A408" s="3">
        <v>42867.0</v>
      </c>
      <c r="B408" s="4">
        <v>121.37</v>
      </c>
      <c r="C408" s="3">
        <v>42772.0</v>
      </c>
      <c r="D408" s="4">
        <v>24.51</v>
      </c>
      <c r="E408" s="3">
        <v>42871.0</v>
      </c>
      <c r="F408" s="4">
        <v>115.2</v>
      </c>
      <c r="G408" s="3">
        <v>42870.0</v>
      </c>
      <c r="H408" s="4">
        <v>120.56</v>
      </c>
      <c r="I408" s="3">
        <v>42870.0</v>
      </c>
      <c r="J408" s="4">
        <v>127.2</v>
      </c>
      <c r="K408" s="3">
        <v>42864.0</v>
      </c>
      <c r="L408" s="4">
        <v>1436.5678</v>
      </c>
    </row>
    <row r="409">
      <c r="A409" s="3">
        <v>42866.0</v>
      </c>
      <c r="B409" s="4">
        <v>121.32</v>
      </c>
      <c r="C409" s="3">
        <v>42769.0</v>
      </c>
      <c r="D409" s="4">
        <v>24.5</v>
      </c>
      <c r="E409" s="3">
        <v>42870.0</v>
      </c>
      <c r="F409" s="4">
        <v>115.21</v>
      </c>
      <c r="G409" s="3">
        <v>42867.0</v>
      </c>
      <c r="H409" s="4">
        <v>120.15</v>
      </c>
      <c r="I409" s="3">
        <v>42867.0</v>
      </c>
      <c r="J409" s="4">
        <v>127.1</v>
      </c>
      <c r="K409" s="3">
        <v>42863.0</v>
      </c>
      <c r="L409" s="4">
        <v>1437.3036</v>
      </c>
    </row>
    <row r="410">
      <c r="A410" s="3">
        <v>42865.0</v>
      </c>
      <c r="B410" s="4">
        <v>121.47</v>
      </c>
      <c r="C410" s="3">
        <v>42768.0</v>
      </c>
      <c r="D410" s="4">
        <v>24.49</v>
      </c>
      <c r="E410" s="3">
        <v>42867.0</v>
      </c>
      <c r="F410" s="4">
        <v>115.2</v>
      </c>
      <c r="G410" s="3">
        <v>42866.0</v>
      </c>
      <c r="H410" s="4">
        <v>120.42</v>
      </c>
      <c r="I410" s="3">
        <v>42866.0</v>
      </c>
      <c r="J410" s="4">
        <v>126.99</v>
      </c>
      <c r="K410" s="3">
        <v>42860.0</v>
      </c>
      <c r="L410" s="4">
        <v>1428.9325</v>
      </c>
    </row>
    <row r="411">
      <c r="A411" s="3">
        <v>42864.0</v>
      </c>
      <c r="B411" s="4">
        <v>121.45</v>
      </c>
      <c r="C411" s="3">
        <v>42767.0</v>
      </c>
      <c r="D411" s="4">
        <v>24.5</v>
      </c>
      <c r="E411" s="3">
        <v>42866.0</v>
      </c>
      <c r="F411" s="4">
        <v>115.19</v>
      </c>
      <c r="G411" s="3">
        <v>42865.0</v>
      </c>
      <c r="H411" s="4">
        <v>120.43</v>
      </c>
      <c r="I411" s="3">
        <v>42865.0</v>
      </c>
      <c r="J411" s="4">
        <v>126.71</v>
      </c>
      <c r="K411" s="3">
        <v>42859.0</v>
      </c>
      <c r="L411" s="4">
        <v>1430.5059</v>
      </c>
    </row>
    <row r="412">
      <c r="A412" s="3">
        <v>42860.0</v>
      </c>
      <c r="B412" s="4">
        <v>121.57</v>
      </c>
      <c r="C412" s="3">
        <v>42766.0</v>
      </c>
      <c r="D412" s="4">
        <v>24.49</v>
      </c>
      <c r="E412" s="3">
        <v>42865.0</v>
      </c>
      <c r="F412" s="4">
        <v>115.18</v>
      </c>
      <c r="G412" s="3">
        <v>42864.0</v>
      </c>
      <c r="H412" s="4">
        <v>120.33</v>
      </c>
      <c r="I412" s="3">
        <v>42864.0</v>
      </c>
      <c r="J412" s="4">
        <v>126.45</v>
      </c>
      <c r="K412" s="3">
        <v>42858.0</v>
      </c>
      <c r="L412" s="4">
        <v>1433.9326</v>
      </c>
    </row>
    <row r="413">
      <c r="A413" s="3">
        <v>42859.0</v>
      </c>
      <c r="B413" s="4">
        <v>121.3</v>
      </c>
      <c r="C413" s="3">
        <v>42765.0</v>
      </c>
      <c r="D413" s="4">
        <v>24.52</v>
      </c>
      <c r="E413" s="3">
        <v>42864.0</v>
      </c>
      <c r="F413" s="4">
        <v>115.17</v>
      </c>
      <c r="G413" s="3">
        <v>42863.0</v>
      </c>
      <c r="H413" s="4">
        <v>120.46</v>
      </c>
      <c r="I413" s="3">
        <v>42863.0</v>
      </c>
      <c r="J413" s="4">
        <v>126.28</v>
      </c>
      <c r="K413" s="3">
        <v>42857.0</v>
      </c>
      <c r="L413" s="4">
        <v>1434.1548</v>
      </c>
    </row>
    <row r="414">
      <c r="A414" s="3">
        <v>42858.0</v>
      </c>
      <c r="B414" s="4">
        <v>120.83</v>
      </c>
      <c r="C414" s="3">
        <v>42762.0</v>
      </c>
      <c r="D414" s="4">
        <v>24.51</v>
      </c>
      <c r="E414" s="3">
        <v>42863.0</v>
      </c>
      <c r="F414" s="4">
        <v>115.16</v>
      </c>
      <c r="G414" s="3">
        <v>42860.0</v>
      </c>
      <c r="H414" s="4">
        <v>120.12</v>
      </c>
      <c r="I414" s="3">
        <v>42860.0</v>
      </c>
      <c r="J414" s="4">
        <v>126.28</v>
      </c>
      <c r="K414" s="3">
        <v>42853.0</v>
      </c>
      <c r="L414" s="4">
        <v>1434.3135</v>
      </c>
    </row>
    <row r="415">
      <c r="A415" s="3">
        <v>42857.0</v>
      </c>
      <c r="B415" s="4">
        <v>120.88</v>
      </c>
      <c r="C415" s="3">
        <v>42761.0</v>
      </c>
      <c r="D415" s="4">
        <v>24.52</v>
      </c>
      <c r="E415" s="3">
        <v>42860.0</v>
      </c>
      <c r="F415" s="4">
        <v>115.14</v>
      </c>
      <c r="G415" s="3">
        <v>42859.0</v>
      </c>
      <c r="H415" s="4">
        <v>119.95</v>
      </c>
      <c r="I415" s="3">
        <v>42859.0</v>
      </c>
      <c r="J415" s="4">
        <v>126.3</v>
      </c>
      <c r="K415" s="3">
        <v>42852.0</v>
      </c>
      <c r="L415" s="4">
        <v>1433.4088</v>
      </c>
    </row>
    <row r="416">
      <c r="A416" s="3">
        <v>42853.0</v>
      </c>
      <c r="B416" s="4">
        <v>120.63</v>
      </c>
      <c r="C416" s="3">
        <v>42760.0</v>
      </c>
      <c r="D416" s="4">
        <v>24.51</v>
      </c>
      <c r="E416" s="3">
        <v>42859.0</v>
      </c>
      <c r="F416" s="4">
        <v>115.15</v>
      </c>
      <c r="G416" s="3">
        <v>42858.0</v>
      </c>
      <c r="H416" s="4">
        <v>119.84</v>
      </c>
      <c r="I416" s="3">
        <v>42858.0</v>
      </c>
      <c r="J416" s="4">
        <v>126.3</v>
      </c>
      <c r="K416" s="3">
        <v>42851.0</v>
      </c>
      <c r="L416" s="4">
        <v>1432.2629</v>
      </c>
    </row>
    <row r="417">
      <c r="A417" s="3">
        <v>42852.0</v>
      </c>
      <c r="B417" s="4">
        <v>120.62</v>
      </c>
      <c r="C417" s="3">
        <v>42759.0</v>
      </c>
      <c r="D417" s="4">
        <v>24.51</v>
      </c>
      <c r="E417" s="3">
        <v>42858.0</v>
      </c>
      <c r="F417" s="4">
        <v>115.17</v>
      </c>
      <c r="G417" s="3">
        <v>42857.0</v>
      </c>
      <c r="H417" s="4">
        <v>119.55</v>
      </c>
      <c r="I417" s="3">
        <v>42857.0</v>
      </c>
      <c r="J417" s="4">
        <v>126.12</v>
      </c>
      <c r="K417" s="3">
        <v>42850.0</v>
      </c>
      <c r="L417" s="4">
        <v>1426.4042</v>
      </c>
    </row>
    <row r="418">
      <c r="A418" s="3">
        <v>42851.0</v>
      </c>
      <c r="B418" s="4">
        <v>120.74</v>
      </c>
      <c r="C418" s="3">
        <v>42758.0</v>
      </c>
      <c r="D418" s="4">
        <v>24.51</v>
      </c>
      <c r="E418" s="3">
        <v>42857.0</v>
      </c>
      <c r="F418" s="4">
        <v>115.16</v>
      </c>
      <c r="G418" s="3">
        <v>42853.0</v>
      </c>
      <c r="H418" s="4">
        <v>119.43</v>
      </c>
      <c r="I418" s="3">
        <v>42853.0</v>
      </c>
      <c r="J418" s="4">
        <v>126.17</v>
      </c>
      <c r="K418" s="3">
        <v>42849.0</v>
      </c>
      <c r="L418" s="4">
        <v>1416.8385</v>
      </c>
    </row>
    <row r="419">
      <c r="A419" s="3">
        <v>42850.0</v>
      </c>
      <c r="B419" s="4">
        <v>120.71</v>
      </c>
      <c r="C419" s="3">
        <v>42755.0</v>
      </c>
      <c r="D419" s="4">
        <v>24.51</v>
      </c>
      <c r="E419" s="3">
        <v>42853.0</v>
      </c>
      <c r="F419" s="4">
        <v>115.16</v>
      </c>
      <c r="G419" s="3">
        <v>42852.0</v>
      </c>
      <c r="H419" s="4">
        <v>119.58</v>
      </c>
      <c r="I419" s="3">
        <v>42852.0</v>
      </c>
      <c r="J419" s="4">
        <v>126.39</v>
      </c>
      <c r="K419" s="3">
        <v>42846.0</v>
      </c>
      <c r="L419" s="4">
        <v>1417.2438</v>
      </c>
    </row>
    <row r="420">
      <c r="A420" s="3">
        <v>42849.0</v>
      </c>
      <c r="B420" s="4">
        <v>120.33</v>
      </c>
      <c r="C420" s="3">
        <v>42754.0</v>
      </c>
      <c r="D420" s="4">
        <v>24.52</v>
      </c>
      <c r="E420" s="3">
        <v>42852.0</v>
      </c>
      <c r="F420" s="4">
        <v>115.14</v>
      </c>
      <c r="G420" s="3">
        <v>42851.0</v>
      </c>
      <c r="H420" s="4">
        <v>119.69</v>
      </c>
      <c r="I420" s="3">
        <v>42851.0</v>
      </c>
      <c r="J420" s="4">
        <v>126.14</v>
      </c>
      <c r="K420" s="3">
        <v>42845.0</v>
      </c>
      <c r="L420" s="4">
        <v>1414.2581</v>
      </c>
    </row>
    <row r="421">
      <c r="A421" s="3">
        <v>42846.0</v>
      </c>
      <c r="B421" s="4">
        <v>119.1</v>
      </c>
      <c r="C421" s="3">
        <v>42753.0</v>
      </c>
      <c r="D421" s="4">
        <v>24.51</v>
      </c>
      <c r="E421" s="3">
        <v>42851.0</v>
      </c>
      <c r="F421" s="4">
        <v>115.13</v>
      </c>
      <c r="G421" s="3">
        <v>42850.0</v>
      </c>
      <c r="H421" s="4">
        <v>119.71</v>
      </c>
      <c r="I421" s="3">
        <v>42850.0</v>
      </c>
      <c r="J421" s="4">
        <v>126.14</v>
      </c>
      <c r="K421" s="3">
        <v>42844.0</v>
      </c>
      <c r="L421" s="4">
        <v>1414.2618</v>
      </c>
    </row>
    <row r="422">
      <c r="A422" s="3">
        <v>42845.0</v>
      </c>
      <c r="B422" s="4">
        <v>119.25</v>
      </c>
      <c r="C422" s="3">
        <v>42752.0</v>
      </c>
      <c r="D422" s="4">
        <v>24.51</v>
      </c>
      <c r="E422" s="3">
        <v>42850.0</v>
      </c>
      <c r="F422" s="4">
        <v>115.11</v>
      </c>
      <c r="G422" s="3">
        <v>42849.0</v>
      </c>
      <c r="H422" s="4">
        <v>117.75</v>
      </c>
      <c r="I422" s="3">
        <v>42849.0</v>
      </c>
      <c r="J422" s="4">
        <v>125.98</v>
      </c>
      <c r="K422" s="3">
        <v>42843.0</v>
      </c>
      <c r="L422" s="4">
        <v>1415.9251</v>
      </c>
    </row>
    <row r="423">
      <c r="A423" s="3">
        <v>42844.0</v>
      </c>
      <c r="B423" s="4">
        <v>119.06</v>
      </c>
      <c r="C423" s="3">
        <v>42751.0</v>
      </c>
      <c r="D423" s="4">
        <v>24.51</v>
      </c>
      <c r="E423" s="3">
        <v>42849.0</v>
      </c>
      <c r="F423" s="4">
        <v>115.12</v>
      </c>
      <c r="G423" s="3">
        <v>42846.0</v>
      </c>
      <c r="H423" s="4">
        <v>117.77</v>
      </c>
      <c r="I423" s="3">
        <v>42846.0</v>
      </c>
      <c r="J423" s="4">
        <v>125.77</v>
      </c>
      <c r="K423" s="3">
        <v>42838.0</v>
      </c>
      <c r="L423" s="4">
        <v>1419.0407</v>
      </c>
    </row>
    <row r="424">
      <c r="A424" s="3">
        <v>42843.0</v>
      </c>
      <c r="B424" s="4">
        <v>119.03</v>
      </c>
      <c r="C424" s="3">
        <v>42748.0</v>
      </c>
      <c r="D424" s="4">
        <v>24.51</v>
      </c>
      <c r="E424" s="3">
        <v>42846.0</v>
      </c>
      <c r="F424" s="4">
        <v>115.08</v>
      </c>
      <c r="G424" s="3">
        <v>42845.0</v>
      </c>
      <c r="H424" s="4">
        <v>117.6</v>
      </c>
      <c r="I424" s="3">
        <v>42845.0</v>
      </c>
      <c r="J424" s="4">
        <v>125.75</v>
      </c>
      <c r="K424" s="3">
        <v>42837.0</v>
      </c>
      <c r="L424" s="4">
        <v>1422.0959</v>
      </c>
    </row>
    <row r="425">
      <c r="A425" s="3">
        <v>42838.0</v>
      </c>
      <c r="B425" s="4">
        <v>119.42</v>
      </c>
      <c r="C425" s="3">
        <v>42747.0</v>
      </c>
      <c r="D425" s="4">
        <v>24.51</v>
      </c>
      <c r="E425" s="3">
        <v>42845.0</v>
      </c>
      <c r="F425" s="4">
        <v>115.07</v>
      </c>
      <c r="G425" s="3">
        <v>42844.0</v>
      </c>
      <c r="H425" s="4">
        <v>117.57</v>
      </c>
      <c r="I425" s="3">
        <v>42844.0</v>
      </c>
      <c r="J425" s="4">
        <v>125.88</v>
      </c>
      <c r="K425" s="3">
        <v>42836.0</v>
      </c>
      <c r="L425" s="4">
        <v>1425.609</v>
      </c>
    </row>
    <row r="426">
      <c r="A426" s="3">
        <v>42837.0</v>
      </c>
      <c r="B426" s="4">
        <v>119.52</v>
      </c>
      <c r="C426" s="3">
        <v>42746.0</v>
      </c>
      <c r="D426" s="4">
        <v>24.54</v>
      </c>
      <c r="E426" s="3">
        <v>42844.0</v>
      </c>
      <c r="F426" s="4">
        <v>115.09</v>
      </c>
      <c r="G426" s="3">
        <v>42843.0</v>
      </c>
      <c r="H426" s="4">
        <v>117.88</v>
      </c>
      <c r="I426" s="3">
        <v>42843.0</v>
      </c>
      <c r="J426" s="4">
        <v>126.25</v>
      </c>
      <c r="K426" s="3">
        <v>42835.0</v>
      </c>
      <c r="L426" s="4">
        <v>1424.9291</v>
      </c>
    </row>
    <row r="427">
      <c r="A427" s="3">
        <v>42836.0</v>
      </c>
      <c r="B427" s="4">
        <v>119.46</v>
      </c>
      <c r="C427" s="3">
        <v>42745.0</v>
      </c>
      <c r="D427" s="4">
        <v>24.51</v>
      </c>
      <c r="E427" s="3">
        <v>42843.0</v>
      </c>
      <c r="F427" s="4">
        <v>115.1</v>
      </c>
      <c r="G427" s="3">
        <v>42838.0</v>
      </c>
      <c r="H427" s="4">
        <v>118.26</v>
      </c>
      <c r="I427" s="3">
        <v>42838.0</v>
      </c>
      <c r="J427" s="4">
        <v>126.38</v>
      </c>
      <c r="K427" s="3">
        <v>42832.0</v>
      </c>
      <c r="L427" s="4">
        <v>1425.2085</v>
      </c>
    </row>
    <row r="428">
      <c r="A428" s="3">
        <v>42835.0</v>
      </c>
      <c r="B428" s="4">
        <v>119.46</v>
      </c>
      <c r="C428" s="3">
        <v>42744.0</v>
      </c>
      <c r="D428" s="4">
        <v>24.52</v>
      </c>
      <c r="E428" s="3">
        <v>42838.0</v>
      </c>
      <c r="F428" s="4">
        <v>115.06</v>
      </c>
      <c r="G428" s="3">
        <v>42837.0</v>
      </c>
      <c r="H428" s="4">
        <v>118.22</v>
      </c>
      <c r="I428" s="3">
        <v>42837.0</v>
      </c>
      <c r="J428" s="4">
        <v>126.14</v>
      </c>
      <c r="K428" s="3">
        <v>42831.0</v>
      </c>
      <c r="L428" s="4">
        <v>1415.5798</v>
      </c>
    </row>
    <row r="429">
      <c r="A429" s="3">
        <v>42832.0</v>
      </c>
      <c r="B429" s="4">
        <v>119.52</v>
      </c>
      <c r="C429" s="3">
        <v>42741.0</v>
      </c>
      <c r="D429" s="4">
        <v>24.53</v>
      </c>
      <c r="E429" s="3">
        <v>42837.0</v>
      </c>
      <c r="F429" s="4">
        <v>115.06</v>
      </c>
      <c r="G429" s="3">
        <v>42836.0</v>
      </c>
      <c r="H429" s="4">
        <v>118.59</v>
      </c>
      <c r="I429" s="3">
        <v>42836.0</v>
      </c>
      <c r="J429" s="4">
        <v>126.29</v>
      </c>
      <c r="K429" s="3">
        <v>42830.0</v>
      </c>
      <c r="L429" s="4">
        <v>1425.6205</v>
      </c>
    </row>
    <row r="430">
      <c r="A430" s="3">
        <v>42831.0</v>
      </c>
      <c r="B430" s="4">
        <v>119.38</v>
      </c>
      <c r="C430" s="3">
        <v>42740.0</v>
      </c>
      <c r="D430" s="4">
        <v>24.53</v>
      </c>
      <c r="E430" s="3">
        <v>42836.0</v>
      </c>
      <c r="F430" s="4">
        <v>115.08</v>
      </c>
      <c r="G430" s="3">
        <v>42835.0</v>
      </c>
      <c r="H430" s="4">
        <v>118.71</v>
      </c>
      <c r="I430" s="3">
        <v>42835.0</v>
      </c>
      <c r="J430" s="4">
        <v>126.33</v>
      </c>
      <c r="K430" s="3">
        <v>42829.0</v>
      </c>
      <c r="L430" s="4">
        <v>1423.7686</v>
      </c>
    </row>
    <row r="431">
      <c r="A431" s="3">
        <v>42830.0</v>
      </c>
      <c r="B431" s="4">
        <v>119.17</v>
      </c>
      <c r="C431" s="3">
        <v>42739.0</v>
      </c>
      <c r="D431" s="4">
        <v>24.55</v>
      </c>
      <c r="E431" s="3">
        <v>42835.0</v>
      </c>
      <c r="F431" s="4">
        <v>115.08</v>
      </c>
      <c r="G431" s="3">
        <v>42832.0</v>
      </c>
      <c r="H431" s="4">
        <v>118.75</v>
      </c>
      <c r="I431" s="3">
        <v>42832.0</v>
      </c>
      <c r="J431" s="4">
        <v>126.12</v>
      </c>
      <c r="K431" s="3">
        <v>42828.0</v>
      </c>
      <c r="L431" s="4">
        <v>1417.254</v>
      </c>
    </row>
    <row r="432">
      <c r="A432" s="3">
        <v>42829.0</v>
      </c>
      <c r="B432" s="4">
        <v>119.06</v>
      </c>
      <c r="C432" s="3">
        <v>42738.0</v>
      </c>
      <c r="D432" s="4">
        <v>24.56</v>
      </c>
      <c r="E432" s="3">
        <v>42832.0</v>
      </c>
      <c r="F432" s="4">
        <v>115.07</v>
      </c>
      <c r="G432" s="3">
        <v>42831.0</v>
      </c>
      <c r="H432" s="4">
        <v>118.55</v>
      </c>
      <c r="I432" s="3">
        <v>42831.0</v>
      </c>
      <c r="J432" s="4">
        <v>126.18</v>
      </c>
      <c r="K432" s="3">
        <v>42825.0</v>
      </c>
      <c r="L432" s="4">
        <v>1422.7256</v>
      </c>
    </row>
    <row r="433">
      <c r="A433" s="3">
        <v>42828.0</v>
      </c>
      <c r="B433" s="4">
        <v>118.9</v>
      </c>
      <c r="C433" s="3">
        <v>42737.0</v>
      </c>
      <c r="D433" s="4">
        <v>24.53</v>
      </c>
      <c r="E433" s="3">
        <v>42831.0</v>
      </c>
      <c r="F433" s="4">
        <v>115.07</v>
      </c>
      <c r="G433" s="3">
        <v>42830.0</v>
      </c>
      <c r="H433" s="4">
        <v>118.68</v>
      </c>
      <c r="I433" s="3">
        <v>42830.0</v>
      </c>
      <c r="J433" s="4">
        <v>126.29</v>
      </c>
      <c r="K433" s="3">
        <v>42824.0</v>
      </c>
      <c r="L433" s="4">
        <v>1421.8626</v>
      </c>
    </row>
    <row r="434">
      <c r="A434" s="3">
        <v>42825.0</v>
      </c>
      <c r="B434" s="4">
        <v>119.08</v>
      </c>
      <c r="C434" s="3">
        <v>42734.0</v>
      </c>
      <c r="D434" s="4">
        <v>24.54</v>
      </c>
      <c r="E434" s="3">
        <v>42830.0</v>
      </c>
      <c r="F434" s="4">
        <v>115.06</v>
      </c>
      <c r="G434" s="3">
        <v>42829.0</v>
      </c>
      <c r="H434" s="4">
        <v>118.69</v>
      </c>
      <c r="I434" s="3">
        <v>42829.0</v>
      </c>
      <c r="J434" s="4">
        <v>126.35</v>
      </c>
      <c r="K434" s="3">
        <v>42823.0</v>
      </c>
      <c r="L434" s="4">
        <v>1421.9426</v>
      </c>
    </row>
    <row r="435">
      <c r="A435" s="3">
        <v>42824.0</v>
      </c>
      <c r="B435" s="4">
        <v>118.94</v>
      </c>
      <c r="C435" s="3">
        <v>42733.0</v>
      </c>
      <c r="D435" s="4">
        <v>24.54</v>
      </c>
      <c r="E435" s="3">
        <v>42829.0</v>
      </c>
      <c r="F435" s="4">
        <v>115.02</v>
      </c>
      <c r="G435" s="3">
        <v>42828.0</v>
      </c>
      <c r="H435" s="4">
        <v>118.95</v>
      </c>
      <c r="I435" s="3">
        <v>42828.0</v>
      </c>
      <c r="J435" s="4">
        <v>127.33</v>
      </c>
      <c r="K435" s="3">
        <v>42822.0</v>
      </c>
      <c r="L435" s="4">
        <v>1417.8278</v>
      </c>
    </row>
    <row r="436">
      <c r="A436" s="3">
        <v>42823.0</v>
      </c>
      <c r="B436" s="4">
        <v>118.69</v>
      </c>
      <c r="C436" s="3">
        <v>42732.0</v>
      </c>
      <c r="D436" s="4">
        <v>24.57</v>
      </c>
      <c r="E436" s="3">
        <v>42828.0</v>
      </c>
      <c r="F436" s="4">
        <v>115.03</v>
      </c>
      <c r="G436" s="3">
        <v>42825.0</v>
      </c>
      <c r="H436" s="4">
        <v>118.82</v>
      </c>
      <c r="I436" s="3">
        <v>42825.0</v>
      </c>
      <c r="J436" s="4">
        <v>127.39</v>
      </c>
      <c r="K436" s="3">
        <v>42821.0</v>
      </c>
      <c r="L436" s="4">
        <v>1408.3621</v>
      </c>
    </row>
    <row r="437">
      <c r="A437" s="3">
        <v>42822.0</v>
      </c>
      <c r="B437" s="4">
        <v>118.65</v>
      </c>
      <c r="C437" s="3">
        <v>42731.0</v>
      </c>
      <c r="D437" s="4">
        <v>24.55</v>
      </c>
      <c r="E437" s="3">
        <v>42825.0</v>
      </c>
      <c r="F437" s="4">
        <v>115.01</v>
      </c>
      <c r="G437" s="3">
        <v>42824.0</v>
      </c>
      <c r="H437" s="4">
        <v>118.76</v>
      </c>
      <c r="I437" s="3">
        <v>42824.0</v>
      </c>
      <c r="J437" s="4">
        <v>127.34</v>
      </c>
      <c r="K437" s="3">
        <v>42818.0</v>
      </c>
      <c r="L437" s="4">
        <v>1414.7492</v>
      </c>
    </row>
    <row r="438">
      <c r="A438" s="3">
        <v>42821.0</v>
      </c>
      <c r="B438" s="4">
        <v>118.41</v>
      </c>
      <c r="C438" s="3">
        <v>42727.0</v>
      </c>
      <c r="D438" s="4">
        <v>24.54</v>
      </c>
      <c r="E438" s="3">
        <v>42824.0</v>
      </c>
      <c r="F438" s="4">
        <v>115.0</v>
      </c>
      <c r="G438" s="3">
        <v>42823.0</v>
      </c>
      <c r="H438" s="4">
        <v>118.6</v>
      </c>
      <c r="I438" s="3">
        <v>42823.0</v>
      </c>
      <c r="J438" s="4">
        <v>127.04</v>
      </c>
      <c r="K438" s="3">
        <v>42817.0</v>
      </c>
      <c r="L438" s="4">
        <v>1411.9882</v>
      </c>
    </row>
    <row r="439">
      <c r="A439" s="3">
        <v>42818.0</v>
      </c>
      <c r="B439" s="4">
        <v>118.59</v>
      </c>
      <c r="C439" s="3">
        <v>42726.0</v>
      </c>
      <c r="D439" s="4">
        <v>24.55</v>
      </c>
      <c r="E439" s="3">
        <v>42823.0</v>
      </c>
      <c r="F439" s="4">
        <v>115.02</v>
      </c>
      <c r="G439" s="3">
        <v>42822.0</v>
      </c>
      <c r="H439" s="4">
        <v>118.01</v>
      </c>
      <c r="I439" s="3">
        <v>42822.0</v>
      </c>
      <c r="J439" s="4">
        <v>126.0</v>
      </c>
      <c r="K439" s="3">
        <v>42816.0</v>
      </c>
      <c r="L439" s="4">
        <v>1411.9395</v>
      </c>
    </row>
    <row r="440">
      <c r="A440" s="3">
        <v>42817.0</v>
      </c>
      <c r="B440" s="4">
        <v>118.5</v>
      </c>
      <c r="C440" s="3">
        <v>42725.0</v>
      </c>
      <c r="D440" s="4">
        <v>24.57</v>
      </c>
      <c r="E440" s="3">
        <v>42822.0</v>
      </c>
      <c r="F440" s="4">
        <v>115.02</v>
      </c>
      <c r="G440" s="3">
        <v>42821.0</v>
      </c>
      <c r="H440" s="4">
        <v>118.14</v>
      </c>
      <c r="I440" s="3">
        <v>42821.0</v>
      </c>
      <c r="J440" s="4">
        <v>126.13</v>
      </c>
      <c r="K440" s="3">
        <v>42815.0</v>
      </c>
      <c r="L440" s="4">
        <v>1420.8145</v>
      </c>
    </row>
    <row r="441">
      <c r="A441" s="3">
        <v>42816.0</v>
      </c>
      <c r="B441" s="4">
        <v>118.25</v>
      </c>
      <c r="C441" s="3">
        <v>42724.0</v>
      </c>
      <c r="D441" s="4">
        <v>24.58</v>
      </c>
      <c r="E441" s="3">
        <v>42821.0</v>
      </c>
      <c r="F441" s="4">
        <v>115.0</v>
      </c>
      <c r="G441" s="3">
        <v>42818.0</v>
      </c>
      <c r="H441" s="4">
        <v>118.01</v>
      </c>
      <c r="I441" s="3">
        <v>42818.0</v>
      </c>
      <c r="J441" s="4">
        <v>126.13</v>
      </c>
      <c r="K441" s="3">
        <v>42814.0</v>
      </c>
      <c r="L441" s="4">
        <v>1420.5187</v>
      </c>
    </row>
    <row r="442">
      <c r="A442" s="3">
        <v>42815.0</v>
      </c>
      <c r="B442" s="4">
        <v>118.42</v>
      </c>
      <c r="C442" s="3">
        <v>42723.0</v>
      </c>
      <c r="D442" s="4">
        <v>24.57</v>
      </c>
      <c r="E442" s="3">
        <v>42818.0</v>
      </c>
      <c r="F442" s="4">
        <v>114.98</v>
      </c>
      <c r="G442" s="3">
        <v>42817.0</v>
      </c>
      <c r="H442" s="4">
        <v>117.56</v>
      </c>
      <c r="I442" s="3">
        <v>42817.0</v>
      </c>
      <c r="J442" s="4">
        <v>126.01</v>
      </c>
      <c r="K442" s="3">
        <v>42811.0</v>
      </c>
      <c r="L442" s="4">
        <v>1419.4587</v>
      </c>
    </row>
    <row r="443">
      <c r="A443" s="3">
        <v>42814.0</v>
      </c>
      <c r="B443" s="4">
        <v>118.63</v>
      </c>
      <c r="C443" s="3">
        <v>42720.0</v>
      </c>
      <c r="D443" s="4">
        <v>24.57</v>
      </c>
      <c r="E443" s="3">
        <v>42817.0</v>
      </c>
      <c r="F443" s="4">
        <v>114.98</v>
      </c>
      <c r="G443" s="3">
        <v>42816.0</v>
      </c>
      <c r="H443" s="4">
        <v>117.57</v>
      </c>
      <c r="I443" s="3">
        <v>42816.0</v>
      </c>
      <c r="J443" s="4">
        <v>126.09</v>
      </c>
      <c r="K443" s="3">
        <v>42810.0</v>
      </c>
      <c r="L443" s="4">
        <v>1417.5852</v>
      </c>
    </row>
    <row r="444">
      <c r="A444" s="3">
        <v>42811.0</v>
      </c>
      <c r="B444" s="4">
        <v>118.84</v>
      </c>
      <c r="C444" s="3">
        <v>42719.0</v>
      </c>
      <c r="D444" s="4">
        <v>24.57</v>
      </c>
      <c r="E444" s="3">
        <v>42816.0</v>
      </c>
      <c r="F444" s="4">
        <v>114.99</v>
      </c>
      <c r="G444" s="3">
        <v>42815.0</v>
      </c>
      <c r="H444" s="4">
        <v>117.8</v>
      </c>
      <c r="I444" s="3">
        <v>42815.0</v>
      </c>
      <c r="J444" s="4">
        <v>126.28</v>
      </c>
      <c r="K444" s="3">
        <v>42809.0</v>
      </c>
      <c r="L444" s="4">
        <v>1415.6322</v>
      </c>
    </row>
    <row r="445">
      <c r="A445" s="3">
        <v>42810.0</v>
      </c>
      <c r="B445" s="4">
        <v>118.73</v>
      </c>
      <c r="C445" s="3">
        <v>42718.0</v>
      </c>
      <c r="D445" s="4">
        <v>24.55</v>
      </c>
      <c r="E445" s="3">
        <v>42815.0</v>
      </c>
      <c r="F445" s="4">
        <v>115.0</v>
      </c>
      <c r="G445" s="3">
        <v>42814.0</v>
      </c>
      <c r="H445" s="4">
        <v>117.87</v>
      </c>
      <c r="I445" s="3">
        <v>42814.0</v>
      </c>
      <c r="J445" s="4">
        <v>126.29</v>
      </c>
      <c r="K445" s="3">
        <v>42808.0</v>
      </c>
      <c r="L445" s="4">
        <v>1419.0852</v>
      </c>
    </row>
    <row r="446">
      <c r="A446" s="3">
        <v>42809.0</v>
      </c>
      <c r="B446" s="4">
        <v>118.53</v>
      </c>
      <c r="C446" s="3">
        <v>42717.0</v>
      </c>
      <c r="D446" s="4">
        <v>24.56</v>
      </c>
      <c r="E446" s="3">
        <v>42814.0</v>
      </c>
      <c r="F446" s="4">
        <v>114.98</v>
      </c>
      <c r="G446" s="3">
        <v>42811.0</v>
      </c>
      <c r="H446" s="4">
        <v>117.88</v>
      </c>
      <c r="I446" s="3">
        <v>42811.0</v>
      </c>
      <c r="J446" s="4">
        <v>126.25</v>
      </c>
      <c r="K446" s="3">
        <v>42807.0</v>
      </c>
      <c r="L446" s="4">
        <v>1416.8123</v>
      </c>
    </row>
    <row r="447">
      <c r="A447" s="3">
        <v>42808.0</v>
      </c>
      <c r="B447" s="4">
        <v>118.62</v>
      </c>
      <c r="C447" s="3">
        <v>42716.0</v>
      </c>
      <c r="D447" s="4">
        <v>24.56</v>
      </c>
      <c r="E447" s="3">
        <v>42811.0</v>
      </c>
      <c r="F447" s="4">
        <v>114.98</v>
      </c>
      <c r="G447" s="3">
        <v>42810.0</v>
      </c>
      <c r="H447" s="4">
        <v>117.79</v>
      </c>
      <c r="I447" s="3">
        <v>42810.0</v>
      </c>
      <c r="J447" s="4">
        <v>125.84</v>
      </c>
      <c r="K447" s="3">
        <v>42804.0</v>
      </c>
      <c r="L447" s="4">
        <v>1415.792</v>
      </c>
    </row>
    <row r="448">
      <c r="A448" s="3">
        <v>42807.0</v>
      </c>
      <c r="B448" s="4">
        <v>118.87</v>
      </c>
      <c r="C448" s="3">
        <v>42713.0</v>
      </c>
      <c r="D448" s="4">
        <v>24.57</v>
      </c>
      <c r="E448" s="3">
        <v>42810.0</v>
      </c>
      <c r="F448" s="4">
        <v>114.97</v>
      </c>
      <c r="G448" s="3">
        <v>42809.0</v>
      </c>
      <c r="H448" s="4">
        <v>117.38</v>
      </c>
      <c r="I448" s="3">
        <v>42809.0</v>
      </c>
      <c r="J448" s="4">
        <v>125.54</v>
      </c>
      <c r="K448" s="3">
        <v>42803.0</v>
      </c>
      <c r="L448" s="4">
        <v>1415.8496</v>
      </c>
    </row>
    <row r="449">
      <c r="A449" s="3">
        <v>42804.0</v>
      </c>
      <c r="B449" s="4">
        <v>118.79</v>
      </c>
      <c r="C449" s="3">
        <v>42712.0</v>
      </c>
      <c r="D449" s="4">
        <v>24.55</v>
      </c>
      <c r="E449" s="3">
        <v>42809.0</v>
      </c>
      <c r="F449" s="4">
        <v>114.97</v>
      </c>
      <c r="G449" s="3">
        <v>42808.0</v>
      </c>
      <c r="H449" s="4">
        <v>117.5</v>
      </c>
      <c r="I449" s="3">
        <v>42808.0</v>
      </c>
      <c r="J449" s="4">
        <v>125.64</v>
      </c>
      <c r="K449" s="3">
        <v>42802.0</v>
      </c>
      <c r="L449" s="4">
        <v>1411.202</v>
      </c>
    </row>
    <row r="450">
      <c r="A450" s="3">
        <v>42803.0</v>
      </c>
      <c r="B450" s="4">
        <v>118.81</v>
      </c>
      <c r="C450" s="3">
        <v>42711.0</v>
      </c>
      <c r="D450" s="4">
        <v>24.52</v>
      </c>
      <c r="E450" s="3">
        <v>42808.0</v>
      </c>
      <c r="F450" s="4">
        <v>114.95</v>
      </c>
      <c r="G450" s="3">
        <v>42807.0</v>
      </c>
      <c r="H450" s="4">
        <v>117.41</v>
      </c>
      <c r="I450" s="3">
        <v>42807.0</v>
      </c>
      <c r="J450" s="4">
        <v>125.55</v>
      </c>
      <c r="K450" s="3">
        <v>42801.0</v>
      </c>
      <c r="L450" s="4">
        <v>1417.1375</v>
      </c>
    </row>
    <row r="451">
      <c r="A451" s="3">
        <v>42802.0</v>
      </c>
      <c r="B451" s="4">
        <v>118.86</v>
      </c>
      <c r="C451" s="3">
        <v>42710.0</v>
      </c>
      <c r="D451" s="4">
        <v>24.53</v>
      </c>
      <c r="E451" s="3">
        <v>42807.0</v>
      </c>
      <c r="F451" s="4">
        <v>114.95</v>
      </c>
      <c r="G451" s="3">
        <v>42804.0</v>
      </c>
      <c r="H451" s="4">
        <v>117.71</v>
      </c>
      <c r="I451" s="3">
        <v>42804.0</v>
      </c>
      <c r="J451" s="4">
        <v>125.71</v>
      </c>
      <c r="K451" s="3">
        <v>42800.0</v>
      </c>
      <c r="L451" s="4">
        <v>1417.8279</v>
      </c>
    </row>
    <row r="452">
      <c r="A452" s="3">
        <v>42801.0</v>
      </c>
      <c r="B452" s="4">
        <v>118.88</v>
      </c>
      <c r="C452" s="3">
        <v>42709.0</v>
      </c>
      <c r="D452" s="4">
        <v>24.54</v>
      </c>
      <c r="E452" s="3">
        <v>42804.0</v>
      </c>
      <c r="F452" s="4">
        <v>114.93</v>
      </c>
      <c r="G452" s="3">
        <v>42803.0</v>
      </c>
      <c r="H452" s="4">
        <v>117.78</v>
      </c>
      <c r="I452" s="3">
        <v>42803.0</v>
      </c>
      <c r="J452" s="4">
        <v>126.12</v>
      </c>
      <c r="K452" s="3">
        <v>42797.0</v>
      </c>
      <c r="L452" s="4">
        <v>1417.1118</v>
      </c>
    </row>
    <row r="453">
      <c r="A453" s="3">
        <v>42800.0</v>
      </c>
      <c r="B453" s="4">
        <v>119.01</v>
      </c>
      <c r="C453" s="3">
        <v>42706.0</v>
      </c>
      <c r="D453" s="4">
        <v>24.55</v>
      </c>
      <c r="E453" s="3">
        <v>42803.0</v>
      </c>
      <c r="F453" s="4">
        <v>114.93</v>
      </c>
      <c r="G453" s="3">
        <v>42802.0</v>
      </c>
      <c r="H453" s="4">
        <v>117.97</v>
      </c>
      <c r="I453" s="3">
        <v>42802.0</v>
      </c>
      <c r="J453" s="4">
        <v>126.26</v>
      </c>
      <c r="K453" s="3">
        <v>42796.0</v>
      </c>
      <c r="L453" s="4">
        <v>1420.6554</v>
      </c>
    </row>
    <row r="454">
      <c r="A454" s="3">
        <v>42797.0</v>
      </c>
      <c r="B454" s="4">
        <v>119.21</v>
      </c>
      <c r="C454" s="3">
        <v>42705.0</v>
      </c>
      <c r="D454" s="4">
        <v>24.55</v>
      </c>
      <c r="E454" s="3">
        <v>42802.0</v>
      </c>
      <c r="F454" s="4">
        <v>114.98</v>
      </c>
      <c r="G454" s="3">
        <v>42801.0</v>
      </c>
      <c r="H454" s="4">
        <v>118.04</v>
      </c>
      <c r="I454" s="3">
        <v>42801.0</v>
      </c>
      <c r="J454" s="4">
        <v>126.44</v>
      </c>
      <c r="K454" s="3">
        <v>42795.0</v>
      </c>
      <c r="L454" s="4">
        <v>1415.3715</v>
      </c>
    </row>
    <row r="455">
      <c r="A455" s="3">
        <v>42796.0</v>
      </c>
      <c r="B455" s="4">
        <v>119.25</v>
      </c>
      <c r="C455" s="3">
        <v>42704.0</v>
      </c>
      <c r="D455" s="4">
        <v>24.55</v>
      </c>
      <c r="E455" s="3">
        <v>42801.0</v>
      </c>
      <c r="F455" s="4">
        <v>114.98</v>
      </c>
      <c r="G455" s="3">
        <v>42800.0</v>
      </c>
      <c r="H455" s="4">
        <v>118.35</v>
      </c>
      <c r="I455" s="3">
        <v>42800.0</v>
      </c>
      <c r="J455" s="4">
        <v>126.67</v>
      </c>
      <c r="K455" s="3">
        <v>42794.0</v>
      </c>
      <c r="L455" s="4">
        <v>1417.5394</v>
      </c>
    </row>
    <row r="456">
      <c r="A456" s="3">
        <v>42795.0</v>
      </c>
      <c r="B456" s="4">
        <v>119.41</v>
      </c>
      <c r="C456" s="3">
        <v>42703.0</v>
      </c>
      <c r="D456" s="4">
        <v>24.55</v>
      </c>
      <c r="E456" s="3">
        <v>42800.0</v>
      </c>
      <c r="F456" s="4">
        <v>115.0</v>
      </c>
      <c r="G456" s="3">
        <v>42797.0</v>
      </c>
      <c r="H456" s="4">
        <v>118.46</v>
      </c>
      <c r="I456" s="3">
        <v>42797.0</v>
      </c>
      <c r="J456" s="4">
        <v>126.97</v>
      </c>
      <c r="K456" s="3">
        <v>42793.0</v>
      </c>
      <c r="L456" s="4">
        <v>1417.4514</v>
      </c>
    </row>
    <row r="457">
      <c r="A457" s="3">
        <v>42794.0</v>
      </c>
      <c r="B457" s="4">
        <v>118.97</v>
      </c>
      <c r="C457" s="3">
        <v>42702.0</v>
      </c>
      <c r="D457" s="4">
        <v>24.55</v>
      </c>
      <c r="E457" s="3">
        <v>42797.0</v>
      </c>
      <c r="F457" s="4">
        <v>114.97</v>
      </c>
      <c r="G457" s="3">
        <v>42796.0</v>
      </c>
      <c r="H457" s="4">
        <v>118.53</v>
      </c>
      <c r="I457" s="3">
        <v>42796.0</v>
      </c>
      <c r="J457" s="4">
        <v>127.04</v>
      </c>
      <c r="K457" s="3">
        <v>42790.0</v>
      </c>
      <c r="L457" s="4">
        <v>1419.7216</v>
      </c>
    </row>
    <row r="458">
      <c r="A458" s="3">
        <v>42793.0</v>
      </c>
      <c r="B458" s="4">
        <v>118.92</v>
      </c>
      <c r="C458" s="3">
        <v>42699.0</v>
      </c>
      <c r="D458" s="4">
        <v>24.54</v>
      </c>
      <c r="E458" s="3">
        <v>42796.0</v>
      </c>
      <c r="F458" s="4">
        <v>114.96</v>
      </c>
      <c r="G458" s="3">
        <v>42795.0</v>
      </c>
      <c r="H458" s="4">
        <v>117.93</v>
      </c>
      <c r="I458" s="3">
        <v>42795.0</v>
      </c>
      <c r="J458" s="4">
        <v>126.69</v>
      </c>
      <c r="K458" s="3">
        <v>42789.0</v>
      </c>
      <c r="L458" s="4">
        <v>1422.2814</v>
      </c>
    </row>
    <row r="459">
      <c r="A459" s="3">
        <v>42790.0</v>
      </c>
      <c r="B459" s="4">
        <v>118.89</v>
      </c>
      <c r="C459" s="3">
        <v>42698.0</v>
      </c>
      <c r="D459" s="4">
        <v>24.55</v>
      </c>
      <c r="E459" s="3">
        <v>42795.0</v>
      </c>
      <c r="F459" s="4">
        <v>114.97</v>
      </c>
      <c r="G459" s="3">
        <v>42794.0</v>
      </c>
      <c r="H459" s="4">
        <v>117.74</v>
      </c>
      <c r="I459" s="3">
        <v>42794.0</v>
      </c>
      <c r="J459" s="4">
        <v>126.7</v>
      </c>
      <c r="K459" s="3">
        <v>42788.0</v>
      </c>
      <c r="L459" s="4">
        <v>1423.1246</v>
      </c>
    </row>
    <row r="460">
      <c r="A460" s="3">
        <v>42789.0</v>
      </c>
      <c r="B460" s="4">
        <v>119.12</v>
      </c>
      <c r="C460" s="3">
        <v>42697.0</v>
      </c>
      <c r="D460" s="4">
        <v>24.56</v>
      </c>
      <c r="E460" s="3">
        <v>42794.0</v>
      </c>
      <c r="F460" s="4">
        <v>114.98</v>
      </c>
      <c r="G460" s="3">
        <v>42793.0</v>
      </c>
      <c r="H460" s="4">
        <v>117.61</v>
      </c>
      <c r="I460" s="3">
        <v>42793.0</v>
      </c>
      <c r="J460" s="4">
        <v>126.78</v>
      </c>
      <c r="K460" s="3">
        <v>42787.0</v>
      </c>
      <c r="L460" s="4">
        <v>1418.7625</v>
      </c>
    </row>
    <row r="461">
      <c r="A461" s="3">
        <v>42788.0</v>
      </c>
      <c r="B461" s="4">
        <v>119.01</v>
      </c>
      <c r="C461" s="3">
        <v>42696.0</v>
      </c>
      <c r="D461" s="4">
        <v>24.55</v>
      </c>
      <c r="E461" s="3">
        <v>42793.0</v>
      </c>
      <c r="F461" s="4">
        <v>114.97</v>
      </c>
      <c r="G461" s="3">
        <v>42790.0</v>
      </c>
      <c r="H461" s="4">
        <v>117.78</v>
      </c>
      <c r="I461" s="3">
        <v>42790.0</v>
      </c>
      <c r="J461" s="4">
        <v>126.83</v>
      </c>
      <c r="K461" s="3">
        <v>42786.0</v>
      </c>
      <c r="L461" s="4">
        <v>1416.3499</v>
      </c>
    </row>
    <row r="462">
      <c r="A462" s="3">
        <v>42787.0</v>
      </c>
      <c r="B462" s="4">
        <v>118.98</v>
      </c>
      <c r="C462" s="3">
        <v>42695.0</v>
      </c>
      <c r="D462" s="4">
        <v>24.55</v>
      </c>
      <c r="E462" s="3">
        <v>42790.0</v>
      </c>
      <c r="F462" s="4">
        <v>114.95</v>
      </c>
      <c r="G462" s="3">
        <v>42789.0</v>
      </c>
      <c r="H462" s="4">
        <v>117.82</v>
      </c>
      <c r="I462" s="3">
        <v>42789.0</v>
      </c>
      <c r="J462" s="4">
        <v>126.93</v>
      </c>
      <c r="K462" s="3">
        <v>42783.0</v>
      </c>
      <c r="L462" s="4">
        <v>1416.9504</v>
      </c>
    </row>
    <row r="463">
      <c r="A463" s="3">
        <v>42786.0</v>
      </c>
      <c r="B463" s="4">
        <v>118.65</v>
      </c>
      <c r="C463" s="3">
        <v>42692.0</v>
      </c>
      <c r="D463" s="4">
        <v>24.54</v>
      </c>
      <c r="E463" s="3">
        <v>42789.0</v>
      </c>
      <c r="F463" s="4">
        <v>114.94</v>
      </c>
      <c r="G463" s="3">
        <v>42788.0</v>
      </c>
      <c r="H463" s="4">
        <v>117.66</v>
      </c>
      <c r="I463" s="3">
        <v>42788.0</v>
      </c>
      <c r="J463" s="4">
        <v>126.83</v>
      </c>
      <c r="K463" s="3">
        <v>42782.0</v>
      </c>
      <c r="L463" s="4">
        <v>1419.2052</v>
      </c>
    </row>
    <row r="464">
      <c r="A464" s="3">
        <v>42783.0</v>
      </c>
      <c r="B464" s="4">
        <v>118.43</v>
      </c>
      <c r="C464" s="3">
        <v>42691.0</v>
      </c>
      <c r="D464" s="4">
        <v>24.53</v>
      </c>
      <c r="E464" s="3">
        <v>42788.0</v>
      </c>
      <c r="F464" s="4">
        <v>114.94</v>
      </c>
      <c r="G464" s="3">
        <v>42787.0</v>
      </c>
      <c r="H464" s="4">
        <v>117.44</v>
      </c>
      <c r="I464" s="3">
        <v>42787.0</v>
      </c>
      <c r="J464" s="4">
        <v>126.32</v>
      </c>
      <c r="K464" s="3">
        <v>42781.0</v>
      </c>
      <c r="L464" s="4">
        <v>1417.4561</v>
      </c>
    </row>
    <row r="465">
      <c r="A465" s="3">
        <v>42782.0</v>
      </c>
      <c r="B465" s="4">
        <v>118.63</v>
      </c>
      <c r="C465" s="3">
        <v>42690.0</v>
      </c>
      <c r="D465" s="4">
        <v>24.53</v>
      </c>
      <c r="E465" s="3">
        <v>42787.0</v>
      </c>
      <c r="F465" s="4">
        <v>114.93</v>
      </c>
      <c r="G465" s="3">
        <v>42786.0</v>
      </c>
      <c r="H465" s="4">
        <v>117.19</v>
      </c>
      <c r="I465" s="3">
        <v>42786.0</v>
      </c>
      <c r="J465" s="4">
        <v>126.19</v>
      </c>
      <c r="K465" s="3">
        <v>42780.0</v>
      </c>
      <c r="L465" s="4">
        <v>1416.4838</v>
      </c>
    </row>
    <row r="466">
      <c r="A466" s="3">
        <v>42781.0</v>
      </c>
      <c r="B466" s="4">
        <v>118.58</v>
      </c>
      <c r="C466" s="3">
        <v>42689.0</v>
      </c>
      <c r="D466" s="4">
        <v>24.53</v>
      </c>
      <c r="E466" s="3">
        <v>42786.0</v>
      </c>
      <c r="F466" s="4">
        <v>114.92</v>
      </c>
      <c r="G466" s="3">
        <v>42783.0</v>
      </c>
      <c r="H466" s="4">
        <v>117.29</v>
      </c>
      <c r="I466" s="3">
        <v>42783.0</v>
      </c>
      <c r="J466" s="4">
        <v>125.89</v>
      </c>
      <c r="K466" s="3">
        <v>42779.0</v>
      </c>
      <c r="L466" s="4">
        <v>1414.9799</v>
      </c>
    </row>
    <row r="467">
      <c r="A467" s="3">
        <v>42780.0</v>
      </c>
      <c r="B467" s="4">
        <v>118.49</v>
      </c>
      <c r="C467" s="3">
        <v>42688.0</v>
      </c>
      <c r="D467" s="4">
        <v>24.53</v>
      </c>
      <c r="E467" s="3">
        <v>42783.0</v>
      </c>
      <c r="F467" s="4">
        <v>114.87</v>
      </c>
      <c r="G467" s="3">
        <v>42782.0</v>
      </c>
      <c r="H467" s="4">
        <v>117.26</v>
      </c>
      <c r="I467" s="3">
        <v>42782.0</v>
      </c>
      <c r="J467" s="4">
        <v>126.07</v>
      </c>
      <c r="K467" s="3">
        <v>42776.0</v>
      </c>
      <c r="L467" s="4">
        <v>1413.2152</v>
      </c>
    </row>
    <row r="468">
      <c r="A468" s="3">
        <v>42779.0</v>
      </c>
      <c r="B468" s="4">
        <v>118.5</v>
      </c>
      <c r="C468" s="3">
        <v>42685.0</v>
      </c>
      <c r="D468" s="4">
        <v>24.52</v>
      </c>
      <c r="E468" s="3">
        <v>42782.0</v>
      </c>
      <c r="F468" s="4">
        <v>114.88</v>
      </c>
      <c r="G468" s="3">
        <v>42781.0</v>
      </c>
      <c r="H468" s="4">
        <v>117.16</v>
      </c>
      <c r="I468" s="3">
        <v>42781.0</v>
      </c>
      <c r="J468" s="4">
        <v>125.77</v>
      </c>
      <c r="K468" s="3">
        <v>42775.0</v>
      </c>
      <c r="L468" s="4">
        <v>1402.6215</v>
      </c>
    </row>
    <row r="469">
      <c r="A469" s="3">
        <v>42776.0</v>
      </c>
      <c r="B469" s="4">
        <v>118.29</v>
      </c>
      <c r="C469" s="3">
        <v>42684.0</v>
      </c>
      <c r="D469" s="4">
        <v>24.52</v>
      </c>
      <c r="E469" s="3">
        <v>42781.0</v>
      </c>
      <c r="F469" s="4">
        <v>114.9</v>
      </c>
      <c r="G469" s="3">
        <v>42780.0</v>
      </c>
      <c r="H469" s="4">
        <v>117.26</v>
      </c>
      <c r="I469" s="3">
        <v>42780.0</v>
      </c>
      <c r="J469" s="4">
        <v>125.59</v>
      </c>
      <c r="K469" s="3">
        <v>42774.0</v>
      </c>
      <c r="L469" s="4">
        <v>1407.5981</v>
      </c>
    </row>
    <row r="470">
      <c r="A470" s="3">
        <v>42775.0</v>
      </c>
      <c r="B470" s="4">
        <v>118.22</v>
      </c>
      <c r="C470" s="3">
        <v>42683.0</v>
      </c>
      <c r="D470" s="4">
        <v>24.51</v>
      </c>
      <c r="E470" s="3">
        <v>42780.0</v>
      </c>
      <c r="F470" s="4">
        <v>114.91</v>
      </c>
      <c r="G470" s="3">
        <v>42779.0</v>
      </c>
      <c r="H470" s="4">
        <v>116.71</v>
      </c>
      <c r="I470" s="3">
        <v>42779.0</v>
      </c>
      <c r="J470" s="4">
        <v>125.37</v>
      </c>
      <c r="K470" s="3">
        <v>42773.0</v>
      </c>
      <c r="L470" s="4">
        <v>1406.1732</v>
      </c>
    </row>
    <row r="471">
      <c r="A471" s="3">
        <v>42774.0</v>
      </c>
      <c r="B471" s="4">
        <v>118.08</v>
      </c>
      <c r="C471" s="3">
        <v>42682.0</v>
      </c>
      <c r="D471" s="4">
        <v>24.49</v>
      </c>
      <c r="E471" s="3">
        <v>42779.0</v>
      </c>
      <c r="F471" s="4">
        <v>114.9</v>
      </c>
      <c r="G471" s="3">
        <v>42776.0</v>
      </c>
      <c r="H471" s="4">
        <v>117.0</v>
      </c>
      <c r="I471" s="3">
        <v>42776.0</v>
      </c>
      <c r="J471" s="4">
        <v>125.27</v>
      </c>
      <c r="K471" s="3">
        <v>42772.0</v>
      </c>
      <c r="L471" s="4">
        <v>1408.8444</v>
      </c>
    </row>
    <row r="472">
      <c r="A472" s="3">
        <v>42773.0</v>
      </c>
      <c r="B472" s="4">
        <v>118.07</v>
      </c>
      <c r="C472" s="3">
        <v>42681.0</v>
      </c>
      <c r="D472" s="4">
        <v>24.49</v>
      </c>
      <c r="E472" s="3">
        <v>42776.0</v>
      </c>
      <c r="F472" s="4">
        <v>114.87</v>
      </c>
      <c r="G472" s="3">
        <v>42775.0</v>
      </c>
      <c r="H472" s="4">
        <v>116.34</v>
      </c>
      <c r="I472" s="3">
        <v>42775.0</v>
      </c>
      <c r="J472" s="4">
        <v>125.27</v>
      </c>
      <c r="K472" s="3">
        <v>42769.0</v>
      </c>
      <c r="L472" s="4">
        <v>1405.528</v>
      </c>
    </row>
    <row r="473">
      <c r="A473" s="3">
        <v>42772.0</v>
      </c>
      <c r="B473" s="4">
        <v>118.04</v>
      </c>
      <c r="C473" s="3">
        <v>42678.0</v>
      </c>
      <c r="D473" s="4">
        <v>24.48</v>
      </c>
      <c r="E473" s="3">
        <v>42775.0</v>
      </c>
      <c r="F473" s="4">
        <v>114.85</v>
      </c>
      <c r="G473" s="3">
        <v>42774.0</v>
      </c>
      <c r="H473" s="4">
        <v>116.15</v>
      </c>
      <c r="I473" s="3">
        <v>42774.0</v>
      </c>
      <c r="J473" s="4">
        <v>125.18</v>
      </c>
      <c r="K473" s="3">
        <v>42768.0</v>
      </c>
      <c r="L473" s="4">
        <v>1403.3688</v>
      </c>
    </row>
    <row r="474">
      <c r="A474" s="3">
        <v>42769.0</v>
      </c>
      <c r="B474" s="4">
        <v>118.31</v>
      </c>
      <c r="C474" s="3">
        <v>42677.0</v>
      </c>
      <c r="D474" s="4">
        <v>24.49</v>
      </c>
      <c r="E474" s="3">
        <v>42774.0</v>
      </c>
      <c r="F474" s="4">
        <v>114.86</v>
      </c>
      <c r="G474" s="3">
        <v>42773.0</v>
      </c>
      <c r="H474" s="4">
        <v>116.09</v>
      </c>
      <c r="I474" s="3">
        <v>42773.0</v>
      </c>
      <c r="J474" s="4">
        <v>124.89</v>
      </c>
      <c r="K474" s="3">
        <v>42767.0</v>
      </c>
      <c r="L474" s="4">
        <v>1393.7701</v>
      </c>
    </row>
    <row r="475">
      <c r="A475" s="3">
        <v>42768.0</v>
      </c>
      <c r="B475" s="4">
        <v>118.13</v>
      </c>
      <c r="C475" s="3">
        <v>42676.0</v>
      </c>
      <c r="D475" s="4">
        <v>24.48</v>
      </c>
      <c r="E475" s="3">
        <v>42773.0</v>
      </c>
      <c r="F475" s="4">
        <v>114.86</v>
      </c>
      <c r="G475" s="3">
        <v>42772.0</v>
      </c>
      <c r="H475" s="4">
        <v>117.05</v>
      </c>
      <c r="I475" s="3">
        <v>42772.0</v>
      </c>
      <c r="J475" s="4">
        <v>124.78</v>
      </c>
      <c r="K475" s="3">
        <v>42766.0</v>
      </c>
      <c r="L475" s="4">
        <v>1401.4017</v>
      </c>
    </row>
    <row r="476">
      <c r="A476" s="3">
        <v>42767.0</v>
      </c>
      <c r="B476" s="4">
        <v>117.95</v>
      </c>
      <c r="C476" s="3">
        <v>42674.0</v>
      </c>
      <c r="D476" s="4">
        <v>24.5</v>
      </c>
      <c r="E476" s="3">
        <v>42772.0</v>
      </c>
      <c r="F476" s="4">
        <v>114.85</v>
      </c>
      <c r="G476" s="3">
        <v>42769.0</v>
      </c>
      <c r="H476" s="4">
        <v>116.97</v>
      </c>
      <c r="I476" s="3">
        <v>42769.0</v>
      </c>
      <c r="J476" s="4">
        <v>124.42</v>
      </c>
      <c r="K476" s="3">
        <v>42765.0</v>
      </c>
      <c r="L476" s="4">
        <v>1406.6268</v>
      </c>
    </row>
    <row r="477">
      <c r="A477" s="3">
        <v>42766.0</v>
      </c>
      <c r="B477" s="4">
        <v>117.72</v>
      </c>
      <c r="C477" s="3">
        <v>42671.0</v>
      </c>
      <c r="D477" s="4">
        <v>24.51</v>
      </c>
      <c r="E477" s="3">
        <v>42769.0</v>
      </c>
      <c r="F477" s="4">
        <v>114.8</v>
      </c>
      <c r="G477" s="3">
        <v>42768.0</v>
      </c>
      <c r="H477" s="4">
        <v>116.89</v>
      </c>
      <c r="I477" s="3">
        <v>42768.0</v>
      </c>
      <c r="J477" s="4">
        <v>124.3</v>
      </c>
      <c r="K477" s="3">
        <v>42762.0</v>
      </c>
      <c r="L477" s="4">
        <v>1407.0016</v>
      </c>
    </row>
    <row r="478">
      <c r="A478" s="3">
        <v>42765.0</v>
      </c>
      <c r="B478" s="4">
        <v>117.85</v>
      </c>
      <c r="C478" s="3">
        <v>42670.0</v>
      </c>
      <c r="D478" s="4">
        <v>24.51</v>
      </c>
      <c r="E478" s="3">
        <v>42768.0</v>
      </c>
      <c r="F478" s="4">
        <v>114.8</v>
      </c>
      <c r="G478" s="3">
        <v>42767.0</v>
      </c>
      <c r="H478" s="4">
        <v>116.76</v>
      </c>
      <c r="I478" s="3">
        <v>42767.0</v>
      </c>
      <c r="J478" s="4">
        <v>124.14</v>
      </c>
      <c r="K478" s="3">
        <v>42761.0</v>
      </c>
      <c r="L478" s="4">
        <v>1410.4449</v>
      </c>
    </row>
    <row r="479">
      <c r="A479" s="3">
        <v>42762.0</v>
      </c>
      <c r="B479" s="4">
        <v>118.31</v>
      </c>
      <c r="C479" s="3">
        <v>42669.0</v>
      </c>
      <c r="D479" s="4">
        <v>24.52</v>
      </c>
      <c r="E479" s="3">
        <v>42767.0</v>
      </c>
      <c r="F479" s="4">
        <v>114.78</v>
      </c>
      <c r="G479" s="3">
        <v>42766.0</v>
      </c>
      <c r="H479" s="4">
        <v>117.01</v>
      </c>
      <c r="I479" s="3">
        <v>42766.0</v>
      </c>
      <c r="J479" s="4">
        <v>124.55</v>
      </c>
      <c r="K479" s="3">
        <v>42760.0</v>
      </c>
      <c r="L479" s="4">
        <v>1403.7007</v>
      </c>
    </row>
    <row r="480">
      <c r="A480" s="3">
        <v>42761.0</v>
      </c>
      <c r="B480" s="4">
        <v>118.41</v>
      </c>
      <c r="C480" s="3">
        <v>42668.0</v>
      </c>
      <c r="D480" s="4">
        <v>24.53</v>
      </c>
      <c r="E480" s="3">
        <v>42766.0</v>
      </c>
      <c r="F480" s="4">
        <v>114.77</v>
      </c>
      <c r="G480" s="3">
        <v>42765.0</v>
      </c>
      <c r="H480" s="4">
        <v>117.78</v>
      </c>
      <c r="I480" s="3">
        <v>42765.0</v>
      </c>
      <c r="J480" s="4">
        <v>124.77</v>
      </c>
      <c r="K480" s="3">
        <v>42759.0</v>
      </c>
      <c r="L480" s="4">
        <v>1398.7083</v>
      </c>
    </row>
    <row r="481">
      <c r="A481" s="3">
        <v>42760.0</v>
      </c>
      <c r="B481" s="4">
        <v>118.25</v>
      </c>
      <c r="C481" s="3">
        <v>42667.0</v>
      </c>
      <c r="D481" s="4">
        <v>24.53</v>
      </c>
      <c r="E481" s="3">
        <v>42765.0</v>
      </c>
      <c r="F481" s="4">
        <v>114.78</v>
      </c>
      <c r="G481" s="3">
        <v>42762.0</v>
      </c>
      <c r="H481" s="4">
        <v>117.95</v>
      </c>
      <c r="I481" s="3">
        <v>42762.0</v>
      </c>
      <c r="J481" s="4">
        <v>124.86</v>
      </c>
      <c r="K481" s="3">
        <v>42758.0</v>
      </c>
      <c r="L481" s="4">
        <v>1399.5262</v>
      </c>
    </row>
    <row r="482">
      <c r="A482" s="3">
        <v>42759.0</v>
      </c>
      <c r="B482" s="4">
        <v>118.07</v>
      </c>
      <c r="C482" s="3">
        <v>42664.0</v>
      </c>
      <c r="D482" s="4">
        <v>24.52</v>
      </c>
      <c r="E482" s="3">
        <v>42762.0</v>
      </c>
      <c r="F482" s="4">
        <v>114.77</v>
      </c>
      <c r="G482" s="3">
        <v>42761.0</v>
      </c>
      <c r="H482" s="4">
        <v>118.29</v>
      </c>
      <c r="I482" s="3">
        <v>42761.0</v>
      </c>
      <c r="J482" s="4">
        <v>124.7</v>
      </c>
      <c r="K482" s="3">
        <v>42755.0</v>
      </c>
      <c r="L482" s="4">
        <v>1399.9544</v>
      </c>
    </row>
    <row r="483">
      <c r="A483" s="3">
        <v>42758.0</v>
      </c>
      <c r="B483" s="4">
        <v>118.01</v>
      </c>
      <c r="C483" s="3">
        <v>42663.0</v>
      </c>
      <c r="D483" s="4">
        <v>24.52</v>
      </c>
      <c r="E483" s="3">
        <v>42761.0</v>
      </c>
      <c r="F483" s="4">
        <v>114.74</v>
      </c>
      <c r="G483" s="3">
        <v>42760.0</v>
      </c>
      <c r="H483" s="4">
        <v>117.8</v>
      </c>
      <c r="I483" s="3">
        <v>42760.0</v>
      </c>
      <c r="J483" s="4">
        <v>124.38</v>
      </c>
      <c r="K483" s="3">
        <v>42754.0</v>
      </c>
      <c r="L483" s="4">
        <v>1402.5432</v>
      </c>
    </row>
    <row r="484">
      <c r="A484" s="3">
        <v>42755.0</v>
      </c>
      <c r="B484" s="4">
        <v>118.19</v>
      </c>
      <c r="C484" s="3">
        <v>42662.0</v>
      </c>
      <c r="D484" s="4">
        <v>24.52</v>
      </c>
      <c r="E484" s="3">
        <v>42760.0</v>
      </c>
      <c r="F484" s="4">
        <v>114.74</v>
      </c>
      <c r="G484" s="3">
        <v>42759.0</v>
      </c>
      <c r="H484" s="4">
        <v>117.81</v>
      </c>
      <c r="I484" s="3">
        <v>42759.0</v>
      </c>
      <c r="J484" s="4">
        <v>124.33</v>
      </c>
      <c r="K484" s="3">
        <v>42753.0</v>
      </c>
      <c r="L484" s="4">
        <v>1399.6046</v>
      </c>
    </row>
    <row r="485">
      <c r="A485" s="3">
        <v>42754.0</v>
      </c>
      <c r="B485" s="4">
        <v>118.18</v>
      </c>
      <c r="C485" s="3">
        <v>42661.0</v>
      </c>
      <c r="D485" s="4">
        <v>24.51</v>
      </c>
      <c r="E485" s="3">
        <v>42759.0</v>
      </c>
      <c r="F485" s="4">
        <v>114.72</v>
      </c>
      <c r="G485" s="3">
        <v>42758.0</v>
      </c>
      <c r="H485" s="4">
        <v>117.86</v>
      </c>
      <c r="I485" s="3">
        <v>42758.0</v>
      </c>
      <c r="J485" s="4">
        <v>124.35</v>
      </c>
      <c r="K485" s="3">
        <v>42752.0</v>
      </c>
      <c r="L485" s="4">
        <v>1400.8348</v>
      </c>
    </row>
    <row r="486">
      <c r="A486" s="3">
        <v>42753.0</v>
      </c>
      <c r="B486" s="4">
        <v>118.29</v>
      </c>
      <c r="C486" s="3">
        <v>42660.0</v>
      </c>
      <c r="D486" s="4">
        <v>24.51</v>
      </c>
      <c r="E486" s="3">
        <v>42758.0</v>
      </c>
      <c r="F486" s="4">
        <v>114.72</v>
      </c>
      <c r="G486" s="3">
        <v>42755.0</v>
      </c>
      <c r="H486" s="4">
        <v>118.0</v>
      </c>
      <c r="I486" s="3">
        <v>42755.0</v>
      </c>
      <c r="J486" s="4">
        <v>124.44</v>
      </c>
      <c r="K486" s="3">
        <v>42751.0</v>
      </c>
      <c r="L486" s="4">
        <v>1402.731</v>
      </c>
    </row>
    <row r="487">
      <c r="A487" s="3">
        <v>42752.0</v>
      </c>
      <c r="B487" s="4">
        <v>118.29</v>
      </c>
      <c r="C487" s="3">
        <v>42657.0</v>
      </c>
      <c r="D487" s="4">
        <v>24.5</v>
      </c>
      <c r="E487" s="3">
        <v>42755.0</v>
      </c>
      <c r="F487" s="4">
        <v>114.69</v>
      </c>
      <c r="G487" s="3">
        <v>42754.0</v>
      </c>
      <c r="H487" s="4">
        <v>118.23</v>
      </c>
      <c r="I487" s="3">
        <v>42754.0</v>
      </c>
      <c r="J487" s="4">
        <v>124.51</v>
      </c>
      <c r="K487" s="3">
        <v>42748.0</v>
      </c>
      <c r="L487" s="4">
        <v>1402.1918</v>
      </c>
    </row>
    <row r="488">
      <c r="A488" s="3">
        <v>42751.0</v>
      </c>
      <c r="B488" s="4">
        <v>118.39</v>
      </c>
      <c r="C488" s="3">
        <v>42656.0</v>
      </c>
      <c r="D488" s="4">
        <v>24.49</v>
      </c>
      <c r="E488" s="3">
        <v>42754.0</v>
      </c>
      <c r="F488" s="4">
        <v>114.69</v>
      </c>
      <c r="G488" s="3">
        <v>42753.0</v>
      </c>
      <c r="H488" s="4">
        <v>118.28</v>
      </c>
      <c r="I488" s="3">
        <v>42753.0</v>
      </c>
      <c r="J488" s="4">
        <v>124.56</v>
      </c>
      <c r="K488" s="3">
        <v>42747.0</v>
      </c>
      <c r="L488" s="4">
        <v>1403.6691</v>
      </c>
    </row>
    <row r="489">
      <c r="A489" s="3">
        <v>42748.0</v>
      </c>
      <c r="B489" s="4">
        <v>118.43</v>
      </c>
      <c r="C489" s="3">
        <v>42655.0</v>
      </c>
      <c r="D489" s="4">
        <v>24.49</v>
      </c>
      <c r="E489" s="3">
        <v>42753.0</v>
      </c>
      <c r="F489" s="4">
        <v>114.71</v>
      </c>
      <c r="G489" s="3">
        <v>42752.0</v>
      </c>
      <c r="H489" s="4">
        <v>118.28</v>
      </c>
      <c r="I489" s="3">
        <v>42752.0</v>
      </c>
      <c r="J489" s="4">
        <v>124.66</v>
      </c>
      <c r="K489" s="3">
        <v>42746.0</v>
      </c>
      <c r="L489" s="4">
        <v>1402.8232</v>
      </c>
    </row>
    <row r="490">
      <c r="A490" s="3">
        <v>42747.0</v>
      </c>
      <c r="B490" s="4">
        <v>118.22</v>
      </c>
      <c r="C490" s="3">
        <v>42654.0</v>
      </c>
      <c r="D490" s="4">
        <v>24.49</v>
      </c>
      <c r="E490" s="3">
        <v>42752.0</v>
      </c>
      <c r="F490" s="4">
        <v>114.7</v>
      </c>
      <c r="G490" s="3">
        <v>42751.0</v>
      </c>
      <c r="H490" s="4">
        <v>118.53</v>
      </c>
      <c r="I490" s="3">
        <v>42751.0</v>
      </c>
      <c r="J490" s="4">
        <v>124.56</v>
      </c>
      <c r="K490" s="3">
        <v>42745.0</v>
      </c>
      <c r="L490" s="4">
        <v>1401.4126</v>
      </c>
    </row>
    <row r="491">
      <c r="A491" s="3">
        <v>42746.0</v>
      </c>
      <c r="B491" s="4">
        <v>118.21</v>
      </c>
      <c r="C491" s="3">
        <v>42653.0</v>
      </c>
      <c r="D491" s="4">
        <v>24.48</v>
      </c>
      <c r="E491" s="3">
        <v>42751.0</v>
      </c>
      <c r="F491" s="4">
        <v>114.68</v>
      </c>
      <c r="G491" s="3">
        <v>42748.0</v>
      </c>
      <c r="H491" s="4">
        <v>118.27</v>
      </c>
      <c r="I491" s="3">
        <v>42748.0</v>
      </c>
      <c r="J491" s="4">
        <v>124.51</v>
      </c>
      <c r="K491" s="3">
        <v>42744.0</v>
      </c>
      <c r="L491" s="4">
        <v>1402.4611</v>
      </c>
    </row>
    <row r="492">
      <c r="A492" s="3">
        <v>42745.0</v>
      </c>
      <c r="B492" s="4">
        <v>118.25</v>
      </c>
      <c r="C492" s="3">
        <v>42650.0</v>
      </c>
      <c r="D492" s="4">
        <v>24.48</v>
      </c>
      <c r="E492" s="3">
        <v>42748.0</v>
      </c>
      <c r="F492" s="4">
        <v>114.63</v>
      </c>
      <c r="G492" s="3">
        <v>42747.0</v>
      </c>
      <c r="H492" s="4">
        <v>118.58</v>
      </c>
      <c r="I492" s="3">
        <v>42747.0</v>
      </c>
      <c r="J492" s="4">
        <v>125.07</v>
      </c>
      <c r="K492" s="3">
        <v>42741.0</v>
      </c>
      <c r="L492" s="4">
        <v>1401.375</v>
      </c>
    </row>
    <row r="493">
      <c r="A493" s="3">
        <v>42744.0</v>
      </c>
      <c r="B493" s="4">
        <v>118.26</v>
      </c>
      <c r="C493" s="3">
        <v>42649.0</v>
      </c>
      <c r="D493" s="4">
        <v>24.48</v>
      </c>
      <c r="E493" s="3">
        <v>42747.0</v>
      </c>
      <c r="F493" s="4">
        <v>114.63</v>
      </c>
      <c r="G493" s="3">
        <v>42746.0</v>
      </c>
      <c r="H493" s="4">
        <v>118.34</v>
      </c>
      <c r="I493" s="3">
        <v>42746.0</v>
      </c>
      <c r="J493" s="4">
        <v>124.68</v>
      </c>
      <c r="K493" s="3">
        <v>42740.0</v>
      </c>
      <c r="L493" s="4">
        <v>1399.65</v>
      </c>
    </row>
    <row r="494">
      <c r="A494" s="3">
        <v>42741.0</v>
      </c>
      <c r="B494" s="4">
        <v>118.32</v>
      </c>
      <c r="C494" s="3">
        <v>42648.0</v>
      </c>
      <c r="D494" s="4">
        <v>24.48</v>
      </c>
      <c r="E494" s="3">
        <v>42746.0</v>
      </c>
      <c r="F494" s="4">
        <v>114.62</v>
      </c>
      <c r="G494" s="3">
        <v>42745.0</v>
      </c>
      <c r="H494" s="4">
        <v>118.29</v>
      </c>
      <c r="I494" s="3">
        <v>42745.0</v>
      </c>
      <c r="J494" s="4">
        <v>124.69</v>
      </c>
      <c r="K494" s="3">
        <v>42739.0</v>
      </c>
      <c r="L494" s="4">
        <v>1395.9731</v>
      </c>
    </row>
    <row r="495">
      <c r="A495" s="3">
        <v>42740.0</v>
      </c>
      <c r="B495" s="4">
        <v>118.3</v>
      </c>
      <c r="C495" s="3">
        <v>42647.0</v>
      </c>
      <c r="D495" s="4">
        <v>24.5</v>
      </c>
      <c r="E495" s="3">
        <v>42745.0</v>
      </c>
      <c r="F495" s="4">
        <v>114.64</v>
      </c>
      <c r="G495" s="3">
        <v>42744.0</v>
      </c>
      <c r="H495" s="4">
        <v>118.33</v>
      </c>
      <c r="I495" s="3">
        <v>42744.0</v>
      </c>
      <c r="J495" s="4">
        <v>124.58</v>
      </c>
      <c r="K495" s="3">
        <v>42738.0</v>
      </c>
      <c r="L495" s="4">
        <v>1390.1954</v>
      </c>
    </row>
    <row r="496">
      <c r="A496" s="3">
        <v>42739.0</v>
      </c>
      <c r="B496" s="4">
        <v>118.3</v>
      </c>
      <c r="C496" s="3">
        <v>42646.0</v>
      </c>
      <c r="D496" s="4">
        <v>24.49</v>
      </c>
      <c r="E496" s="3">
        <v>42744.0</v>
      </c>
      <c r="F496" s="4">
        <v>114.65</v>
      </c>
      <c r="G496" s="3">
        <v>42741.0</v>
      </c>
      <c r="H496" s="4">
        <v>118.4</v>
      </c>
      <c r="I496" s="3">
        <v>42741.0</v>
      </c>
      <c r="J496" s="4">
        <v>124.6</v>
      </c>
      <c r="K496" s="3">
        <v>42734.0</v>
      </c>
      <c r="L496" s="4">
        <v>1391.5247</v>
      </c>
    </row>
    <row r="497">
      <c r="A497" s="3">
        <v>42738.0</v>
      </c>
      <c r="B497" s="4">
        <v>118.23</v>
      </c>
      <c r="C497" s="3">
        <v>42643.0</v>
      </c>
      <c r="D497" s="4">
        <v>24.49</v>
      </c>
      <c r="E497" s="3">
        <v>42741.0</v>
      </c>
      <c r="F497" s="4">
        <v>114.61</v>
      </c>
      <c r="G497" s="3">
        <v>42740.0</v>
      </c>
      <c r="H497" s="4">
        <v>118.52</v>
      </c>
      <c r="I497" s="3">
        <v>42740.0</v>
      </c>
      <c r="J497" s="4">
        <v>124.53</v>
      </c>
      <c r="K497" s="3">
        <v>42733.0</v>
      </c>
      <c r="L497" s="4">
        <v>1390.5306</v>
      </c>
    </row>
    <row r="498">
      <c r="A498" s="3">
        <v>42737.0</v>
      </c>
      <c r="B498" s="4">
        <v>118.31</v>
      </c>
      <c r="C498" s="3">
        <v>42642.0</v>
      </c>
      <c r="D498" s="4">
        <v>24.49</v>
      </c>
      <c r="E498" s="3">
        <v>42740.0</v>
      </c>
      <c r="F498" s="4">
        <v>114.59</v>
      </c>
      <c r="G498" s="3">
        <v>42739.0</v>
      </c>
      <c r="H498" s="4">
        <v>118.59</v>
      </c>
      <c r="I498" s="3">
        <v>42739.0</v>
      </c>
      <c r="J498" s="4">
        <v>124.57</v>
      </c>
      <c r="K498" s="3">
        <v>42732.0</v>
      </c>
      <c r="L498" s="4">
        <v>1394.4962</v>
      </c>
    </row>
    <row r="499">
      <c r="A499" s="3">
        <v>42734.0</v>
      </c>
      <c r="B499" s="4">
        <v>118.2</v>
      </c>
      <c r="C499" s="3">
        <v>42641.0</v>
      </c>
      <c r="D499" s="4">
        <v>24.5</v>
      </c>
      <c r="E499" s="3">
        <v>42739.0</v>
      </c>
      <c r="F499" s="4">
        <v>114.58</v>
      </c>
      <c r="G499" s="3">
        <v>42738.0</v>
      </c>
      <c r="H499" s="4">
        <v>118.96</v>
      </c>
      <c r="I499" s="3">
        <v>42738.0</v>
      </c>
      <c r="J499" s="4">
        <v>124.09</v>
      </c>
      <c r="K499" s="3">
        <v>42727.0</v>
      </c>
      <c r="L499" s="4">
        <v>1391.5134</v>
      </c>
    </row>
    <row r="500">
      <c r="A500" s="3">
        <v>42733.0</v>
      </c>
      <c r="B500" s="4">
        <v>118.11</v>
      </c>
      <c r="C500" s="3">
        <v>42640.0</v>
      </c>
      <c r="D500" s="4">
        <v>24.5</v>
      </c>
      <c r="E500" s="3">
        <v>42738.0</v>
      </c>
      <c r="F500" s="4">
        <v>114.57</v>
      </c>
      <c r="G500" s="3">
        <v>42737.0</v>
      </c>
      <c r="H500" s="4">
        <v>118.6</v>
      </c>
      <c r="I500" s="3">
        <v>42737.0</v>
      </c>
      <c r="J500" s="4">
        <v>123.8</v>
      </c>
      <c r="K500" s="3">
        <v>42726.0</v>
      </c>
      <c r="L500" s="4">
        <v>1392.7393</v>
      </c>
    </row>
    <row r="501">
      <c r="A501" s="3">
        <v>42732.0</v>
      </c>
      <c r="B501" s="4">
        <v>117.98</v>
      </c>
      <c r="C501" s="3">
        <v>42639.0</v>
      </c>
      <c r="D501" s="4">
        <v>24.48</v>
      </c>
      <c r="E501" s="3">
        <v>42737.0</v>
      </c>
      <c r="F501" s="4">
        <v>114.56</v>
      </c>
      <c r="G501" s="3">
        <v>42734.0</v>
      </c>
      <c r="H501" s="4">
        <v>118.38</v>
      </c>
      <c r="I501" s="3">
        <v>42734.0</v>
      </c>
      <c r="J501" s="4">
        <v>124.02</v>
      </c>
      <c r="K501" s="3">
        <v>42725.0</v>
      </c>
      <c r="L501" s="4">
        <v>1392.4932</v>
      </c>
    </row>
    <row r="502">
      <c r="A502" s="3">
        <v>42731.0</v>
      </c>
      <c r="B502" s="4">
        <v>118.03</v>
      </c>
      <c r="C502" s="3">
        <v>42636.0</v>
      </c>
      <c r="D502" s="4">
        <v>24.49</v>
      </c>
      <c r="E502" s="3">
        <v>42734.0</v>
      </c>
      <c r="F502" s="4">
        <v>114.54</v>
      </c>
      <c r="G502" s="3">
        <v>42733.0</v>
      </c>
      <c r="H502" s="4">
        <v>118.6</v>
      </c>
      <c r="I502" s="3">
        <v>42733.0</v>
      </c>
      <c r="J502" s="4">
        <v>124.06</v>
      </c>
      <c r="K502" s="3">
        <v>42724.0</v>
      </c>
      <c r="L502" s="4">
        <v>1392.4012</v>
      </c>
    </row>
    <row r="503">
      <c r="A503" s="3">
        <v>42727.0</v>
      </c>
      <c r="B503" s="4">
        <v>117.94</v>
      </c>
      <c r="C503" s="3">
        <v>42635.0</v>
      </c>
      <c r="D503" s="4">
        <v>24.49</v>
      </c>
      <c r="E503" s="3">
        <v>42733.0</v>
      </c>
      <c r="F503" s="4">
        <v>114.55</v>
      </c>
      <c r="G503" s="3">
        <v>42732.0</v>
      </c>
      <c r="H503" s="4">
        <v>118.51</v>
      </c>
      <c r="I503" s="3">
        <v>42732.0</v>
      </c>
      <c r="J503" s="4">
        <v>123.78</v>
      </c>
      <c r="K503" s="3">
        <v>42723.0</v>
      </c>
      <c r="L503" s="4">
        <v>1391.3093</v>
      </c>
    </row>
    <row r="504">
      <c r="A504" s="3">
        <v>42726.0</v>
      </c>
      <c r="B504" s="4">
        <v>117.76</v>
      </c>
      <c r="C504" s="3">
        <v>42634.0</v>
      </c>
      <c r="D504" s="4">
        <v>24.5</v>
      </c>
      <c r="E504" s="3">
        <v>42732.0</v>
      </c>
      <c r="F504" s="4">
        <v>114.66</v>
      </c>
      <c r="G504" s="3">
        <v>42731.0</v>
      </c>
      <c r="H504" s="4">
        <v>118.47</v>
      </c>
      <c r="I504" s="3">
        <v>42731.0</v>
      </c>
      <c r="J504" s="4">
        <v>123.64</v>
      </c>
      <c r="K504" s="3">
        <v>42720.0</v>
      </c>
      <c r="L504" s="4">
        <v>1392.3032</v>
      </c>
    </row>
    <row r="505">
      <c r="A505" s="3">
        <v>42725.0</v>
      </c>
      <c r="B505" s="4">
        <v>117.76</v>
      </c>
      <c r="C505" s="3">
        <v>42633.0</v>
      </c>
      <c r="D505" s="4">
        <v>24.49</v>
      </c>
      <c r="E505" s="3">
        <v>42731.0</v>
      </c>
      <c r="F505" s="4">
        <v>114.58</v>
      </c>
      <c r="G505" s="3">
        <v>42727.0</v>
      </c>
      <c r="H505" s="4">
        <v>118.49</v>
      </c>
      <c r="I505" s="3">
        <v>42727.0</v>
      </c>
      <c r="J505" s="4">
        <v>123.6</v>
      </c>
      <c r="K505" s="3">
        <v>42719.0</v>
      </c>
      <c r="L505" s="4">
        <v>1394.6488</v>
      </c>
    </row>
    <row r="506">
      <c r="A506" s="3">
        <v>42724.0</v>
      </c>
      <c r="B506" s="4">
        <v>117.71</v>
      </c>
      <c r="C506" s="3">
        <v>42632.0</v>
      </c>
      <c r="D506" s="4">
        <v>24.49</v>
      </c>
      <c r="E506" s="3">
        <v>42727.0</v>
      </c>
      <c r="F506" s="4">
        <v>114.54</v>
      </c>
      <c r="G506" s="3">
        <v>42726.0</v>
      </c>
      <c r="H506" s="4">
        <v>118.66</v>
      </c>
      <c r="I506" s="3">
        <v>42726.0</v>
      </c>
      <c r="J506" s="4">
        <v>123.68</v>
      </c>
      <c r="K506" s="3">
        <v>42718.0</v>
      </c>
      <c r="L506" s="4">
        <v>1397.188</v>
      </c>
    </row>
    <row r="507">
      <c r="A507" s="3">
        <v>42723.0</v>
      </c>
      <c r="B507" s="4">
        <v>117.68</v>
      </c>
      <c r="C507" s="3">
        <v>42629.0</v>
      </c>
      <c r="D507" s="4">
        <v>24.49</v>
      </c>
      <c r="E507" s="3">
        <v>42726.0</v>
      </c>
      <c r="F507" s="4">
        <v>114.53</v>
      </c>
      <c r="G507" s="3">
        <v>42725.0</v>
      </c>
      <c r="H507" s="4">
        <v>118.77</v>
      </c>
      <c r="I507" s="3">
        <v>42725.0</v>
      </c>
      <c r="J507" s="4">
        <v>123.81</v>
      </c>
      <c r="K507" s="3">
        <v>42717.0</v>
      </c>
      <c r="L507" s="4">
        <v>1393.2388</v>
      </c>
    </row>
    <row r="508">
      <c r="A508" s="3">
        <v>42720.0</v>
      </c>
      <c r="B508" s="4">
        <v>117.7</v>
      </c>
      <c r="C508" s="3">
        <v>42628.0</v>
      </c>
      <c r="D508" s="4">
        <v>24.47</v>
      </c>
      <c r="E508" s="3">
        <v>42725.0</v>
      </c>
      <c r="F508" s="4">
        <v>114.55</v>
      </c>
      <c r="G508" s="3">
        <v>42724.0</v>
      </c>
      <c r="H508" s="4">
        <v>118.44</v>
      </c>
      <c r="I508" s="3">
        <v>42724.0</v>
      </c>
      <c r="J508" s="4">
        <v>123.61</v>
      </c>
      <c r="K508" s="3">
        <v>42716.0</v>
      </c>
      <c r="L508" s="4">
        <v>1394.979</v>
      </c>
    </row>
    <row r="509">
      <c r="A509" s="3">
        <v>42719.0</v>
      </c>
      <c r="B509" s="4">
        <v>117.43</v>
      </c>
      <c r="C509" s="3">
        <v>42627.0</v>
      </c>
      <c r="D509" s="4">
        <v>24.48</v>
      </c>
      <c r="E509" s="3">
        <v>42724.0</v>
      </c>
      <c r="F509" s="4">
        <v>114.56</v>
      </c>
      <c r="G509" s="3">
        <v>42723.0</v>
      </c>
      <c r="H509" s="4">
        <v>118.33</v>
      </c>
      <c r="I509" s="3">
        <v>42723.0</v>
      </c>
      <c r="J509" s="4">
        <v>123.51</v>
      </c>
      <c r="K509" s="3">
        <v>42713.0</v>
      </c>
      <c r="L509" s="4">
        <v>1393.2545</v>
      </c>
    </row>
    <row r="510">
      <c r="A510" s="3">
        <v>42718.0</v>
      </c>
      <c r="B510" s="4">
        <v>117.62</v>
      </c>
      <c r="C510" s="3">
        <v>42626.0</v>
      </c>
      <c r="D510" s="4">
        <v>24.48</v>
      </c>
      <c r="E510" s="3">
        <v>42723.0</v>
      </c>
      <c r="F510" s="4">
        <v>114.54</v>
      </c>
      <c r="G510" s="3">
        <v>42720.0</v>
      </c>
      <c r="H510" s="4">
        <v>118.42</v>
      </c>
      <c r="I510" s="3">
        <v>42720.0</v>
      </c>
      <c r="J510" s="4">
        <v>123.33</v>
      </c>
      <c r="K510" s="3">
        <v>42712.0</v>
      </c>
      <c r="L510" s="4">
        <v>1389.0446</v>
      </c>
    </row>
    <row r="511">
      <c r="A511" s="3">
        <v>42717.0</v>
      </c>
      <c r="B511" s="4">
        <v>117.58</v>
      </c>
      <c r="C511" s="3">
        <v>42625.0</v>
      </c>
      <c r="D511" s="4">
        <v>24.49</v>
      </c>
      <c r="E511" s="3">
        <v>42720.0</v>
      </c>
      <c r="F511" s="4">
        <v>114.51</v>
      </c>
      <c r="G511" s="3">
        <v>42719.0</v>
      </c>
      <c r="H511" s="4">
        <v>117.95</v>
      </c>
      <c r="I511" s="3">
        <v>42719.0</v>
      </c>
      <c r="J511" s="4">
        <v>123.06</v>
      </c>
      <c r="K511" s="3">
        <v>42711.0</v>
      </c>
      <c r="L511" s="4">
        <v>1383.915</v>
      </c>
    </row>
    <row r="512">
      <c r="A512" s="3">
        <v>42716.0</v>
      </c>
      <c r="B512" s="4">
        <v>117.18</v>
      </c>
      <c r="C512" s="3">
        <v>42622.0</v>
      </c>
      <c r="D512" s="4">
        <v>24.49</v>
      </c>
      <c r="E512" s="3">
        <v>42719.0</v>
      </c>
      <c r="F512" s="4">
        <v>114.51</v>
      </c>
      <c r="G512" s="3">
        <v>42718.0</v>
      </c>
      <c r="H512" s="4">
        <v>118.15</v>
      </c>
      <c r="I512" s="3">
        <v>42718.0</v>
      </c>
      <c r="J512" s="4">
        <v>123.19</v>
      </c>
      <c r="K512" s="3">
        <v>42710.0</v>
      </c>
      <c r="L512" s="4">
        <v>1381.4707</v>
      </c>
    </row>
    <row r="513">
      <c r="A513" s="3">
        <v>42713.0</v>
      </c>
      <c r="B513" s="4">
        <v>117.09</v>
      </c>
      <c r="C513" s="3">
        <v>42621.0</v>
      </c>
      <c r="D513" s="4">
        <v>24.5</v>
      </c>
      <c r="E513" s="3">
        <v>42718.0</v>
      </c>
      <c r="F513" s="4">
        <v>114.52</v>
      </c>
      <c r="G513" s="3">
        <v>42717.0</v>
      </c>
      <c r="H513" s="4">
        <v>117.54</v>
      </c>
      <c r="I513" s="3">
        <v>42717.0</v>
      </c>
      <c r="J513" s="4">
        <v>122.95</v>
      </c>
      <c r="K513" s="3">
        <v>42709.0</v>
      </c>
      <c r="L513" s="4">
        <v>1376.1117</v>
      </c>
    </row>
    <row r="514">
      <c r="A514" s="3">
        <v>42712.0</v>
      </c>
      <c r="B514" s="4">
        <v>116.9</v>
      </c>
      <c r="C514" s="3">
        <v>42620.0</v>
      </c>
      <c r="D514" s="4">
        <v>24.51</v>
      </c>
      <c r="E514" s="3">
        <v>42717.0</v>
      </c>
      <c r="F514" s="4">
        <v>114.53</v>
      </c>
      <c r="G514" s="3">
        <v>42716.0</v>
      </c>
      <c r="H514" s="4">
        <v>117.47</v>
      </c>
      <c r="I514" s="3">
        <v>42716.0</v>
      </c>
      <c r="J514" s="4">
        <v>123.34</v>
      </c>
      <c r="K514" s="3">
        <v>42706.0</v>
      </c>
      <c r="L514" s="4">
        <v>1377.2631</v>
      </c>
    </row>
    <row r="515">
      <c r="A515" s="3">
        <v>42711.0</v>
      </c>
      <c r="B515" s="4">
        <v>116.47</v>
      </c>
      <c r="C515" s="3">
        <v>42619.0</v>
      </c>
      <c r="D515" s="4">
        <v>24.51</v>
      </c>
      <c r="E515" s="3">
        <v>42716.0</v>
      </c>
      <c r="F515" s="4">
        <v>114.49</v>
      </c>
      <c r="G515" s="3">
        <v>42713.0</v>
      </c>
      <c r="H515" s="4">
        <v>117.51</v>
      </c>
      <c r="I515" s="3">
        <v>42713.0</v>
      </c>
      <c r="J515" s="4">
        <v>123.21</v>
      </c>
      <c r="K515" s="3">
        <v>42705.0</v>
      </c>
      <c r="L515" s="4">
        <v>1386.141</v>
      </c>
    </row>
    <row r="516">
      <c r="A516" s="3">
        <v>42710.0</v>
      </c>
      <c r="B516" s="4">
        <v>115.9</v>
      </c>
      <c r="C516" s="3">
        <v>42618.0</v>
      </c>
      <c r="D516" s="4">
        <v>24.51</v>
      </c>
      <c r="E516" s="3">
        <v>42713.0</v>
      </c>
      <c r="F516" s="4">
        <v>114.46</v>
      </c>
      <c r="G516" s="3">
        <v>42712.0</v>
      </c>
      <c r="H516" s="4">
        <v>116.71</v>
      </c>
      <c r="I516" s="3">
        <v>42712.0</v>
      </c>
      <c r="J516" s="4">
        <v>122.81</v>
      </c>
      <c r="K516" s="3">
        <v>42704.0</v>
      </c>
      <c r="L516" s="4">
        <v>1388.6017</v>
      </c>
    </row>
    <row r="517">
      <c r="A517" s="3">
        <v>42709.0</v>
      </c>
      <c r="B517" s="4">
        <v>115.71</v>
      </c>
      <c r="C517" s="3">
        <v>42615.0</v>
      </c>
      <c r="D517" s="4">
        <v>24.5</v>
      </c>
      <c r="E517" s="3">
        <v>42712.0</v>
      </c>
      <c r="F517" s="4">
        <v>114.46</v>
      </c>
      <c r="G517" s="3">
        <v>42711.0</v>
      </c>
      <c r="H517" s="4">
        <v>116.04</v>
      </c>
      <c r="I517" s="3">
        <v>42711.0</v>
      </c>
      <c r="J517" s="4">
        <v>122.63</v>
      </c>
      <c r="K517" s="3">
        <v>42703.0</v>
      </c>
      <c r="L517" s="4">
        <v>1387.4311</v>
      </c>
    </row>
    <row r="518">
      <c r="A518" s="3">
        <v>42706.0</v>
      </c>
      <c r="B518" s="4">
        <v>115.6</v>
      </c>
      <c r="C518" s="3">
        <v>42614.0</v>
      </c>
      <c r="D518" s="4">
        <v>24.5</v>
      </c>
      <c r="E518" s="3">
        <v>42711.0</v>
      </c>
      <c r="F518" s="4">
        <v>114.44</v>
      </c>
      <c r="G518" s="3">
        <v>42710.0</v>
      </c>
      <c r="H518" s="4">
        <v>115.38</v>
      </c>
      <c r="I518" s="3">
        <v>42710.0</v>
      </c>
      <c r="J518" s="4">
        <v>122.44</v>
      </c>
      <c r="K518" s="3">
        <v>42702.0</v>
      </c>
      <c r="L518" s="4">
        <v>1389.6488</v>
      </c>
    </row>
    <row r="519">
      <c r="A519" s="3">
        <v>42705.0</v>
      </c>
      <c r="B519" s="4">
        <v>115.74</v>
      </c>
      <c r="C519" s="3">
        <v>42613.0</v>
      </c>
      <c r="D519" s="4">
        <v>24.51</v>
      </c>
      <c r="E519" s="3">
        <v>42710.0</v>
      </c>
      <c r="F519" s="4">
        <v>114.41</v>
      </c>
      <c r="G519" s="3">
        <v>42709.0</v>
      </c>
      <c r="H519" s="4">
        <v>114.76</v>
      </c>
      <c r="I519" s="3">
        <v>42709.0</v>
      </c>
      <c r="J519" s="4">
        <v>122.53</v>
      </c>
      <c r="K519" s="3">
        <v>42699.0</v>
      </c>
      <c r="L519" s="4">
        <v>1386.276</v>
      </c>
    </row>
    <row r="520">
      <c r="A520" s="3">
        <v>42704.0</v>
      </c>
      <c r="B520" s="4">
        <v>115.86</v>
      </c>
      <c r="C520" s="3">
        <v>42612.0</v>
      </c>
      <c r="D520" s="4">
        <v>24.5</v>
      </c>
      <c r="E520" s="3">
        <v>42709.0</v>
      </c>
      <c r="F520" s="4">
        <v>114.42</v>
      </c>
      <c r="G520" s="3">
        <v>42706.0</v>
      </c>
      <c r="H520" s="4">
        <v>114.86</v>
      </c>
      <c r="I520" s="3">
        <v>42706.0</v>
      </c>
      <c r="J520" s="4">
        <v>122.55</v>
      </c>
      <c r="K520" s="3">
        <v>42698.0</v>
      </c>
      <c r="L520" s="4">
        <v>1386.4835</v>
      </c>
    </row>
    <row r="521">
      <c r="A521" s="3">
        <v>42703.0</v>
      </c>
      <c r="B521" s="4">
        <v>115.74</v>
      </c>
      <c r="C521" s="3">
        <v>42611.0</v>
      </c>
      <c r="D521" s="4">
        <v>24.5</v>
      </c>
      <c r="E521" s="3">
        <v>42706.0</v>
      </c>
      <c r="F521" s="4">
        <v>114.37</v>
      </c>
      <c r="G521" s="3">
        <v>42705.0</v>
      </c>
      <c r="H521" s="4">
        <v>115.41</v>
      </c>
      <c r="I521" s="3">
        <v>42705.0</v>
      </c>
      <c r="J521" s="4">
        <v>122.76</v>
      </c>
      <c r="K521" s="3">
        <v>42697.0</v>
      </c>
      <c r="L521" s="4">
        <v>1386.9819</v>
      </c>
    </row>
    <row r="522">
      <c r="A522" s="3">
        <v>42702.0</v>
      </c>
      <c r="B522" s="4">
        <v>115.73</v>
      </c>
      <c r="C522" s="3">
        <v>42608.0</v>
      </c>
      <c r="D522" s="4">
        <v>24.49</v>
      </c>
      <c r="E522" s="3">
        <v>42705.0</v>
      </c>
      <c r="F522" s="4">
        <v>114.37</v>
      </c>
      <c r="G522" s="3">
        <v>42704.0</v>
      </c>
      <c r="H522" s="4">
        <v>115.24</v>
      </c>
      <c r="I522" s="3">
        <v>42704.0</v>
      </c>
      <c r="J522" s="4">
        <v>123.03</v>
      </c>
      <c r="K522" s="3">
        <v>42696.0</v>
      </c>
      <c r="L522" s="4">
        <v>1388.3942</v>
      </c>
    </row>
    <row r="523">
      <c r="A523" s="3">
        <v>42699.0</v>
      </c>
      <c r="B523" s="4">
        <v>115.93</v>
      </c>
      <c r="C523" s="3">
        <v>42607.0</v>
      </c>
      <c r="D523" s="4">
        <v>24.49</v>
      </c>
      <c r="E523" s="3">
        <v>42704.0</v>
      </c>
      <c r="F523" s="4">
        <v>114.38</v>
      </c>
      <c r="G523" s="3">
        <v>42703.0</v>
      </c>
      <c r="H523" s="4">
        <v>114.77</v>
      </c>
      <c r="I523" s="3">
        <v>42703.0</v>
      </c>
      <c r="J523" s="4">
        <v>123.2</v>
      </c>
      <c r="K523" s="3">
        <v>42695.0</v>
      </c>
      <c r="L523" s="4">
        <v>1386.7777</v>
      </c>
    </row>
    <row r="524">
      <c r="A524" s="3">
        <v>42698.0</v>
      </c>
      <c r="B524" s="4">
        <v>115.96</v>
      </c>
      <c r="C524" s="3">
        <v>42606.0</v>
      </c>
      <c r="D524" s="4">
        <v>24.5</v>
      </c>
      <c r="E524" s="3">
        <v>42703.0</v>
      </c>
      <c r="F524" s="4">
        <v>114.37</v>
      </c>
      <c r="G524" s="3">
        <v>42702.0</v>
      </c>
      <c r="H524" s="4">
        <v>115.28</v>
      </c>
      <c r="I524" s="3">
        <v>42702.0</v>
      </c>
      <c r="J524" s="4">
        <v>122.84</v>
      </c>
      <c r="K524" s="3">
        <v>42692.0</v>
      </c>
      <c r="L524" s="4">
        <v>1386.8231</v>
      </c>
    </row>
    <row r="525">
      <c r="A525" s="3">
        <v>42697.0</v>
      </c>
      <c r="B525" s="4">
        <v>115.92</v>
      </c>
      <c r="C525" s="3">
        <v>42605.0</v>
      </c>
      <c r="D525" s="4">
        <v>24.49</v>
      </c>
      <c r="E525" s="3">
        <v>42702.0</v>
      </c>
      <c r="F525" s="4">
        <v>114.36</v>
      </c>
      <c r="G525" s="3">
        <v>42699.0</v>
      </c>
      <c r="H525" s="4">
        <v>115.48</v>
      </c>
      <c r="I525" s="3">
        <v>42699.0</v>
      </c>
      <c r="J525" s="4">
        <v>122.9</v>
      </c>
      <c r="K525" s="3">
        <v>42691.0</v>
      </c>
      <c r="L525" s="4">
        <v>1382.0059</v>
      </c>
    </row>
    <row r="526">
      <c r="A526" s="3">
        <v>42696.0</v>
      </c>
      <c r="B526" s="4">
        <v>116.02</v>
      </c>
      <c r="C526" s="3">
        <v>42604.0</v>
      </c>
      <c r="D526" s="4">
        <v>24.48</v>
      </c>
      <c r="E526" s="3">
        <v>42699.0</v>
      </c>
      <c r="F526" s="4">
        <v>114.31</v>
      </c>
      <c r="G526" s="3">
        <v>42698.0</v>
      </c>
      <c r="H526" s="4">
        <v>115.29</v>
      </c>
      <c r="I526" s="3">
        <v>42698.0</v>
      </c>
      <c r="J526" s="4">
        <v>122.76</v>
      </c>
      <c r="K526" s="3">
        <v>42690.0</v>
      </c>
      <c r="L526" s="4">
        <v>1382.1929</v>
      </c>
    </row>
    <row r="527">
      <c r="A527" s="3">
        <v>42695.0</v>
      </c>
      <c r="B527" s="4">
        <v>115.91</v>
      </c>
      <c r="C527" s="3">
        <v>42601.0</v>
      </c>
      <c r="D527" s="4">
        <v>24.48</v>
      </c>
      <c r="E527" s="3">
        <v>42698.0</v>
      </c>
      <c r="F527" s="4">
        <v>114.31</v>
      </c>
      <c r="G527" s="3">
        <v>42697.0</v>
      </c>
      <c r="H527" s="4">
        <v>115.54</v>
      </c>
      <c r="I527" s="3">
        <v>42697.0</v>
      </c>
      <c r="J527" s="4">
        <v>123.0</v>
      </c>
      <c r="K527" s="3">
        <v>42689.0</v>
      </c>
      <c r="L527" s="4">
        <v>1377.7356</v>
      </c>
    </row>
    <row r="528">
      <c r="A528" s="3">
        <v>42692.0</v>
      </c>
      <c r="B528" s="4">
        <v>115.97</v>
      </c>
      <c r="C528" s="3">
        <v>42600.0</v>
      </c>
      <c r="D528" s="4">
        <v>24.49</v>
      </c>
      <c r="E528" s="3">
        <v>42697.0</v>
      </c>
      <c r="F528" s="4">
        <v>114.3</v>
      </c>
      <c r="G528" s="3">
        <v>42696.0</v>
      </c>
      <c r="H528" s="4">
        <v>115.35</v>
      </c>
      <c r="I528" s="3">
        <v>42696.0</v>
      </c>
      <c r="J528" s="4">
        <v>122.97</v>
      </c>
      <c r="K528" s="3">
        <v>42688.0</v>
      </c>
      <c r="L528" s="4">
        <v>1380.0844</v>
      </c>
    </row>
    <row r="529">
      <c r="A529" s="3">
        <v>42691.0</v>
      </c>
      <c r="B529" s="4">
        <v>116.27</v>
      </c>
      <c r="C529" s="3">
        <v>42599.0</v>
      </c>
      <c r="D529" s="4">
        <v>24.49</v>
      </c>
      <c r="E529" s="3">
        <v>42696.0</v>
      </c>
      <c r="F529" s="4">
        <v>114.32</v>
      </c>
      <c r="G529" s="3">
        <v>42695.0</v>
      </c>
      <c r="H529" s="4">
        <v>115.44</v>
      </c>
      <c r="I529" s="3">
        <v>42695.0</v>
      </c>
      <c r="J529" s="4">
        <v>122.88</v>
      </c>
      <c r="K529" s="3">
        <v>42685.0</v>
      </c>
      <c r="L529" s="4">
        <v>1383.2734</v>
      </c>
    </row>
    <row r="530">
      <c r="A530" s="3">
        <v>42690.0</v>
      </c>
      <c r="B530" s="4">
        <v>116.28</v>
      </c>
      <c r="C530" s="3">
        <v>42598.0</v>
      </c>
      <c r="D530" s="4">
        <v>24.49</v>
      </c>
      <c r="E530" s="3">
        <v>42695.0</v>
      </c>
      <c r="F530" s="4">
        <v>114.27</v>
      </c>
      <c r="G530" s="3">
        <v>42692.0</v>
      </c>
      <c r="H530" s="4">
        <v>115.41</v>
      </c>
      <c r="I530" s="3">
        <v>42692.0</v>
      </c>
      <c r="J530" s="4">
        <v>123.06</v>
      </c>
      <c r="K530" s="3">
        <v>42684.0</v>
      </c>
      <c r="L530" s="4">
        <v>1387.42</v>
      </c>
    </row>
    <row r="531">
      <c r="A531" s="3">
        <v>42689.0</v>
      </c>
      <c r="B531" s="4">
        <v>116.48</v>
      </c>
      <c r="C531" s="3">
        <v>42594.0</v>
      </c>
      <c r="D531" s="4">
        <v>24.5</v>
      </c>
      <c r="E531" s="3">
        <v>42692.0</v>
      </c>
      <c r="F531" s="4">
        <v>114.24</v>
      </c>
      <c r="G531" s="3">
        <v>42691.0</v>
      </c>
      <c r="H531" s="4">
        <v>115.44</v>
      </c>
      <c r="I531" s="3">
        <v>42691.0</v>
      </c>
      <c r="J531" s="4">
        <v>123.12</v>
      </c>
      <c r="K531" s="3">
        <v>42683.0</v>
      </c>
      <c r="L531" s="4">
        <v>1380.8668</v>
      </c>
    </row>
    <row r="532">
      <c r="A532" s="3">
        <v>42688.0</v>
      </c>
      <c r="B532" s="4">
        <v>116.4</v>
      </c>
      <c r="C532" s="3">
        <v>42593.0</v>
      </c>
      <c r="D532" s="4">
        <v>24.5</v>
      </c>
      <c r="E532" s="3">
        <v>42691.0</v>
      </c>
      <c r="F532" s="4">
        <v>114.25</v>
      </c>
      <c r="G532" s="3">
        <v>42690.0</v>
      </c>
      <c r="H532" s="4">
        <v>116.0</v>
      </c>
      <c r="I532" s="3">
        <v>42690.0</v>
      </c>
      <c r="J532" s="4">
        <v>122.93</v>
      </c>
      <c r="K532" s="3">
        <v>42682.0</v>
      </c>
      <c r="L532" s="4">
        <v>1383.3213</v>
      </c>
    </row>
    <row r="533">
      <c r="A533" s="3">
        <v>42684.0</v>
      </c>
      <c r="B533" s="4">
        <v>117.11</v>
      </c>
      <c r="C533" s="3">
        <v>42592.0</v>
      </c>
      <c r="D533" s="4">
        <v>24.51</v>
      </c>
      <c r="E533" s="3">
        <v>42690.0</v>
      </c>
      <c r="F533" s="4">
        <v>114.25</v>
      </c>
      <c r="G533" s="3">
        <v>42689.0</v>
      </c>
      <c r="H533" s="4">
        <v>115.67</v>
      </c>
      <c r="I533" s="3">
        <v>42689.0</v>
      </c>
      <c r="J533" s="4">
        <v>122.89</v>
      </c>
      <c r="K533" s="3">
        <v>42681.0</v>
      </c>
      <c r="L533" s="4">
        <v>1376.4348</v>
      </c>
    </row>
    <row r="534">
      <c r="A534" s="3">
        <v>42683.0</v>
      </c>
      <c r="B534" s="4">
        <v>117.29</v>
      </c>
      <c r="C534" s="3">
        <v>42591.0</v>
      </c>
      <c r="D534" s="4">
        <v>24.51</v>
      </c>
      <c r="E534" s="3">
        <v>42689.0</v>
      </c>
      <c r="F534" s="4">
        <v>114.24</v>
      </c>
      <c r="G534" s="3">
        <v>42688.0</v>
      </c>
      <c r="H534" s="4">
        <v>115.72</v>
      </c>
      <c r="I534" s="3">
        <v>42688.0</v>
      </c>
      <c r="J534" s="4">
        <v>123.16</v>
      </c>
      <c r="K534" s="3">
        <v>42678.0</v>
      </c>
      <c r="L534" s="4">
        <v>1375.0815</v>
      </c>
    </row>
    <row r="535">
      <c r="A535" s="3">
        <v>42682.0</v>
      </c>
      <c r="B535" s="4">
        <v>117.3</v>
      </c>
      <c r="C535" s="3">
        <v>42590.0</v>
      </c>
      <c r="D535" s="4">
        <v>24.51</v>
      </c>
      <c r="E535" s="3">
        <v>42688.0</v>
      </c>
      <c r="F535" s="4">
        <v>114.17</v>
      </c>
      <c r="G535" s="3">
        <v>42685.0</v>
      </c>
      <c r="H535" s="4">
        <v>116.04</v>
      </c>
      <c r="I535" s="3">
        <v>42685.0</v>
      </c>
      <c r="J535" s="4">
        <v>123.55</v>
      </c>
      <c r="K535" s="3">
        <v>42677.0</v>
      </c>
      <c r="L535" s="4">
        <v>1375.9709</v>
      </c>
    </row>
    <row r="536">
      <c r="A536" s="3">
        <v>42681.0</v>
      </c>
      <c r="B536" s="4">
        <v>117.21</v>
      </c>
      <c r="C536" s="3">
        <v>42587.0</v>
      </c>
      <c r="D536" s="4">
        <v>24.51</v>
      </c>
      <c r="E536" s="3">
        <v>42685.0</v>
      </c>
      <c r="F536" s="4">
        <v>114.21</v>
      </c>
      <c r="G536" s="3">
        <v>42684.0</v>
      </c>
      <c r="H536" s="4">
        <v>116.25</v>
      </c>
      <c r="I536" s="3">
        <v>42684.0</v>
      </c>
      <c r="J536" s="4">
        <v>124.03</v>
      </c>
      <c r="K536" s="3">
        <v>42676.0</v>
      </c>
      <c r="L536" s="4">
        <v>1381.0148</v>
      </c>
    </row>
    <row r="537">
      <c r="A537" s="3">
        <v>42678.0</v>
      </c>
      <c r="B537" s="4">
        <v>116.97</v>
      </c>
      <c r="C537" s="3">
        <v>42586.0</v>
      </c>
      <c r="D537" s="4">
        <v>24.5</v>
      </c>
      <c r="E537" s="3">
        <v>42684.0</v>
      </c>
      <c r="F537" s="4">
        <v>114.28</v>
      </c>
      <c r="G537" s="3">
        <v>42683.0</v>
      </c>
      <c r="H537" s="4">
        <v>115.97</v>
      </c>
      <c r="I537" s="3">
        <v>42683.0</v>
      </c>
      <c r="J537" s="4">
        <v>124.59</v>
      </c>
      <c r="K537" s="3">
        <v>42674.0</v>
      </c>
      <c r="L537" s="4">
        <v>1384.1794</v>
      </c>
    </row>
    <row r="538">
      <c r="A538" s="3">
        <v>42677.0</v>
      </c>
      <c r="B538" s="4">
        <v>117.28</v>
      </c>
      <c r="C538" s="3">
        <v>42585.0</v>
      </c>
      <c r="D538" s="4">
        <v>24.49</v>
      </c>
      <c r="E538" s="3">
        <v>42683.0</v>
      </c>
      <c r="F538" s="4">
        <v>114.29</v>
      </c>
      <c r="G538" s="3">
        <v>42682.0</v>
      </c>
      <c r="H538" s="4">
        <v>115.74</v>
      </c>
      <c r="I538" s="3">
        <v>42682.0</v>
      </c>
      <c r="J538" s="4">
        <v>124.74</v>
      </c>
      <c r="K538" s="3">
        <v>42671.0</v>
      </c>
      <c r="L538" s="4">
        <v>1385.6394</v>
      </c>
    </row>
    <row r="539">
      <c r="A539" s="3">
        <v>42676.0</v>
      </c>
      <c r="B539" s="4">
        <v>117.18</v>
      </c>
      <c r="C539" s="3">
        <v>42584.0</v>
      </c>
      <c r="D539" s="4">
        <v>24.49</v>
      </c>
      <c r="E539" s="3">
        <v>42682.0</v>
      </c>
      <c r="F539" s="4">
        <v>114.34</v>
      </c>
      <c r="G539" s="3">
        <v>42681.0</v>
      </c>
      <c r="H539" s="4">
        <v>115.02</v>
      </c>
      <c r="I539" s="3">
        <v>42681.0</v>
      </c>
      <c r="J539" s="4">
        <v>124.73</v>
      </c>
      <c r="K539" s="3">
        <v>42670.0</v>
      </c>
      <c r="L539" s="4">
        <v>1388.825</v>
      </c>
    </row>
    <row r="540">
      <c r="A540" s="3">
        <v>42674.0</v>
      </c>
      <c r="B540" s="4">
        <v>117.86</v>
      </c>
      <c r="C540" s="3">
        <v>42583.0</v>
      </c>
      <c r="D540" s="4">
        <v>24.49</v>
      </c>
      <c r="E540" s="3">
        <v>42681.0</v>
      </c>
      <c r="F540" s="4">
        <v>114.32</v>
      </c>
      <c r="G540" s="3">
        <v>42678.0</v>
      </c>
      <c r="H540" s="4">
        <v>115.36</v>
      </c>
      <c r="I540" s="3">
        <v>42678.0</v>
      </c>
      <c r="J540" s="4">
        <v>124.85</v>
      </c>
      <c r="K540" s="3">
        <v>42669.0</v>
      </c>
      <c r="L540" s="4">
        <v>1394.0698</v>
      </c>
    </row>
    <row r="541">
      <c r="A541" s="3">
        <v>42671.0</v>
      </c>
      <c r="B541" s="4">
        <v>117.88</v>
      </c>
      <c r="C541" s="3">
        <v>42580.0</v>
      </c>
      <c r="D541" s="4">
        <v>24.5</v>
      </c>
      <c r="E541" s="3">
        <v>42678.0</v>
      </c>
      <c r="F541" s="4">
        <v>114.29</v>
      </c>
      <c r="G541" s="3">
        <v>42677.0</v>
      </c>
      <c r="H541" s="4">
        <v>115.5</v>
      </c>
      <c r="I541" s="3">
        <v>42677.0</v>
      </c>
      <c r="J541" s="4">
        <v>124.8</v>
      </c>
      <c r="K541" s="3">
        <v>42668.0</v>
      </c>
      <c r="L541" s="4">
        <v>1396.1178</v>
      </c>
    </row>
    <row r="542">
      <c r="A542" s="3">
        <v>42670.0</v>
      </c>
      <c r="B542" s="4">
        <v>117.86</v>
      </c>
      <c r="C542" s="3">
        <v>42579.0</v>
      </c>
      <c r="D542" s="4">
        <v>24.5</v>
      </c>
      <c r="E542" s="3">
        <v>42677.0</v>
      </c>
      <c r="F542" s="4">
        <v>114.32</v>
      </c>
      <c r="G542" s="3">
        <v>42676.0</v>
      </c>
      <c r="H542" s="4">
        <v>116.77</v>
      </c>
      <c r="I542" s="3">
        <v>42676.0</v>
      </c>
      <c r="J542" s="4">
        <v>125.25</v>
      </c>
      <c r="K542" s="3">
        <v>42667.0</v>
      </c>
      <c r="L542" s="4">
        <v>1392.394</v>
      </c>
    </row>
    <row r="543">
      <c r="A543" s="3">
        <v>42669.0</v>
      </c>
      <c r="B543" s="4">
        <v>117.96</v>
      </c>
      <c r="C543" s="3">
        <v>42578.0</v>
      </c>
      <c r="D543" s="4">
        <v>24.51</v>
      </c>
      <c r="E543" s="3">
        <v>42676.0</v>
      </c>
      <c r="F543" s="4">
        <v>114.34</v>
      </c>
      <c r="G543" s="3">
        <v>42674.0</v>
      </c>
      <c r="H543" s="4">
        <v>116.97</v>
      </c>
      <c r="I543" s="3">
        <v>42674.0</v>
      </c>
      <c r="J543" s="4">
        <v>125.6</v>
      </c>
      <c r="K543" s="3">
        <v>42664.0</v>
      </c>
      <c r="L543" s="4">
        <v>1393.6447</v>
      </c>
    </row>
    <row r="544">
      <c r="A544" s="3">
        <v>42668.0</v>
      </c>
      <c r="B544" s="4">
        <v>118.08</v>
      </c>
      <c r="C544" s="3">
        <v>42577.0</v>
      </c>
      <c r="D544" s="4">
        <v>24.52</v>
      </c>
      <c r="E544" s="3">
        <v>42674.0</v>
      </c>
      <c r="F544" s="4">
        <v>114.4</v>
      </c>
      <c r="G544" s="3">
        <v>42671.0</v>
      </c>
      <c r="H544" s="4">
        <v>117.13</v>
      </c>
      <c r="I544" s="3">
        <v>42671.0</v>
      </c>
      <c r="J544" s="4">
        <v>125.9</v>
      </c>
      <c r="K544" s="3">
        <v>42663.0</v>
      </c>
      <c r="L544" s="4">
        <v>1392.4026</v>
      </c>
    </row>
    <row r="545">
      <c r="A545" s="3">
        <v>42667.0</v>
      </c>
      <c r="B545" s="4">
        <v>118.14</v>
      </c>
      <c r="C545" s="3">
        <v>42576.0</v>
      </c>
      <c r="D545" s="4">
        <v>24.51</v>
      </c>
      <c r="E545" s="3">
        <v>42671.0</v>
      </c>
      <c r="F545" s="4">
        <v>114.39</v>
      </c>
      <c r="G545" s="3">
        <v>42670.0</v>
      </c>
      <c r="H545" s="4">
        <v>117.28</v>
      </c>
      <c r="I545" s="3">
        <v>42670.0</v>
      </c>
      <c r="J545" s="4">
        <v>125.78</v>
      </c>
      <c r="K545" s="3">
        <v>42662.0</v>
      </c>
      <c r="L545" s="4">
        <v>1391.2393</v>
      </c>
    </row>
    <row r="546">
      <c r="A546" s="3">
        <v>42664.0</v>
      </c>
      <c r="B546" s="4">
        <v>118.06</v>
      </c>
      <c r="C546" s="3">
        <v>42573.0</v>
      </c>
      <c r="D546" s="4">
        <v>24.51</v>
      </c>
      <c r="E546" s="3">
        <v>42670.0</v>
      </c>
      <c r="F546" s="4">
        <v>114.4</v>
      </c>
      <c r="G546" s="3">
        <v>42669.0</v>
      </c>
      <c r="H546" s="4">
        <v>117.53</v>
      </c>
      <c r="I546" s="3">
        <v>42669.0</v>
      </c>
      <c r="J546" s="4">
        <v>126.01</v>
      </c>
      <c r="K546" s="3">
        <v>42661.0</v>
      </c>
      <c r="L546" s="4">
        <v>1386.7783</v>
      </c>
    </row>
    <row r="547">
      <c r="A547" s="3">
        <v>42663.0</v>
      </c>
      <c r="B547" s="4">
        <v>118.09</v>
      </c>
      <c r="C547" s="3">
        <v>42572.0</v>
      </c>
      <c r="D547" s="4">
        <v>24.51</v>
      </c>
      <c r="E547" s="3">
        <v>42669.0</v>
      </c>
      <c r="F547" s="4">
        <v>114.41</v>
      </c>
      <c r="G547" s="3">
        <v>42668.0</v>
      </c>
      <c r="H547" s="4">
        <v>117.67</v>
      </c>
      <c r="I547" s="3">
        <v>42668.0</v>
      </c>
      <c r="J547" s="4">
        <v>126.02</v>
      </c>
      <c r="K547" s="3">
        <v>42660.0</v>
      </c>
      <c r="L547" s="4">
        <v>1387.6668</v>
      </c>
    </row>
    <row r="548">
      <c r="A548" s="3">
        <v>42662.0</v>
      </c>
      <c r="B548" s="4">
        <v>117.98</v>
      </c>
      <c r="C548" s="3">
        <v>42571.0</v>
      </c>
      <c r="D548" s="4">
        <v>24.52</v>
      </c>
      <c r="E548" s="3">
        <v>42668.0</v>
      </c>
      <c r="F548" s="4">
        <v>114.41</v>
      </c>
      <c r="G548" s="3">
        <v>42667.0</v>
      </c>
      <c r="H548" s="4">
        <v>117.35</v>
      </c>
      <c r="I548" s="3">
        <v>42667.0</v>
      </c>
      <c r="J548" s="4">
        <v>126.04</v>
      </c>
      <c r="K548" s="3">
        <v>42657.0</v>
      </c>
      <c r="L548" s="4">
        <v>1386.9498</v>
      </c>
    </row>
    <row r="549">
      <c r="A549" s="3">
        <v>42661.0</v>
      </c>
      <c r="B549" s="4">
        <v>117.87</v>
      </c>
      <c r="C549" s="3">
        <v>42570.0</v>
      </c>
      <c r="D549" s="4">
        <v>24.52</v>
      </c>
      <c r="E549" s="3">
        <v>42667.0</v>
      </c>
      <c r="F549" s="4">
        <v>114.4</v>
      </c>
      <c r="G549" s="3">
        <v>42664.0</v>
      </c>
      <c r="H549" s="4">
        <v>117.38</v>
      </c>
      <c r="I549" s="3">
        <v>42664.0</v>
      </c>
      <c r="J549" s="4">
        <v>126.0</v>
      </c>
      <c r="K549" s="3">
        <v>42656.0</v>
      </c>
      <c r="L549" s="4">
        <v>1388.8041</v>
      </c>
    </row>
    <row r="550">
      <c r="A550" s="3">
        <v>42660.0</v>
      </c>
      <c r="B550" s="4">
        <v>117.55</v>
      </c>
      <c r="C550" s="3">
        <v>42569.0</v>
      </c>
      <c r="D550" s="4">
        <v>24.52</v>
      </c>
      <c r="E550" s="3">
        <v>42664.0</v>
      </c>
      <c r="F550" s="4">
        <v>114.38</v>
      </c>
      <c r="G550" s="3">
        <v>42663.0</v>
      </c>
      <c r="H550" s="4">
        <v>117.14</v>
      </c>
      <c r="I550" s="3">
        <v>42663.0</v>
      </c>
      <c r="J550" s="4">
        <v>126.04</v>
      </c>
      <c r="K550" s="3">
        <v>42655.0</v>
      </c>
      <c r="L550" s="4">
        <v>1392.4113</v>
      </c>
    </row>
    <row r="551">
      <c r="A551" s="3">
        <v>42657.0</v>
      </c>
      <c r="B551" s="4">
        <v>117.64</v>
      </c>
      <c r="C551" s="3">
        <v>42566.0</v>
      </c>
      <c r="D551" s="4">
        <v>24.52</v>
      </c>
      <c r="E551" s="3">
        <v>42663.0</v>
      </c>
      <c r="F551" s="4">
        <v>114.37</v>
      </c>
      <c r="G551" s="3">
        <v>42662.0</v>
      </c>
      <c r="H551" s="4">
        <v>117.0</v>
      </c>
      <c r="I551" s="3">
        <v>42662.0</v>
      </c>
      <c r="J551" s="4">
        <v>125.77</v>
      </c>
      <c r="K551" s="3">
        <v>42654.0</v>
      </c>
      <c r="L551" s="4">
        <v>1400.3427</v>
      </c>
    </row>
    <row r="552">
      <c r="A552" s="3">
        <v>42656.0</v>
      </c>
      <c r="B552" s="4">
        <v>117.25</v>
      </c>
      <c r="C552" s="3">
        <v>42565.0</v>
      </c>
      <c r="D552" s="4">
        <v>24.52</v>
      </c>
      <c r="E552" s="3">
        <v>42662.0</v>
      </c>
      <c r="F552" s="4">
        <v>114.37</v>
      </c>
      <c r="G552" s="3">
        <v>42661.0</v>
      </c>
      <c r="H552" s="4">
        <v>116.33</v>
      </c>
      <c r="I552" s="3">
        <v>42661.0</v>
      </c>
      <c r="J552" s="4">
        <v>125.47</v>
      </c>
      <c r="K552" s="3">
        <v>42653.0</v>
      </c>
      <c r="L552" s="4">
        <v>1397.938</v>
      </c>
    </row>
    <row r="553">
      <c r="A553" s="3">
        <v>42655.0</v>
      </c>
      <c r="B553" s="4">
        <v>117.47</v>
      </c>
      <c r="C553" s="3">
        <v>42564.0</v>
      </c>
      <c r="D553" s="4">
        <v>24.52</v>
      </c>
      <c r="E553" s="3">
        <v>42661.0</v>
      </c>
      <c r="F553" s="4">
        <v>114.36</v>
      </c>
      <c r="G553" s="3">
        <v>42660.0</v>
      </c>
      <c r="H553" s="4">
        <v>116.8</v>
      </c>
      <c r="I553" s="3">
        <v>42660.0</v>
      </c>
      <c r="J553" s="4">
        <v>125.57</v>
      </c>
      <c r="K553" s="3">
        <v>42650.0</v>
      </c>
      <c r="L553" s="4">
        <v>1400.8936</v>
      </c>
    </row>
    <row r="554">
      <c r="A554" s="3">
        <v>42654.0</v>
      </c>
      <c r="B554" s="4">
        <v>117.64</v>
      </c>
      <c r="C554" s="3">
        <v>42563.0</v>
      </c>
      <c r="D554" s="4">
        <v>24.52</v>
      </c>
      <c r="E554" s="3">
        <v>42660.0</v>
      </c>
      <c r="F554" s="4">
        <v>114.36</v>
      </c>
      <c r="G554" s="3">
        <v>42657.0</v>
      </c>
      <c r="H554" s="4">
        <v>116.08</v>
      </c>
      <c r="I554" s="3">
        <v>42657.0</v>
      </c>
      <c r="J554" s="4">
        <v>125.49</v>
      </c>
      <c r="K554" s="3">
        <v>42649.0</v>
      </c>
      <c r="L554" s="4">
        <v>1402.3792</v>
      </c>
    </row>
    <row r="555">
      <c r="A555" s="3">
        <v>42653.0</v>
      </c>
      <c r="B555" s="4">
        <v>117.85</v>
      </c>
      <c r="C555" s="3">
        <v>42562.0</v>
      </c>
      <c r="D555" s="4">
        <v>24.52</v>
      </c>
      <c r="E555" s="3">
        <v>42657.0</v>
      </c>
      <c r="F555" s="4">
        <v>114.35</v>
      </c>
      <c r="G555" s="3">
        <v>42656.0</v>
      </c>
      <c r="H555" s="4">
        <v>116.46</v>
      </c>
      <c r="I555" s="3">
        <v>42656.0</v>
      </c>
      <c r="J555" s="4">
        <v>125.63</v>
      </c>
      <c r="K555" s="3">
        <v>42648.0</v>
      </c>
      <c r="L555" s="4">
        <v>1400.8314</v>
      </c>
    </row>
    <row r="556">
      <c r="A556" s="3">
        <v>42650.0</v>
      </c>
      <c r="B556" s="4">
        <v>117.64</v>
      </c>
      <c r="C556" s="3">
        <v>42559.0</v>
      </c>
      <c r="D556" s="4">
        <v>24.52</v>
      </c>
      <c r="E556" s="3">
        <v>42656.0</v>
      </c>
      <c r="F556" s="4">
        <v>114.35</v>
      </c>
      <c r="G556" s="3">
        <v>42655.0</v>
      </c>
      <c r="H556" s="4">
        <v>116.81</v>
      </c>
      <c r="I556" s="3">
        <v>42655.0</v>
      </c>
      <c r="J556" s="4">
        <v>125.75</v>
      </c>
      <c r="K556" s="3">
        <v>42647.0</v>
      </c>
      <c r="L556" s="4">
        <v>1400.1121</v>
      </c>
    </row>
    <row r="557">
      <c r="A557" s="3">
        <v>42649.0</v>
      </c>
      <c r="B557" s="4">
        <v>117.84</v>
      </c>
      <c r="C557" s="3">
        <v>42558.0</v>
      </c>
      <c r="D557" s="4">
        <v>24.51</v>
      </c>
      <c r="E557" s="3">
        <v>42655.0</v>
      </c>
      <c r="F557" s="4">
        <v>114.38</v>
      </c>
      <c r="G557" s="3">
        <v>42654.0</v>
      </c>
      <c r="H557" s="4">
        <v>117.09</v>
      </c>
      <c r="I557" s="3">
        <v>42654.0</v>
      </c>
      <c r="J557" s="4">
        <v>125.93</v>
      </c>
      <c r="K557" s="3">
        <v>42646.0</v>
      </c>
      <c r="L557" s="4">
        <v>1399.5753</v>
      </c>
    </row>
    <row r="558">
      <c r="A558" s="3">
        <v>42648.0</v>
      </c>
      <c r="B558" s="4">
        <v>117.99</v>
      </c>
      <c r="C558" s="3">
        <v>42557.0</v>
      </c>
      <c r="D558" s="4">
        <v>24.5</v>
      </c>
      <c r="E558" s="3">
        <v>42654.0</v>
      </c>
      <c r="F558" s="4">
        <v>114.39</v>
      </c>
      <c r="G558" s="3">
        <v>42653.0</v>
      </c>
      <c r="H558" s="4">
        <v>116.69</v>
      </c>
      <c r="I558" s="3">
        <v>42653.0</v>
      </c>
      <c r="J558" s="4">
        <v>125.67</v>
      </c>
      <c r="K558" s="3">
        <v>42643.0</v>
      </c>
      <c r="L558" s="4">
        <v>1396.8737</v>
      </c>
    </row>
    <row r="559">
      <c r="A559" s="3">
        <v>42647.0</v>
      </c>
      <c r="B559" s="4">
        <v>118.15</v>
      </c>
      <c r="C559" s="3">
        <v>42556.0</v>
      </c>
      <c r="D559" s="4">
        <v>24.5</v>
      </c>
      <c r="E559" s="3">
        <v>42653.0</v>
      </c>
      <c r="F559" s="4">
        <v>114.35</v>
      </c>
      <c r="G559" s="3">
        <v>42650.0</v>
      </c>
      <c r="H559" s="4">
        <v>117.18</v>
      </c>
      <c r="I559" s="3">
        <v>42650.0</v>
      </c>
      <c r="J559" s="4">
        <v>125.93</v>
      </c>
      <c r="K559" s="3">
        <v>42642.0</v>
      </c>
      <c r="L559" s="4">
        <v>1397.5486</v>
      </c>
    </row>
    <row r="560">
      <c r="A560" s="3">
        <v>42646.0</v>
      </c>
      <c r="B560" s="4">
        <v>117.99</v>
      </c>
      <c r="C560" s="3">
        <v>42555.0</v>
      </c>
      <c r="D560" s="4">
        <v>24.5</v>
      </c>
      <c r="E560" s="3">
        <v>42650.0</v>
      </c>
      <c r="F560" s="4">
        <v>114.36</v>
      </c>
      <c r="G560" s="3">
        <v>42649.0</v>
      </c>
      <c r="H560" s="4">
        <v>117.24</v>
      </c>
      <c r="I560" s="3">
        <v>42649.0</v>
      </c>
      <c r="J560" s="4">
        <v>126.01</v>
      </c>
      <c r="K560" s="3">
        <v>42641.0</v>
      </c>
      <c r="L560" s="4">
        <v>1393.481</v>
      </c>
    </row>
    <row r="561">
      <c r="A561" s="3">
        <v>42643.0</v>
      </c>
      <c r="B561" s="4">
        <v>118.0</v>
      </c>
      <c r="C561" s="3">
        <v>42552.0</v>
      </c>
      <c r="D561" s="4">
        <v>24.5</v>
      </c>
      <c r="E561" s="3">
        <v>42649.0</v>
      </c>
      <c r="F561" s="4">
        <v>114.35</v>
      </c>
      <c r="G561" s="3">
        <v>42648.0</v>
      </c>
      <c r="H561" s="4">
        <v>117.94</v>
      </c>
      <c r="I561" s="3">
        <v>42648.0</v>
      </c>
      <c r="J561" s="4">
        <v>126.21</v>
      </c>
      <c r="K561" s="3">
        <v>42640.0</v>
      </c>
      <c r="L561" s="4">
        <v>1391.7241</v>
      </c>
    </row>
    <row r="562">
      <c r="A562" s="3">
        <v>42642.0</v>
      </c>
      <c r="B562" s="4">
        <v>117.95</v>
      </c>
      <c r="C562" s="3">
        <v>42551.0</v>
      </c>
      <c r="D562" s="4">
        <v>24.5</v>
      </c>
      <c r="E562" s="3">
        <v>42648.0</v>
      </c>
      <c r="F562" s="4">
        <v>114.35</v>
      </c>
      <c r="G562" s="3">
        <v>42647.0</v>
      </c>
      <c r="H562" s="4">
        <v>117.6</v>
      </c>
      <c r="I562" s="3">
        <v>42647.0</v>
      </c>
      <c r="J562" s="4">
        <v>126.46</v>
      </c>
      <c r="K562" s="3">
        <v>42639.0</v>
      </c>
      <c r="L562" s="4">
        <v>1395.1069</v>
      </c>
    </row>
    <row r="563">
      <c r="A563" s="3">
        <v>42641.0</v>
      </c>
      <c r="B563" s="4">
        <v>117.91</v>
      </c>
      <c r="C563" s="3">
        <v>42550.0</v>
      </c>
      <c r="D563" s="4">
        <v>24.49</v>
      </c>
      <c r="E563" s="3">
        <v>42647.0</v>
      </c>
      <c r="F563" s="4">
        <v>114.35</v>
      </c>
      <c r="G563" s="3">
        <v>42646.0</v>
      </c>
      <c r="H563" s="4">
        <v>117.95</v>
      </c>
      <c r="I563" s="3">
        <v>42646.0</v>
      </c>
      <c r="J563" s="4">
        <v>126.52</v>
      </c>
      <c r="K563" s="3">
        <v>42636.0</v>
      </c>
      <c r="L563" s="4">
        <v>1398.5968</v>
      </c>
    </row>
    <row r="564">
      <c r="A564" s="3">
        <v>42640.0</v>
      </c>
      <c r="B564" s="4">
        <v>117.58</v>
      </c>
      <c r="C564" s="3">
        <v>42549.0</v>
      </c>
      <c r="D564" s="4">
        <v>24.49</v>
      </c>
      <c r="E564" s="3">
        <v>42646.0</v>
      </c>
      <c r="F564" s="4">
        <v>114.34</v>
      </c>
      <c r="G564" s="3">
        <v>42643.0</v>
      </c>
      <c r="H564" s="4">
        <v>117.5</v>
      </c>
      <c r="I564" s="3">
        <v>42643.0</v>
      </c>
      <c r="J564" s="4">
        <v>126.46</v>
      </c>
      <c r="K564" s="3">
        <v>42635.0</v>
      </c>
      <c r="L564" s="4">
        <v>1391.804</v>
      </c>
    </row>
    <row r="565">
      <c r="A565" s="3">
        <v>42639.0</v>
      </c>
      <c r="B565" s="4">
        <v>117.6</v>
      </c>
      <c r="C565" s="3">
        <v>42548.0</v>
      </c>
      <c r="D565" s="4">
        <v>24.5</v>
      </c>
      <c r="E565" s="3">
        <v>42643.0</v>
      </c>
      <c r="F565" s="4">
        <v>114.3</v>
      </c>
      <c r="G565" s="3">
        <v>42642.0</v>
      </c>
      <c r="H565" s="4">
        <v>117.68</v>
      </c>
      <c r="I565" s="3">
        <v>42642.0</v>
      </c>
      <c r="J565" s="4">
        <v>126.81</v>
      </c>
      <c r="K565" s="3">
        <v>42634.0</v>
      </c>
      <c r="L565" s="4">
        <v>1386.984</v>
      </c>
    </row>
    <row r="566">
      <c r="A566" s="3">
        <v>42636.0</v>
      </c>
      <c r="B566" s="4">
        <v>118.06</v>
      </c>
      <c r="C566" s="3">
        <v>42545.0</v>
      </c>
      <c r="D566" s="4">
        <v>24.5</v>
      </c>
      <c r="E566" s="3">
        <v>42642.0</v>
      </c>
      <c r="F566" s="4">
        <v>114.29</v>
      </c>
      <c r="G566" s="3">
        <v>42641.0</v>
      </c>
      <c r="H566" s="4">
        <v>117.26</v>
      </c>
      <c r="I566" s="3">
        <v>42641.0</v>
      </c>
      <c r="J566" s="4">
        <v>126.64</v>
      </c>
      <c r="K566" s="3">
        <v>42633.0</v>
      </c>
      <c r="L566" s="4">
        <v>1384.968</v>
      </c>
    </row>
    <row r="567">
      <c r="A567" s="3">
        <v>42635.0</v>
      </c>
      <c r="B567" s="4">
        <v>118.19</v>
      </c>
      <c r="C567" s="3">
        <v>42543.0</v>
      </c>
      <c r="D567" s="4">
        <v>24.5</v>
      </c>
      <c r="E567" s="3">
        <v>42641.0</v>
      </c>
      <c r="F567" s="4">
        <v>114.31</v>
      </c>
      <c r="G567" s="3">
        <v>42640.0</v>
      </c>
      <c r="H567" s="4">
        <v>117.29</v>
      </c>
      <c r="I567" s="3">
        <v>42640.0</v>
      </c>
      <c r="J567" s="4">
        <v>126.45</v>
      </c>
      <c r="K567" s="3">
        <v>42632.0</v>
      </c>
      <c r="L567" s="4">
        <v>1383.2518</v>
      </c>
    </row>
    <row r="568">
      <c r="A568" s="3">
        <v>42634.0</v>
      </c>
      <c r="B568" s="4">
        <v>117.68</v>
      </c>
      <c r="C568" s="3">
        <v>42542.0</v>
      </c>
      <c r="D568" s="4">
        <v>24.5</v>
      </c>
      <c r="E568" s="3">
        <v>42640.0</v>
      </c>
      <c r="F568" s="4">
        <v>114.3</v>
      </c>
      <c r="G568" s="3">
        <v>42639.0</v>
      </c>
      <c r="H568" s="4">
        <v>118.11</v>
      </c>
      <c r="I568" s="3">
        <v>42639.0</v>
      </c>
      <c r="J568" s="4">
        <v>126.78</v>
      </c>
      <c r="K568" s="3">
        <v>42629.0</v>
      </c>
      <c r="L568" s="4">
        <v>1383.0833</v>
      </c>
    </row>
    <row r="569">
      <c r="A569" s="3">
        <v>42633.0</v>
      </c>
      <c r="B569" s="4">
        <v>117.69</v>
      </c>
      <c r="C569" s="3">
        <v>42541.0</v>
      </c>
      <c r="D569" s="4">
        <v>24.49</v>
      </c>
      <c r="E569" s="3">
        <v>42639.0</v>
      </c>
      <c r="F569" s="4">
        <v>114.32</v>
      </c>
      <c r="G569" s="3">
        <v>42636.0</v>
      </c>
      <c r="H569" s="4">
        <v>118.42</v>
      </c>
      <c r="I569" s="3">
        <v>42636.0</v>
      </c>
      <c r="J569" s="4">
        <v>126.91</v>
      </c>
      <c r="K569" s="3">
        <v>42628.0</v>
      </c>
      <c r="L569" s="4">
        <v>1377.7596</v>
      </c>
    </row>
    <row r="570">
      <c r="A570" s="3">
        <v>42632.0</v>
      </c>
      <c r="B570" s="4">
        <v>117.75</v>
      </c>
      <c r="C570" s="3">
        <v>42538.0</v>
      </c>
      <c r="D570" s="4">
        <v>24.49</v>
      </c>
      <c r="E570" s="3">
        <v>42636.0</v>
      </c>
      <c r="F570" s="4">
        <v>114.31</v>
      </c>
      <c r="G570" s="3">
        <v>42635.0</v>
      </c>
      <c r="H570" s="4">
        <v>117.33</v>
      </c>
      <c r="I570" s="3">
        <v>42635.0</v>
      </c>
      <c r="J570" s="4">
        <v>126.38</v>
      </c>
      <c r="K570" s="3">
        <v>42627.0</v>
      </c>
      <c r="L570" s="4">
        <v>1377.4821</v>
      </c>
    </row>
    <row r="571">
      <c r="A571" s="3">
        <v>42629.0</v>
      </c>
      <c r="B571" s="4">
        <v>117.56</v>
      </c>
      <c r="C571" s="3">
        <v>42537.0</v>
      </c>
      <c r="D571" s="4">
        <v>24.51</v>
      </c>
      <c r="E571" s="3">
        <v>42635.0</v>
      </c>
      <c r="F571" s="4">
        <v>114.31</v>
      </c>
      <c r="G571" s="3">
        <v>42634.0</v>
      </c>
      <c r="H571" s="4">
        <v>117.11</v>
      </c>
      <c r="I571" s="3">
        <v>42634.0</v>
      </c>
      <c r="J571" s="4">
        <v>126.13</v>
      </c>
      <c r="K571" s="3">
        <v>42626.0</v>
      </c>
      <c r="L571" s="4">
        <v>1384.1879</v>
      </c>
    </row>
    <row r="572">
      <c r="A572" s="3">
        <v>42628.0</v>
      </c>
      <c r="B572" s="4">
        <v>117.79</v>
      </c>
      <c r="C572" s="3">
        <v>42536.0</v>
      </c>
      <c r="D572" s="4">
        <v>24.5</v>
      </c>
      <c r="E572" s="3">
        <v>42634.0</v>
      </c>
      <c r="F572" s="4">
        <v>114.28</v>
      </c>
      <c r="G572" s="3">
        <v>42633.0</v>
      </c>
      <c r="H572" s="4">
        <v>116.92</v>
      </c>
      <c r="I572" s="3">
        <v>42633.0</v>
      </c>
      <c r="J572" s="4">
        <v>125.82</v>
      </c>
      <c r="K572" s="3">
        <v>42625.0</v>
      </c>
      <c r="L572" s="4">
        <v>1381.9005</v>
      </c>
    </row>
    <row r="573">
      <c r="A573" s="3">
        <v>42627.0</v>
      </c>
      <c r="B573" s="4">
        <v>117.74</v>
      </c>
      <c r="C573" s="3">
        <v>42535.0</v>
      </c>
      <c r="D573" s="4">
        <v>24.5</v>
      </c>
      <c r="E573" s="3">
        <v>42633.0</v>
      </c>
      <c r="F573" s="4">
        <v>114.26</v>
      </c>
      <c r="G573" s="3">
        <v>42632.0</v>
      </c>
      <c r="H573" s="4">
        <v>116.65</v>
      </c>
      <c r="I573" s="3">
        <v>42632.0</v>
      </c>
      <c r="J573" s="4">
        <v>125.76</v>
      </c>
      <c r="K573" s="3">
        <v>42622.0</v>
      </c>
      <c r="L573" s="4">
        <v>1395.8076</v>
      </c>
    </row>
    <row r="574">
      <c r="A574" s="3">
        <v>42626.0</v>
      </c>
      <c r="B574" s="4">
        <v>117.77</v>
      </c>
      <c r="C574" s="3">
        <v>42534.0</v>
      </c>
      <c r="D574" s="4">
        <v>24.5</v>
      </c>
      <c r="E574" s="3">
        <v>42632.0</v>
      </c>
      <c r="F574" s="4">
        <v>114.27</v>
      </c>
      <c r="G574" s="3">
        <v>42629.0</v>
      </c>
      <c r="H574" s="4">
        <v>117.15</v>
      </c>
      <c r="I574" s="3">
        <v>42629.0</v>
      </c>
      <c r="J574" s="4">
        <v>125.7</v>
      </c>
      <c r="K574" s="3">
        <v>42621.0</v>
      </c>
      <c r="L574" s="4">
        <v>1397.9216</v>
      </c>
    </row>
    <row r="575">
      <c r="A575" s="3">
        <v>42625.0</v>
      </c>
      <c r="B575" s="4">
        <v>118.07</v>
      </c>
      <c r="C575" s="3">
        <v>42531.0</v>
      </c>
      <c r="D575" s="4">
        <v>24.5</v>
      </c>
      <c r="E575" s="3">
        <v>42629.0</v>
      </c>
      <c r="F575" s="4">
        <v>114.23</v>
      </c>
      <c r="G575" s="3">
        <v>42628.0</v>
      </c>
      <c r="H575" s="4">
        <v>117.03</v>
      </c>
      <c r="I575" s="3">
        <v>42628.0</v>
      </c>
      <c r="J575" s="4">
        <v>125.54</v>
      </c>
      <c r="K575" s="3">
        <v>42620.0</v>
      </c>
      <c r="L575" s="4">
        <v>1398.1429</v>
      </c>
    </row>
    <row r="576">
      <c r="A576" s="3">
        <v>42622.0</v>
      </c>
      <c r="B576" s="4">
        <v>118.49</v>
      </c>
      <c r="C576" s="3">
        <v>42530.0</v>
      </c>
      <c r="D576" s="4">
        <v>24.5</v>
      </c>
      <c r="E576" s="3">
        <v>42628.0</v>
      </c>
      <c r="F576" s="4">
        <v>114.22</v>
      </c>
      <c r="G576" s="3">
        <v>42627.0</v>
      </c>
      <c r="H576" s="4">
        <v>117.07</v>
      </c>
      <c r="I576" s="3">
        <v>42627.0</v>
      </c>
      <c r="J576" s="4">
        <v>125.58</v>
      </c>
      <c r="K576" s="3">
        <v>42619.0</v>
      </c>
      <c r="L576" s="4">
        <v>1398.8608</v>
      </c>
    </row>
    <row r="577">
      <c r="A577" s="3">
        <v>42621.0</v>
      </c>
      <c r="B577" s="4">
        <v>118.82</v>
      </c>
      <c r="C577" s="3">
        <v>42529.0</v>
      </c>
      <c r="D577" s="4">
        <v>24.49</v>
      </c>
      <c r="E577" s="3">
        <v>42627.0</v>
      </c>
      <c r="F577" s="4">
        <v>114.24</v>
      </c>
      <c r="G577" s="3">
        <v>42626.0</v>
      </c>
      <c r="H577" s="4">
        <v>117.45</v>
      </c>
      <c r="I577" s="3">
        <v>42626.0</v>
      </c>
      <c r="J577" s="4">
        <v>125.79</v>
      </c>
      <c r="K577" s="3">
        <v>42618.0</v>
      </c>
      <c r="L577" s="4">
        <v>1397.1675</v>
      </c>
    </row>
    <row r="578">
      <c r="A578" s="3">
        <v>42620.0</v>
      </c>
      <c r="B578" s="4">
        <v>118.84</v>
      </c>
      <c r="C578" s="3">
        <v>42528.0</v>
      </c>
      <c r="D578" s="4">
        <v>24.49</v>
      </c>
      <c r="E578" s="3">
        <v>42626.0</v>
      </c>
      <c r="F578" s="4">
        <v>114.26</v>
      </c>
      <c r="G578" s="3">
        <v>42625.0</v>
      </c>
      <c r="H578" s="4">
        <v>118.28</v>
      </c>
      <c r="I578" s="3">
        <v>42625.0</v>
      </c>
      <c r="J578" s="4">
        <v>125.91</v>
      </c>
      <c r="K578" s="3">
        <v>42615.0</v>
      </c>
      <c r="L578" s="4">
        <v>1392.8761</v>
      </c>
    </row>
    <row r="579">
      <c r="A579" s="3">
        <v>42619.0</v>
      </c>
      <c r="B579" s="4">
        <v>118.84</v>
      </c>
      <c r="C579" s="3">
        <v>42527.0</v>
      </c>
      <c r="D579" s="4">
        <v>24.48</v>
      </c>
      <c r="E579" s="3">
        <v>42625.0</v>
      </c>
      <c r="F579" s="4">
        <v>114.26</v>
      </c>
      <c r="G579" s="3">
        <v>42622.0</v>
      </c>
      <c r="H579" s="4">
        <v>119.32</v>
      </c>
      <c r="I579" s="3">
        <v>42622.0</v>
      </c>
      <c r="J579" s="4">
        <v>126.73</v>
      </c>
      <c r="K579" s="3">
        <v>42614.0</v>
      </c>
      <c r="L579" s="4">
        <v>1391.2116</v>
      </c>
    </row>
    <row r="580">
      <c r="A580" s="3">
        <v>42618.0</v>
      </c>
      <c r="B580" s="4">
        <v>118.72</v>
      </c>
      <c r="C580" s="3">
        <v>42524.0</v>
      </c>
      <c r="D580" s="4">
        <v>24.48</v>
      </c>
      <c r="E580" s="3">
        <v>42622.0</v>
      </c>
      <c r="F580" s="4">
        <v>114.27</v>
      </c>
      <c r="G580" s="3">
        <v>42621.0</v>
      </c>
      <c r="H580" s="4">
        <v>119.87</v>
      </c>
      <c r="I580" s="3">
        <v>42621.0</v>
      </c>
      <c r="J580" s="4">
        <v>127.13</v>
      </c>
      <c r="K580" s="3">
        <v>42613.0</v>
      </c>
      <c r="L580" s="4">
        <v>1394.6682</v>
      </c>
    </row>
    <row r="581">
      <c r="A581" s="3">
        <v>42615.0</v>
      </c>
      <c r="B581" s="4">
        <v>118.67</v>
      </c>
      <c r="C581" s="3">
        <v>42523.0</v>
      </c>
      <c r="D581" s="4">
        <v>24.5</v>
      </c>
      <c r="E581" s="3">
        <v>42621.0</v>
      </c>
      <c r="F581" s="4">
        <v>114.28</v>
      </c>
      <c r="G581" s="3">
        <v>42620.0</v>
      </c>
      <c r="H581" s="4">
        <v>119.42</v>
      </c>
      <c r="I581" s="3">
        <v>42620.0</v>
      </c>
      <c r="J581" s="4">
        <v>127.23</v>
      </c>
      <c r="K581" s="3">
        <v>42612.0</v>
      </c>
      <c r="L581" s="4">
        <v>1394.3754</v>
      </c>
    </row>
    <row r="582">
      <c r="A582" s="3">
        <v>42614.0</v>
      </c>
      <c r="B582" s="4">
        <v>118.37</v>
      </c>
      <c r="C582" s="3">
        <v>42522.0</v>
      </c>
      <c r="D582" s="4">
        <v>24.5</v>
      </c>
      <c r="E582" s="3">
        <v>42620.0</v>
      </c>
      <c r="F582" s="4">
        <v>114.3</v>
      </c>
      <c r="G582" s="3">
        <v>42619.0</v>
      </c>
      <c r="H582" s="4">
        <v>119.14</v>
      </c>
      <c r="I582" s="3">
        <v>42619.0</v>
      </c>
      <c r="J582" s="4">
        <v>126.96</v>
      </c>
      <c r="K582" s="3">
        <v>42608.0</v>
      </c>
      <c r="L582" s="4">
        <v>1392.1674</v>
      </c>
    </row>
    <row r="583">
      <c r="A583" s="3">
        <v>42613.0</v>
      </c>
      <c r="B583" s="4">
        <v>118.33</v>
      </c>
      <c r="C583" s="3">
        <v>42521.0</v>
      </c>
      <c r="D583" s="4">
        <v>24.5</v>
      </c>
      <c r="E583" s="3">
        <v>42619.0</v>
      </c>
      <c r="F583" s="4">
        <v>114.29</v>
      </c>
      <c r="G583" s="3">
        <v>42618.0</v>
      </c>
      <c r="H583" s="4">
        <v>119.02</v>
      </c>
      <c r="I583" s="3">
        <v>42618.0</v>
      </c>
      <c r="J583" s="4">
        <v>126.82</v>
      </c>
      <c r="K583" s="3">
        <v>42607.0</v>
      </c>
      <c r="L583" s="4">
        <v>1392.1375</v>
      </c>
    </row>
    <row r="584">
      <c r="A584" s="3">
        <v>42612.0</v>
      </c>
      <c r="B584" s="4">
        <v>118.55</v>
      </c>
      <c r="C584" s="3">
        <v>42520.0</v>
      </c>
      <c r="D584" s="4">
        <v>24.5</v>
      </c>
      <c r="E584" s="3">
        <v>42618.0</v>
      </c>
      <c r="F584" s="4">
        <v>114.22</v>
      </c>
      <c r="G584" s="3">
        <v>42615.0</v>
      </c>
      <c r="H584" s="4">
        <v>118.21</v>
      </c>
      <c r="I584" s="3">
        <v>42615.0</v>
      </c>
      <c r="J584" s="4">
        <v>126.57</v>
      </c>
      <c r="K584" s="3">
        <v>42606.0</v>
      </c>
      <c r="L584" s="4">
        <v>1395.6821</v>
      </c>
    </row>
    <row r="585">
      <c r="A585" s="3">
        <v>42611.0</v>
      </c>
      <c r="B585" s="4">
        <v>118.26</v>
      </c>
      <c r="C585" s="3">
        <v>42517.0</v>
      </c>
      <c r="D585" s="4">
        <v>24.5</v>
      </c>
      <c r="E585" s="3">
        <v>42615.0</v>
      </c>
      <c r="F585" s="4">
        <v>114.24</v>
      </c>
      <c r="G585" s="3">
        <v>42614.0</v>
      </c>
      <c r="H585" s="4">
        <v>118.79</v>
      </c>
      <c r="I585" s="3">
        <v>42614.0</v>
      </c>
      <c r="J585" s="4">
        <v>126.59</v>
      </c>
      <c r="K585" s="3">
        <v>42605.0</v>
      </c>
      <c r="L585" s="4">
        <v>1392.3583</v>
      </c>
    </row>
    <row r="586">
      <c r="A586" s="3">
        <v>42608.0</v>
      </c>
      <c r="B586" s="4">
        <v>118.43</v>
      </c>
      <c r="C586" s="3">
        <v>42516.0</v>
      </c>
      <c r="D586" s="4">
        <v>24.5</v>
      </c>
      <c r="E586" s="3">
        <v>42614.0</v>
      </c>
      <c r="F586" s="4">
        <v>114.25</v>
      </c>
      <c r="G586" s="3">
        <v>42613.0</v>
      </c>
      <c r="H586" s="4">
        <v>119.05</v>
      </c>
      <c r="I586" s="3">
        <v>42613.0</v>
      </c>
      <c r="J586" s="4">
        <v>126.71</v>
      </c>
      <c r="K586" s="3">
        <v>42604.0</v>
      </c>
      <c r="L586" s="4">
        <v>1392.22</v>
      </c>
    </row>
    <row r="587">
      <c r="A587" s="3">
        <v>42607.0</v>
      </c>
      <c r="B587" s="4">
        <v>118.26</v>
      </c>
      <c r="C587" s="3">
        <v>42515.0</v>
      </c>
      <c r="D587" s="4">
        <v>24.51</v>
      </c>
      <c r="E587" s="3">
        <v>42613.0</v>
      </c>
      <c r="F587" s="4">
        <v>114.26</v>
      </c>
      <c r="G587" s="3">
        <v>42612.0</v>
      </c>
      <c r="H587" s="4">
        <v>118.52</v>
      </c>
      <c r="I587" s="3">
        <v>42612.0</v>
      </c>
      <c r="J587" s="4">
        <v>126.68</v>
      </c>
      <c r="K587" s="3">
        <v>42601.0</v>
      </c>
      <c r="L587" s="4">
        <v>1391.3229</v>
      </c>
    </row>
    <row r="588">
      <c r="A588" s="3">
        <v>42606.0</v>
      </c>
      <c r="B588" s="4">
        <v>118.37</v>
      </c>
      <c r="C588" s="3">
        <v>42514.0</v>
      </c>
      <c r="D588" s="4">
        <v>24.5</v>
      </c>
      <c r="E588" s="3">
        <v>42612.0</v>
      </c>
      <c r="F588" s="4">
        <v>114.28</v>
      </c>
      <c r="G588" s="3">
        <v>42611.0</v>
      </c>
      <c r="H588" s="4">
        <v>118.7</v>
      </c>
      <c r="I588" s="3">
        <v>42611.0</v>
      </c>
      <c r="J588" s="4">
        <v>126.64</v>
      </c>
      <c r="K588" s="3">
        <v>42600.0</v>
      </c>
      <c r="L588" s="4">
        <v>1388.7847</v>
      </c>
    </row>
    <row r="589">
      <c r="A589" s="3">
        <v>42605.0</v>
      </c>
      <c r="B589" s="4">
        <v>118.36</v>
      </c>
      <c r="C589" s="3">
        <v>42513.0</v>
      </c>
      <c r="D589" s="4">
        <v>24.49</v>
      </c>
      <c r="E589" s="3">
        <v>42611.0</v>
      </c>
      <c r="F589" s="4">
        <v>114.28</v>
      </c>
      <c r="G589" s="3">
        <v>42608.0</v>
      </c>
      <c r="H589" s="4">
        <v>118.33</v>
      </c>
      <c r="I589" s="3">
        <v>42608.0</v>
      </c>
      <c r="J589" s="4">
        <v>126.56</v>
      </c>
      <c r="K589" s="3">
        <v>42599.0</v>
      </c>
      <c r="L589" s="4">
        <v>1392.1726</v>
      </c>
    </row>
    <row r="590">
      <c r="A590" s="3">
        <v>42604.0</v>
      </c>
      <c r="B590" s="4">
        <v>118.12</v>
      </c>
      <c r="C590" s="3">
        <v>42510.0</v>
      </c>
      <c r="D590" s="4">
        <v>24.49</v>
      </c>
      <c r="E590" s="3">
        <v>42608.0</v>
      </c>
      <c r="F590" s="4">
        <v>114.25</v>
      </c>
      <c r="G590" s="3">
        <v>42607.0</v>
      </c>
      <c r="H590" s="4">
        <v>118.76</v>
      </c>
      <c r="I590" s="3">
        <v>42607.0</v>
      </c>
      <c r="J590" s="4">
        <v>126.73</v>
      </c>
      <c r="K590" s="3">
        <v>42598.0</v>
      </c>
      <c r="L590" s="4">
        <v>1394.5078</v>
      </c>
    </row>
    <row r="591">
      <c r="A591" s="3">
        <v>42601.0</v>
      </c>
      <c r="B591" s="4">
        <v>118.2</v>
      </c>
      <c r="C591" s="3">
        <v>42509.0</v>
      </c>
      <c r="D591" s="4">
        <v>24.48</v>
      </c>
      <c r="E591" s="3">
        <v>42607.0</v>
      </c>
      <c r="F591" s="4">
        <v>114.25</v>
      </c>
      <c r="G591" s="3">
        <v>42606.0</v>
      </c>
      <c r="H591" s="4">
        <v>118.61</v>
      </c>
      <c r="I591" s="3">
        <v>42606.0</v>
      </c>
      <c r="J591" s="4">
        <v>126.67</v>
      </c>
      <c r="K591" s="3">
        <v>42594.0</v>
      </c>
      <c r="L591" s="4">
        <v>1390.6299</v>
      </c>
    </row>
    <row r="592">
      <c r="A592" s="3">
        <v>42600.0</v>
      </c>
      <c r="B592" s="4">
        <v>118.31</v>
      </c>
      <c r="C592" s="3">
        <v>42508.0</v>
      </c>
      <c r="D592" s="4">
        <v>24.48</v>
      </c>
      <c r="E592" s="3">
        <v>42606.0</v>
      </c>
      <c r="F592" s="4">
        <v>114.27</v>
      </c>
      <c r="G592" s="3">
        <v>42605.0</v>
      </c>
      <c r="H592" s="4">
        <v>118.03</v>
      </c>
      <c r="I592" s="3">
        <v>42605.0</v>
      </c>
      <c r="J592" s="4">
        <v>126.42</v>
      </c>
      <c r="K592" s="3">
        <v>42593.0</v>
      </c>
      <c r="L592" s="4">
        <v>1387.1469</v>
      </c>
    </row>
    <row r="593">
      <c r="A593" s="3">
        <v>42599.0</v>
      </c>
      <c r="B593" s="4">
        <v>118.01</v>
      </c>
      <c r="C593" s="3">
        <v>42507.0</v>
      </c>
      <c r="D593" s="4">
        <v>24.47</v>
      </c>
      <c r="E593" s="3">
        <v>42605.0</v>
      </c>
      <c r="F593" s="4">
        <v>114.27</v>
      </c>
      <c r="G593" s="3">
        <v>42604.0</v>
      </c>
      <c r="H593" s="4">
        <v>118.09</v>
      </c>
      <c r="I593" s="3">
        <v>42604.0</v>
      </c>
      <c r="J593" s="4">
        <v>126.29</v>
      </c>
      <c r="K593" s="3">
        <v>42592.0</v>
      </c>
      <c r="L593" s="4">
        <v>1388.1493</v>
      </c>
    </row>
    <row r="594">
      <c r="A594" s="3">
        <v>42598.0</v>
      </c>
      <c r="B594" s="4">
        <v>118.16</v>
      </c>
      <c r="C594" s="3">
        <v>42503.0</v>
      </c>
      <c r="D594" s="4">
        <v>24.47</v>
      </c>
      <c r="E594" s="3">
        <v>42604.0</v>
      </c>
      <c r="F594" s="4">
        <v>114.25</v>
      </c>
      <c r="G594" s="3">
        <v>42601.0</v>
      </c>
      <c r="H594" s="4">
        <v>118.68</v>
      </c>
      <c r="I594" s="3">
        <v>42601.0</v>
      </c>
      <c r="J594" s="4">
        <v>126.52</v>
      </c>
      <c r="K594" s="3">
        <v>42591.0</v>
      </c>
      <c r="L594" s="4">
        <v>1383.7003</v>
      </c>
    </row>
    <row r="595">
      <c r="A595" s="3">
        <v>42594.0</v>
      </c>
      <c r="B595" s="4">
        <v>118.35</v>
      </c>
      <c r="C595" s="3">
        <v>42502.0</v>
      </c>
      <c r="D595" s="4">
        <v>24.46</v>
      </c>
      <c r="E595" s="3">
        <v>42601.0</v>
      </c>
      <c r="F595" s="4">
        <v>114.19</v>
      </c>
      <c r="G595" s="3">
        <v>42600.0</v>
      </c>
      <c r="H595" s="4">
        <v>118.22</v>
      </c>
      <c r="I595" s="3">
        <v>42600.0</v>
      </c>
      <c r="J595" s="4">
        <v>126.4</v>
      </c>
      <c r="K595" s="3">
        <v>42590.0</v>
      </c>
      <c r="L595" s="4">
        <v>1383.0214</v>
      </c>
    </row>
    <row r="596">
      <c r="A596" s="3">
        <v>42593.0</v>
      </c>
      <c r="B596" s="4">
        <v>118.31</v>
      </c>
      <c r="C596" s="3">
        <v>42501.0</v>
      </c>
      <c r="D596" s="4">
        <v>24.46</v>
      </c>
      <c r="E596" s="3">
        <v>42600.0</v>
      </c>
      <c r="F596" s="4">
        <v>114.21</v>
      </c>
      <c r="G596" s="3">
        <v>42599.0</v>
      </c>
      <c r="H596" s="4">
        <v>118.72</v>
      </c>
      <c r="I596" s="3">
        <v>42599.0</v>
      </c>
      <c r="J596" s="4">
        <v>126.56</v>
      </c>
      <c r="K596" s="3">
        <v>42587.0</v>
      </c>
      <c r="L596" s="4">
        <v>1377.4663</v>
      </c>
    </row>
    <row r="597">
      <c r="A597" s="3">
        <v>42592.0</v>
      </c>
      <c r="B597" s="4">
        <v>118.14</v>
      </c>
      <c r="C597" s="3">
        <v>42500.0</v>
      </c>
      <c r="D597" s="4">
        <v>24.46</v>
      </c>
      <c r="E597" s="3">
        <v>42599.0</v>
      </c>
      <c r="F597" s="4">
        <v>114.22</v>
      </c>
      <c r="G597" s="3">
        <v>42598.0</v>
      </c>
      <c r="H597" s="4">
        <v>119.4</v>
      </c>
      <c r="I597" s="3">
        <v>42598.0</v>
      </c>
      <c r="J597" s="4">
        <v>127.05</v>
      </c>
      <c r="K597" s="3">
        <v>42586.0</v>
      </c>
      <c r="L597" s="4">
        <v>1373.7072</v>
      </c>
    </row>
    <row r="598">
      <c r="A598" s="3">
        <v>42591.0</v>
      </c>
      <c r="B598" s="4">
        <v>118.23</v>
      </c>
      <c r="C598" s="3">
        <v>42499.0</v>
      </c>
      <c r="D598" s="4">
        <v>24.46</v>
      </c>
      <c r="E598" s="3">
        <v>42598.0</v>
      </c>
      <c r="F598" s="4">
        <v>114.22</v>
      </c>
      <c r="G598" s="3">
        <v>42594.0</v>
      </c>
      <c r="H598" s="4">
        <v>119.4</v>
      </c>
      <c r="I598" s="3">
        <v>42594.0</v>
      </c>
      <c r="J598" s="4">
        <v>126.96</v>
      </c>
      <c r="K598" s="3">
        <v>42585.0</v>
      </c>
      <c r="L598" s="4">
        <v>1370.8319</v>
      </c>
    </row>
    <row r="599">
      <c r="A599" s="3">
        <v>42590.0</v>
      </c>
      <c r="B599" s="4">
        <v>117.97</v>
      </c>
      <c r="C599" s="3">
        <v>42496.0</v>
      </c>
      <c r="D599" s="4">
        <v>24.47</v>
      </c>
      <c r="E599" s="3">
        <v>42594.0</v>
      </c>
      <c r="F599" s="4">
        <v>114.19</v>
      </c>
      <c r="G599" s="3">
        <v>42593.0</v>
      </c>
      <c r="H599" s="4">
        <v>119.21</v>
      </c>
      <c r="I599" s="3">
        <v>42593.0</v>
      </c>
      <c r="J599" s="4">
        <v>126.93</v>
      </c>
      <c r="K599" s="3">
        <v>42584.0</v>
      </c>
      <c r="L599" s="4">
        <v>1379.3383</v>
      </c>
    </row>
    <row r="600">
      <c r="A600" s="3">
        <v>42587.0</v>
      </c>
      <c r="B600" s="4">
        <v>117.89</v>
      </c>
      <c r="C600" s="3">
        <v>42494.0</v>
      </c>
      <c r="D600" s="4">
        <v>24.47</v>
      </c>
      <c r="E600" s="3">
        <v>42593.0</v>
      </c>
      <c r="F600" s="4">
        <v>114.2</v>
      </c>
      <c r="G600" s="3">
        <v>42592.0</v>
      </c>
      <c r="H600" s="4">
        <v>119.1</v>
      </c>
      <c r="I600" s="3">
        <v>42592.0</v>
      </c>
      <c r="J600" s="4">
        <v>126.82</v>
      </c>
      <c r="K600" s="3">
        <v>42583.0</v>
      </c>
      <c r="L600" s="4">
        <v>1380.101</v>
      </c>
    </row>
    <row r="601">
      <c r="A601" s="3">
        <v>42586.0</v>
      </c>
      <c r="B601" s="4">
        <v>117.62</v>
      </c>
      <c r="C601" s="3">
        <v>42493.0</v>
      </c>
      <c r="D601" s="4">
        <v>24.47</v>
      </c>
      <c r="E601" s="3">
        <v>42592.0</v>
      </c>
      <c r="F601" s="4">
        <v>114.22</v>
      </c>
      <c r="G601" s="3">
        <v>42591.0</v>
      </c>
      <c r="H601" s="4">
        <v>118.0</v>
      </c>
      <c r="I601" s="3">
        <v>42591.0</v>
      </c>
      <c r="J601" s="4">
        <v>126.29</v>
      </c>
      <c r="K601" s="3">
        <v>42580.0</v>
      </c>
      <c r="L601" s="4">
        <v>1379.9664</v>
      </c>
    </row>
    <row r="602">
      <c r="A602" s="3">
        <v>42585.0</v>
      </c>
      <c r="B602" s="4">
        <v>117.25</v>
      </c>
      <c r="C602" s="3">
        <v>42492.0</v>
      </c>
      <c r="D602" s="4">
        <v>24.48</v>
      </c>
      <c r="E602" s="3">
        <v>42591.0</v>
      </c>
      <c r="F602" s="4">
        <v>114.19</v>
      </c>
      <c r="G602" s="3">
        <v>42590.0</v>
      </c>
      <c r="H602" s="4">
        <v>117.66</v>
      </c>
      <c r="I602" s="3">
        <v>42590.0</v>
      </c>
      <c r="J602" s="4">
        <v>126.12</v>
      </c>
      <c r="K602" s="3">
        <v>42579.0</v>
      </c>
      <c r="L602" s="4">
        <v>1378.726</v>
      </c>
    </row>
    <row r="603">
      <c r="A603" s="3">
        <v>42584.0</v>
      </c>
      <c r="B603" s="4">
        <v>117.37</v>
      </c>
      <c r="C603" s="3">
        <v>42489.0</v>
      </c>
      <c r="D603" s="4">
        <v>24.48</v>
      </c>
      <c r="E603" s="3">
        <v>42590.0</v>
      </c>
      <c r="F603" s="4">
        <v>114.19</v>
      </c>
      <c r="G603" s="3">
        <v>42587.0</v>
      </c>
      <c r="H603" s="4">
        <v>117.34</v>
      </c>
      <c r="I603" s="3">
        <v>42587.0</v>
      </c>
      <c r="J603" s="4">
        <v>125.94</v>
      </c>
      <c r="K603" s="3">
        <v>42578.0</v>
      </c>
      <c r="L603" s="4">
        <v>1378.631</v>
      </c>
    </row>
    <row r="604">
      <c r="A604" s="3">
        <v>42583.0</v>
      </c>
      <c r="B604" s="4">
        <v>117.72</v>
      </c>
      <c r="C604" s="3">
        <v>42488.0</v>
      </c>
      <c r="D604" s="4">
        <v>24.5</v>
      </c>
      <c r="E604" s="3">
        <v>42587.0</v>
      </c>
      <c r="F604" s="4">
        <v>114.14</v>
      </c>
      <c r="G604" s="3">
        <v>42586.0</v>
      </c>
      <c r="H604" s="4">
        <v>116.62</v>
      </c>
      <c r="I604" s="3">
        <v>42586.0</v>
      </c>
      <c r="J604" s="4">
        <v>125.62</v>
      </c>
      <c r="K604" s="3">
        <v>42577.0</v>
      </c>
      <c r="L604" s="4">
        <v>1373.7025</v>
      </c>
    </row>
    <row r="605">
      <c r="A605" s="3">
        <v>42580.0</v>
      </c>
      <c r="B605" s="4">
        <v>117.6</v>
      </c>
      <c r="C605" s="3">
        <v>42487.0</v>
      </c>
      <c r="D605" s="4">
        <v>24.49</v>
      </c>
      <c r="E605" s="3">
        <v>42586.0</v>
      </c>
      <c r="F605" s="4">
        <v>114.12</v>
      </c>
      <c r="G605" s="3">
        <v>42585.0</v>
      </c>
      <c r="H605" s="4">
        <v>116.6</v>
      </c>
      <c r="I605" s="3">
        <v>42585.0</v>
      </c>
      <c r="J605" s="4">
        <v>125.5</v>
      </c>
      <c r="K605" s="3">
        <v>42576.0</v>
      </c>
      <c r="L605" s="4">
        <v>1373.9349</v>
      </c>
    </row>
    <row r="606">
      <c r="A606" s="3">
        <v>42579.0</v>
      </c>
      <c r="B606" s="4">
        <v>117.44</v>
      </c>
      <c r="C606" s="3">
        <v>42486.0</v>
      </c>
      <c r="D606" s="4">
        <v>24.49</v>
      </c>
      <c r="E606" s="3">
        <v>42585.0</v>
      </c>
      <c r="F606" s="4">
        <v>114.11</v>
      </c>
      <c r="G606" s="3">
        <v>42584.0</v>
      </c>
      <c r="H606" s="4">
        <v>117.87</v>
      </c>
      <c r="I606" s="3">
        <v>42584.0</v>
      </c>
      <c r="J606" s="4">
        <v>126.03</v>
      </c>
      <c r="K606" s="3">
        <v>42573.0</v>
      </c>
      <c r="L606" s="4">
        <v>1372.1801</v>
      </c>
    </row>
    <row r="607">
      <c r="A607" s="3">
        <v>42578.0</v>
      </c>
      <c r="B607" s="4">
        <v>117.52</v>
      </c>
      <c r="C607" s="3">
        <v>42485.0</v>
      </c>
      <c r="D607" s="4">
        <v>24.5</v>
      </c>
      <c r="E607" s="3">
        <v>42584.0</v>
      </c>
      <c r="F607" s="4">
        <v>114.14</v>
      </c>
      <c r="G607" s="3">
        <v>42583.0</v>
      </c>
      <c r="H607" s="4">
        <v>118.05</v>
      </c>
      <c r="I607" s="3">
        <v>42583.0</v>
      </c>
      <c r="J607" s="4">
        <v>126.04</v>
      </c>
      <c r="K607" s="3">
        <v>42572.0</v>
      </c>
      <c r="L607" s="4">
        <v>1375.5391</v>
      </c>
    </row>
    <row r="608">
      <c r="A608" s="3">
        <v>42577.0</v>
      </c>
      <c r="B608" s="4">
        <v>117.29</v>
      </c>
      <c r="C608" s="3">
        <v>42482.0</v>
      </c>
      <c r="D608" s="4">
        <v>24.5</v>
      </c>
      <c r="E608" s="3">
        <v>42583.0</v>
      </c>
      <c r="F608" s="4">
        <v>114.14</v>
      </c>
      <c r="G608" s="3">
        <v>42580.0</v>
      </c>
      <c r="H608" s="4">
        <v>117.68</v>
      </c>
      <c r="I608" s="3">
        <v>42580.0</v>
      </c>
      <c r="J608" s="4">
        <v>126.05</v>
      </c>
      <c r="K608" s="3">
        <v>42571.0</v>
      </c>
      <c r="L608" s="4">
        <v>1369.7091</v>
      </c>
    </row>
    <row r="609">
      <c r="A609" s="3">
        <v>42576.0</v>
      </c>
      <c r="B609" s="4">
        <v>117.24</v>
      </c>
      <c r="C609" s="3">
        <v>42481.0</v>
      </c>
      <c r="D609" s="4">
        <v>24.47</v>
      </c>
      <c r="E609" s="3">
        <v>42580.0</v>
      </c>
      <c r="F609" s="4">
        <v>114.12</v>
      </c>
      <c r="G609" s="3">
        <v>42579.0</v>
      </c>
      <c r="H609" s="4">
        <v>117.85</v>
      </c>
      <c r="I609" s="3">
        <v>42579.0</v>
      </c>
      <c r="J609" s="4">
        <v>126.19</v>
      </c>
      <c r="K609" s="3">
        <v>42570.0</v>
      </c>
      <c r="L609" s="4">
        <v>1371.2461</v>
      </c>
    </row>
    <row r="610">
      <c r="A610" s="3">
        <v>42573.0</v>
      </c>
      <c r="B610" s="4">
        <v>117.12</v>
      </c>
      <c r="C610" s="3">
        <v>42480.0</v>
      </c>
      <c r="D610" s="4">
        <v>24.46</v>
      </c>
      <c r="E610" s="3">
        <v>42579.0</v>
      </c>
      <c r="F610" s="4">
        <v>114.13</v>
      </c>
      <c r="G610" s="3">
        <v>42578.0</v>
      </c>
      <c r="H610" s="4">
        <v>117.37</v>
      </c>
      <c r="I610" s="3">
        <v>42578.0</v>
      </c>
      <c r="J610" s="4">
        <v>126.04</v>
      </c>
      <c r="K610" s="3">
        <v>42569.0</v>
      </c>
      <c r="L610" s="4">
        <v>1369.1714</v>
      </c>
    </row>
    <row r="611">
      <c r="A611" s="3">
        <v>42572.0</v>
      </c>
      <c r="B611" s="4">
        <v>117.06</v>
      </c>
      <c r="C611" s="3">
        <v>42479.0</v>
      </c>
      <c r="D611" s="4">
        <v>24.46</v>
      </c>
      <c r="E611" s="3">
        <v>42578.0</v>
      </c>
      <c r="F611" s="4">
        <v>114.12</v>
      </c>
      <c r="G611" s="3">
        <v>42577.0</v>
      </c>
      <c r="H611" s="4">
        <v>117.34</v>
      </c>
      <c r="I611" s="3">
        <v>42577.0</v>
      </c>
      <c r="J611" s="4">
        <v>126.22</v>
      </c>
      <c r="K611" s="3">
        <v>42566.0</v>
      </c>
      <c r="L611" s="4">
        <v>1369.3474</v>
      </c>
    </row>
    <row r="612">
      <c r="A612" s="3">
        <v>42571.0</v>
      </c>
      <c r="B612" s="4">
        <v>117.05</v>
      </c>
      <c r="C612" s="3">
        <v>42478.0</v>
      </c>
      <c r="D612" s="4">
        <v>24.46</v>
      </c>
      <c r="E612" s="3">
        <v>42577.0</v>
      </c>
      <c r="F612" s="4">
        <v>114.13</v>
      </c>
      <c r="G612" s="3">
        <v>42576.0</v>
      </c>
      <c r="H612" s="4">
        <v>117.43</v>
      </c>
      <c r="I612" s="3">
        <v>42576.0</v>
      </c>
      <c r="J612" s="4">
        <v>126.23</v>
      </c>
      <c r="K612" s="3">
        <v>42565.0</v>
      </c>
      <c r="L612" s="4">
        <v>1367.7404</v>
      </c>
    </row>
    <row r="613">
      <c r="A613" s="3">
        <v>42570.0</v>
      </c>
      <c r="B613" s="4">
        <v>116.82</v>
      </c>
      <c r="C613" s="3">
        <v>42475.0</v>
      </c>
      <c r="D613" s="4">
        <v>24.46</v>
      </c>
      <c r="E613" s="3">
        <v>42576.0</v>
      </c>
      <c r="F613" s="4">
        <v>114.13</v>
      </c>
      <c r="G613" s="3">
        <v>42573.0</v>
      </c>
      <c r="H613" s="4">
        <v>117.41</v>
      </c>
      <c r="I613" s="3">
        <v>42573.0</v>
      </c>
      <c r="J613" s="4">
        <v>126.01</v>
      </c>
      <c r="K613" s="3">
        <v>42564.0</v>
      </c>
      <c r="L613" s="4">
        <v>1366.5679</v>
      </c>
    </row>
    <row r="614">
      <c r="A614" s="3">
        <v>42569.0</v>
      </c>
      <c r="B614" s="4">
        <v>116.85</v>
      </c>
      <c r="C614" s="3">
        <v>42474.0</v>
      </c>
      <c r="D614" s="4">
        <v>24.47</v>
      </c>
      <c r="E614" s="3">
        <v>42573.0</v>
      </c>
      <c r="F614" s="4">
        <v>114.09</v>
      </c>
      <c r="G614" s="3">
        <v>42572.0</v>
      </c>
      <c r="H614" s="4">
        <v>117.43</v>
      </c>
      <c r="I614" s="3">
        <v>42572.0</v>
      </c>
      <c r="J614" s="4">
        <v>125.97</v>
      </c>
      <c r="K614" s="3">
        <v>42563.0</v>
      </c>
      <c r="L614" s="4">
        <v>1361.4249</v>
      </c>
    </row>
    <row r="615">
      <c r="A615" s="3">
        <v>42566.0</v>
      </c>
      <c r="B615" s="4">
        <v>116.82</v>
      </c>
      <c r="C615" s="3">
        <v>42473.0</v>
      </c>
      <c r="D615" s="4">
        <v>24.47</v>
      </c>
      <c r="E615" s="3">
        <v>42572.0</v>
      </c>
      <c r="F615" s="4">
        <v>114.06</v>
      </c>
      <c r="G615" s="3">
        <v>42571.0</v>
      </c>
      <c r="H615" s="4">
        <v>117.46</v>
      </c>
      <c r="I615" s="3">
        <v>42571.0</v>
      </c>
      <c r="J615" s="4">
        <v>125.57</v>
      </c>
      <c r="K615" s="3">
        <v>42562.0</v>
      </c>
      <c r="L615" s="4">
        <v>1354.7418</v>
      </c>
    </row>
    <row r="616">
      <c r="A616" s="3">
        <v>42564.0</v>
      </c>
      <c r="B616" s="4">
        <v>116.59</v>
      </c>
      <c r="C616" s="3">
        <v>42472.0</v>
      </c>
      <c r="D616" s="4">
        <v>24.45</v>
      </c>
      <c r="E616" s="3">
        <v>42571.0</v>
      </c>
      <c r="F616" s="4">
        <v>114.09</v>
      </c>
      <c r="G616" s="3">
        <v>42570.0</v>
      </c>
      <c r="H616" s="4">
        <v>117.45</v>
      </c>
      <c r="I616" s="3">
        <v>42570.0</v>
      </c>
      <c r="J616" s="4">
        <v>125.45</v>
      </c>
      <c r="K616" s="3">
        <v>42559.0</v>
      </c>
      <c r="L616" s="4">
        <v>1344.438</v>
      </c>
    </row>
    <row r="617">
      <c r="A617" s="3">
        <v>42563.0</v>
      </c>
      <c r="B617" s="4">
        <v>116.5</v>
      </c>
      <c r="C617" s="3">
        <v>42471.0</v>
      </c>
      <c r="D617" s="4">
        <v>24.44</v>
      </c>
      <c r="E617" s="3">
        <v>42570.0</v>
      </c>
      <c r="F617" s="4">
        <v>114.13</v>
      </c>
      <c r="G617" s="3">
        <v>42569.0</v>
      </c>
      <c r="H617" s="4">
        <v>117.34</v>
      </c>
      <c r="I617" s="3">
        <v>42569.0</v>
      </c>
      <c r="J617" s="4">
        <v>125.32</v>
      </c>
      <c r="K617" s="3">
        <v>42558.0</v>
      </c>
      <c r="L617" s="4">
        <v>1341.6543</v>
      </c>
    </row>
    <row r="618">
      <c r="A618" s="3">
        <v>42562.0</v>
      </c>
      <c r="B618" s="4">
        <v>116.17</v>
      </c>
      <c r="C618" s="3">
        <v>42468.0</v>
      </c>
      <c r="D618" s="4">
        <v>24.44</v>
      </c>
      <c r="E618" s="3">
        <v>42569.0</v>
      </c>
      <c r="F618" s="4">
        <v>114.17</v>
      </c>
      <c r="G618" s="3">
        <v>42566.0</v>
      </c>
      <c r="H618" s="4">
        <v>117.64</v>
      </c>
      <c r="I618" s="3">
        <v>42566.0</v>
      </c>
      <c r="J618" s="4">
        <v>125.5</v>
      </c>
      <c r="K618" s="3">
        <v>42557.0</v>
      </c>
      <c r="L618" s="4">
        <v>1332.3885</v>
      </c>
    </row>
    <row r="619">
      <c r="A619" s="3">
        <v>42559.0</v>
      </c>
      <c r="B619" s="4">
        <v>115.71</v>
      </c>
      <c r="C619" s="3">
        <v>42467.0</v>
      </c>
      <c r="D619" s="4">
        <v>24.44</v>
      </c>
      <c r="E619" s="3">
        <v>42566.0</v>
      </c>
      <c r="F619" s="4">
        <v>114.17</v>
      </c>
      <c r="G619" s="3">
        <v>42565.0</v>
      </c>
      <c r="H619" s="4">
        <v>117.86</v>
      </c>
      <c r="I619" s="3">
        <v>42565.0</v>
      </c>
      <c r="J619" s="4">
        <v>125.41</v>
      </c>
      <c r="K619" s="3">
        <v>42556.0</v>
      </c>
      <c r="L619" s="4">
        <v>1348.5261</v>
      </c>
    </row>
    <row r="620">
      <c r="A620" s="3">
        <v>42558.0</v>
      </c>
      <c r="B620" s="4">
        <v>115.36</v>
      </c>
      <c r="C620" s="3">
        <v>42466.0</v>
      </c>
      <c r="D620" s="4">
        <v>24.44</v>
      </c>
      <c r="E620" s="3">
        <v>42565.0</v>
      </c>
      <c r="F620" s="4">
        <v>114.17</v>
      </c>
      <c r="G620" s="3">
        <v>42564.0</v>
      </c>
      <c r="H620" s="4">
        <v>117.62</v>
      </c>
      <c r="I620" s="3">
        <v>42564.0</v>
      </c>
      <c r="J620" s="4">
        <v>125.38</v>
      </c>
      <c r="K620" s="3">
        <v>42555.0</v>
      </c>
      <c r="L620" s="4">
        <v>1349.4156</v>
      </c>
    </row>
    <row r="621">
      <c r="A621" s="3">
        <v>42557.0</v>
      </c>
      <c r="B621" s="4">
        <v>115.22</v>
      </c>
      <c r="C621" s="3">
        <v>42465.0</v>
      </c>
      <c r="D621" s="4">
        <v>24.44</v>
      </c>
      <c r="E621" s="3">
        <v>42564.0</v>
      </c>
      <c r="F621" s="4">
        <v>114.17</v>
      </c>
      <c r="G621" s="3">
        <v>42563.0</v>
      </c>
      <c r="H621" s="4">
        <v>117.93</v>
      </c>
      <c r="I621" s="3">
        <v>42563.0</v>
      </c>
      <c r="J621" s="4">
        <v>125.51</v>
      </c>
      <c r="K621" s="3">
        <v>42552.0</v>
      </c>
      <c r="L621" s="4">
        <v>1347.3255</v>
      </c>
    </row>
    <row r="622">
      <c r="A622" s="3">
        <v>42556.0</v>
      </c>
      <c r="B622" s="4">
        <v>115.87</v>
      </c>
      <c r="C622" s="3">
        <v>42464.0</v>
      </c>
      <c r="D622" s="4">
        <v>24.44</v>
      </c>
      <c r="E622" s="3">
        <v>42563.0</v>
      </c>
      <c r="F622" s="4">
        <v>114.18</v>
      </c>
      <c r="G622" s="3">
        <v>42562.0</v>
      </c>
      <c r="H622" s="4">
        <v>118.1</v>
      </c>
      <c r="I622" s="3">
        <v>42562.0</v>
      </c>
      <c r="J622" s="4">
        <v>125.27</v>
      </c>
      <c r="K622" s="3">
        <v>42551.0</v>
      </c>
      <c r="L622" s="4">
        <v>1342.1172</v>
      </c>
    </row>
    <row r="623">
      <c r="A623" s="3">
        <v>42555.0</v>
      </c>
      <c r="B623" s="4">
        <v>116.3</v>
      </c>
      <c r="C623" s="3">
        <v>42461.0</v>
      </c>
      <c r="D623" s="4">
        <v>24.44</v>
      </c>
      <c r="E623" s="3">
        <v>42562.0</v>
      </c>
      <c r="F623" s="4">
        <v>114.16</v>
      </c>
      <c r="G623" s="3">
        <v>42559.0</v>
      </c>
      <c r="H623" s="4">
        <v>117.9</v>
      </c>
      <c r="I623" s="3">
        <v>42559.0</v>
      </c>
      <c r="J623" s="4">
        <v>124.8</v>
      </c>
      <c r="K623" s="3">
        <v>42550.0</v>
      </c>
      <c r="L623" s="4">
        <v>1330.9463</v>
      </c>
    </row>
    <row r="624">
      <c r="A624" s="3">
        <v>42552.0</v>
      </c>
      <c r="B624" s="4">
        <v>116.46</v>
      </c>
      <c r="C624" s="3">
        <v>42460.0</v>
      </c>
      <c r="D624" s="4">
        <v>24.45</v>
      </c>
      <c r="E624" s="3">
        <v>42559.0</v>
      </c>
      <c r="F624" s="4">
        <v>114.11</v>
      </c>
      <c r="G624" s="3">
        <v>42558.0</v>
      </c>
      <c r="H624" s="4">
        <v>118.06</v>
      </c>
      <c r="I624" s="3">
        <v>42558.0</v>
      </c>
      <c r="J624" s="4">
        <v>124.64</v>
      </c>
      <c r="K624" s="3">
        <v>42549.0</v>
      </c>
      <c r="L624" s="4">
        <v>1320.9557</v>
      </c>
    </row>
    <row r="625">
      <c r="A625" s="3">
        <v>42551.0</v>
      </c>
      <c r="B625" s="4">
        <v>116.21</v>
      </c>
      <c r="C625" s="3">
        <v>42459.0</v>
      </c>
      <c r="D625" s="4">
        <v>24.45</v>
      </c>
      <c r="E625" s="3">
        <v>42558.0</v>
      </c>
      <c r="F625" s="4">
        <v>114.08</v>
      </c>
      <c r="G625" s="3">
        <v>42557.0</v>
      </c>
      <c r="H625" s="4">
        <v>118.02</v>
      </c>
      <c r="I625" s="3">
        <v>42557.0</v>
      </c>
      <c r="J625" s="4">
        <v>124.63</v>
      </c>
      <c r="K625" s="3">
        <v>42548.0</v>
      </c>
      <c r="L625" s="4">
        <v>1324.516</v>
      </c>
    </row>
    <row r="626">
      <c r="A626" s="3">
        <v>42550.0</v>
      </c>
      <c r="B626" s="4">
        <v>115.91</v>
      </c>
      <c r="C626" s="3">
        <v>42458.0</v>
      </c>
      <c r="D626" s="4">
        <v>24.47</v>
      </c>
      <c r="E626" s="3">
        <v>42557.0</v>
      </c>
      <c r="F626" s="4">
        <v>114.08</v>
      </c>
      <c r="G626" s="3">
        <v>42556.0</v>
      </c>
      <c r="H626" s="4">
        <v>117.75</v>
      </c>
      <c r="I626" s="3">
        <v>42556.0</v>
      </c>
      <c r="J626" s="4">
        <v>124.58</v>
      </c>
      <c r="K626" s="3">
        <v>42545.0</v>
      </c>
      <c r="L626" s="4">
        <v>1362.5864</v>
      </c>
    </row>
    <row r="627">
      <c r="A627" s="3">
        <v>42549.0</v>
      </c>
      <c r="B627" s="4">
        <v>115.0</v>
      </c>
      <c r="C627" s="3">
        <v>42453.0</v>
      </c>
      <c r="D627" s="4">
        <v>24.46</v>
      </c>
      <c r="E627" s="3">
        <v>42556.0</v>
      </c>
      <c r="F627" s="4">
        <v>114.09</v>
      </c>
      <c r="G627" s="3">
        <v>42555.0</v>
      </c>
      <c r="H627" s="4">
        <v>117.73</v>
      </c>
      <c r="I627" s="3">
        <v>42555.0</v>
      </c>
      <c r="J627" s="4">
        <v>124.63</v>
      </c>
      <c r="K627" s="3">
        <v>42543.0</v>
      </c>
      <c r="L627" s="4">
        <v>1358.8356</v>
      </c>
    </row>
    <row r="628">
      <c r="A628" s="3">
        <v>42548.0</v>
      </c>
      <c r="B628" s="4">
        <v>114.55</v>
      </c>
      <c r="C628" s="3">
        <v>42452.0</v>
      </c>
      <c r="D628" s="4">
        <v>24.45</v>
      </c>
      <c r="E628" s="3">
        <v>42555.0</v>
      </c>
      <c r="F628" s="4">
        <v>114.08</v>
      </c>
      <c r="G628" s="3">
        <v>42552.0</v>
      </c>
      <c r="H628" s="4">
        <v>117.54</v>
      </c>
      <c r="I628" s="3">
        <v>42552.0</v>
      </c>
      <c r="J628" s="4">
        <v>124.34</v>
      </c>
      <c r="K628" s="3">
        <v>42542.0</v>
      </c>
      <c r="L628" s="4">
        <v>1358.6848</v>
      </c>
    </row>
    <row r="629">
      <c r="A629" s="3">
        <v>42545.0</v>
      </c>
      <c r="B629" s="4">
        <v>115.85</v>
      </c>
      <c r="C629" s="3">
        <v>42451.0</v>
      </c>
      <c r="D629" s="4">
        <v>24.45</v>
      </c>
      <c r="E629" s="3">
        <v>42552.0</v>
      </c>
      <c r="F629" s="4">
        <v>114.05</v>
      </c>
      <c r="G629" s="3">
        <v>42551.0</v>
      </c>
      <c r="H629" s="4">
        <v>117.43</v>
      </c>
      <c r="I629" s="3">
        <v>42551.0</v>
      </c>
      <c r="J629" s="4">
        <v>124.1</v>
      </c>
      <c r="K629" s="3">
        <v>42541.0</v>
      </c>
      <c r="L629" s="4">
        <v>1350.2903</v>
      </c>
    </row>
    <row r="630">
      <c r="A630" s="3">
        <v>42543.0</v>
      </c>
      <c r="B630" s="4">
        <v>117.52</v>
      </c>
      <c r="C630" s="3">
        <v>42450.0</v>
      </c>
      <c r="D630" s="4">
        <v>24.45</v>
      </c>
      <c r="E630" s="3">
        <v>42551.0</v>
      </c>
      <c r="F630" s="4">
        <v>114.03</v>
      </c>
      <c r="G630" s="3">
        <v>42550.0</v>
      </c>
      <c r="H630" s="4">
        <v>117.35</v>
      </c>
      <c r="I630" s="3">
        <v>42550.0</v>
      </c>
      <c r="J630" s="4">
        <v>124.05</v>
      </c>
      <c r="K630" s="3">
        <v>42538.0</v>
      </c>
      <c r="L630" s="4">
        <v>1350.0227</v>
      </c>
    </row>
    <row r="631">
      <c r="A631" s="3">
        <v>42542.0</v>
      </c>
      <c r="B631" s="4">
        <v>117.33</v>
      </c>
      <c r="C631" s="3">
        <v>42447.0</v>
      </c>
      <c r="D631" s="4">
        <v>24.45</v>
      </c>
      <c r="E631" s="3">
        <v>42550.0</v>
      </c>
      <c r="F631" s="4">
        <v>114.03</v>
      </c>
      <c r="G631" s="3">
        <v>42549.0</v>
      </c>
      <c r="H631" s="4">
        <v>117.15</v>
      </c>
      <c r="I631" s="3">
        <v>42549.0</v>
      </c>
      <c r="J631" s="4">
        <v>124.21</v>
      </c>
      <c r="K631" s="3">
        <v>42537.0</v>
      </c>
      <c r="L631" s="4">
        <v>1351.191</v>
      </c>
    </row>
    <row r="632">
      <c r="A632" s="3">
        <v>42541.0</v>
      </c>
      <c r="B632" s="4">
        <v>117.17</v>
      </c>
      <c r="C632" s="3">
        <v>42446.0</v>
      </c>
      <c r="D632" s="4">
        <v>24.45</v>
      </c>
      <c r="E632" s="3">
        <v>42549.0</v>
      </c>
      <c r="F632" s="4">
        <v>113.97</v>
      </c>
      <c r="G632" s="3">
        <v>42548.0</v>
      </c>
      <c r="H632" s="4">
        <v>116.69</v>
      </c>
      <c r="I632" s="3">
        <v>42548.0</v>
      </c>
      <c r="J632" s="4">
        <v>124.0</v>
      </c>
      <c r="K632" s="3">
        <v>42536.0</v>
      </c>
      <c r="L632" s="4">
        <v>1351.811</v>
      </c>
    </row>
    <row r="633">
      <c r="A633" s="3">
        <v>42538.0</v>
      </c>
      <c r="B633" s="4">
        <v>116.42</v>
      </c>
      <c r="C633" s="3">
        <v>42445.0</v>
      </c>
      <c r="D633" s="4">
        <v>24.46</v>
      </c>
      <c r="E633" s="3">
        <v>42548.0</v>
      </c>
      <c r="F633" s="4">
        <v>113.92</v>
      </c>
      <c r="G633" s="3">
        <v>42545.0</v>
      </c>
      <c r="H633" s="4">
        <v>115.81</v>
      </c>
      <c r="I633" s="3">
        <v>42545.0</v>
      </c>
      <c r="J633" s="4">
        <v>123.24</v>
      </c>
      <c r="K633" s="3">
        <v>42535.0</v>
      </c>
      <c r="L633" s="4">
        <v>1357.714</v>
      </c>
    </row>
    <row r="634">
      <c r="A634" s="3">
        <v>42537.0</v>
      </c>
      <c r="B634" s="4">
        <v>116.17</v>
      </c>
      <c r="C634" s="3">
        <v>42444.0</v>
      </c>
      <c r="D634" s="4">
        <v>24.46</v>
      </c>
      <c r="E634" s="3">
        <v>42545.0</v>
      </c>
      <c r="F634" s="4">
        <v>113.88</v>
      </c>
      <c r="G634" s="3">
        <v>42543.0</v>
      </c>
      <c r="H634" s="4">
        <v>116.02</v>
      </c>
      <c r="I634" s="3">
        <v>42543.0</v>
      </c>
      <c r="J634" s="4">
        <v>123.44</v>
      </c>
      <c r="K634" s="3">
        <v>42534.0</v>
      </c>
      <c r="L634" s="4">
        <v>1361.126</v>
      </c>
    </row>
    <row r="635">
      <c r="A635" s="3">
        <v>42536.0</v>
      </c>
      <c r="B635" s="4">
        <v>116.45</v>
      </c>
      <c r="C635" s="3">
        <v>42443.0</v>
      </c>
      <c r="D635" s="4">
        <v>24.47</v>
      </c>
      <c r="E635" s="3">
        <v>42543.0</v>
      </c>
      <c r="F635" s="4">
        <v>114.02</v>
      </c>
      <c r="G635" s="3">
        <v>42542.0</v>
      </c>
      <c r="H635" s="4">
        <v>116.03</v>
      </c>
      <c r="I635" s="3">
        <v>42542.0</v>
      </c>
      <c r="J635" s="4">
        <v>123.27</v>
      </c>
      <c r="K635" s="3">
        <v>42531.0</v>
      </c>
      <c r="L635" s="4">
        <v>1372.5999</v>
      </c>
    </row>
    <row r="636">
      <c r="A636" s="3">
        <v>42535.0</v>
      </c>
      <c r="B636" s="4">
        <v>116.33</v>
      </c>
      <c r="C636" s="3">
        <v>42440.0</v>
      </c>
      <c r="D636" s="4">
        <v>24.46</v>
      </c>
      <c r="E636" s="3">
        <v>42542.0</v>
      </c>
      <c r="F636" s="4">
        <v>113.98</v>
      </c>
      <c r="G636" s="3">
        <v>42541.0</v>
      </c>
      <c r="H636" s="4">
        <v>116.29</v>
      </c>
      <c r="I636" s="3">
        <v>42541.0</v>
      </c>
      <c r="J636" s="4">
        <v>123.42</v>
      </c>
      <c r="K636" s="3">
        <v>42530.0</v>
      </c>
      <c r="L636" s="4">
        <v>1376.1425</v>
      </c>
    </row>
    <row r="637">
      <c r="A637" s="3">
        <v>42534.0</v>
      </c>
      <c r="B637" s="4">
        <v>117.02</v>
      </c>
      <c r="C637" s="3">
        <v>42439.0</v>
      </c>
      <c r="D637" s="4">
        <v>24.44</v>
      </c>
      <c r="E637" s="3">
        <v>42541.0</v>
      </c>
      <c r="F637" s="4">
        <v>113.97</v>
      </c>
      <c r="G637" s="3">
        <v>42538.0</v>
      </c>
      <c r="H637" s="4">
        <v>116.58</v>
      </c>
      <c r="I637" s="3">
        <v>42538.0</v>
      </c>
      <c r="J637" s="4">
        <v>123.67</v>
      </c>
      <c r="K637" s="3">
        <v>42529.0</v>
      </c>
      <c r="L637" s="4">
        <v>1377.4821</v>
      </c>
    </row>
    <row r="638">
      <c r="A638" s="3">
        <v>42531.0</v>
      </c>
      <c r="B638" s="4">
        <v>117.61</v>
      </c>
      <c r="C638" s="3">
        <v>42438.0</v>
      </c>
      <c r="D638" s="4">
        <v>24.47</v>
      </c>
      <c r="E638" s="3">
        <v>42538.0</v>
      </c>
      <c r="F638" s="4">
        <v>113.91</v>
      </c>
      <c r="G638" s="3">
        <v>42537.0</v>
      </c>
      <c r="H638" s="4">
        <v>116.75</v>
      </c>
      <c r="I638" s="3">
        <v>42537.0</v>
      </c>
      <c r="J638" s="4">
        <v>123.58</v>
      </c>
      <c r="K638" s="3">
        <v>42528.0</v>
      </c>
      <c r="L638" s="4">
        <v>1373.879</v>
      </c>
    </row>
    <row r="639">
      <c r="A639" s="3">
        <v>42530.0</v>
      </c>
      <c r="B639" s="4">
        <v>118.28</v>
      </c>
      <c r="C639" s="3">
        <v>42437.0</v>
      </c>
      <c r="D639" s="4">
        <v>24.46</v>
      </c>
      <c r="E639" s="3">
        <v>42537.0</v>
      </c>
      <c r="F639" s="4">
        <v>113.92</v>
      </c>
      <c r="G639" s="3">
        <v>42536.0</v>
      </c>
      <c r="H639" s="4">
        <v>116.42</v>
      </c>
      <c r="I639" s="3">
        <v>42536.0</v>
      </c>
      <c r="J639" s="4">
        <v>123.51</v>
      </c>
      <c r="K639" s="3">
        <v>42527.0</v>
      </c>
      <c r="L639" s="4">
        <v>1370.9648</v>
      </c>
    </row>
    <row r="640">
      <c r="A640" s="3">
        <v>42529.0</v>
      </c>
      <c r="B640" s="4">
        <v>118.47</v>
      </c>
      <c r="C640" s="3">
        <v>42436.0</v>
      </c>
      <c r="D640" s="4">
        <v>24.48</v>
      </c>
      <c r="E640" s="3">
        <v>42536.0</v>
      </c>
      <c r="F640" s="4">
        <v>113.92</v>
      </c>
      <c r="G640" s="3">
        <v>42535.0</v>
      </c>
      <c r="H640" s="4">
        <v>116.63</v>
      </c>
      <c r="I640" s="3">
        <v>42535.0</v>
      </c>
      <c r="J640" s="4">
        <v>123.65</v>
      </c>
      <c r="K640" s="3">
        <v>42524.0</v>
      </c>
      <c r="L640" s="4">
        <v>1373.1152</v>
      </c>
    </row>
    <row r="641">
      <c r="A641" s="3">
        <v>42528.0</v>
      </c>
      <c r="B641" s="4">
        <v>118.6</v>
      </c>
      <c r="C641" s="3">
        <v>42433.0</v>
      </c>
      <c r="D641" s="4">
        <v>24.47</v>
      </c>
      <c r="E641" s="3">
        <v>42535.0</v>
      </c>
      <c r="F641" s="4">
        <v>113.93</v>
      </c>
      <c r="G641" s="3">
        <v>42534.0</v>
      </c>
      <c r="H641" s="4">
        <v>117.38</v>
      </c>
      <c r="I641" s="3">
        <v>42534.0</v>
      </c>
      <c r="J641" s="4">
        <v>123.94</v>
      </c>
      <c r="K641" s="3">
        <v>42523.0</v>
      </c>
      <c r="L641" s="4">
        <v>1370.9264</v>
      </c>
    </row>
    <row r="642">
      <c r="A642" s="3">
        <v>42527.0</v>
      </c>
      <c r="B642" s="4">
        <v>118.34</v>
      </c>
      <c r="C642" s="3">
        <v>42432.0</v>
      </c>
      <c r="D642" s="4">
        <v>24.47</v>
      </c>
      <c r="E642" s="3">
        <v>42534.0</v>
      </c>
      <c r="F642" s="4">
        <v>113.96</v>
      </c>
      <c r="G642" s="3">
        <v>42531.0</v>
      </c>
      <c r="H642" s="4">
        <v>118.51</v>
      </c>
      <c r="I642" s="3">
        <v>42531.0</v>
      </c>
      <c r="J642" s="4">
        <v>124.12</v>
      </c>
      <c r="K642" s="3">
        <v>42522.0</v>
      </c>
      <c r="L642" s="4">
        <v>1371.1796</v>
      </c>
    </row>
    <row r="643">
      <c r="A643" s="3">
        <v>42524.0</v>
      </c>
      <c r="B643" s="4">
        <v>118.31</v>
      </c>
      <c r="C643" s="3">
        <v>42431.0</v>
      </c>
      <c r="D643" s="4">
        <v>24.47</v>
      </c>
      <c r="E643" s="3">
        <v>42531.0</v>
      </c>
      <c r="F643" s="4">
        <v>113.97</v>
      </c>
      <c r="G643" s="3">
        <v>42530.0</v>
      </c>
      <c r="H643" s="4">
        <v>118.94</v>
      </c>
      <c r="I643" s="3">
        <v>42530.0</v>
      </c>
      <c r="J643" s="4">
        <v>123.91</v>
      </c>
      <c r="K643" s="3">
        <v>42521.0</v>
      </c>
      <c r="L643" s="4">
        <v>1372.4075</v>
      </c>
    </row>
    <row r="644">
      <c r="A644" s="3">
        <v>42523.0</v>
      </c>
      <c r="B644" s="4">
        <v>118.42</v>
      </c>
      <c r="C644" s="3">
        <v>42430.0</v>
      </c>
      <c r="D644" s="4">
        <v>24.45</v>
      </c>
      <c r="E644" s="3">
        <v>42530.0</v>
      </c>
      <c r="F644" s="4">
        <v>113.98</v>
      </c>
      <c r="G644" s="3">
        <v>42529.0</v>
      </c>
      <c r="H644" s="4">
        <v>119.35</v>
      </c>
      <c r="I644" s="3">
        <v>42529.0</v>
      </c>
      <c r="J644" s="4">
        <v>123.83</v>
      </c>
      <c r="K644" s="3">
        <v>42517.0</v>
      </c>
      <c r="L644" s="4">
        <v>1369.2764</v>
      </c>
    </row>
    <row r="645">
      <c r="A645" s="3">
        <v>42522.0</v>
      </c>
      <c r="B645" s="4">
        <v>118.38</v>
      </c>
      <c r="C645" s="3">
        <v>42429.0</v>
      </c>
      <c r="D645" s="4">
        <v>24.44</v>
      </c>
      <c r="E645" s="3">
        <v>42529.0</v>
      </c>
      <c r="F645" s="4">
        <v>113.98</v>
      </c>
      <c r="G645" s="3">
        <v>42528.0</v>
      </c>
      <c r="H645" s="4">
        <v>118.45</v>
      </c>
      <c r="I645" s="3">
        <v>42528.0</v>
      </c>
      <c r="J645" s="4">
        <v>123.65</v>
      </c>
      <c r="K645" s="3">
        <v>42516.0</v>
      </c>
      <c r="L645" s="4">
        <v>1366.3133</v>
      </c>
    </row>
    <row r="646">
      <c r="A646" s="3">
        <v>42521.0</v>
      </c>
      <c r="B646" s="4">
        <v>118.57</v>
      </c>
      <c r="C646" s="3">
        <v>42426.0</v>
      </c>
      <c r="D646" s="4">
        <v>24.43</v>
      </c>
      <c r="E646" s="3">
        <v>42528.0</v>
      </c>
      <c r="F646" s="4">
        <v>113.97</v>
      </c>
      <c r="G646" s="3">
        <v>42527.0</v>
      </c>
      <c r="H646" s="4">
        <v>118.36</v>
      </c>
      <c r="I646" s="3">
        <v>42527.0</v>
      </c>
      <c r="J646" s="4">
        <v>123.71</v>
      </c>
      <c r="K646" s="3">
        <v>42515.0</v>
      </c>
      <c r="L646" s="4">
        <v>1363.2078</v>
      </c>
    </row>
    <row r="647">
      <c r="A647" s="3">
        <v>42520.0</v>
      </c>
      <c r="B647" s="4">
        <v>118.76</v>
      </c>
      <c r="C647" s="3">
        <v>42425.0</v>
      </c>
      <c r="D647" s="4">
        <v>24.42</v>
      </c>
      <c r="E647" s="3">
        <v>42527.0</v>
      </c>
      <c r="F647" s="4">
        <v>113.95</v>
      </c>
      <c r="G647" s="3">
        <v>42524.0</v>
      </c>
      <c r="H647" s="4">
        <v>118.73</v>
      </c>
      <c r="I647" s="3">
        <v>42524.0</v>
      </c>
      <c r="J647" s="4">
        <v>123.71</v>
      </c>
      <c r="K647" s="3">
        <v>42514.0</v>
      </c>
      <c r="L647" s="4">
        <v>1356.7356</v>
      </c>
    </row>
    <row r="648">
      <c r="A648" s="3">
        <v>42517.0</v>
      </c>
      <c r="B648" s="4">
        <v>118.71</v>
      </c>
      <c r="C648" s="3">
        <v>42424.0</v>
      </c>
      <c r="D648" s="4">
        <v>24.41</v>
      </c>
      <c r="E648" s="3">
        <v>42524.0</v>
      </c>
      <c r="F648" s="4">
        <v>113.91</v>
      </c>
      <c r="G648" s="3">
        <v>42523.0</v>
      </c>
      <c r="H648" s="4">
        <v>118.52</v>
      </c>
      <c r="I648" s="3">
        <v>42523.0</v>
      </c>
      <c r="J648" s="4">
        <v>123.55</v>
      </c>
      <c r="K648" s="3">
        <v>42513.0</v>
      </c>
      <c r="L648" s="4">
        <v>1356.833</v>
      </c>
    </row>
    <row r="649">
      <c r="A649" s="3">
        <v>42516.0</v>
      </c>
      <c r="B649" s="4">
        <v>118.6</v>
      </c>
      <c r="C649" s="3">
        <v>42423.0</v>
      </c>
      <c r="D649" s="4">
        <v>24.42</v>
      </c>
      <c r="E649" s="3">
        <v>42523.0</v>
      </c>
      <c r="F649" s="4">
        <v>113.89</v>
      </c>
      <c r="G649" s="3">
        <v>42522.0</v>
      </c>
      <c r="H649" s="4">
        <v>118.77</v>
      </c>
      <c r="I649" s="3">
        <v>42522.0</v>
      </c>
      <c r="J649" s="4">
        <v>123.67</v>
      </c>
      <c r="K649" s="3">
        <v>42510.0</v>
      </c>
      <c r="L649" s="4">
        <v>1351.9973</v>
      </c>
    </row>
    <row r="650">
      <c r="A650" s="3">
        <v>42515.0</v>
      </c>
      <c r="B650" s="4">
        <v>118.34</v>
      </c>
      <c r="C650" s="3">
        <v>42422.0</v>
      </c>
      <c r="D650" s="4">
        <v>24.42</v>
      </c>
      <c r="E650" s="3">
        <v>42522.0</v>
      </c>
      <c r="F650" s="4">
        <v>113.89</v>
      </c>
      <c r="G650" s="3">
        <v>42521.0</v>
      </c>
      <c r="H650" s="4">
        <v>118.99</v>
      </c>
      <c r="I650" s="3">
        <v>42521.0</v>
      </c>
      <c r="J650" s="4">
        <v>123.64</v>
      </c>
      <c r="K650" s="3">
        <v>42509.0</v>
      </c>
      <c r="L650" s="4">
        <v>1354.8936</v>
      </c>
    </row>
    <row r="651">
      <c r="A651" s="3">
        <v>42514.0</v>
      </c>
      <c r="B651" s="4">
        <v>118.05</v>
      </c>
      <c r="C651" s="3">
        <v>42419.0</v>
      </c>
      <c r="D651" s="4">
        <v>24.39</v>
      </c>
      <c r="E651" s="3">
        <v>42521.0</v>
      </c>
      <c r="F651" s="4">
        <v>113.88</v>
      </c>
      <c r="G651" s="3">
        <v>42520.0</v>
      </c>
      <c r="H651" s="4">
        <v>118.92</v>
      </c>
      <c r="I651" s="3">
        <v>42520.0</v>
      </c>
      <c r="J651" s="4">
        <v>123.68</v>
      </c>
      <c r="K651" s="3">
        <v>42508.0</v>
      </c>
      <c r="L651" s="4">
        <v>1353.9627</v>
      </c>
    </row>
    <row r="652">
      <c r="A652" s="3">
        <v>42513.0</v>
      </c>
      <c r="B652" s="4">
        <v>117.54</v>
      </c>
      <c r="C652" s="3">
        <v>42418.0</v>
      </c>
      <c r="D652" s="4">
        <v>24.4</v>
      </c>
      <c r="E652" s="3">
        <v>42520.0</v>
      </c>
      <c r="F652" s="4">
        <v>113.88</v>
      </c>
      <c r="G652" s="3">
        <v>42517.0</v>
      </c>
      <c r="H652" s="4">
        <v>118.92</v>
      </c>
      <c r="I652" s="3">
        <v>42517.0</v>
      </c>
      <c r="J652" s="4">
        <v>123.58</v>
      </c>
      <c r="K652" s="3">
        <v>42507.0</v>
      </c>
      <c r="L652" s="4">
        <v>1357.1334</v>
      </c>
    </row>
    <row r="653">
      <c r="A653" s="3">
        <v>42510.0</v>
      </c>
      <c r="B653" s="4">
        <v>117.62</v>
      </c>
      <c r="C653" s="3">
        <v>42417.0</v>
      </c>
      <c r="D653" s="4">
        <v>24.38</v>
      </c>
      <c r="E653" s="3">
        <v>42517.0</v>
      </c>
      <c r="F653" s="4">
        <v>113.83</v>
      </c>
      <c r="G653" s="3">
        <v>42516.0</v>
      </c>
      <c r="H653" s="4">
        <v>118.58</v>
      </c>
      <c r="I653" s="3">
        <v>42516.0</v>
      </c>
      <c r="J653" s="4">
        <v>123.57</v>
      </c>
      <c r="K653" s="3">
        <v>42503.0</v>
      </c>
      <c r="L653" s="4">
        <v>1352.3731</v>
      </c>
    </row>
    <row r="654">
      <c r="A654" s="3">
        <v>42509.0</v>
      </c>
      <c r="B654" s="4">
        <v>117.32</v>
      </c>
      <c r="C654" s="3">
        <v>42416.0</v>
      </c>
      <c r="D654" s="4">
        <v>24.35</v>
      </c>
      <c r="E654" s="3">
        <v>42516.0</v>
      </c>
      <c r="F654" s="4">
        <v>113.82</v>
      </c>
      <c r="G654" s="3">
        <v>42515.0</v>
      </c>
      <c r="H654" s="4">
        <v>117.8</v>
      </c>
      <c r="I654" s="3">
        <v>42515.0</v>
      </c>
      <c r="J654" s="4">
        <v>123.44</v>
      </c>
      <c r="K654" s="3">
        <v>42502.0</v>
      </c>
      <c r="L654" s="4">
        <v>1356.9348</v>
      </c>
    </row>
    <row r="655">
      <c r="A655" s="3">
        <v>42508.0</v>
      </c>
      <c r="B655" s="4">
        <v>117.64</v>
      </c>
      <c r="C655" s="3">
        <v>42415.0</v>
      </c>
      <c r="D655" s="4">
        <v>24.36</v>
      </c>
      <c r="E655" s="3">
        <v>42515.0</v>
      </c>
      <c r="F655" s="4">
        <v>113.82</v>
      </c>
      <c r="G655" s="3">
        <v>42514.0</v>
      </c>
      <c r="H655" s="4">
        <v>116.77</v>
      </c>
      <c r="I655" s="3">
        <v>42514.0</v>
      </c>
      <c r="J655" s="4">
        <v>123.33</v>
      </c>
      <c r="K655" s="3">
        <v>42501.0</v>
      </c>
      <c r="L655" s="4">
        <v>1356.9063</v>
      </c>
    </row>
    <row r="656">
      <c r="A656" s="3">
        <v>42507.0</v>
      </c>
      <c r="B656" s="4">
        <v>117.59</v>
      </c>
      <c r="C656" s="3">
        <v>42412.0</v>
      </c>
      <c r="D656" s="4">
        <v>24.34</v>
      </c>
      <c r="E656" s="3">
        <v>42514.0</v>
      </c>
      <c r="F656" s="4">
        <v>113.82</v>
      </c>
      <c r="G656" s="3">
        <v>42513.0</v>
      </c>
      <c r="H656" s="4">
        <v>117.07</v>
      </c>
      <c r="I656" s="3">
        <v>42513.0</v>
      </c>
      <c r="J656" s="4">
        <v>123.33</v>
      </c>
      <c r="K656" s="3">
        <v>42500.0</v>
      </c>
      <c r="L656" s="4">
        <v>1354.5404</v>
      </c>
    </row>
    <row r="657">
      <c r="A657" s="3">
        <v>42503.0</v>
      </c>
      <c r="B657" s="4">
        <v>117.58</v>
      </c>
      <c r="C657" s="3">
        <v>42411.0</v>
      </c>
      <c r="D657" s="4">
        <v>24.33</v>
      </c>
      <c r="E657" s="3">
        <v>42513.0</v>
      </c>
      <c r="F657" s="4">
        <v>113.78</v>
      </c>
      <c r="G657" s="3">
        <v>42510.0</v>
      </c>
      <c r="H657" s="4">
        <v>116.61</v>
      </c>
      <c r="I657" s="3">
        <v>42510.0</v>
      </c>
      <c r="J657" s="4">
        <v>123.33</v>
      </c>
      <c r="K657" s="3">
        <v>42499.0</v>
      </c>
      <c r="L657" s="4">
        <v>1350.4302</v>
      </c>
    </row>
    <row r="658">
      <c r="A658" s="3">
        <v>42502.0</v>
      </c>
      <c r="B658" s="4">
        <v>117.53</v>
      </c>
      <c r="C658" s="3">
        <v>42410.0</v>
      </c>
      <c r="D658" s="4">
        <v>24.36</v>
      </c>
      <c r="E658" s="3">
        <v>42510.0</v>
      </c>
      <c r="F658" s="4">
        <v>113.76</v>
      </c>
      <c r="G658" s="3">
        <v>42509.0</v>
      </c>
      <c r="H658" s="4">
        <v>117.28</v>
      </c>
      <c r="I658" s="3">
        <v>42509.0</v>
      </c>
      <c r="J658" s="4">
        <v>123.41</v>
      </c>
      <c r="K658" s="3">
        <v>42496.0</v>
      </c>
      <c r="L658" s="4">
        <v>1350.3901</v>
      </c>
    </row>
    <row r="659">
      <c r="A659" s="3">
        <v>42501.0</v>
      </c>
      <c r="B659" s="4">
        <v>117.69</v>
      </c>
      <c r="C659" s="3">
        <v>42409.0</v>
      </c>
      <c r="D659" s="4">
        <v>24.34</v>
      </c>
      <c r="E659" s="3">
        <v>42509.0</v>
      </c>
      <c r="F659" s="4">
        <v>113.73</v>
      </c>
      <c r="G659" s="3">
        <v>42508.0</v>
      </c>
      <c r="H659" s="4">
        <v>117.21</v>
      </c>
      <c r="I659" s="3">
        <v>42508.0</v>
      </c>
      <c r="J659" s="4">
        <v>123.65</v>
      </c>
      <c r="K659" s="3">
        <v>42494.0</v>
      </c>
      <c r="L659" s="4">
        <v>1355.7898</v>
      </c>
    </row>
    <row r="660">
      <c r="A660" s="3">
        <v>42500.0</v>
      </c>
      <c r="B660" s="4">
        <v>117.79</v>
      </c>
      <c r="C660" s="3">
        <v>42408.0</v>
      </c>
      <c r="D660" s="4">
        <v>24.37</v>
      </c>
      <c r="E660" s="3">
        <v>42508.0</v>
      </c>
      <c r="F660" s="4">
        <v>113.75</v>
      </c>
      <c r="G660" s="3">
        <v>42507.0</v>
      </c>
      <c r="H660" s="4">
        <v>117.45</v>
      </c>
      <c r="I660" s="3">
        <v>42507.0</v>
      </c>
      <c r="J660" s="4">
        <v>123.74</v>
      </c>
      <c r="K660" s="3">
        <v>42493.0</v>
      </c>
      <c r="L660" s="4">
        <v>1361.5049</v>
      </c>
    </row>
    <row r="661">
      <c r="A661" s="3">
        <v>42499.0</v>
      </c>
      <c r="B661" s="4">
        <v>117.71</v>
      </c>
      <c r="C661" s="3">
        <v>42405.0</v>
      </c>
      <c r="D661" s="4">
        <v>24.39</v>
      </c>
      <c r="E661" s="3">
        <v>42507.0</v>
      </c>
      <c r="F661" s="4">
        <v>113.77</v>
      </c>
      <c r="G661" s="3">
        <v>42503.0</v>
      </c>
      <c r="H661" s="4">
        <v>117.01</v>
      </c>
      <c r="I661" s="3">
        <v>42503.0</v>
      </c>
      <c r="J661" s="4">
        <v>123.72</v>
      </c>
      <c r="K661" s="3">
        <v>42489.0</v>
      </c>
      <c r="L661" s="4">
        <v>1367.1128</v>
      </c>
    </row>
    <row r="662">
      <c r="A662" s="3">
        <v>42496.0</v>
      </c>
      <c r="B662" s="4">
        <v>117.63</v>
      </c>
      <c r="C662" s="3">
        <v>42404.0</v>
      </c>
      <c r="D662" s="4">
        <v>24.4</v>
      </c>
      <c r="E662" s="3">
        <v>42503.0</v>
      </c>
      <c r="F662" s="4">
        <v>113.73</v>
      </c>
      <c r="G662" s="3">
        <v>42502.0</v>
      </c>
      <c r="H662" s="4">
        <v>117.75</v>
      </c>
      <c r="I662" s="3">
        <v>42502.0</v>
      </c>
      <c r="J662" s="4">
        <v>123.74</v>
      </c>
      <c r="K662" s="3">
        <v>42488.0</v>
      </c>
      <c r="L662" s="4">
        <v>1370.8455</v>
      </c>
    </row>
    <row r="663">
      <c r="A663" s="3">
        <v>42494.0</v>
      </c>
      <c r="B663" s="4">
        <v>117.45</v>
      </c>
      <c r="C663" s="3">
        <v>42403.0</v>
      </c>
      <c r="D663" s="4">
        <v>24.41</v>
      </c>
      <c r="E663" s="3">
        <v>42502.0</v>
      </c>
      <c r="F663" s="4">
        <v>113.72</v>
      </c>
      <c r="G663" s="3">
        <v>42501.0</v>
      </c>
      <c r="H663" s="4">
        <v>118.02</v>
      </c>
      <c r="I663" s="3">
        <v>42501.0</v>
      </c>
      <c r="J663" s="4">
        <v>123.82</v>
      </c>
      <c r="K663" s="3">
        <v>42487.0</v>
      </c>
      <c r="L663" s="4">
        <v>1370.9022</v>
      </c>
    </row>
    <row r="664">
      <c r="A664" s="3">
        <v>42493.0</v>
      </c>
      <c r="B664" s="4">
        <v>117.63</v>
      </c>
      <c r="C664" s="3">
        <v>42402.0</v>
      </c>
      <c r="D664" s="4">
        <v>24.43</v>
      </c>
      <c r="E664" s="3">
        <v>42501.0</v>
      </c>
      <c r="F664" s="4">
        <v>113.7</v>
      </c>
      <c r="G664" s="3">
        <v>42500.0</v>
      </c>
      <c r="H664" s="4">
        <v>117.73</v>
      </c>
      <c r="I664" s="3">
        <v>42500.0</v>
      </c>
      <c r="J664" s="4">
        <v>123.78</v>
      </c>
      <c r="K664" s="3">
        <v>42486.0</v>
      </c>
      <c r="L664" s="4">
        <v>1368.3922</v>
      </c>
    </row>
    <row r="665">
      <c r="A665" s="3">
        <v>42492.0</v>
      </c>
      <c r="B665" s="4">
        <v>118.01</v>
      </c>
      <c r="C665" s="3">
        <v>42401.0</v>
      </c>
      <c r="D665" s="4">
        <v>24.43</v>
      </c>
      <c r="E665" s="3">
        <v>42500.0</v>
      </c>
      <c r="F665" s="4">
        <v>113.68</v>
      </c>
      <c r="G665" s="3">
        <v>42499.0</v>
      </c>
      <c r="H665" s="4">
        <v>117.11</v>
      </c>
      <c r="I665" s="3">
        <v>42499.0</v>
      </c>
      <c r="J665" s="4">
        <v>123.58</v>
      </c>
      <c r="K665" s="3">
        <v>42485.0</v>
      </c>
      <c r="L665" s="4">
        <v>1370.5518</v>
      </c>
    </row>
    <row r="666">
      <c r="A666" s="3">
        <v>42489.0</v>
      </c>
      <c r="B666" s="4">
        <v>118.01</v>
      </c>
      <c r="C666" s="3">
        <v>42398.0</v>
      </c>
      <c r="D666" s="4">
        <v>24.44</v>
      </c>
      <c r="E666" s="3">
        <v>42499.0</v>
      </c>
      <c r="F666" s="4">
        <v>113.67</v>
      </c>
      <c r="G666" s="3">
        <v>42496.0</v>
      </c>
      <c r="H666" s="4">
        <v>116.74</v>
      </c>
      <c r="I666" s="3">
        <v>42496.0</v>
      </c>
      <c r="J666" s="4">
        <v>123.79</v>
      </c>
      <c r="K666" s="3">
        <v>42482.0</v>
      </c>
      <c r="L666" s="4">
        <v>1372.2202</v>
      </c>
    </row>
    <row r="667">
      <c r="A667" s="3">
        <v>42488.0</v>
      </c>
      <c r="B667" s="4">
        <v>118.34</v>
      </c>
      <c r="C667" s="3">
        <v>42397.0</v>
      </c>
      <c r="D667" s="4">
        <v>24.42</v>
      </c>
      <c r="E667" s="3">
        <v>42496.0</v>
      </c>
      <c r="F667" s="4">
        <v>113.66</v>
      </c>
      <c r="G667" s="3">
        <v>42494.0</v>
      </c>
      <c r="H667" s="4">
        <v>117.18</v>
      </c>
      <c r="I667" s="3">
        <v>42494.0</v>
      </c>
      <c r="J667" s="4">
        <v>123.54</v>
      </c>
      <c r="K667" s="3">
        <v>42481.0</v>
      </c>
      <c r="L667" s="4">
        <v>1371.5118</v>
      </c>
    </row>
    <row r="668">
      <c r="A668" s="3">
        <v>42487.0</v>
      </c>
      <c r="B668" s="4">
        <v>118.38</v>
      </c>
      <c r="C668" s="3">
        <v>42396.0</v>
      </c>
      <c r="D668" s="4">
        <v>24.43</v>
      </c>
      <c r="E668" s="3">
        <v>42494.0</v>
      </c>
      <c r="F668" s="4">
        <v>113.67</v>
      </c>
      <c r="G668" s="3">
        <v>42493.0</v>
      </c>
      <c r="H668" s="4">
        <v>117.39</v>
      </c>
      <c r="I668" s="3">
        <v>42493.0</v>
      </c>
      <c r="J668" s="4">
        <v>123.44</v>
      </c>
      <c r="K668" s="3">
        <v>42480.0</v>
      </c>
      <c r="L668" s="4">
        <v>1368.0507</v>
      </c>
    </row>
    <row r="669">
      <c r="A669" s="3">
        <v>42486.0</v>
      </c>
      <c r="B669" s="4">
        <v>118.25</v>
      </c>
      <c r="C669" s="3">
        <v>42395.0</v>
      </c>
      <c r="D669" s="4">
        <v>24.45</v>
      </c>
      <c r="E669" s="3">
        <v>42493.0</v>
      </c>
      <c r="F669" s="4">
        <v>113.67</v>
      </c>
      <c r="G669" s="3">
        <v>42492.0</v>
      </c>
      <c r="H669" s="4">
        <v>117.21</v>
      </c>
      <c r="I669" s="3">
        <v>42492.0</v>
      </c>
      <c r="J669" s="4">
        <v>123.56</v>
      </c>
      <c r="K669" s="3">
        <v>42479.0</v>
      </c>
      <c r="L669" s="4">
        <v>1367.5398</v>
      </c>
    </row>
    <row r="670">
      <c r="A670" s="3">
        <v>42485.0</v>
      </c>
      <c r="B670" s="4">
        <v>118.17</v>
      </c>
      <c r="C670" s="3">
        <v>42394.0</v>
      </c>
      <c r="D670" s="4">
        <v>24.45</v>
      </c>
      <c r="E670" s="3">
        <v>42492.0</v>
      </c>
      <c r="F670" s="4">
        <v>113.68</v>
      </c>
      <c r="G670" s="3">
        <v>42489.0</v>
      </c>
      <c r="H670" s="4">
        <v>118.58</v>
      </c>
      <c r="I670" s="3">
        <v>42489.0</v>
      </c>
      <c r="J670" s="4">
        <v>123.83</v>
      </c>
      <c r="K670" s="3">
        <v>42478.0</v>
      </c>
      <c r="L670" s="4">
        <v>1363.7221</v>
      </c>
    </row>
    <row r="671">
      <c r="A671" s="3">
        <v>42482.0</v>
      </c>
      <c r="B671" s="4">
        <v>118.34</v>
      </c>
      <c r="C671" s="3">
        <v>42391.0</v>
      </c>
      <c r="D671" s="4">
        <v>24.45</v>
      </c>
      <c r="E671" s="3">
        <v>42489.0</v>
      </c>
      <c r="F671" s="4">
        <v>113.62</v>
      </c>
      <c r="G671" s="3">
        <v>42488.0</v>
      </c>
      <c r="H671" s="4">
        <v>118.31</v>
      </c>
      <c r="I671" s="3">
        <v>42488.0</v>
      </c>
      <c r="J671" s="4">
        <v>123.66</v>
      </c>
      <c r="K671" s="3">
        <v>42475.0</v>
      </c>
      <c r="L671" s="4">
        <v>1365.9559</v>
      </c>
    </row>
    <row r="672">
      <c r="A672" s="3">
        <v>42481.0</v>
      </c>
      <c r="B672" s="4">
        <v>118.51</v>
      </c>
      <c r="C672" s="3">
        <v>42390.0</v>
      </c>
      <c r="D672" s="4">
        <v>24.44</v>
      </c>
      <c r="E672" s="3">
        <v>42488.0</v>
      </c>
      <c r="F672" s="4">
        <v>113.62</v>
      </c>
      <c r="G672" s="3">
        <v>42487.0</v>
      </c>
      <c r="H672" s="4">
        <v>118.17</v>
      </c>
      <c r="I672" s="3">
        <v>42487.0</v>
      </c>
      <c r="J672" s="4">
        <v>123.56</v>
      </c>
      <c r="K672" s="3">
        <v>42474.0</v>
      </c>
      <c r="L672" s="4">
        <v>1365.804</v>
      </c>
    </row>
    <row r="673">
      <c r="A673" s="3">
        <v>42480.0</v>
      </c>
      <c r="B673" s="4">
        <v>118.53</v>
      </c>
      <c r="C673" s="3">
        <v>42389.0</v>
      </c>
      <c r="D673" s="4">
        <v>24.42</v>
      </c>
      <c r="E673" s="3">
        <v>42487.0</v>
      </c>
      <c r="F673" s="4">
        <v>113.59</v>
      </c>
      <c r="G673" s="3">
        <v>42486.0</v>
      </c>
      <c r="H673" s="4">
        <v>118.58</v>
      </c>
      <c r="I673" s="3">
        <v>42486.0</v>
      </c>
      <c r="J673" s="4">
        <v>123.87</v>
      </c>
      <c r="K673" s="3">
        <v>42473.0</v>
      </c>
      <c r="L673" s="4">
        <v>1354.9026</v>
      </c>
    </row>
    <row r="674">
      <c r="A674" s="3">
        <v>42479.0</v>
      </c>
      <c r="B674" s="4">
        <v>118.48</v>
      </c>
      <c r="C674" s="3">
        <v>42388.0</v>
      </c>
      <c r="D674" s="4">
        <v>24.43</v>
      </c>
      <c r="E674" s="3">
        <v>42486.0</v>
      </c>
      <c r="F674" s="4">
        <v>113.57</v>
      </c>
      <c r="G674" s="3">
        <v>42485.0</v>
      </c>
      <c r="H674" s="4">
        <v>119.02</v>
      </c>
      <c r="I674" s="3">
        <v>42485.0</v>
      </c>
      <c r="J674" s="4">
        <v>123.94</v>
      </c>
      <c r="K674" s="3">
        <v>42472.0</v>
      </c>
      <c r="L674" s="4">
        <v>1352.5877</v>
      </c>
    </row>
    <row r="675">
      <c r="A675" s="3">
        <v>42478.0</v>
      </c>
      <c r="B675" s="4">
        <v>118.15</v>
      </c>
      <c r="C675" s="3">
        <v>42387.0</v>
      </c>
      <c r="D675" s="4">
        <v>24.44</v>
      </c>
      <c r="E675" s="3">
        <v>42485.0</v>
      </c>
      <c r="F675" s="4">
        <v>113.54</v>
      </c>
      <c r="G675" s="3">
        <v>42482.0</v>
      </c>
      <c r="H675" s="4">
        <v>119.42</v>
      </c>
      <c r="I675" s="3">
        <v>42482.0</v>
      </c>
      <c r="J675" s="4">
        <v>124.05</v>
      </c>
      <c r="K675" s="3">
        <v>42471.0</v>
      </c>
      <c r="L675" s="4">
        <v>1351.121</v>
      </c>
    </row>
    <row r="676">
      <c r="A676" s="3">
        <v>42475.0</v>
      </c>
      <c r="B676" s="4">
        <v>118.13</v>
      </c>
      <c r="C676" s="3">
        <v>42384.0</v>
      </c>
      <c r="D676" s="4">
        <v>24.42</v>
      </c>
      <c r="E676" s="3">
        <v>42482.0</v>
      </c>
      <c r="F676" s="4">
        <v>113.52</v>
      </c>
      <c r="G676" s="3">
        <v>42481.0</v>
      </c>
      <c r="H676" s="4">
        <v>119.87</v>
      </c>
      <c r="I676" s="3">
        <v>42481.0</v>
      </c>
      <c r="J676" s="4">
        <v>124.2</v>
      </c>
      <c r="K676" s="3">
        <v>42468.0</v>
      </c>
      <c r="L676" s="4">
        <v>1349.0557</v>
      </c>
    </row>
    <row r="677">
      <c r="A677" s="3">
        <v>42474.0</v>
      </c>
      <c r="B677" s="4">
        <v>118.18</v>
      </c>
      <c r="C677" s="3">
        <v>42383.0</v>
      </c>
      <c r="D677" s="4">
        <v>24.46</v>
      </c>
      <c r="E677" s="3">
        <v>42481.0</v>
      </c>
      <c r="F677" s="4">
        <v>113.52</v>
      </c>
      <c r="G677" s="3">
        <v>42480.0</v>
      </c>
      <c r="H677" s="4">
        <v>119.3</v>
      </c>
      <c r="I677" s="3">
        <v>42480.0</v>
      </c>
      <c r="J677" s="4">
        <v>124.33</v>
      </c>
      <c r="K677" s="3">
        <v>42467.0</v>
      </c>
      <c r="L677" s="4">
        <v>1352.0834</v>
      </c>
    </row>
    <row r="678">
      <c r="A678" s="3">
        <v>42473.0</v>
      </c>
      <c r="B678" s="4">
        <v>118.07</v>
      </c>
      <c r="C678" s="3">
        <v>42382.0</v>
      </c>
      <c r="D678" s="4">
        <v>24.46</v>
      </c>
      <c r="E678" s="3">
        <v>42480.0</v>
      </c>
      <c r="F678" s="4">
        <v>113.5</v>
      </c>
      <c r="G678" s="3">
        <v>42479.0</v>
      </c>
      <c r="H678" s="4">
        <v>118.93</v>
      </c>
      <c r="I678" s="3">
        <v>42479.0</v>
      </c>
      <c r="J678" s="4">
        <v>124.37</v>
      </c>
      <c r="K678" s="3">
        <v>42466.0</v>
      </c>
      <c r="L678" s="4">
        <v>1347.8284</v>
      </c>
    </row>
    <row r="679">
      <c r="A679" s="3">
        <v>42472.0</v>
      </c>
      <c r="B679" s="4">
        <v>117.54</v>
      </c>
      <c r="C679" s="3">
        <v>42381.0</v>
      </c>
      <c r="D679" s="4">
        <v>24.46</v>
      </c>
      <c r="E679" s="3">
        <v>42479.0</v>
      </c>
      <c r="F679" s="4">
        <v>113.49</v>
      </c>
      <c r="G679" s="3">
        <v>42478.0</v>
      </c>
      <c r="H679" s="4">
        <v>118.87</v>
      </c>
      <c r="I679" s="3">
        <v>42478.0</v>
      </c>
      <c r="J679" s="4">
        <v>124.36</v>
      </c>
      <c r="K679" s="3">
        <v>42465.0</v>
      </c>
      <c r="L679" s="4">
        <v>1353.8593</v>
      </c>
    </row>
    <row r="680">
      <c r="A680" s="3">
        <v>42471.0</v>
      </c>
      <c r="B680" s="4">
        <v>117.47</v>
      </c>
      <c r="C680" s="3">
        <v>42380.0</v>
      </c>
      <c r="D680" s="4">
        <v>24.46</v>
      </c>
      <c r="E680" s="3">
        <v>42478.0</v>
      </c>
      <c r="F680" s="4">
        <v>113.46</v>
      </c>
      <c r="G680" s="3">
        <v>42475.0</v>
      </c>
      <c r="H680" s="4">
        <v>118.79</v>
      </c>
      <c r="I680" s="3">
        <v>42475.0</v>
      </c>
      <c r="J680" s="4">
        <v>124.2</v>
      </c>
      <c r="K680" s="3">
        <v>42464.0</v>
      </c>
      <c r="L680" s="4">
        <v>1348.2864</v>
      </c>
    </row>
    <row r="681">
      <c r="A681" s="3">
        <v>42468.0</v>
      </c>
      <c r="B681" s="4">
        <v>117.2</v>
      </c>
      <c r="C681" s="3">
        <v>42377.0</v>
      </c>
      <c r="D681" s="4">
        <v>24.45</v>
      </c>
      <c r="E681" s="3">
        <v>42475.0</v>
      </c>
      <c r="F681" s="4">
        <v>113.46</v>
      </c>
      <c r="G681" s="3">
        <v>42474.0</v>
      </c>
      <c r="H681" s="4">
        <v>118.79</v>
      </c>
      <c r="I681" s="3">
        <v>42474.0</v>
      </c>
      <c r="J681" s="4">
        <v>124.19</v>
      </c>
      <c r="K681" s="3">
        <v>42461.0</v>
      </c>
      <c r="L681" s="4">
        <v>1354.3528</v>
      </c>
    </row>
    <row r="682">
      <c r="A682" s="3">
        <v>42467.0</v>
      </c>
      <c r="B682" s="4">
        <v>116.87</v>
      </c>
      <c r="C682" s="3">
        <v>42376.0</v>
      </c>
      <c r="D682" s="4">
        <v>24.47</v>
      </c>
      <c r="E682" s="3">
        <v>42474.0</v>
      </c>
      <c r="F682" s="4">
        <v>113.47</v>
      </c>
      <c r="G682" s="3">
        <v>42473.0</v>
      </c>
      <c r="H682" s="4">
        <v>118.77</v>
      </c>
      <c r="I682" s="3">
        <v>42473.0</v>
      </c>
      <c r="J682" s="4">
        <v>124.13</v>
      </c>
      <c r="K682" s="3">
        <v>42460.0</v>
      </c>
      <c r="L682" s="4">
        <v>1357.0128</v>
      </c>
    </row>
    <row r="683">
      <c r="A683" s="3">
        <v>42466.0</v>
      </c>
      <c r="B683" s="4">
        <v>117.15</v>
      </c>
      <c r="C683" s="3">
        <v>42375.0</v>
      </c>
      <c r="D683" s="4">
        <v>24.49</v>
      </c>
      <c r="E683" s="3">
        <v>42473.0</v>
      </c>
      <c r="F683" s="4">
        <v>113.47</v>
      </c>
      <c r="G683" s="3">
        <v>42472.0</v>
      </c>
      <c r="H683" s="4">
        <v>118.91</v>
      </c>
      <c r="I683" s="3">
        <v>42472.0</v>
      </c>
      <c r="J683" s="4">
        <v>124.28</v>
      </c>
      <c r="K683" s="3">
        <v>42459.0</v>
      </c>
      <c r="L683" s="4">
        <v>1353.8275</v>
      </c>
    </row>
    <row r="684">
      <c r="A684" s="3">
        <v>42465.0</v>
      </c>
      <c r="B684" s="4">
        <v>117.02</v>
      </c>
      <c r="C684" s="3">
        <v>42374.0</v>
      </c>
      <c r="D684" s="4">
        <v>24.5</v>
      </c>
      <c r="E684" s="3">
        <v>42472.0</v>
      </c>
      <c r="F684" s="4">
        <v>113.45</v>
      </c>
      <c r="G684" s="3">
        <v>42471.0</v>
      </c>
      <c r="H684" s="4">
        <v>119.01</v>
      </c>
      <c r="I684" s="3">
        <v>42471.0</v>
      </c>
      <c r="J684" s="4">
        <v>124.32</v>
      </c>
      <c r="K684" s="3">
        <v>42458.0</v>
      </c>
      <c r="L684" s="4">
        <v>1351.2799</v>
      </c>
    </row>
    <row r="685">
      <c r="A685" s="3">
        <v>42464.0</v>
      </c>
      <c r="B685" s="4">
        <v>117.79</v>
      </c>
      <c r="C685" s="3">
        <v>42373.0</v>
      </c>
      <c r="D685" s="4">
        <v>24.49</v>
      </c>
      <c r="E685" s="3">
        <v>42471.0</v>
      </c>
      <c r="F685" s="4">
        <v>113.42</v>
      </c>
      <c r="G685" s="3">
        <v>42468.0</v>
      </c>
      <c r="H685" s="4">
        <v>119.05</v>
      </c>
      <c r="I685" s="3">
        <v>42468.0</v>
      </c>
      <c r="J685" s="4">
        <v>124.57</v>
      </c>
      <c r="K685" s="3">
        <v>42453.0</v>
      </c>
      <c r="L685" s="4">
        <v>1353.5876</v>
      </c>
    </row>
    <row r="686">
      <c r="A686" s="3">
        <v>42461.0</v>
      </c>
      <c r="B686" s="4">
        <v>117.91</v>
      </c>
      <c r="C686" s="3">
        <v>42369.0</v>
      </c>
      <c r="D686" s="4">
        <v>24.49</v>
      </c>
      <c r="E686" s="3">
        <v>42468.0</v>
      </c>
      <c r="F686" s="4">
        <v>113.38</v>
      </c>
      <c r="G686" s="3">
        <v>42467.0</v>
      </c>
      <c r="H686" s="4">
        <v>118.93</v>
      </c>
      <c r="I686" s="3">
        <v>42467.0</v>
      </c>
      <c r="J686" s="4">
        <v>124.26</v>
      </c>
      <c r="K686" s="3">
        <v>42452.0</v>
      </c>
      <c r="L686" s="4">
        <v>1358.3358</v>
      </c>
    </row>
    <row r="687">
      <c r="A687" s="3">
        <v>42460.0</v>
      </c>
      <c r="B687" s="4">
        <v>118.45</v>
      </c>
      <c r="C687" s="3">
        <v>42368.0</v>
      </c>
      <c r="D687" s="4">
        <v>24.49</v>
      </c>
      <c r="E687" s="3">
        <v>42467.0</v>
      </c>
      <c r="F687" s="4">
        <v>113.34</v>
      </c>
      <c r="G687" s="3">
        <v>42466.0</v>
      </c>
      <c r="H687" s="4">
        <v>119.06</v>
      </c>
      <c r="I687" s="3">
        <v>42466.0</v>
      </c>
      <c r="J687" s="4">
        <v>124.34</v>
      </c>
      <c r="K687" s="3">
        <v>42451.0</v>
      </c>
      <c r="L687" s="4">
        <v>1358.6652</v>
      </c>
    </row>
    <row r="688">
      <c r="A688" s="3">
        <v>42459.0</v>
      </c>
      <c r="B688" s="4">
        <v>118.63</v>
      </c>
      <c r="C688" s="3">
        <v>42367.0</v>
      </c>
      <c r="D688" s="4">
        <v>24.49</v>
      </c>
      <c r="E688" s="3">
        <v>42466.0</v>
      </c>
      <c r="F688" s="4">
        <v>113.34</v>
      </c>
      <c r="G688" s="3">
        <v>42465.0</v>
      </c>
      <c r="H688" s="4">
        <v>119.39</v>
      </c>
      <c r="I688" s="3">
        <v>42465.0</v>
      </c>
      <c r="J688" s="4">
        <v>124.45</v>
      </c>
      <c r="K688" s="3">
        <v>42450.0</v>
      </c>
      <c r="L688" s="4">
        <v>1355.9958</v>
      </c>
    </row>
    <row r="689">
      <c r="A689" s="3">
        <v>42458.0</v>
      </c>
      <c r="B689" s="4">
        <v>118.26</v>
      </c>
      <c r="C689" s="3">
        <v>42366.0</v>
      </c>
      <c r="D689" s="4">
        <v>24.48</v>
      </c>
      <c r="E689" s="3">
        <v>42465.0</v>
      </c>
      <c r="F689" s="4">
        <v>113.33</v>
      </c>
      <c r="G689" s="3">
        <v>42464.0</v>
      </c>
      <c r="H689" s="4">
        <v>119.36</v>
      </c>
      <c r="I689" s="3">
        <v>42464.0</v>
      </c>
      <c r="J689" s="4">
        <v>124.28</v>
      </c>
      <c r="K689" s="3">
        <v>42447.0</v>
      </c>
      <c r="L689" s="4">
        <v>1351.9458</v>
      </c>
    </row>
    <row r="690">
      <c r="A690" s="3">
        <v>42453.0</v>
      </c>
      <c r="B690" s="4">
        <v>118.37</v>
      </c>
      <c r="C690" s="3">
        <v>42361.0</v>
      </c>
      <c r="D690" s="4">
        <v>24.49</v>
      </c>
      <c r="E690" s="3">
        <v>42464.0</v>
      </c>
      <c r="F690" s="4">
        <v>113.34</v>
      </c>
      <c r="G690" s="3">
        <v>42461.0</v>
      </c>
      <c r="H690" s="4">
        <v>119.63</v>
      </c>
      <c r="I690" s="3">
        <v>42461.0</v>
      </c>
      <c r="J690" s="4">
        <v>126.37</v>
      </c>
      <c r="K690" s="3">
        <v>42446.0</v>
      </c>
      <c r="L690" s="4">
        <v>1350.8159</v>
      </c>
    </row>
    <row r="691">
      <c r="A691" s="3">
        <v>42452.0</v>
      </c>
      <c r="B691" s="4">
        <v>118.82</v>
      </c>
      <c r="C691" s="3">
        <v>42360.0</v>
      </c>
      <c r="D691" s="4">
        <v>24.47</v>
      </c>
      <c r="E691" s="3">
        <v>42461.0</v>
      </c>
      <c r="F691" s="4">
        <v>113.28</v>
      </c>
      <c r="G691" s="3">
        <v>42460.0</v>
      </c>
      <c r="H691" s="4">
        <v>119.84</v>
      </c>
      <c r="I691" s="3">
        <v>42460.0</v>
      </c>
      <c r="J691" s="4">
        <v>126.35</v>
      </c>
      <c r="K691" s="3">
        <v>42445.0</v>
      </c>
      <c r="L691" s="4">
        <v>1348.8073</v>
      </c>
    </row>
    <row r="692">
      <c r="A692" s="3">
        <v>42451.0</v>
      </c>
      <c r="B692" s="4">
        <v>118.76</v>
      </c>
      <c r="C692" s="3">
        <v>42359.0</v>
      </c>
      <c r="D692" s="4">
        <v>24.48</v>
      </c>
      <c r="E692" s="3">
        <v>42460.0</v>
      </c>
      <c r="F692" s="4">
        <v>113.27</v>
      </c>
      <c r="G692" s="3">
        <v>42459.0</v>
      </c>
      <c r="H692" s="4">
        <v>119.54</v>
      </c>
      <c r="I692" s="3">
        <v>42459.0</v>
      </c>
      <c r="J692" s="4">
        <v>126.43</v>
      </c>
      <c r="K692" s="3">
        <v>42444.0</v>
      </c>
      <c r="L692" s="4">
        <v>1351.9495</v>
      </c>
    </row>
    <row r="693">
      <c r="A693" s="3">
        <v>42450.0</v>
      </c>
      <c r="B693" s="4">
        <v>118.88</v>
      </c>
      <c r="C693" s="3">
        <v>42356.0</v>
      </c>
      <c r="D693" s="4">
        <v>24.5</v>
      </c>
      <c r="E693" s="3">
        <v>42459.0</v>
      </c>
      <c r="F693" s="4">
        <v>113.24</v>
      </c>
      <c r="G693" s="3">
        <v>42458.0</v>
      </c>
      <c r="H693" s="4">
        <v>119.32</v>
      </c>
      <c r="I693" s="3">
        <v>42458.0</v>
      </c>
      <c r="J693" s="4">
        <v>126.18</v>
      </c>
      <c r="K693" s="3">
        <v>42443.0</v>
      </c>
      <c r="L693" s="4">
        <v>1351.1895</v>
      </c>
    </row>
    <row r="694">
      <c r="A694" s="3">
        <v>42447.0</v>
      </c>
      <c r="B694" s="4">
        <v>118.69</v>
      </c>
      <c r="C694" s="3">
        <v>42355.0</v>
      </c>
      <c r="D694" s="4">
        <v>24.5</v>
      </c>
      <c r="E694" s="3">
        <v>42458.0</v>
      </c>
      <c r="F694" s="4">
        <v>113.2</v>
      </c>
      <c r="G694" s="3">
        <v>42453.0</v>
      </c>
      <c r="H694" s="4">
        <v>119.66</v>
      </c>
      <c r="I694" s="3">
        <v>42453.0</v>
      </c>
      <c r="J694" s="4">
        <v>126.29</v>
      </c>
      <c r="K694" s="3">
        <v>42440.0</v>
      </c>
      <c r="L694" s="4">
        <v>1340.6368</v>
      </c>
    </row>
    <row r="695">
      <c r="A695" s="3">
        <v>42446.0</v>
      </c>
      <c r="B695" s="4">
        <v>118.59</v>
      </c>
      <c r="C695" s="3">
        <v>42354.0</v>
      </c>
      <c r="D695" s="4">
        <v>24.48</v>
      </c>
      <c r="E695" s="3">
        <v>42453.0</v>
      </c>
      <c r="F695" s="4">
        <v>113.11</v>
      </c>
      <c r="G695" s="3">
        <v>42452.0</v>
      </c>
      <c r="H695" s="4">
        <v>119.73</v>
      </c>
      <c r="I695" s="3">
        <v>42452.0</v>
      </c>
      <c r="J695" s="4">
        <v>126.1</v>
      </c>
      <c r="K695" s="3">
        <v>42439.0</v>
      </c>
      <c r="L695" s="4">
        <v>1340.8674</v>
      </c>
    </row>
    <row r="696">
      <c r="A696" s="3">
        <v>42445.0</v>
      </c>
      <c r="B696" s="4">
        <v>118.53</v>
      </c>
      <c r="C696" s="3">
        <v>42353.0</v>
      </c>
      <c r="D696" s="4">
        <v>24.48</v>
      </c>
      <c r="E696" s="3">
        <v>42452.0</v>
      </c>
      <c r="F696" s="4">
        <v>113.16</v>
      </c>
      <c r="G696" s="3">
        <v>42451.0</v>
      </c>
      <c r="H696" s="4">
        <v>119.72</v>
      </c>
      <c r="I696" s="3">
        <v>42451.0</v>
      </c>
      <c r="J696" s="4">
        <v>126.1</v>
      </c>
      <c r="K696" s="3">
        <v>42438.0</v>
      </c>
      <c r="L696" s="4">
        <v>1336.6831</v>
      </c>
    </row>
    <row r="697">
      <c r="A697" s="3">
        <v>42444.0</v>
      </c>
      <c r="B697" s="4">
        <v>118.44</v>
      </c>
      <c r="C697" s="3">
        <v>42352.0</v>
      </c>
      <c r="D697" s="4">
        <v>24.46</v>
      </c>
      <c r="E697" s="3">
        <v>42451.0</v>
      </c>
      <c r="F697" s="4">
        <v>113.17</v>
      </c>
      <c r="G697" s="3">
        <v>42450.0</v>
      </c>
      <c r="H697" s="4">
        <v>119.71</v>
      </c>
      <c r="I697" s="3">
        <v>42450.0</v>
      </c>
      <c r="J697" s="4">
        <v>126.06</v>
      </c>
      <c r="K697" s="3">
        <v>42437.0</v>
      </c>
      <c r="L697" s="4">
        <v>1342.4987</v>
      </c>
    </row>
    <row r="698">
      <c r="A698" s="3">
        <v>42443.0</v>
      </c>
      <c r="B698" s="4">
        <v>118.62</v>
      </c>
      <c r="C698" s="3">
        <v>42349.0</v>
      </c>
      <c r="D698" s="4">
        <v>24.48</v>
      </c>
      <c r="E698" s="3">
        <v>42450.0</v>
      </c>
      <c r="F698" s="4">
        <v>113.18</v>
      </c>
      <c r="G698" s="3">
        <v>42447.0</v>
      </c>
      <c r="H698" s="4">
        <v>119.68</v>
      </c>
      <c r="I698" s="3">
        <v>42447.0</v>
      </c>
      <c r="J698" s="4">
        <v>125.96</v>
      </c>
      <c r="K698" s="3">
        <v>42436.0</v>
      </c>
      <c r="L698" s="4">
        <v>1342.931</v>
      </c>
    </row>
    <row r="699">
      <c r="A699" s="3">
        <v>42440.0</v>
      </c>
      <c r="B699" s="4">
        <v>118.29</v>
      </c>
      <c r="C699" s="3">
        <v>42348.0</v>
      </c>
      <c r="D699" s="4">
        <v>24.5</v>
      </c>
      <c r="E699" s="3">
        <v>42447.0</v>
      </c>
      <c r="F699" s="4">
        <v>113.14</v>
      </c>
      <c r="G699" s="3">
        <v>42446.0</v>
      </c>
      <c r="H699" s="4">
        <v>119.46</v>
      </c>
      <c r="I699" s="3">
        <v>42446.0</v>
      </c>
      <c r="J699" s="4">
        <v>126.18</v>
      </c>
      <c r="K699" s="3">
        <v>42433.0</v>
      </c>
      <c r="L699" s="4">
        <v>1342.2377</v>
      </c>
    </row>
    <row r="700">
      <c r="A700" s="3">
        <v>42439.0</v>
      </c>
      <c r="B700" s="4">
        <v>117.39</v>
      </c>
      <c r="C700" s="3">
        <v>42347.0</v>
      </c>
      <c r="D700" s="4">
        <v>24.49</v>
      </c>
      <c r="E700" s="3">
        <v>42446.0</v>
      </c>
      <c r="F700" s="4">
        <v>113.1</v>
      </c>
      <c r="G700" s="3">
        <v>42445.0</v>
      </c>
      <c r="H700" s="4">
        <v>119.36</v>
      </c>
      <c r="I700" s="3">
        <v>42445.0</v>
      </c>
      <c r="J700" s="4">
        <v>126.06</v>
      </c>
      <c r="K700" s="3">
        <v>42432.0</v>
      </c>
      <c r="L700" s="4">
        <v>1340.1129</v>
      </c>
    </row>
    <row r="701">
      <c r="A701" s="3">
        <v>42438.0</v>
      </c>
      <c r="B701" s="4">
        <v>117.43</v>
      </c>
      <c r="C701" s="3">
        <v>42346.0</v>
      </c>
      <c r="D701" s="4">
        <v>24.51</v>
      </c>
      <c r="E701" s="3">
        <v>42445.0</v>
      </c>
      <c r="F701" s="4">
        <v>113.06</v>
      </c>
      <c r="G701" s="3">
        <v>42444.0</v>
      </c>
      <c r="H701" s="4">
        <v>119.56</v>
      </c>
      <c r="I701" s="3">
        <v>42444.0</v>
      </c>
      <c r="J701" s="4">
        <v>126.29</v>
      </c>
      <c r="K701" s="3">
        <v>42431.0</v>
      </c>
      <c r="L701" s="4">
        <v>1337.3289</v>
      </c>
    </row>
    <row r="702">
      <c r="A702" s="3">
        <v>42437.0</v>
      </c>
      <c r="B702" s="4">
        <v>117.36</v>
      </c>
      <c r="C702" s="3">
        <v>42345.0</v>
      </c>
      <c r="D702" s="4">
        <v>24.52</v>
      </c>
      <c r="E702" s="3">
        <v>42444.0</v>
      </c>
      <c r="F702" s="4">
        <v>113.07</v>
      </c>
      <c r="G702" s="3">
        <v>42443.0</v>
      </c>
      <c r="H702" s="4">
        <v>119.54</v>
      </c>
      <c r="I702" s="3">
        <v>42443.0</v>
      </c>
      <c r="J702" s="4">
        <v>126.02</v>
      </c>
      <c r="K702" s="3">
        <v>42430.0</v>
      </c>
      <c r="L702" s="4">
        <v>1326.1013</v>
      </c>
    </row>
    <row r="703">
      <c r="A703" s="3">
        <v>42436.0</v>
      </c>
      <c r="B703" s="4">
        <v>117.39</v>
      </c>
      <c r="C703" s="3">
        <v>42342.0</v>
      </c>
      <c r="D703" s="4">
        <v>24.52</v>
      </c>
      <c r="E703" s="3">
        <v>42443.0</v>
      </c>
      <c r="F703" s="4">
        <v>113.1</v>
      </c>
      <c r="G703" s="3">
        <v>42440.0</v>
      </c>
      <c r="H703" s="4">
        <v>119.48</v>
      </c>
      <c r="I703" s="3">
        <v>42440.0</v>
      </c>
      <c r="J703" s="4">
        <v>125.95</v>
      </c>
      <c r="K703" s="3">
        <v>42429.0</v>
      </c>
      <c r="L703" s="4">
        <v>1326.9305</v>
      </c>
    </row>
    <row r="704">
      <c r="A704" s="3">
        <v>42433.0</v>
      </c>
      <c r="B704" s="4">
        <v>117.36</v>
      </c>
      <c r="C704" s="3">
        <v>42341.0</v>
      </c>
      <c r="D704" s="4">
        <v>24.52</v>
      </c>
      <c r="E704" s="3">
        <v>42440.0</v>
      </c>
      <c r="F704" s="4">
        <v>113.07</v>
      </c>
      <c r="G704" s="3">
        <v>42439.0</v>
      </c>
      <c r="H704" s="4">
        <v>119.7</v>
      </c>
      <c r="I704" s="3">
        <v>42439.0</v>
      </c>
      <c r="J704" s="4">
        <v>125.98</v>
      </c>
      <c r="K704" s="3">
        <v>42426.0</v>
      </c>
      <c r="L704" s="4">
        <v>1324.903</v>
      </c>
    </row>
    <row r="705">
      <c r="A705" s="3">
        <v>42432.0</v>
      </c>
      <c r="B705" s="4">
        <v>117.23</v>
      </c>
      <c r="C705" s="3">
        <v>42340.0</v>
      </c>
      <c r="D705" s="4">
        <v>24.56</v>
      </c>
      <c r="E705" s="3">
        <v>42439.0</v>
      </c>
      <c r="F705" s="4">
        <v>113.0</v>
      </c>
      <c r="G705" s="3">
        <v>42438.0</v>
      </c>
      <c r="H705" s="4">
        <v>120.0</v>
      </c>
      <c r="I705" s="3">
        <v>42438.0</v>
      </c>
      <c r="J705" s="4">
        <v>126.0</v>
      </c>
      <c r="K705" s="3">
        <v>42425.0</v>
      </c>
      <c r="L705" s="4">
        <v>1316.2137</v>
      </c>
    </row>
    <row r="706">
      <c r="A706" s="3">
        <v>42431.0</v>
      </c>
      <c r="B706" s="4">
        <v>117.15</v>
      </c>
      <c r="C706" s="3">
        <v>42339.0</v>
      </c>
      <c r="D706" s="4">
        <v>24.56</v>
      </c>
      <c r="E706" s="3">
        <v>42438.0</v>
      </c>
      <c r="F706" s="4">
        <v>112.97</v>
      </c>
      <c r="G706" s="3">
        <v>42437.0</v>
      </c>
      <c r="H706" s="4">
        <v>119.79</v>
      </c>
      <c r="I706" s="3">
        <v>42437.0</v>
      </c>
      <c r="J706" s="4">
        <v>125.75</v>
      </c>
      <c r="K706" s="3">
        <v>42424.0</v>
      </c>
      <c r="L706" s="4">
        <v>1316.2192</v>
      </c>
    </row>
    <row r="707">
      <c r="A707" s="3">
        <v>42430.0</v>
      </c>
      <c r="B707" s="4">
        <v>116.95</v>
      </c>
      <c r="C707" s="3">
        <v>42338.0</v>
      </c>
      <c r="D707" s="4">
        <v>24.57</v>
      </c>
      <c r="E707" s="3">
        <v>42437.0</v>
      </c>
      <c r="F707" s="4">
        <v>112.94</v>
      </c>
      <c r="G707" s="3">
        <v>42436.0</v>
      </c>
      <c r="H707" s="4">
        <v>119.72</v>
      </c>
      <c r="I707" s="3">
        <v>42436.0</v>
      </c>
      <c r="J707" s="4">
        <v>125.63</v>
      </c>
      <c r="K707" s="3">
        <v>42423.0</v>
      </c>
      <c r="L707" s="4">
        <v>1320.7856</v>
      </c>
    </row>
    <row r="708">
      <c r="A708" s="3">
        <v>42429.0</v>
      </c>
      <c r="B708" s="4">
        <v>116.45</v>
      </c>
      <c r="C708" s="3">
        <v>42335.0</v>
      </c>
      <c r="D708" s="4">
        <v>24.56</v>
      </c>
      <c r="E708" s="3">
        <v>42436.0</v>
      </c>
      <c r="F708" s="4">
        <v>112.95</v>
      </c>
      <c r="G708" s="3">
        <v>42433.0</v>
      </c>
      <c r="H708" s="4">
        <v>119.84</v>
      </c>
      <c r="I708" s="3">
        <v>42433.0</v>
      </c>
      <c r="J708" s="4">
        <v>125.74</v>
      </c>
      <c r="K708" s="3">
        <v>42422.0</v>
      </c>
      <c r="L708" s="4">
        <v>1314.6171</v>
      </c>
    </row>
    <row r="709">
      <c r="A709" s="3">
        <v>42426.0</v>
      </c>
      <c r="B709" s="4">
        <v>116.54</v>
      </c>
      <c r="C709" s="3">
        <v>42334.0</v>
      </c>
      <c r="D709" s="4">
        <v>24.57</v>
      </c>
      <c r="E709" s="3">
        <v>42433.0</v>
      </c>
      <c r="F709" s="4">
        <v>112.93</v>
      </c>
      <c r="G709" s="3">
        <v>42432.0</v>
      </c>
      <c r="H709" s="4">
        <v>119.69</v>
      </c>
      <c r="I709" s="3">
        <v>42432.0</v>
      </c>
      <c r="J709" s="4">
        <v>125.92</v>
      </c>
      <c r="K709" s="3">
        <v>42419.0</v>
      </c>
      <c r="L709" s="4">
        <v>1313.7472</v>
      </c>
    </row>
    <row r="710">
      <c r="A710" s="3">
        <v>42425.0</v>
      </c>
      <c r="B710" s="4">
        <v>116.25</v>
      </c>
      <c r="C710" s="3">
        <v>42333.0</v>
      </c>
      <c r="D710" s="4">
        <v>24.57</v>
      </c>
      <c r="E710" s="3">
        <v>42432.0</v>
      </c>
      <c r="F710" s="4">
        <v>113.0</v>
      </c>
      <c r="G710" s="3">
        <v>42431.0</v>
      </c>
      <c r="H710" s="4">
        <v>119.93</v>
      </c>
      <c r="I710" s="3">
        <v>42431.0</v>
      </c>
      <c r="J710" s="4">
        <v>125.62</v>
      </c>
      <c r="K710" s="3">
        <v>42418.0</v>
      </c>
      <c r="L710" s="4">
        <v>1312.8785</v>
      </c>
    </row>
    <row r="711">
      <c r="A711" s="3">
        <v>42424.0</v>
      </c>
      <c r="B711" s="4">
        <v>115.61</v>
      </c>
      <c r="C711" s="3">
        <v>42332.0</v>
      </c>
      <c r="D711" s="4">
        <v>24.56</v>
      </c>
      <c r="E711" s="3">
        <v>42431.0</v>
      </c>
      <c r="F711" s="4">
        <v>112.99</v>
      </c>
      <c r="G711" s="3">
        <v>42430.0</v>
      </c>
      <c r="H711" s="4">
        <v>120.12</v>
      </c>
      <c r="I711" s="3">
        <v>42430.0</v>
      </c>
      <c r="J711" s="4">
        <v>125.69</v>
      </c>
      <c r="K711" s="3">
        <v>42417.0</v>
      </c>
      <c r="L711" s="4">
        <v>1300.2922</v>
      </c>
    </row>
    <row r="712">
      <c r="A712" s="3">
        <v>42423.0</v>
      </c>
      <c r="B712" s="4">
        <v>116.01</v>
      </c>
      <c r="C712" s="3">
        <v>42331.0</v>
      </c>
      <c r="D712" s="4">
        <v>24.57</v>
      </c>
      <c r="E712" s="3">
        <v>42430.0</v>
      </c>
      <c r="F712" s="4">
        <v>112.96</v>
      </c>
      <c r="G712" s="3">
        <v>42429.0</v>
      </c>
      <c r="H712" s="4">
        <v>120.01</v>
      </c>
      <c r="I712" s="3">
        <v>42429.0</v>
      </c>
      <c r="J712" s="4">
        <v>125.34</v>
      </c>
      <c r="K712" s="3">
        <v>42416.0</v>
      </c>
      <c r="L712" s="4">
        <v>1297.3243</v>
      </c>
    </row>
    <row r="713">
      <c r="A713" s="3">
        <v>42422.0</v>
      </c>
      <c r="B713" s="4">
        <v>116.25</v>
      </c>
      <c r="C713" s="3">
        <v>42328.0</v>
      </c>
      <c r="D713" s="4">
        <v>24.57</v>
      </c>
      <c r="E713" s="3">
        <v>42429.0</v>
      </c>
      <c r="F713" s="4">
        <v>112.95</v>
      </c>
      <c r="G713" s="3">
        <v>42426.0</v>
      </c>
      <c r="H713" s="4">
        <v>119.94</v>
      </c>
      <c r="I713" s="3">
        <v>42426.0</v>
      </c>
      <c r="J713" s="4">
        <v>125.29</v>
      </c>
      <c r="K713" s="3">
        <v>42415.0</v>
      </c>
      <c r="L713" s="4">
        <v>1293.5225</v>
      </c>
    </row>
    <row r="714">
      <c r="A714" s="3">
        <v>42419.0</v>
      </c>
      <c r="B714" s="4">
        <v>115.85</v>
      </c>
      <c r="C714" s="3">
        <v>42327.0</v>
      </c>
      <c r="D714" s="4">
        <v>24.55</v>
      </c>
      <c r="E714" s="3">
        <v>42426.0</v>
      </c>
      <c r="F714" s="4">
        <v>112.9</v>
      </c>
      <c r="G714" s="3">
        <v>42425.0</v>
      </c>
      <c r="H714" s="4">
        <v>120.02</v>
      </c>
      <c r="I714" s="3">
        <v>42425.0</v>
      </c>
      <c r="J714" s="4">
        <v>125.22</v>
      </c>
      <c r="K714" s="3">
        <v>42412.0</v>
      </c>
      <c r="L714" s="4">
        <v>1283.7113</v>
      </c>
    </row>
    <row r="715">
      <c r="A715" s="3">
        <v>42418.0</v>
      </c>
      <c r="B715" s="4">
        <v>115.96</v>
      </c>
      <c r="C715" s="3">
        <v>42326.0</v>
      </c>
      <c r="D715" s="4">
        <v>24.55</v>
      </c>
      <c r="E715" s="3">
        <v>42425.0</v>
      </c>
      <c r="F715" s="4">
        <v>112.86</v>
      </c>
      <c r="G715" s="3">
        <v>42424.0</v>
      </c>
      <c r="H715" s="4">
        <v>119.87</v>
      </c>
      <c r="I715" s="3">
        <v>42424.0</v>
      </c>
      <c r="J715" s="4">
        <v>125.18</v>
      </c>
      <c r="K715" s="3">
        <v>42411.0</v>
      </c>
      <c r="L715" s="4">
        <v>1293.3617</v>
      </c>
    </row>
    <row r="716">
      <c r="A716" s="3">
        <v>42417.0</v>
      </c>
      <c r="B716" s="4">
        <v>115.75</v>
      </c>
      <c r="C716" s="3">
        <v>42325.0</v>
      </c>
      <c r="D716" s="4">
        <v>24.55</v>
      </c>
      <c r="E716" s="3">
        <v>42424.0</v>
      </c>
      <c r="F716" s="4">
        <v>112.86</v>
      </c>
      <c r="G716" s="3">
        <v>42423.0</v>
      </c>
      <c r="H716" s="4">
        <v>119.95</v>
      </c>
      <c r="I716" s="3">
        <v>42423.0</v>
      </c>
      <c r="J716" s="4">
        <v>124.93</v>
      </c>
      <c r="K716" s="3">
        <v>42410.0</v>
      </c>
      <c r="L716" s="4">
        <v>1292.1727</v>
      </c>
    </row>
    <row r="717">
      <c r="A717" s="3">
        <v>42416.0</v>
      </c>
      <c r="B717" s="4">
        <v>115.24</v>
      </c>
      <c r="C717" s="3">
        <v>42324.0</v>
      </c>
      <c r="D717" s="4">
        <v>24.54</v>
      </c>
      <c r="E717" s="3">
        <v>42423.0</v>
      </c>
      <c r="F717" s="4">
        <v>112.83</v>
      </c>
      <c r="G717" s="3">
        <v>42422.0</v>
      </c>
      <c r="H717" s="4">
        <v>119.84</v>
      </c>
      <c r="I717" s="3">
        <v>42422.0</v>
      </c>
      <c r="J717" s="4">
        <v>125.01</v>
      </c>
      <c r="K717" s="3">
        <v>42409.0</v>
      </c>
      <c r="L717" s="4">
        <v>1298.2454</v>
      </c>
    </row>
    <row r="718">
      <c r="A718" s="3">
        <v>42415.0</v>
      </c>
      <c r="B718" s="4">
        <v>115.38</v>
      </c>
      <c r="C718" s="3">
        <v>42321.0</v>
      </c>
      <c r="D718" s="4">
        <v>24.55</v>
      </c>
      <c r="E718" s="3">
        <v>42422.0</v>
      </c>
      <c r="F718" s="4">
        <v>112.78</v>
      </c>
      <c r="G718" s="3">
        <v>42419.0</v>
      </c>
      <c r="H718" s="4">
        <v>119.76</v>
      </c>
      <c r="I718" s="3">
        <v>42419.0</v>
      </c>
      <c r="J718" s="4">
        <v>124.97</v>
      </c>
      <c r="K718" s="3">
        <v>42408.0</v>
      </c>
      <c r="L718" s="4">
        <v>1315.049</v>
      </c>
    </row>
    <row r="719">
      <c r="A719" s="3">
        <v>42412.0</v>
      </c>
      <c r="B719" s="4">
        <v>114.77</v>
      </c>
      <c r="C719" s="3">
        <v>42320.0</v>
      </c>
      <c r="D719" s="4">
        <v>24.55</v>
      </c>
      <c r="E719" s="3">
        <v>42419.0</v>
      </c>
      <c r="F719" s="4">
        <v>112.74</v>
      </c>
      <c r="G719" s="3">
        <v>42418.0</v>
      </c>
      <c r="H719" s="4">
        <v>119.57</v>
      </c>
      <c r="I719" s="3">
        <v>42418.0</v>
      </c>
      <c r="J719" s="4">
        <v>124.63</v>
      </c>
      <c r="K719" s="3">
        <v>42405.0</v>
      </c>
      <c r="L719" s="4">
        <v>1327.1582</v>
      </c>
    </row>
    <row r="720">
      <c r="A720" s="3">
        <v>42411.0</v>
      </c>
      <c r="B720" s="4">
        <v>114.23</v>
      </c>
      <c r="C720" s="3">
        <v>42319.0</v>
      </c>
      <c r="D720" s="4">
        <v>24.55</v>
      </c>
      <c r="E720" s="3">
        <v>42418.0</v>
      </c>
      <c r="F720" s="4">
        <v>112.74</v>
      </c>
      <c r="G720" s="3">
        <v>42417.0</v>
      </c>
      <c r="H720" s="4">
        <v>119.56</v>
      </c>
      <c r="I720" s="3">
        <v>42417.0</v>
      </c>
      <c r="J720" s="4">
        <v>124.68</v>
      </c>
      <c r="K720" s="3">
        <v>42404.0</v>
      </c>
      <c r="L720" s="4">
        <v>1326.7896</v>
      </c>
    </row>
    <row r="721">
      <c r="A721" s="3">
        <v>42410.0</v>
      </c>
      <c r="B721" s="4">
        <v>114.99</v>
      </c>
      <c r="C721" s="3">
        <v>42318.0</v>
      </c>
      <c r="D721" s="4">
        <v>24.55</v>
      </c>
      <c r="E721" s="3">
        <v>42417.0</v>
      </c>
      <c r="F721" s="4">
        <v>112.69</v>
      </c>
      <c r="G721" s="3">
        <v>42416.0</v>
      </c>
      <c r="H721" s="4">
        <v>119.76</v>
      </c>
      <c r="I721" s="3">
        <v>42416.0</v>
      </c>
      <c r="J721" s="4">
        <v>124.65</v>
      </c>
      <c r="K721" s="3">
        <v>42403.0</v>
      </c>
      <c r="L721" s="4">
        <v>1332.3521</v>
      </c>
    </row>
    <row r="722">
      <c r="A722" s="3">
        <v>42409.0</v>
      </c>
      <c r="B722" s="4">
        <v>114.83</v>
      </c>
      <c r="C722" s="3">
        <v>42317.0</v>
      </c>
      <c r="D722" s="4">
        <v>24.54</v>
      </c>
      <c r="E722" s="3">
        <v>42416.0</v>
      </c>
      <c r="F722" s="4">
        <v>112.66</v>
      </c>
      <c r="G722" s="3">
        <v>42415.0</v>
      </c>
      <c r="H722" s="4">
        <v>119.59</v>
      </c>
      <c r="I722" s="3">
        <v>42415.0</v>
      </c>
      <c r="J722" s="4">
        <v>124.55</v>
      </c>
      <c r="K722" s="3">
        <v>42402.0</v>
      </c>
      <c r="L722" s="4">
        <v>1343.8552</v>
      </c>
    </row>
    <row r="723">
      <c r="A723" s="3">
        <v>42408.0</v>
      </c>
      <c r="B723" s="4">
        <v>115.66</v>
      </c>
      <c r="C723" s="3">
        <v>42314.0</v>
      </c>
      <c r="D723" s="4">
        <v>24.54</v>
      </c>
      <c r="E723" s="3">
        <v>42415.0</v>
      </c>
      <c r="F723" s="4">
        <v>112.57</v>
      </c>
      <c r="G723" s="3">
        <v>42412.0</v>
      </c>
      <c r="H723" s="4">
        <v>119.88</v>
      </c>
      <c r="I723" s="3">
        <v>42412.0</v>
      </c>
      <c r="J723" s="4">
        <v>124.69</v>
      </c>
      <c r="K723" s="3">
        <v>42401.0</v>
      </c>
      <c r="L723" s="4">
        <v>1342.7595</v>
      </c>
    </row>
    <row r="724">
      <c r="A724" s="3">
        <v>42405.0</v>
      </c>
      <c r="B724" s="4">
        <v>116.87</v>
      </c>
      <c r="C724" s="3">
        <v>42313.0</v>
      </c>
      <c r="D724" s="4">
        <v>24.53</v>
      </c>
      <c r="E724" s="3">
        <v>42412.0</v>
      </c>
      <c r="F724" s="4">
        <v>112.53</v>
      </c>
      <c r="G724" s="3">
        <v>42411.0</v>
      </c>
      <c r="H724" s="4">
        <v>119.7</v>
      </c>
      <c r="I724" s="3">
        <v>42411.0</v>
      </c>
      <c r="J724" s="4">
        <v>124.73</v>
      </c>
      <c r="K724" s="3">
        <v>42398.0</v>
      </c>
      <c r="L724" s="4">
        <v>1331.2125</v>
      </c>
    </row>
    <row r="725">
      <c r="A725" s="3">
        <v>42404.0</v>
      </c>
      <c r="B725" s="4">
        <v>117.24</v>
      </c>
      <c r="C725" s="3">
        <v>42312.0</v>
      </c>
      <c r="D725" s="4">
        <v>24.54</v>
      </c>
      <c r="E725" s="3">
        <v>42411.0</v>
      </c>
      <c r="F725" s="4">
        <v>112.52</v>
      </c>
      <c r="G725" s="3">
        <v>42410.0</v>
      </c>
      <c r="H725" s="4">
        <v>119.73</v>
      </c>
      <c r="I725" s="3">
        <v>42410.0</v>
      </c>
      <c r="J725" s="4">
        <v>124.53</v>
      </c>
      <c r="K725" s="3">
        <v>42397.0</v>
      </c>
      <c r="L725" s="4">
        <v>1330.627</v>
      </c>
    </row>
    <row r="726">
      <c r="A726" s="3">
        <v>42403.0</v>
      </c>
      <c r="B726" s="4">
        <v>117.3</v>
      </c>
      <c r="C726" s="3">
        <v>42311.0</v>
      </c>
      <c r="D726" s="4">
        <v>24.52</v>
      </c>
      <c r="E726" s="3">
        <v>42410.0</v>
      </c>
      <c r="F726" s="4">
        <v>112.61</v>
      </c>
      <c r="G726" s="3">
        <v>42409.0</v>
      </c>
      <c r="H726" s="4">
        <v>119.79</v>
      </c>
      <c r="I726" s="3">
        <v>42409.0</v>
      </c>
      <c r="J726" s="4">
        <v>124.68</v>
      </c>
      <c r="K726" s="3">
        <v>42396.0</v>
      </c>
      <c r="L726" s="4">
        <v>1334.4037</v>
      </c>
    </row>
    <row r="727">
      <c r="A727" s="3">
        <v>42402.0</v>
      </c>
      <c r="B727" s="4">
        <v>117.78</v>
      </c>
      <c r="C727" s="3">
        <v>42310.0</v>
      </c>
      <c r="D727" s="4">
        <v>24.5</v>
      </c>
      <c r="E727" s="3">
        <v>42409.0</v>
      </c>
      <c r="F727" s="4">
        <v>112.6</v>
      </c>
      <c r="G727" s="3">
        <v>42408.0</v>
      </c>
      <c r="H727" s="4">
        <v>119.55</v>
      </c>
      <c r="I727" s="3">
        <v>42408.0</v>
      </c>
      <c r="J727" s="4">
        <v>125.12</v>
      </c>
      <c r="K727" s="3">
        <v>42395.0</v>
      </c>
      <c r="L727" s="4">
        <v>1328.9977</v>
      </c>
    </row>
    <row r="728">
      <c r="A728" s="3">
        <v>42401.0</v>
      </c>
      <c r="B728" s="4">
        <v>118.36</v>
      </c>
      <c r="C728" s="3">
        <v>42307.0</v>
      </c>
      <c r="D728" s="4">
        <v>24.5</v>
      </c>
      <c r="E728" s="3">
        <v>42408.0</v>
      </c>
      <c r="F728" s="4">
        <v>112.71</v>
      </c>
      <c r="G728" s="3">
        <v>42405.0</v>
      </c>
      <c r="H728" s="4">
        <v>119.54</v>
      </c>
      <c r="I728" s="3">
        <v>42405.0</v>
      </c>
      <c r="J728" s="4">
        <v>125.22</v>
      </c>
      <c r="K728" s="3">
        <v>42394.0</v>
      </c>
      <c r="L728" s="4">
        <v>1334.5206</v>
      </c>
    </row>
    <row r="729">
      <c r="A729" s="3">
        <v>42398.0</v>
      </c>
      <c r="B729" s="4">
        <v>118.5</v>
      </c>
      <c r="C729" s="3">
        <v>42306.0</v>
      </c>
      <c r="D729" s="4">
        <v>24.5</v>
      </c>
      <c r="E729" s="3">
        <v>42405.0</v>
      </c>
      <c r="F729" s="4">
        <v>112.73</v>
      </c>
      <c r="G729" s="3">
        <v>42404.0</v>
      </c>
      <c r="H729" s="4">
        <v>119.7</v>
      </c>
      <c r="I729" s="3">
        <v>42404.0</v>
      </c>
      <c r="J729" s="4">
        <v>125.55</v>
      </c>
      <c r="K729" s="3">
        <v>42391.0</v>
      </c>
      <c r="L729" s="4">
        <v>1323.6338</v>
      </c>
    </row>
    <row r="730">
      <c r="A730" s="3">
        <v>42397.0</v>
      </c>
      <c r="B730" s="4">
        <v>118.04</v>
      </c>
      <c r="C730" s="3">
        <v>42305.0</v>
      </c>
      <c r="D730" s="4">
        <v>24.49</v>
      </c>
      <c r="E730" s="3">
        <v>42404.0</v>
      </c>
      <c r="F730" s="4">
        <v>112.73</v>
      </c>
      <c r="G730" s="3">
        <v>42403.0</v>
      </c>
      <c r="H730" s="4">
        <v>119.52</v>
      </c>
      <c r="I730" s="3">
        <v>42403.0</v>
      </c>
      <c r="J730" s="4">
        <v>126.17</v>
      </c>
      <c r="K730" s="3">
        <v>42390.0</v>
      </c>
      <c r="L730" s="4">
        <v>1317.4768</v>
      </c>
    </row>
    <row r="731">
      <c r="A731" s="3">
        <v>42396.0</v>
      </c>
      <c r="B731" s="4">
        <v>118.31</v>
      </c>
      <c r="C731" s="3">
        <v>42304.0</v>
      </c>
      <c r="D731" s="4">
        <v>24.5</v>
      </c>
      <c r="E731" s="3">
        <v>42403.0</v>
      </c>
      <c r="F731" s="4">
        <v>112.71</v>
      </c>
      <c r="G731" s="3">
        <v>42402.0</v>
      </c>
      <c r="H731" s="4">
        <v>119.43</v>
      </c>
      <c r="I731" s="3">
        <v>42402.0</v>
      </c>
      <c r="J731" s="4">
        <v>126.22</v>
      </c>
      <c r="K731" s="3">
        <v>42389.0</v>
      </c>
      <c r="L731" s="4">
        <v>1329.8431</v>
      </c>
    </row>
    <row r="732">
      <c r="A732" s="3">
        <v>42395.0</v>
      </c>
      <c r="B732" s="4">
        <v>118.37</v>
      </c>
      <c r="C732" s="3">
        <v>42303.0</v>
      </c>
      <c r="D732" s="4">
        <v>24.51</v>
      </c>
      <c r="E732" s="3">
        <v>42402.0</v>
      </c>
      <c r="F732" s="4">
        <v>112.72</v>
      </c>
      <c r="G732" s="3">
        <v>42401.0</v>
      </c>
      <c r="H732" s="4">
        <v>119.55</v>
      </c>
      <c r="I732" s="3">
        <v>42401.0</v>
      </c>
      <c r="J732" s="4">
        <v>126.55</v>
      </c>
      <c r="K732" s="3">
        <v>42388.0</v>
      </c>
      <c r="L732" s="4">
        <v>1334.7085</v>
      </c>
    </row>
    <row r="733">
      <c r="A733" s="3">
        <v>42394.0</v>
      </c>
      <c r="B733" s="4">
        <v>118.06</v>
      </c>
      <c r="C733" s="3">
        <v>42300.0</v>
      </c>
      <c r="D733" s="4">
        <v>24.51</v>
      </c>
      <c r="E733" s="3">
        <v>42401.0</v>
      </c>
      <c r="F733" s="4">
        <v>112.73</v>
      </c>
      <c r="G733" s="3">
        <v>42398.0</v>
      </c>
      <c r="H733" s="4">
        <v>119.27</v>
      </c>
      <c r="I733" s="3">
        <v>42398.0</v>
      </c>
      <c r="J733" s="4">
        <v>126.29</v>
      </c>
      <c r="K733" s="3">
        <v>42387.0</v>
      </c>
      <c r="L733" s="4">
        <v>1337.7152</v>
      </c>
    </row>
    <row r="734">
      <c r="A734" s="3">
        <v>42391.0</v>
      </c>
      <c r="B734" s="4">
        <v>118.29</v>
      </c>
      <c r="C734" s="3">
        <v>42299.0</v>
      </c>
      <c r="D734" s="4">
        <v>24.48</v>
      </c>
      <c r="E734" s="3">
        <v>42398.0</v>
      </c>
      <c r="F734" s="4">
        <v>112.74</v>
      </c>
      <c r="G734" s="3">
        <v>42397.0</v>
      </c>
      <c r="H734" s="4">
        <v>119.04</v>
      </c>
      <c r="I734" s="3">
        <v>42397.0</v>
      </c>
      <c r="J734" s="4">
        <v>126.64</v>
      </c>
      <c r="K734" s="3">
        <v>42384.0</v>
      </c>
      <c r="L734" s="4">
        <v>1349.8758</v>
      </c>
    </row>
    <row r="735">
      <c r="A735" s="3">
        <v>42390.0</v>
      </c>
      <c r="B735" s="4">
        <v>117.55</v>
      </c>
      <c r="C735" s="3">
        <v>42298.0</v>
      </c>
      <c r="D735" s="4">
        <v>24.45</v>
      </c>
      <c r="E735" s="3">
        <v>42397.0</v>
      </c>
      <c r="F735" s="4">
        <v>112.68</v>
      </c>
      <c r="G735" s="3">
        <v>42396.0</v>
      </c>
      <c r="H735" s="4">
        <v>119.05</v>
      </c>
      <c r="I735" s="3">
        <v>42396.0</v>
      </c>
      <c r="J735" s="4">
        <v>126.72</v>
      </c>
      <c r="K735" s="3">
        <v>42383.0</v>
      </c>
      <c r="L735" s="4">
        <v>1350.5013</v>
      </c>
    </row>
    <row r="736">
      <c r="A736" s="3">
        <v>42389.0</v>
      </c>
      <c r="B736" s="4">
        <v>117.6</v>
      </c>
      <c r="C736" s="3">
        <v>42297.0</v>
      </c>
      <c r="D736" s="4">
        <v>24.45</v>
      </c>
      <c r="E736" s="3">
        <v>42396.0</v>
      </c>
      <c r="F736" s="4">
        <v>112.67</v>
      </c>
      <c r="G736" s="3">
        <v>42395.0</v>
      </c>
      <c r="H736" s="4">
        <v>118.94</v>
      </c>
      <c r="I736" s="3">
        <v>42395.0</v>
      </c>
      <c r="J736" s="4">
        <v>126.73</v>
      </c>
      <c r="K736" s="3">
        <v>42382.0</v>
      </c>
      <c r="L736" s="4">
        <v>1359.1835</v>
      </c>
    </row>
    <row r="737">
      <c r="A737" s="3">
        <v>42388.0</v>
      </c>
      <c r="B737" s="4">
        <v>118.92</v>
      </c>
      <c r="C737" s="3">
        <v>42296.0</v>
      </c>
      <c r="D737" s="4">
        <v>24.46</v>
      </c>
      <c r="E737" s="3">
        <v>42395.0</v>
      </c>
      <c r="F737" s="4">
        <v>112.62</v>
      </c>
      <c r="G737" s="3">
        <v>42394.0</v>
      </c>
      <c r="H737" s="4">
        <v>118.91</v>
      </c>
      <c r="I737" s="3">
        <v>42394.0</v>
      </c>
      <c r="J737" s="4">
        <v>126.88</v>
      </c>
      <c r="K737" s="3">
        <v>42381.0</v>
      </c>
      <c r="L737" s="4">
        <v>1354.4927</v>
      </c>
    </row>
    <row r="738">
      <c r="A738" s="3">
        <v>42387.0</v>
      </c>
      <c r="B738" s="4">
        <v>118.8</v>
      </c>
      <c r="C738" s="3">
        <v>42293.0</v>
      </c>
      <c r="D738" s="4">
        <v>24.45</v>
      </c>
      <c r="E738" s="3">
        <v>42394.0</v>
      </c>
      <c r="F738" s="4">
        <v>112.68</v>
      </c>
      <c r="G738" s="3">
        <v>42391.0</v>
      </c>
      <c r="H738" s="4">
        <v>119.04</v>
      </c>
      <c r="I738" s="3">
        <v>42391.0</v>
      </c>
      <c r="J738" s="4">
        <v>126.62</v>
      </c>
      <c r="K738" s="3">
        <v>42380.0</v>
      </c>
      <c r="L738" s="4">
        <v>1360.2747</v>
      </c>
    </row>
    <row r="739">
      <c r="A739" s="3">
        <v>42384.0</v>
      </c>
      <c r="B739" s="4">
        <v>119.53</v>
      </c>
      <c r="C739" s="3">
        <v>42292.0</v>
      </c>
      <c r="D739" s="4">
        <v>24.45</v>
      </c>
      <c r="E739" s="3">
        <v>42391.0</v>
      </c>
      <c r="F739" s="4">
        <v>112.68</v>
      </c>
      <c r="G739" s="3">
        <v>42390.0</v>
      </c>
      <c r="H739" s="4">
        <v>118.86</v>
      </c>
      <c r="I739" s="3">
        <v>42390.0</v>
      </c>
      <c r="J739" s="4">
        <v>126.65</v>
      </c>
      <c r="K739" s="3">
        <v>42377.0</v>
      </c>
      <c r="L739" s="4">
        <v>1367.25</v>
      </c>
    </row>
    <row r="740">
      <c r="A740" s="3">
        <v>42383.0</v>
      </c>
      <c r="B740" s="4">
        <v>120.28</v>
      </c>
      <c r="C740" s="3">
        <v>42291.0</v>
      </c>
      <c r="D740" s="4">
        <v>24.45</v>
      </c>
      <c r="E740" s="3">
        <v>42390.0</v>
      </c>
      <c r="F740" s="4">
        <v>112.6</v>
      </c>
      <c r="G740" s="3">
        <v>42389.0</v>
      </c>
      <c r="H740" s="4">
        <v>118.6</v>
      </c>
      <c r="I740" s="3">
        <v>42389.0</v>
      </c>
      <c r="J740" s="4">
        <v>127.13</v>
      </c>
      <c r="K740" s="3">
        <v>42376.0</v>
      </c>
      <c r="L740" s="4">
        <v>1379.4089</v>
      </c>
    </row>
    <row r="741">
      <c r="A741" s="3">
        <v>42382.0</v>
      </c>
      <c r="B741" s="4">
        <v>120.82</v>
      </c>
      <c r="C741" s="3">
        <v>42290.0</v>
      </c>
      <c r="D741" s="4">
        <v>24.45</v>
      </c>
      <c r="E741" s="3">
        <v>42389.0</v>
      </c>
      <c r="F741" s="4">
        <v>112.61</v>
      </c>
      <c r="G741" s="3">
        <v>42388.0</v>
      </c>
      <c r="H741" s="4">
        <v>118.6</v>
      </c>
      <c r="I741" s="3">
        <v>42388.0</v>
      </c>
      <c r="J741" s="4">
        <v>127.34</v>
      </c>
      <c r="K741" s="3">
        <v>42375.0</v>
      </c>
      <c r="L741" s="4">
        <v>1388.1224</v>
      </c>
    </row>
    <row r="742">
      <c r="A742" s="3">
        <v>42381.0</v>
      </c>
      <c r="B742" s="4">
        <v>120.81</v>
      </c>
      <c r="C742" s="3">
        <v>42289.0</v>
      </c>
      <c r="D742" s="4">
        <v>24.46</v>
      </c>
      <c r="E742" s="3">
        <v>42388.0</v>
      </c>
      <c r="F742" s="4">
        <v>112.7</v>
      </c>
      <c r="G742" s="3">
        <v>42387.0</v>
      </c>
      <c r="H742" s="4">
        <v>118.64</v>
      </c>
      <c r="I742" s="3">
        <v>42387.0</v>
      </c>
      <c r="J742" s="4">
        <v>127.38</v>
      </c>
      <c r="K742" s="3">
        <v>42374.0</v>
      </c>
      <c r="L742" s="4">
        <v>1387.9377</v>
      </c>
    </row>
    <row r="743">
      <c r="A743" s="3">
        <v>42380.0</v>
      </c>
      <c r="B743" s="4">
        <v>120.59</v>
      </c>
      <c r="C743" s="3">
        <v>42286.0</v>
      </c>
      <c r="D743" s="4">
        <v>24.46</v>
      </c>
      <c r="E743" s="3">
        <v>42387.0</v>
      </c>
      <c r="F743" s="4">
        <v>112.62</v>
      </c>
      <c r="G743" s="3">
        <v>42384.0</v>
      </c>
      <c r="H743" s="4">
        <v>118.47</v>
      </c>
      <c r="I743" s="3">
        <v>42384.0</v>
      </c>
      <c r="J743" s="4">
        <v>127.62</v>
      </c>
      <c r="K743" s="3">
        <v>42373.0</v>
      </c>
      <c r="L743" s="4">
        <v>1397.1853</v>
      </c>
    </row>
    <row r="744">
      <c r="A744" s="3">
        <v>42377.0</v>
      </c>
      <c r="B744" s="4">
        <v>120.83</v>
      </c>
      <c r="C744" s="3">
        <v>42285.0</v>
      </c>
      <c r="D744" s="4">
        <v>24.47</v>
      </c>
      <c r="E744" s="3">
        <v>42384.0</v>
      </c>
      <c r="F744" s="4">
        <v>112.63</v>
      </c>
      <c r="G744" s="3">
        <v>42383.0</v>
      </c>
      <c r="H744" s="4">
        <v>118.54</v>
      </c>
      <c r="I744" s="3">
        <v>42383.0</v>
      </c>
      <c r="J744" s="4">
        <v>128.06</v>
      </c>
      <c r="K744" s="3">
        <v>42369.0</v>
      </c>
      <c r="L744" s="4">
        <v>1402.6639</v>
      </c>
    </row>
    <row r="745">
      <c r="A745" s="3">
        <v>42376.0</v>
      </c>
      <c r="B745" s="4">
        <v>121.17</v>
      </c>
      <c r="C745" s="3">
        <v>42284.0</v>
      </c>
      <c r="D745" s="4">
        <v>24.48</v>
      </c>
      <c r="E745" s="3">
        <v>42383.0</v>
      </c>
      <c r="F745" s="4">
        <v>112.7</v>
      </c>
      <c r="G745" s="3">
        <v>42382.0</v>
      </c>
      <c r="H745" s="4">
        <v>118.37</v>
      </c>
      <c r="I745" s="3">
        <v>42382.0</v>
      </c>
      <c r="J745" s="4">
        <v>127.97</v>
      </c>
      <c r="K745" s="3">
        <v>42368.0</v>
      </c>
      <c r="L745" s="4">
        <v>1405.0303</v>
      </c>
    </row>
    <row r="746">
      <c r="A746" s="3">
        <v>42375.0</v>
      </c>
      <c r="B746" s="4">
        <v>122.0</v>
      </c>
      <c r="C746" s="3">
        <v>42283.0</v>
      </c>
      <c r="D746" s="4">
        <v>24.45</v>
      </c>
      <c r="E746" s="3">
        <v>42382.0</v>
      </c>
      <c r="F746" s="4">
        <v>112.76</v>
      </c>
      <c r="G746" s="3">
        <v>42381.0</v>
      </c>
      <c r="H746" s="4">
        <v>118.41</v>
      </c>
      <c r="I746" s="3">
        <v>42381.0</v>
      </c>
      <c r="J746" s="4">
        <v>127.7</v>
      </c>
      <c r="K746" s="3">
        <v>42367.0</v>
      </c>
      <c r="L746" s="4">
        <v>1399.6639</v>
      </c>
    </row>
    <row r="747">
      <c r="A747" s="3">
        <v>42374.0</v>
      </c>
      <c r="B747" s="4">
        <v>122.34</v>
      </c>
      <c r="C747" s="3">
        <v>42282.0</v>
      </c>
      <c r="D747" s="4">
        <v>24.45</v>
      </c>
      <c r="E747" s="3">
        <v>42381.0</v>
      </c>
      <c r="F747" s="4">
        <v>112.79</v>
      </c>
      <c r="G747" s="3">
        <v>42380.0</v>
      </c>
      <c r="H747" s="4">
        <v>118.58</v>
      </c>
      <c r="I747" s="3">
        <v>42380.0</v>
      </c>
      <c r="J747" s="4">
        <v>127.7</v>
      </c>
      <c r="K747" s="3">
        <v>42361.0</v>
      </c>
      <c r="L747" s="4">
        <v>1394.3781</v>
      </c>
    </row>
    <row r="748">
      <c r="A748" s="3">
        <v>42373.0</v>
      </c>
      <c r="B748" s="4">
        <v>122.17</v>
      </c>
      <c r="C748" s="3">
        <v>42279.0</v>
      </c>
      <c r="D748" s="4">
        <v>24.44</v>
      </c>
      <c r="E748" s="3">
        <v>42380.0</v>
      </c>
      <c r="F748" s="4">
        <v>112.76</v>
      </c>
      <c r="G748" s="3">
        <v>42377.0</v>
      </c>
      <c r="H748" s="4">
        <v>118.43</v>
      </c>
      <c r="I748" s="3">
        <v>42377.0</v>
      </c>
      <c r="J748" s="4">
        <v>128.21</v>
      </c>
      <c r="K748" s="3">
        <v>42360.0</v>
      </c>
      <c r="L748" s="4">
        <v>1392.582</v>
      </c>
    </row>
    <row r="749">
      <c r="A749" s="3">
        <v>42369.0</v>
      </c>
      <c r="B749" s="4">
        <v>123.06</v>
      </c>
      <c r="C749" s="3">
        <v>42278.0</v>
      </c>
      <c r="D749" s="4">
        <v>24.45</v>
      </c>
      <c r="E749" s="3">
        <v>42377.0</v>
      </c>
      <c r="F749" s="4">
        <v>112.79</v>
      </c>
      <c r="G749" s="3">
        <v>42376.0</v>
      </c>
      <c r="H749" s="4">
        <v>119.37</v>
      </c>
      <c r="I749" s="3">
        <v>42376.0</v>
      </c>
      <c r="J749" s="4">
        <v>129.52</v>
      </c>
      <c r="K749" s="3">
        <v>42359.0</v>
      </c>
      <c r="L749" s="4">
        <v>1394.4291</v>
      </c>
    </row>
    <row r="750">
      <c r="A750" s="3">
        <v>42368.0</v>
      </c>
      <c r="B750" s="4">
        <v>123.19</v>
      </c>
      <c r="C750" s="3">
        <v>42277.0</v>
      </c>
      <c r="D750" s="4">
        <v>24.45</v>
      </c>
      <c r="E750" s="3">
        <v>42376.0</v>
      </c>
      <c r="F750" s="4">
        <v>112.79</v>
      </c>
      <c r="G750" s="3">
        <v>42375.0</v>
      </c>
      <c r="H750" s="4">
        <v>119.62</v>
      </c>
      <c r="I750" s="3">
        <v>42375.0</v>
      </c>
      <c r="J750" s="4">
        <v>130.17</v>
      </c>
      <c r="K750" s="3">
        <v>42356.0</v>
      </c>
      <c r="L750" s="4">
        <v>1398.5935</v>
      </c>
    </row>
    <row r="751">
      <c r="A751" s="3">
        <v>42367.0</v>
      </c>
      <c r="B751" s="4">
        <v>123.27</v>
      </c>
      <c r="C751" s="3">
        <v>42276.0</v>
      </c>
      <c r="D751" s="4">
        <v>24.5</v>
      </c>
      <c r="E751" s="3">
        <v>42375.0</v>
      </c>
      <c r="F751" s="4">
        <v>112.63</v>
      </c>
      <c r="G751" s="3">
        <v>42374.0</v>
      </c>
      <c r="H751" s="4">
        <v>119.45</v>
      </c>
      <c r="I751" s="3">
        <v>42374.0</v>
      </c>
      <c r="J751" s="4">
        <v>130.24</v>
      </c>
      <c r="K751" s="3">
        <v>42355.0</v>
      </c>
      <c r="L751" s="4">
        <v>1398.3662</v>
      </c>
    </row>
    <row r="752">
      <c r="A752" s="3">
        <v>42366.0</v>
      </c>
      <c r="B752" s="4">
        <v>122.8</v>
      </c>
      <c r="C752" s="3">
        <v>42275.0</v>
      </c>
      <c r="D752" s="4">
        <v>24.5</v>
      </c>
      <c r="E752" s="3">
        <v>42374.0</v>
      </c>
      <c r="F752" s="4">
        <v>112.61</v>
      </c>
      <c r="G752" s="3">
        <v>42373.0</v>
      </c>
      <c r="H752" s="4">
        <v>121.43</v>
      </c>
      <c r="I752" s="3">
        <v>42373.0</v>
      </c>
      <c r="J752" s="4">
        <v>131.48</v>
      </c>
      <c r="K752" s="3">
        <v>42354.0</v>
      </c>
      <c r="L752" s="4">
        <v>1391.646</v>
      </c>
    </row>
    <row r="753">
      <c r="A753" s="3">
        <v>42361.0</v>
      </c>
      <c r="B753" s="4">
        <v>122.93</v>
      </c>
      <c r="C753" s="3">
        <v>42272.0</v>
      </c>
      <c r="D753" s="4">
        <v>24.51</v>
      </c>
      <c r="E753" s="3">
        <v>42373.0</v>
      </c>
      <c r="F753" s="4">
        <v>112.57</v>
      </c>
      <c r="G753" s="3">
        <v>42368.0</v>
      </c>
      <c r="H753" s="4">
        <v>121.81</v>
      </c>
      <c r="I753" s="3">
        <v>42368.0</v>
      </c>
      <c r="J753" s="4">
        <v>132.49</v>
      </c>
      <c r="K753" s="3">
        <v>42353.0</v>
      </c>
      <c r="L753" s="4">
        <v>1382.9031</v>
      </c>
    </row>
    <row r="754">
      <c r="A754" s="3">
        <v>42360.0</v>
      </c>
      <c r="B754" s="4">
        <v>122.25</v>
      </c>
      <c r="C754" s="3">
        <v>42271.0</v>
      </c>
      <c r="D754" s="4">
        <v>24.5</v>
      </c>
      <c r="E754" s="3">
        <v>42369.0</v>
      </c>
      <c r="F754" s="4">
        <v>112.56</v>
      </c>
      <c r="G754" s="3">
        <v>42367.0</v>
      </c>
      <c r="H754" s="4">
        <v>120.74</v>
      </c>
      <c r="I754" s="3">
        <v>42367.0</v>
      </c>
      <c r="J754" s="4">
        <v>131.42</v>
      </c>
      <c r="K754" s="3">
        <v>42352.0</v>
      </c>
      <c r="L754" s="4">
        <v>1389.3746</v>
      </c>
    </row>
    <row r="755">
      <c r="A755" s="3">
        <v>42359.0</v>
      </c>
      <c r="B755" s="4">
        <v>122.37</v>
      </c>
      <c r="C755" s="3">
        <v>42270.0</v>
      </c>
      <c r="D755" s="4">
        <v>24.53</v>
      </c>
      <c r="E755" s="3">
        <v>42368.0</v>
      </c>
      <c r="F755" s="4">
        <v>112.55</v>
      </c>
      <c r="G755" s="3">
        <v>42366.0</v>
      </c>
      <c r="H755" s="4">
        <v>121.37</v>
      </c>
      <c r="I755" s="3">
        <v>42366.0</v>
      </c>
      <c r="J755" s="4">
        <v>131.57</v>
      </c>
      <c r="K755" s="3">
        <v>42349.0</v>
      </c>
      <c r="L755" s="4">
        <v>1400.2124</v>
      </c>
    </row>
    <row r="756">
      <c r="A756" s="3">
        <v>42356.0</v>
      </c>
      <c r="B756" s="4">
        <v>122.66</v>
      </c>
      <c r="C756" s="3">
        <v>42269.0</v>
      </c>
      <c r="D756" s="4">
        <v>24.54</v>
      </c>
      <c r="E756" s="3">
        <v>42367.0</v>
      </c>
      <c r="F756" s="4">
        <v>112.56</v>
      </c>
      <c r="G756" s="3">
        <v>42361.0</v>
      </c>
      <c r="H756" s="4">
        <v>120.32</v>
      </c>
      <c r="I756" s="3">
        <v>42361.0</v>
      </c>
      <c r="J756" s="4">
        <v>130.84</v>
      </c>
      <c r="K756" s="3">
        <v>42348.0</v>
      </c>
      <c r="L756" s="4">
        <v>1400.8521</v>
      </c>
    </row>
    <row r="757">
      <c r="A757" s="3">
        <v>42355.0</v>
      </c>
      <c r="B757" s="4">
        <v>123.18</v>
      </c>
      <c r="C757" s="3">
        <v>42268.0</v>
      </c>
      <c r="D757" s="4">
        <v>24.54</v>
      </c>
      <c r="E757" s="3">
        <v>42366.0</v>
      </c>
      <c r="F757" s="4">
        <v>112.59</v>
      </c>
      <c r="G757" s="3">
        <v>42360.0</v>
      </c>
      <c r="H757" s="4">
        <v>120.89</v>
      </c>
      <c r="I757" s="3">
        <v>42360.0</v>
      </c>
      <c r="J757" s="4">
        <v>130.5</v>
      </c>
      <c r="K757" s="3">
        <v>42347.0</v>
      </c>
      <c r="L757" s="4">
        <v>1407.21</v>
      </c>
    </row>
    <row r="758">
      <c r="A758" s="3">
        <v>42354.0</v>
      </c>
      <c r="B758" s="4">
        <v>122.62</v>
      </c>
      <c r="C758" s="3">
        <v>42265.0</v>
      </c>
      <c r="D758" s="4">
        <v>24.53</v>
      </c>
      <c r="E758" s="3">
        <v>42361.0</v>
      </c>
      <c r="F758" s="4">
        <v>112.53</v>
      </c>
      <c r="G758" s="3">
        <v>42359.0</v>
      </c>
      <c r="H758" s="4">
        <v>121.2</v>
      </c>
      <c r="I758" s="3">
        <v>42359.0</v>
      </c>
      <c r="J758" s="4">
        <v>130.11</v>
      </c>
      <c r="K758" s="3">
        <v>42346.0</v>
      </c>
      <c r="L758" s="4">
        <v>1411.0907</v>
      </c>
    </row>
    <row r="759">
      <c r="A759" s="3">
        <v>42353.0</v>
      </c>
      <c r="B759" s="4">
        <v>122.49</v>
      </c>
      <c r="C759" s="3">
        <v>42264.0</v>
      </c>
      <c r="D759" s="4">
        <v>24.52</v>
      </c>
      <c r="E759" s="3">
        <v>42360.0</v>
      </c>
      <c r="F759" s="4">
        <v>112.52</v>
      </c>
      <c r="G759" s="3">
        <v>42356.0</v>
      </c>
      <c r="H759" s="4">
        <v>121.57</v>
      </c>
      <c r="I759" s="3">
        <v>42356.0</v>
      </c>
      <c r="J759" s="4">
        <v>130.77</v>
      </c>
      <c r="K759" s="3">
        <v>42345.0</v>
      </c>
      <c r="L759" s="4">
        <v>1413.1981</v>
      </c>
    </row>
    <row r="760">
      <c r="A760" s="3">
        <v>42352.0</v>
      </c>
      <c r="B760" s="4">
        <v>121.83</v>
      </c>
      <c r="C760" s="3">
        <v>42263.0</v>
      </c>
      <c r="D760" s="4">
        <v>24.53</v>
      </c>
      <c r="E760" s="3">
        <v>42359.0</v>
      </c>
      <c r="F760" s="4">
        <v>112.47</v>
      </c>
      <c r="G760" s="3">
        <v>42355.0</v>
      </c>
      <c r="H760" s="4">
        <v>120.65</v>
      </c>
      <c r="I760" s="3">
        <v>42355.0</v>
      </c>
      <c r="J760" s="4">
        <v>131.23</v>
      </c>
      <c r="K760" s="3">
        <v>42342.0</v>
      </c>
      <c r="L760" s="4">
        <v>1410.356</v>
      </c>
    </row>
    <row r="761">
      <c r="A761" s="3">
        <v>42349.0</v>
      </c>
      <c r="B761" s="4">
        <v>122.3</v>
      </c>
      <c r="C761" s="3">
        <v>42262.0</v>
      </c>
      <c r="D761" s="4">
        <v>24.53</v>
      </c>
      <c r="E761" s="3">
        <v>42356.0</v>
      </c>
      <c r="F761" s="4">
        <v>112.5</v>
      </c>
      <c r="G761" s="3">
        <v>42354.0</v>
      </c>
      <c r="H761" s="4">
        <v>120.75</v>
      </c>
      <c r="I761" s="3">
        <v>42354.0</v>
      </c>
      <c r="J761" s="4">
        <v>130.51</v>
      </c>
      <c r="K761" s="3">
        <v>42341.0</v>
      </c>
      <c r="L761" s="4">
        <v>1421.0697</v>
      </c>
    </row>
    <row r="762">
      <c r="A762" s="3">
        <v>42348.0</v>
      </c>
      <c r="B762" s="4">
        <v>123.08</v>
      </c>
      <c r="C762" s="3">
        <v>42261.0</v>
      </c>
      <c r="D762" s="4">
        <v>24.53</v>
      </c>
      <c r="E762" s="3">
        <v>42355.0</v>
      </c>
      <c r="F762" s="4">
        <v>112.52</v>
      </c>
      <c r="G762" s="3">
        <v>42353.0</v>
      </c>
      <c r="H762" s="4">
        <v>120.44</v>
      </c>
      <c r="I762" s="3">
        <v>42353.0</v>
      </c>
      <c r="J762" s="4">
        <v>129.67</v>
      </c>
      <c r="K762" s="3">
        <v>42340.0</v>
      </c>
      <c r="L762" s="4">
        <v>1425.8669</v>
      </c>
    </row>
    <row r="763">
      <c r="A763" s="3">
        <v>42347.0</v>
      </c>
      <c r="B763" s="4">
        <v>123.32</v>
      </c>
      <c r="C763" s="3">
        <v>42258.0</v>
      </c>
      <c r="D763" s="4">
        <v>24.53</v>
      </c>
      <c r="E763" s="3">
        <v>42354.0</v>
      </c>
      <c r="F763" s="4">
        <v>112.48</v>
      </c>
      <c r="G763" s="3">
        <v>42352.0</v>
      </c>
      <c r="H763" s="4">
        <v>121.03</v>
      </c>
      <c r="I763" s="3">
        <v>42352.0</v>
      </c>
      <c r="J763" s="4">
        <v>130.12</v>
      </c>
      <c r="K763" s="3">
        <v>42339.0</v>
      </c>
      <c r="L763" s="4">
        <v>1423.478</v>
      </c>
    </row>
    <row r="764">
      <c r="A764" s="3">
        <v>42346.0</v>
      </c>
      <c r="B764" s="4">
        <v>123.64</v>
      </c>
      <c r="C764" s="3">
        <v>42257.0</v>
      </c>
      <c r="D764" s="4">
        <v>24.54</v>
      </c>
      <c r="E764" s="3">
        <v>42353.0</v>
      </c>
      <c r="F764" s="4">
        <v>112.53</v>
      </c>
      <c r="G764" s="3">
        <v>42349.0</v>
      </c>
      <c r="H764" s="4">
        <v>122.2</v>
      </c>
      <c r="I764" s="3">
        <v>42349.0</v>
      </c>
      <c r="J764" s="4">
        <v>131.25</v>
      </c>
      <c r="K764" s="3">
        <v>42338.0</v>
      </c>
      <c r="L764" s="4">
        <v>1420.6741</v>
      </c>
    </row>
    <row r="765">
      <c r="A765" s="3">
        <v>42345.0</v>
      </c>
      <c r="B765" s="4">
        <v>124.2</v>
      </c>
      <c r="C765" s="3">
        <v>42256.0</v>
      </c>
      <c r="D765" s="4">
        <v>24.55</v>
      </c>
      <c r="E765" s="3">
        <v>42352.0</v>
      </c>
      <c r="F765" s="4">
        <v>112.55</v>
      </c>
      <c r="G765" s="3">
        <v>42348.0</v>
      </c>
      <c r="H765" s="4">
        <v>121.98</v>
      </c>
      <c r="I765" s="3">
        <v>42348.0</v>
      </c>
      <c r="J765" s="4">
        <v>131.08</v>
      </c>
      <c r="K765" s="3">
        <v>42335.0</v>
      </c>
      <c r="L765" s="4">
        <v>1421.993</v>
      </c>
    </row>
    <row r="766">
      <c r="A766" s="3">
        <v>42342.0</v>
      </c>
      <c r="B766" s="4">
        <v>124.18</v>
      </c>
      <c r="C766" s="3">
        <v>42255.0</v>
      </c>
      <c r="D766" s="4">
        <v>24.55</v>
      </c>
      <c r="E766" s="3">
        <v>42349.0</v>
      </c>
      <c r="F766" s="4">
        <v>112.64</v>
      </c>
      <c r="G766" s="3">
        <v>42347.0</v>
      </c>
      <c r="H766" s="4">
        <v>122.44</v>
      </c>
      <c r="I766" s="3">
        <v>42347.0</v>
      </c>
      <c r="J766" s="4">
        <v>131.65</v>
      </c>
      <c r="K766" s="3">
        <v>42334.0</v>
      </c>
      <c r="L766" s="4">
        <v>1422.1093</v>
      </c>
    </row>
    <row r="767">
      <c r="A767" s="3">
        <v>42341.0</v>
      </c>
      <c r="B767" s="4">
        <v>124.24</v>
      </c>
      <c r="C767" s="3">
        <v>42254.0</v>
      </c>
      <c r="D767" s="4">
        <v>24.55</v>
      </c>
      <c r="E767" s="3">
        <v>42348.0</v>
      </c>
      <c r="F767" s="4">
        <v>112.67</v>
      </c>
      <c r="G767" s="3">
        <v>42346.0</v>
      </c>
      <c r="H767" s="4">
        <v>123.18</v>
      </c>
      <c r="I767" s="3">
        <v>42346.0</v>
      </c>
      <c r="J767" s="4">
        <v>132.01</v>
      </c>
      <c r="K767" s="3">
        <v>42333.0</v>
      </c>
      <c r="L767" s="4">
        <v>1420.428</v>
      </c>
    </row>
    <row r="768">
      <c r="A768" s="3">
        <v>42340.0</v>
      </c>
      <c r="B768" s="4">
        <v>125.22</v>
      </c>
      <c r="C768" s="3">
        <v>42251.0</v>
      </c>
      <c r="D768" s="4">
        <v>24.56</v>
      </c>
      <c r="E768" s="3">
        <v>42347.0</v>
      </c>
      <c r="F768" s="4">
        <v>112.7</v>
      </c>
      <c r="G768" s="3">
        <v>42345.0</v>
      </c>
      <c r="H768" s="4">
        <v>122.22</v>
      </c>
      <c r="I768" s="3">
        <v>42345.0</v>
      </c>
      <c r="J768" s="4">
        <v>132.14</v>
      </c>
      <c r="K768" s="3">
        <v>42332.0</v>
      </c>
      <c r="L768" s="4">
        <v>1424.5624</v>
      </c>
    </row>
    <row r="769">
      <c r="A769" s="3">
        <v>42339.0</v>
      </c>
      <c r="B769" s="4">
        <v>125.49</v>
      </c>
      <c r="C769" s="3">
        <v>42250.0</v>
      </c>
      <c r="D769" s="4">
        <v>24.57</v>
      </c>
      <c r="E769" s="3">
        <v>42346.0</v>
      </c>
      <c r="F769" s="4">
        <v>112.74</v>
      </c>
      <c r="G769" s="3">
        <v>42342.0</v>
      </c>
      <c r="H769" s="4">
        <v>122.79</v>
      </c>
      <c r="I769" s="3">
        <v>42342.0</v>
      </c>
      <c r="J769" s="4">
        <v>131.57</v>
      </c>
      <c r="K769" s="3">
        <v>42331.0</v>
      </c>
      <c r="L769" s="4">
        <v>1426.6492</v>
      </c>
    </row>
    <row r="770">
      <c r="A770" s="3">
        <v>42338.0</v>
      </c>
      <c r="B770" s="4">
        <v>125.52</v>
      </c>
      <c r="C770" s="3">
        <v>42249.0</v>
      </c>
      <c r="D770" s="4">
        <v>24.55</v>
      </c>
      <c r="E770" s="3">
        <v>42345.0</v>
      </c>
      <c r="F770" s="4">
        <v>112.79</v>
      </c>
      <c r="G770" s="3">
        <v>42341.0</v>
      </c>
      <c r="H770" s="4">
        <v>125.5</v>
      </c>
      <c r="I770" s="3">
        <v>42341.0</v>
      </c>
      <c r="J770" s="4">
        <v>132.68</v>
      </c>
      <c r="K770" s="3">
        <v>42328.0</v>
      </c>
      <c r="L770" s="4">
        <v>1425.2487</v>
      </c>
    </row>
    <row r="771">
      <c r="A771" s="3">
        <v>42335.0</v>
      </c>
      <c r="B771" s="4">
        <v>125.49</v>
      </c>
      <c r="C771" s="3">
        <v>42248.0</v>
      </c>
      <c r="D771" s="4">
        <v>24.55</v>
      </c>
      <c r="E771" s="3">
        <v>42342.0</v>
      </c>
      <c r="F771" s="4">
        <v>112.75</v>
      </c>
      <c r="G771" s="3">
        <v>42340.0</v>
      </c>
      <c r="H771" s="4">
        <v>125.89</v>
      </c>
      <c r="I771" s="3">
        <v>42340.0</v>
      </c>
      <c r="J771" s="4">
        <v>133.07</v>
      </c>
      <c r="K771" s="3">
        <v>42327.0</v>
      </c>
      <c r="L771" s="4">
        <v>1420.5745</v>
      </c>
    </row>
    <row r="772">
      <c r="A772" s="3">
        <v>42334.0</v>
      </c>
      <c r="B772" s="4">
        <v>125.51</v>
      </c>
      <c r="C772" s="3">
        <v>42247.0</v>
      </c>
      <c r="D772" s="4">
        <v>24.57</v>
      </c>
      <c r="E772" s="3">
        <v>42341.0</v>
      </c>
      <c r="F772" s="4">
        <v>112.77</v>
      </c>
      <c r="G772" s="3">
        <v>42339.0</v>
      </c>
      <c r="H772" s="4">
        <v>126.32</v>
      </c>
      <c r="I772" s="3">
        <v>42339.0</v>
      </c>
      <c r="J772" s="4">
        <v>132.51</v>
      </c>
      <c r="K772" s="3">
        <v>42326.0</v>
      </c>
      <c r="L772" s="4">
        <v>1417.8558</v>
      </c>
    </row>
    <row r="773">
      <c r="A773" s="3">
        <v>42333.0</v>
      </c>
      <c r="B773" s="4">
        <v>125.29</v>
      </c>
      <c r="C773" s="3">
        <v>42244.0</v>
      </c>
      <c r="D773" s="4">
        <v>24.57</v>
      </c>
      <c r="E773" s="3">
        <v>42340.0</v>
      </c>
      <c r="F773" s="4">
        <v>112.77</v>
      </c>
      <c r="G773" s="3">
        <v>42338.0</v>
      </c>
      <c r="H773" s="4">
        <v>126.06</v>
      </c>
      <c r="I773" s="3">
        <v>42338.0</v>
      </c>
      <c r="J773" s="4">
        <v>132.75</v>
      </c>
      <c r="K773" s="3">
        <v>42325.0</v>
      </c>
      <c r="L773" s="4">
        <v>1412.5906</v>
      </c>
    </row>
    <row r="774">
      <c r="A774" s="3">
        <v>42332.0</v>
      </c>
      <c r="B774" s="4">
        <v>125.01</v>
      </c>
      <c r="C774" s="3">
        <v>42243.0</v>
      </c>
      <c r="D774" s="4">
        <v>24.57</v>
      </c>
      <c r="E774" s="3">
        <v>42339.0</v>
      </c>
      <c r="F774" s="4">
        <v>112.83</v>
      </c>
      <c r="G774" s="3">
        <v>42335.0</v>
      </c>
      <c r="H774" s="4">
        <v>125.98</v>
      </c>
      <c r="I774" s="3">
        <v>42335.0</v>
      </c>
      <c r="J774" s="4">
        <v>132.57</v>
      </c>
      <c r="K774" s="3">
        <v>42324.0</v>
      </c>
      <c r="L774" s="4">
        <v>1410.4519</v>
      </c>
    </row>
    <row r="775">
      <c r="A775" s="3">
        <v>42331.0</v>
      </c>
      <c r="B775" s="4">
        <v>125.53</v>
      </c>
      <c r="C775" s="3">
        <v>42242.0</v>
      </c>
      <c r="D775" s="4">
        <v>24.54</v>
      </c>
      <c r="E775" s="3">
        <v>42338.0</v>
      </c>
      <c r="F775" s="4">
        <v>112.81</v>
      </c>
      <c r="G775" s="3">
        <v>42334.0</v>
      </c>
      <c r="H775" s="4">
        <v>125.31</v>
      </c>
      <c r="I775" s="3">
        <v>42334.0</v>
      </c>
      <c r="J775" s="4">
        <v>132.41</v>
      </c>
      <c r="K775" s="3">
        <v>42321.0</v>
      </c>
      <c r="L775" s="4">
        <v>1419.4091</v>
      </c>
    </row>
    <row r="776">
      <c r="A776" s="3">
        <v>42328.0</v>
      </c>
      <c r="B776" s="4">
        <v>125.74</v>
      </c>
      <c r="C776" s="3">
        <v>42241.0</v>
      </c>
      <c r="D776" s="4">
        <v>24.55</v>
      </c>
      <c r="E776" s="3">
        <v>42335.0</v>
      </c>
      <c r="F776" s="4">
        <v>112.8</v>
      </c>
      <c r="G776" s="3">
        <v>42333.0</v>
      </c>
      <c r="H776" s="4">
        <v>124.01</v>
      </c>
      <c r="I776" s="3">
        <v>42333.0</v>
      </c>
      <c r="J776" s="4">
        <v>131.92</v>
      </c>
      <c r="K776" s="3">
        <v>42320.0</v>
      </c>
      <c r="L776" s="4">
        <v>1426.0133</v>
      </c>
    </row>
    <row r="777">
      <c r="A777" s="3">
        <v>42327.0</v>
      </c>
      <c r="B777" s="4">
        <v>125.89</v>
      </c>
      <c r="C777" s="3">
        <v>42240.0</v>
      </c>
      <c r="D777" s="4">
        <v>24.54</v>
      </c>
      <c r="E777" s="3">
        <v>42334.0</v>
      </c>
      <c r="F777" s="4">
        <v>112.82</v>
      </c>
      <c r="G777" s="3">
        <v>42332.0</v>
      </c>
      <c r="H777" s="4">
        <v>124.72</v>
      </c>
      <c r="I777" s="3">
        <v>42332.0</v>
      </c>
      <c r="J777" s="4">
        <v>131.79</v>
      </c>
      <c r="K777" s="3">
        <v>42319.0</v>
      </c>
      <c r="L777" s="4">
        <v>1426.4469</v>
      </c>
    </row>
    <row r="778">
      <c r="A778" s="3">
        <v>42326.0</v>
      </c>
      <c r="B778" s="4">
        <v>125.62</v>
      </c>
      <c r="C778" s="3">
        <v>42237.0</v>
      </c>
      <c r="D778" s="4">
        <v>24.59</v>
      </c>
      <c r="E778" s="3">
        <v>42333.0</v>
      </c>
      <c r="F778" s="4">
        <v>112.78</v>
      </c>
      <c r="G778" s="3">
        <v>42331.0</v>
      </c>
      <c r="H778" s="4">
        <v>125.05</v>
      </c>
      <c r="I778" s="3">
        <v>42331.0</v>
      </c>
      <c r="J778" s="4">
        <v>132.05</v>
      </c>
      <c r="K778" s="3">
        <v>42318.0</v>
      </c>
      <c r="L778" s="4">
        <v>1426.3112</v>
      </c>
    </row>
    <row r="779">
      <c r="A779" s="3">
        <v>42325.0</v>
      </c>
      <c r="B779" s="4">
        <v>125.72</v>
      </c>
      <c r="C779" s="3">
        <v>42236.0</v>
      </c>
      <c r="D779" s="4">
        <v>24.6</v>
      </c>
      <c r="E779" s="3">
        <v>42332.0</v>
      </c>
      <c r="F779" s="4">
        <v>113.24</v>
      </c>
      <c r="G779" s="3">
        <v>42328.0</v>
      </c>
      <c r="H779" s="4">
        <v>124.88</v>
      </c>
      <c r="I779" s="3">
        <v>42328.0</v>
      </c>
      <c r="J779" s="4">
        <v>131.91</v>
      </c>
      <c r="K779" s="3">
        <v>42317.0</v>
      </c>
      <c r="L779" s="4">
        <v>1433.2742</v>
      </c>
    </row>
    <row r="780">
      <c r="A780" s="3">
        <v>42324.0</v>
      </c>
      <c r="B780" s="4">
        <v>124.96</v>
      </c>
      <c r="C780" s="3">
        <v>42235.0</v>
      </c>
      <c r="D780" s="4">
        <v>24.62</v>
      </c>
      <c r="E780" s="3">
        <v>42331.0</v>
      </c>
      <c r="F780" s="4">
        <v>113.21</v>
      </c>
      <c r="G780" s="3">
        <v>42327.0</v>
      </c>
      <c r="H780" s="4">
        <v>124.2</v>
      </c>
      <c r="I780" s="3">
        <v>42327.0</v>
      </c>
      <c r="J780" s="4">
        <v>131.91</v>
      </c>
      <c r="K780" s="3">
        <v>42314.0</v>
      </c>
      <c r="L780" s="4">
        <v>1431.8785</v>
      </c>
    </row>
    <row r="781">
      <c r="A781" s="3">
        <v>42321.0</v>
      </c>
      <c r="B781" s="4">
        <v>124.93</v>
      </c>
      <c r="C781" s="3">
        <v>42234.0</v>
      </c>
      <c r="D781" s="4">
        <v>24.63</v>
      </c>
      <c r="E781" s="3">
        <v>42328.0</v>
      </c>
      <c r="F781" s="4">
        <v>113.19</v>
      </c>
      <c r="G781" s="3">
        <v>42326.0</v>
      </c>
      <c r="H781" s="4">
        <v>124.11</v>
      </c>
      <c r="I781" s="3">
        <v>42326.0</v>
      </c>
      <c r="J781" s="4">
        <v>131.27</v>
      </c>
      <c r="K781" s="3">
        <v>42313.0</v>
      </c>
      <c r="L781" s="4">
        <v>1431.8925</v>
      </c>
    </row>
    <row r="782">
      <c r="A782" s="3">
        <v>42320.0</v>
      </c>
      <c r="B782" s="4">
        <v>125.24</v>
      </c>
      <c r="C782" s="3">
        <v>42233.0</v>
      </c>
      <c r="D782" s="4">
        <v>24.62</v>
      </c>
      <c r="E782" s="3">
        <v>42327.0</v>
      </c>
      <c r="F782" s="4">
        <v>113.18</v>
      </c>
      <c r="G782" s="3">
        <v>42325.0</v>
      </c>
      <c r="H782" s="4">
        <v>122.82</v>
      </c>
      <c r="I782" s="3">
        <v>42325.0</v>
      </c>
      <c r="J782" s="4">
        <v>131.09</v>
      </c>
      <c r="K782" s="3">
        <v>42312.0</v>
      </c>
      <c r="L782" s="4">
        <v>1429.5048</v>
      </c>
    </row>
    <row r="783">
      <c r="A783" s="3">
        <v>42318.0</v>
      </c>
      <c r="B783" s="4">
        <v>125.61</v>
      </c>
      <c r="C783" s="3">
        <v>42230.0</v>
      </c>
      <c r="D783" s="4">
        <v>24.62</v>
      </c>
      <c r="E783" s="3">
        <v>42326.0</v>
      </c>
      <c r="F783" s="4">
        <v>113.11</v>
      </c>
      <c r="G783" s="3">
        <v>42324.0</v>
      </c>
      <c r="H783" s="4">
        <v>122.75</v>
      </c>
      <c r="I783" s="3">
        <v>42324.0</v>
      </c>
      <c r="J783" s="4">
        <v>130.86</v>
      </c>
      <c r="K783" s="3">
        <v>42311.0</v>
      </c>
      <c r="L783" s="4">
        <v>1428.2821</v>
      </c>
    </row>
    <row r="784">
      <c r="A784" s="3">
        <v>42317.0</v>
      </c>
      <c r="B784" s="4">
        <v>125.6</v>
      </c>
      <c r="C784" s="3">
        <v>42229.0</v>
      </c>
      <c r="D784" s="4">
        <v>24.62</v>
      </c>
      <c r="E784" s="3">
        <v>42325.0</v>
      </c>
      <c r="F784" s="4">
        <v>113.14</v>
      </c>
      <c r="G784" s="3">
        <v>42321.0</v>
      </c>
      <c r="H784" s="4">
        <v>122.97</v>
      </c>
      <c r="I784" s="3">
        <v>42321.0</v>
      </c>
      <c r="J784" s="4">
        <v>130.96</v>
      </c>
      <c r="K784" s="3">
        <v>42310.0</v>
      </c>
      <c r="L784" s="4">
        <v>1422.9398</v>
      </c>
    </row>
    <row r="785">
      <c r="A785" s="3">
        <v>42314.0</v>
      </c>
      <c r="B785" s="4">
        <v>126.15</v>
      </c>
      <c r="C785" s="3">
        <v>42228.0</v>
      </c>
      <c r="D785" s="4">
        <v>24.61</v>
      </c>
      <c r="E785" s="3">
        <v>42324.0</v>
      </c>
      <c r="F785" s="4">
        <v>113.14</v>
      </c>
      <c r="G785" s="3">
        <v>42320.0</v>
      </c>
      <c r="H785" s="4">
        <v>123.57</v>
      </c>
      <c r="I785" s="3">
        <v>42320.0</v>
      </c>
      <c r="J785" s="4">
        <v>131.68</v>
      </c>
      <c r="K785" s="3">
        <v>42307.0</v>
      </c>
      <c r="L785" s="4">
        <v>1421.4951</v>
      </c>
    </row>
    <row r="786">
      <c r="A786" s="3">
        <v>42313.0</v>
      </c>
      <c r="B786" s="4">
        <v>125.98</v>
      </c>
      <c r="C786" s="3">
        <v>42227.0</v>
      </c>
      <c r="D786" s="4">
        <v>24.62</v>
      </c>
      <c r="E786" s="3">
        <v>42321.0</v>
      </c>
      <c r="F786" s="4">
        <v>113.14</v>
      </c>
      <c r="G786" s="3">
        <v>42319.0</v>
      </c>
      <c r="H786" s="4">
        <v>123.17</v>
      </c>
      <c r="I786" s="3">
        <v>42319.0</v>
      </c>
      <c r="J786" s="4">
        <v>131.76</v>
      </c>
      <c r="K786" s="3">
        <v>42306.0</v>
      </c>
      <c r="L786" s="4">
        <v>1424.1327</v>
      </c>
    </row>
    <row r="787">
      <c r="A787" s="3">
        <v>42312.0</v>
      </c>
      <c r="B787" s="4">
        <v>125.99</v>
      </c>
      <c r="C787" s="3">
        <v>42226.0</v>
      </c>
      <c r="D787" s="4">
        <v>24.64</v>
      </c>
      <c r="E787" s="3">
        <v>42320.0</v>
      </c>
      <c r="F787" s="4">
        <v>113.21</v>
      </c>
      <c r="G787" s="3">
        <v>42318.0</v>
      </c>
      <c r="H787" s="4">
        <v>122.77</v>
      </c>
      <c r="I787" s="3">
        <v>42318.0</v>
      </c>
      <c r="J787" s="4">
        <v>131.66</v>
      </c>
      <c r="K787" s="3">
        <v>42305.0</v>
      </c>
      <c r="L787" s="4">
        <v>1420.9678</v>
      </c>
    </row>
    <row r="788">
      <c r="A788" s="3">
        <v>42311.0</v>
      </c>
      <c r="B788" s="4">
        <v>125.95</v>
      </c>
      <c r="C788" s="3">
        <v>42223.0</v>
      </c>
      <c r="D788" s="4">
        <v>24.64</v>
      </c>
      <c r="E788" s="3">
        <v>42319.0</v>
      </c>
      <c r="F788" s="4">
        <v>113.24</v>
      </c>
      <c r="G788" s="3">
        <v>42317.0</v>
      </c>
      <c r="H788" s="4">
        <v>123.48</v>
      </c>
      <c r="I788" s="3">
        <v>42317.0</v>
      </c>
      <c r="J788" s="4">
        <v>132.21</v>
      </c>
      <c r="K788" s="3">
        <v>42304.0</v>
      </c>
      <c r="L788" s="4">
        <v>1422.4163</v>
      </c>
    </row>
    <row r="789">
      <c r="A789" s="3">
        <v>42310.0</v>
      </c>
      <c r="B789" s="4">
        <v>125.89</v>
      </c>
      <c r="C789" s="3">
        <v>42222.0</v>
      </c>
      <c r="D789" s="4">
        <v>24.64</v>
      </c>
      <c r="E789" s="3">
        <v>42318.0</v>
      </c>
      <c r="F789" s="4">
        <v>113.2</v>
      </c>
      <c r="G789" s="3">
        <v>42314.0</v>
      </c>
      <c r="H789" s="4">
        <v>123.45</v>
      </c>
      <c r="I789" s="3">
        <v>42314.0</v>
      </c>
      <c r="J789" s="4">
        <v>132.34</v>
      </c>
      <c r="K789" s="3">
        <v>42303.0</v>
      </c>
      <c r="L789" s="4">
        <v>1420.6121</v>
      </c>
    </row>
    <row r="790">
      <c r="A790" s="3">
        <v>42307.0</v>
      </c>
      <c r="B790" s="4">
        <v>125.67</v>
      </c>
      <c r="C790" s="3">
        <v>42221.0</v>
      </c>
      <c r="D790" s="4">
        <v>24.65</v>
      </c>
      <c r="E790" s="3">
        <v>42317.0</v>
      </c>
      <c r="F790" s="4">
        <v>113.14</v>
      </c>
      <c r="G790" s="3">
        <v>42313.0</v>
      </c>
      <c r="H790" s="4">
        <v>123.21</v>
      </c>
      <c r="I790" s="3">
        <v>42313.0</v>
      </c>
      <c r="J790" s="4">
        <v>132.56</v>
      </c>
      <c r="K790" s="3">
        <v>42300.0</v>
      </c>
      <c r="L790" s="4">
        <v>1412.578</v>
      </c>
    </row>
    <row r="791">
      <c r="A791" s="3">
        <v>42306.0</v>
      </c>
      <c r="B791" s="4">
        <v>125.45</v>
      </c>
      <c r="C791" s="3">
        <v>42220.0</v>
      </c>
      <c r="D791" s="4">
        <v>24.64</v>
      </c>
      <c r="E791" s="3">
        <v>42314.0</v>
      </c>
      <c r="F791" s="4">
        <v>113.04</v>
      </c>
      <c r="G791" s="3">
        <v>42312.0</v>
      </c>
      <c r="H791" s="4">
        <v>123.78</v>
      </c>
      <c r="I791" s="3">
        <v>42312.0</v>
      </c>
      <c r="J791" s="4">
        <v>132.56</v>
      </c>
      <c r="K791" s="3">
        <v>42299.0</v>
      </c>
      <c r="L791" s="4">
        <v>1401.6248</v>
      </c>
    </row>
    <row r="792">
      <c r="A792" s="3">
        <v>42305.0</v>
      </c>
      <c r="B792" s="4">
        <v>125.21</v>
      </c>
      <c r="C792" s="3">
        <v>42219.0</v>
      </c>
      <c r="D792" s="4">
        <v>24.64</v>
      </c>
      <c r="E792" s="3">
        <v>42313.0</v>
      </c>
      <c r="F792" s="4">
        <v>113.02</v>
      </c>
      <c r="G792" s="3">
        <v>42311.0</v>
      </c>
      <c r="H792" s="4">
        <v>123.83</v>
      </c>
      <c r="I792" s="3">
        <v>42311.0</v>
      </c>
      <c r="J792" s="4">
        <v>132.36</v>
      </c>
      <c r="K792" s="3">
        <v>42298.0</v>
      </c>
      <c r="L792" s="4">
        <v>1404.1025</v>
      </c>
    </row>
    <row r="793">
      <c r="A793" s="3">
        <v>42304.0</v>
      </c>
      <c r="B793" s="4">
        <v>124.84</v>
      </c>
      <c r="C793" s="3">
        <v>42216.0</v>
      </c>
      <c r="D793" s="4">
        <v>24.63</v>
      </c>
      <c r="E793" s="3">
        <v>42312.0</v>
      </c>
      <c r="F793" s="4">
        <v>113.0</v>
      </c>
      <c r="G793" s="3">
        <v>42310.0</v>
      </c>
      <c r="H793" s="4">
        <v>123.58</v>
      </c>
      <c r="I793" s="3">
        <v>42310.0</v>
      </c>
      <c r="J793" s="4">
        <v>131.97</v>
      </c>
      <c r="K793" s="3">
        <v>42297.0</v>
      </c>
      <c r="L793" s="4">
        <v>1404.349</v>
      </c>
    </row>
    <row r="794">
      <c r="A794" s="3">
        <v>42303.0</v>
      </c>
      <c r="B794" s="4">
        <v>125.08</v>
      </c>
      <c r="C794" s="3">
        <v>42215.0</v>
      </c>
      <c r="D794" s="4">
        <v>24.64</v>
      </c>
      <c r="E794" s="3">
        <v>42311.0</v>
      </c>
      <c r="F794" s="4">
        <v>112.93</v>
      </c>
      <c r="G794" s="3">
        <v>42307.0</v>
      </c>
      <c r="H794" s="4">
        <v>123.51</v>
      </c>
      <c r="I794" s="3">
        <v>42307.0</v>
      </c>
      <c r="J794" s="4">
        <v>132.33</v>
      </c>
      <c r="K794" s="3">
        <v>42296.0</v>
      </c>
      <c r="L794" s="4">
        <v>1400.7376</v>
      </c>
    </row>
    <row r="795">
      <c r="A795" s="3">
        <v>42300.0</v>
      </c>
      <c r="B795" s="4">
        <v>125.07</v>
      </c>
      <c r="C795" s="3">
        <v>42214.0</v>
      </c>
      <c r="D795" s="4">
        <v>24.63</v>
      </c>
      <c r="E795" s="3">
        <v>42310.0</v>
      </c>
      <c r="F795" s="4">
        <v>112.89</v>
      </c>
      <c r="G795" s="3">
        <v>42306.0</v>
      </c>
      <c r="H795" s="4">
        <v>124.09</v>
      </c>
      <c r="I795" s="3">
        <v>42306.0</v>
      </c>
      <c r="J795" s="4">
        <v>132.13</v>
      </c>
      <c r="K795" s="3">
        <v>42293.0</v>
      </c>
      <c r="L795" s="4">
        <v>1398.0237</v>
      </c>
    </row>
    <row r="796">
      <c r="A796" s="3">
        <v>42299.0</v>
      </c>
      <c r="B796" s="4">
        <v>124.33</v>
      </c>
      <c r="C796" s="3">
        <v>42213.0</v>
      </c>
      <c r="D796" s="4">
        <v>24.63</v>
      </c>
      <c r="E796" s="3">
        <v>42307.0</v>
      </c>
      <c r="F796" s="4">
        <v>112.83</v>
      </c>
      <c r="G796" s="3">
        <v>42305.0</v>
      </c>
      <c r="H796" s="4">
        <v>123.76</v>
      </c>
      <c r="I796" s="3">
        <v>42305.0</v>
      </c>
      <c r="J796" s="4">
        <v>131.93</v>
      </c>
      <c r="K796" s="3">
        <v>42292.0</v>
      </c>
      <c r="L796" s="4">
        <v>1392.0107</v>
      </c>
    </row>
    <row r="797">
      <c r="A797" s="3">
        <v>42298.0</v>
      </c>
      <c r="B797" s="4">
        <v>123.61</v>
      </c>
      <c r="C797" s="3">
        <v>42212.0</v>
      </c>
      <c r="D797" s="4">
        <v>24.62</v>
      </c>
      <c r="E797" s="3">
        <v>42306.0</v>
      </c>
      <c r="F797" s="4">
        <v>112.83</v>
      </c>
      <c r="G797" s="3">
        <v>42304.0</v>
      </c>
      <c r="H797" s="4">
        <v>123.73</v>
      </c>
      <c r="I797" s="3">
        <v>42304.0</v>
      </c>
      <c r="J797" s="4">
        <v>131.69</v>
      </c>
      <c r="K797" s="3">
        <v>42291.0</v>
      </c>
      <c r="L797" s="4">
        <v>1388.4833</v>
      </c>
    </row>
    <row r="798">
      <c r="A798" s="3">
        <v>42297.0</v>
      </c>
      <c r="B798" s="4">
        <v>123.52</v>
      </c>
      <c r="C798" s="3">
        <v>42209.0</v>
      </c>
      <c r="D798" s="4">
        <v>24.64</v>
      </c>
      <c r="E798" s="3">
        <v>42305.0</v>
      </c>
      <c r="F798" s="4">
        <v>112.88</v>
      </c>
      <c r="G798" s="3">
        <v>42303.0</v>
      </c>
      <c r="H798" s="4">
        <v>123.68</v>
      </c>
      <c r="I798" s="3">
        <v>42303.0</v>
      </c>
      <c r="J798" s="4">
        <v>131.54</v>
      </c>
      <c r="K798" s="3">
        <v>42290.0</v>
      </c>
      <c r="L798" s="4">
        <v>1392.8093</v>
      </c>
    </row>
    <row r="799">
      <c r="A799" s="3">
        <v>42296.0</v>
      </c>
      <c r="B799" s="4">
        <v>123.61</v>
      </c>
      <c r="C799" s="3">
        <v>42208.0</v>
      </c>
      <c r="D799" s="4">
        <v>24.64</v>
      </c>
      <c r="E799" s="3">
        <v>42304.0</v>
      </c>
      <c r="F799" s="4">
        <v>112.91</v>
      </c>
      <c r="G799" s="3">
        <v>42300.0</v>
      </c>
      <c r="H799" s="4">
        <v>123.69</v>
      </c>
      <c r="I799" s="3">
        <v>42300.0</v>
      </c>
      <c r="J799" s="4">
        <v>131.08</v>
      </c>
      <c r="K799" s="3">
        <v>42289.0</v>
      </c>
      <c r="L799" s="4">
        <v>1392.8058</v>
      </c>
    </row>
    <row r="800">
      <c r="A800" s="3">
        <v>42293.0</v>
      </c>
      <c r="B800" s="4">
        <v>123.49</v>
      </c>
      <c r="C800" s="3">
        <v>42207.0</v>
      </c>
      <c r="D800" s="4">
        <v>24.66</v>
      </c>
      <c r="E800" s="3">
        <v>42303.0</v>
      </c>
      <c r="F800" s="4">
        <v>112.92</v>
      </c>
      <c r="G800" s="3">
        <v>42299.0</v>
      </c>
      <c r="H800" s="4">
        <v>123.28</v>
      </c>
      <c r="I800" s="3">
        <v>42299.0</v>
      </c>
      <c r="J800" s="4">
        <v>130.96</v>
      </c>
      <c r="K800" s="3">
        <v>42286.0</v>
      </c>
      <c r="L800" s="4">
        <v>1392.1285</v>
      </c>
    </row>
    <row r="801">
      <c r="A801" s="3">
        <v>42292.0</v>
      </c>
      <c r="B801" s="4">
        <v>123.27</v>
      </c>
      <c r="C801" s="3">
        <v>42206.0</v>
      </c>
      <c r="D801" s="4">
        <v>24.66</v>
      </c>
      <c r="E801" s="3">
        <v>42300.0</v>
      </c>
      <c r="F801" s="4">
        <v>112.86</v>
      </c>
      <c r="G801" s="3">
        <v>42298.0</v>
      </c>
      <c r="H801" s="4">
        <v>123.05</v>
      </c>
      <c r="I801" s="3">
        <v>42298.0</v>
      </c>
      <c r="J801" s="4">
        <v>131.33</v>
      </c>
      <c r="K801" s="3">
        <v>42285.0</v>
      </c>
      <c r="L801" s="4">
        <v>1387.2809</v>
      </c>
    </row>
    <row r="802">
      <c r="A802" s="3">
        <v>42291.0</v>
      </c>
      <c r="B802" s="4">
        <v>122.92</v>
      </c>
      <c r="C802" s="3">
        <v>42205.0</v>
      </c>
      <c r="D802" s="4">
        <v>24.66</v>
      </c>
      <c r="E802" s="3">
        <v>42299.0</v>
      </c>
      <c r="F802" s="4">
        <v>112.81</v>
      </c>
      <c r="G802" s="3">
        <v>42297.0</v>
      </c>
      <c r="H802" s="4">
        <v>123.37</v>
      </c>
      <c r="I802" s="3">
        <v>42297.0</v>
      </c>
      <c r="J802" s="4">
        <v>131.4</v>
      </c>
      <c r="K802" s="3">
        <v>42284.0</v>
      </c>
      <c r="L802" s="4">
        <v>1386.0225</v>
      </c>
    </row>
    <row r="803">
      <c r="A803" s="3">
        <v>42290.0</v>
      </c>
      <c r="B803" s="4">
        <v>123.07</v>
      </c>
      <c r="C803" s="3">
        <v>42202.0</v>
      </c>
      <c r="D803" s="4">
        <v>24.66</v>
      </c>
      <c r="E803" s="3">
        <v>42298.0</v>
      </c>
      <c r="F803" s="4">
        <v>112.9</v>
      </c>
      <c r="G803" s="3">
        <v>42296.0</v>
      </c>
      <c r="H803" s="4">
        <v>123.44</v>
      </c>
      <c r="I803" s="3">
        <v>42296.0</v>
      </c>
      <c r="J803" s="4">
        <v>131.32</v>
      </c>
      <c r="K803" s="3">
        <v>42283.0</v>
      </c>
      <c r="L803" s="4">
        <v>1383.0659</v>
      </c>
    </row>
    <row r="804">
      <c r="A804" s="3">
        <v>42289.0</v>
      </c>
      <c r="B804" s="4">
        <v>123.32</v>
      </c>
      <c r="C804" s="3">
        <v>42201.0</v>
      </c>
      <c r="D804" s="4">
        <v>24.66</v>
      </c>
      <c r="E804" s="3">
        <v>42297.0</v>
      </c>
      <c r="F804" s="4">
        <v>112.88</v>
      </c>
      <c r="G804" s="3">
        <v>42293.0</v>
      </c>
      <c r="H804" s="4">
        <v>123.38</v>
      </c>
      <c r="I804" s="3">
        <v>42293.0</v>
      </c>
      <c r="J804" s="4">
        <v>131.07</v>
      </c>
      <c r="K804" s="3">
        <v>42282.0</v>
      </c>
      <c r="L804" s="4">
        <v>1373.528</v>
      </c>
    </row>
    <row r="805">
      <c r="A805" s="3">
        <v>42286.0</v>
      </c>
      <c r="B805" s="4">
        <v>123.46</v>
      </c>
      <c r="C805" s="3">
        <v>42200.0</v>
      </c>
      <c r="D805" s="4">
        <v>24.65</v>
      </c>
      <c r="E805" s="3">
        <v>42296.0</v>
      </c>
      <c r="F805" s="4">
        <v>112.89</v>
      </c>
      <c r="G805" s="3">
        <v>42292.0</v>
      </c>
      <c r="H805" s="4">
        <v>123.44</v>
      </c>
      <c r="I805" s="3">
        <v>42292.0</v>
      </c>
      <c r="J805" s="4">
        <v>130.98</v>
      </c>
      <c r="K805" s="3">
        <v>42279.0</v>
      </c>
      <c r="L805" s="4">
        <v>1366.5399</v>
      </c>
    </row>
    <row r="806">
      <c r="A806" s="3">
        <v>42285.0</v>
      </c>
      <c r="B806" s="4">
        <v>123.31</v>
      </c>
      <c r="C806" s="3">
        <v>42199.0</v>
      </c>
      <c r="D806" s="4">
        <v>24.65</v>
      </c>
      <c r="E806" s="3">
        <v>42293.0</v>
      </c>
      <c r="F806" s="4">
        <v>112.88</v>
      </c>
      <c r="G806" s="3">
        <v>42291.0</v>
      </c>
      <c r="H806" s="4">
        <v>123.22</v>
      </c>
      <c r="I806" s="3">
        <v>42291.0</v>
      </c>
      <c r="J806" s="4">
        <v>130.94</v>
      </c>
      <c r="K806" s="3">
        <v>42278.0</v>
      </c>
      <c r="L806" s="4">
        <v>1367.7524</v>
      </c>
    </row>
    <row r="807">
      <c r="A807" s="3">
        <v>42284.0</v>
      </c>
      <c r="B807" s="4">
        <v>123.24</v>
      </c>
      <c r="C807" s="3">
        <v>42198.0</v>
      </c>
      <c r="D807" s="4">
        <v>24.64</v>
      </c>
      <c r="E807" s="3">
        <v>42292.0</v>
      </c>
      <c r="F807" s="4">
        <v>112.85</v>
      </c>
      <c r="G807" s="3">
        <v>42290.0</v>
      </c>
      <c r="H807" s="4">
        <v>123.3</v>
      </c>
      <c r="I807" s="3">
        <v>42290.0</v>
      </c>
      <c r="J807" s="4">
        <v>130.88</v>
      </c>
      <c r="K807" s="3">
        <v>42277.0</v>
      </c>
      <c r="L807" s="4">
        <v>1355.8882</v>
      </c>
    </row>
    <row r="808">
      <c r="A808" s="3">
        <v>42283.0</v>
      </c>
      <c r="B808" s="4">
        <v>123.17</v>
      </c>
      <c r="C808" s="3">
        <v>42195.0</v>
      </c>
      <c r="D808" s="4">
        <v>24.62</v>
      </c>
      <c r="E808" s="3">
        <v>42291.0</v>
      </c>
      <c r="F808" s="4">
        <v>112.82</v>
      </c>
      <c r="G808" s="3">
        <v>42289.0</v>
      </c>
      <c r="H808" s="4">
        <v>123.14</v>
      </c>
      <c r="I808" s="3">
        <v>42289.0</v>
      </c>
      <c r="J808" s="4">
        <v>130.69</v>
      </c>
      <c r="K808" s="3">
        <v>42276.0</v>
      </c>
      <c r="L808" s="4">
        <v>1358.1242</v>
      </c>
    </row>
    <row r="809">
      <c r="A809" s="3">
        <v>42282.0</v>
      </c>
      <c r="B809" s="4">
        <v>122.86</v>
      </c>
      <c r="C809" s="3">
        <v>42194.0</v>
      </c>
      <c r="D809" s="4">
        <v>24.63</v>
      </c>
      <c r="E809" s="3">
        <v>42290.0</v>
      </c>
      <c r="F809" s="4">
        <v>112.82</v>
      </c>
      <c r="G809" s="3">
        <v>42286.0</v>
      </c>
      <c r="H809" s="4">
        <v>123.29</v>
      </c>
      <c r="I809" s="3">
        <v>42286.0</v>
      </c>
      <c r="J809" s="4">
        <v>130.62</v>
      </c>
      <c r="K809" s="3">
        <v>42275.0</v>
      </c>
      <c r="L809" s="4">
        <v>1373.8123</v>
      </c>
    </row>
    <row r="810">
      <c r="A810" s="3">
        <v>42279.0</v>
      </c>
      <c r="B810" s="4">
        <v>122.09</v>
      </c>
      <c r="C810" s="3">
        <v>42193.0</v>
      </c>
      <c r="D810" s="4">
        <v>24.63</v>
      </c>
      <c r="E810" s="3">
        <v>42289.0</v>
      </c>
      <c r="F810" s="4">
        <v>112.82</v>
      </c>
      <c r="G810" s="3">
        <v>42285.0</v>
      </c>
      <c r="H810" s="4">
        <v>123.23</v>
      </c>
      <c r="I810" s="3">
        <v>42285.0</v>
      </c>
      <c r="J810" s="4">
        <v>130.68</v>
      </c>
      <c r="K810" s="3">
        <v>42272.0</v>
      </c>
      <c r="L810" s="4">
        <v>1370.8932</v>
      </c>
    </row>
    <row r="811">
      <c r="A811" s="3">
        <v>42278.0</v>
      </c>
      <c r="B811" s="4">
        <v>121.98</v>
      </c>
      <c r="C811" s="3">
        <v>42192.0</v>
      </c>
      <c r="D811" s="4">
        <v>24.65</v>
      </c>
      <c r="E811" s="3">
        <v>42286.0</v>
      </c>
      <c r="F811" s="4">
        <v>112.77</v>
      </c>
      <c r="G811" s="3">
        <v>42284.0</v>
      </c>
      <c r="H811" s="4">
        <v>123.24</v>
      </c>
      <c r="I811" s="3">
        <v>42284.0</v>
      </c>
      <c r="J811" s="4">
        <v>130.46</v>
      </c>
      <c r="K811" s="3">
        <v>42271.0</v>
      </c>
      <c r="L811" s="4">
        <v>1374.093</v>
      </c>
    </row>
    <row r="812">
      <c r="A812" s="3">
        <v>42277.0</v>
      </c>
      <c r="B812" s="4">
        <v>122.22</v>
      </c>
      <c r="C812" s="3">
        <v>42191.0</v>
      </c>
      <c r="D812" s="4">
        <v>24.64</v>
      </c>
      <c r="E812" s="3">
        <v>42285.0</v>
      </c>
      <c r="F812" s="4">
        <v>112.74</v>
      </c>
      <c r="G812" s="3">
        <v>42283.0</v>
      </c>
      <c r="H812" s="4">
        <v>123.33</v>
      </c>
      <c r="I812" s="3">
        <v>42283.0</v>
      </c>
      <c r="J812" s="4">
        <v>130.46</v>
      </c>
      <c r="K812" s="3">
        <v>42270.0</v>
      </c>
      <c r="L812" s="4">
        <v>1376.2806</v>
      </c>
    </row>
    <row r="813">
      <c r="A813" s="3">
        <v>42276.0</v>
      </c>
      <c r="B813" s="4">
        <v>121.82</v>
      </c>
      <c r="C813" s="3">
        <v>42188.0</v>
      </c>
      <c r="D813" s="4">
        <v>24.64</v>
      </c>
      <c r="E813" s="3">
        <v>42284.0</v>
      </c>
      <c r="F813" s="4">
        <v>112.71</v>
      </c>
      <c r="G813" s="3">
        <v>42282.0</v>
      </c>
      <c r="H813" s="4">
        <v>123.56</v>
      </c>
      <c r="I813" s="3">
        <v>42282.0</v>
      </c>
      <c r="J813" s="4">
        <v>130.4</v>
      </c>
      <c r="K813" s="3">
        <v>42269.0</v>
      </c>
      <c r="L813" s="4">
        <v>1385.7063</v>
      </c>
    </row>
    <row r="814">
      <c r="A814" s="3">
        <v>42275.0</v>
      </c>
      <c r="B814" s="4">
        <v>122.23</v>
      </c>
      <c r="C814" s="3">
        <v>42187.0</v>
      </c>
      <c r="D814" s="4">
        <v>24.64</v>
      </c>
      <c r="E814" s="3">
        <v>42283.0</v>
      </c>
      <c r="F814" s="4">
        <v>112.65</v>
      </c>
      <c r="G814" s="3">
        <v>42279.0</v>
      </c>
      <c r="H814" s="4">
        <v>123.44</v>
      </c>
      <c r="I814" s="3">
        <v>42279.0</v>
      </c>
      <c r="J814" s="4">
        <v>130.28</v>
      </c>
      <c r="K814" s="3">
        <v>42268.0</v>
      </c>
      <c r="L814" s="4">
        <v>1385.0681</v>
      </c>
    </row>
    <row r="815">
      <c r="A815" s="3">
        <v>42272.0</v>
      </c>
      <c r="B815" s="4">
        <v>122.95</v>
      </c>
      <c r="C815" s="3">
        <v>42186.0</v>
      </c>
      <c r="D815" s="4">
        <v>24.64</v>
      </c>
      <c r="E815" s="3">
        <v>42282.0</v>
      </c>
      <c r="F815" s="4">
        <v>112.62</v>
      </c>
      <c r="G815" s="3">
        <v>42278.0</v>
      </c>
      <c r="H815" s="4">
        <v>123.31</v>
      </c>
      <c r="I815" s="3">
        <v>42278.0</v>
      </c>
      <c r="J815" s="4">
        <v>130.25</v>
      </c>
      <c r="K815" s="3">
        <v>42265.0</v>
      </c>
      <c r="L815" s="4">
        <v>1390.0137</v>
      </c>
    </row>
    <row r="816">
      <c r="A816" s="3">
        <v>42271.0</v>
      </c>
      <c r="B816" s="4">
        <v>122.47</v>
      </c>
      <c r="C816" s="3">
        <v>42185.0</v>
      </c>
      <c r="D816" s="4">
        <v>24.64</v>
      </c>
      <c r="E816" s="3">
        <v>42279.0</v>
      </c>
      <c r="F816" s="4">
        <v>112.51</v>
      </c>
      <c r="G816" s="3">
        <v>42277.0</v>
      </c>
      <c r="H816" s="4">
        <v>123.31</v>
      </c>
      <c r="I816" s="3">
        <v>42277.0</v>
      </c>
      <c r="J816" s="4">
        <v>130.04</v>
      </c>
      <c r="K816" s="3">
        <v>42264.0</v>
      </c>
      <c r="L816" s="4">
        <v>1390.614</v>
      </c>
    </row>
    <row r="817">
      <c r="A817" s="3">
        <v>42270.0</v>
      </c>
      <c r="B817" s="4">
        <v>122.91</v>
      </c>
      <c r="C817" s="3">
        <v>42184.0</v>
      </c>
      <c r="D817" s="4">
        <v>24.64</v>
      </c>
      <c r="E817" s="3">
        <v>42278.0</v>
      </c>
      <c r="F817" s="4">
        <v>112.75</v>
      </c>
      <c r="G817" s="3">
        <v>42276.0</v>
      </c>
      <c r="H817" s="4">
        <v>123.37</v>
      </c>
      <c r="I817" s="3">
        <v>42276.0</v>
      </c>
      <c r="J817" s="4">
        <v>130.27</v>
      </c>
      <c r="K817" s="3">
        <v>42263.0</v>
      </c>
      <c r="L817" s="4">
        <v>1386.0831</v>
      </c>
    </row>
    <row r="818">
      <c r="A818" s="3">
        <v>42269.0</v>
      </c>
      <c r="B818" s="4">
        <v>122.9</v>
      </c>
      <c r="C818" s="3">
        <v>42181.0</v>
      </c>
      <c r="D818" s="4">
        <v>24.65</v>
      </c>
      <c r="E818" s="3">
        <v>42277.0</v>
      </c>
      <c r="F818" s="4">
        <v>112.65</v>
      </c>
      <c r="G818" s="3">
        <v>42275.0</v>
      </c>
      <c r="H818" s="4">
        <v>123.34</v>
      </c>
      <c r="I818" s="3">
        <v>42275.0</v>
      </c>
      <c r="J818" s="4">
        <v>130.99</v>
      </c>
      <c r="K818" s="3">
        <v>42262.0</v>
      </c>
      <c r="L818" s="4">
        <v>1382.5247</v>
      </c>
    </row>
    <row r="819">
      <c r="A819" s="3">
        <v>42268.0</v>
      </c>
      <c r="B819" s="4">
        <v>123.56</v>
      </c>
      <c r="C819" s="3">
        <v>42180.0</v>
      </c>
      <c r="D819" s="4">
        <v>24.66</v>
      </c>
      <c r="E819" s="3">
        <v>42276.0</v>
      </c>
      <c r="F819" s="4">
        <v>112.64</v>
      </c>
      <c r="G819" s="3">
        <v>42272.0</v>
      </c>
      <c r="H819" s="4">
        <v>123.48</v>
      </c>
      <c r="I819" s="3">
        <v>42272.0</v>
      </c>
      <c r="J819" s="4">
        <v>131.24</v>
      </c>
      <c r="K819" s="3">
        <v>42261.0</v>
      </c>
      <c r="L819" s="4">
        <v>1383.6679</v>
      </c>
    </row>
    <row r="820">
      <c r="A820" s="3">
        <v>42265.0</v>
      </c>
      <c r="B820" s="4">
        <v>123.13</v>
      </c>
      <c r="C820" s="3">
        <v>42179.0</v>
      </c>
      <c r="D820" s="4">
        <v>24.65</v>
      </c>
      <c r="E820" s="3">
        <v>42275.0</v>
      </c>
      <c r="F820" s="4">
        <v>112.84</v>
      </c>
      <c r="G820" s="3">
        <v>42271.0</v>
      </c>
      <c r="H820" s="4">
        <v>123.47</v>
      </c>
      <c r="I820" s="3">
        <v>42271.0</v>
      </c>
      <c r="J820" s="4">
        <v>131.64</v>
      </c>
      <c r="K820" s="3">
        <v>42258.0</v>
      </c>
      <c r="L820" s="4">
        <v>1383.9509</v>
      </c>
    </row>
    <row r="821">
      <c r="A821" s="3">
        <v>42264.0</v>
      </c>
      <c r="B821" s="4">
        <v>123.81</v>
      </c>
      <c r="C821" s="3">
        <v>42177.0</v>
      </c>
      <c r="D821" s="4">
        <v>24.63</v>
      </c>
      <c r="E821" s="3">
        <v>42272.0</v>
      </c>
      <c r="F821" s="4">
        <v>112.94</v>
      </c>
      <c r="G821" s="3">
        <v>42270.0</v>
      </c>
      <c r="H821" s="4">
        <v>123.53</v>
      </c>
      <c r="I821" s="3">
        <v>42270.0</v>
      </c>
      <c r="J821" s="4">
        <v>131.8</v>
      </c>
      <c r="K821" s="3">
        <v>42257.0</v>
      </c>
      <c r="L821" s="4">
        <v>1384.9425</v>
      </c>
    </row>
    <row r="822">
      <c r="A822" s="3">
        <v>42263.0</v>
      </c>
      <c r="B822" s="4">
        <v>123.86</v>
      </c>
      <c r="C822" s="3">
        <v>42174.0</v>
      </c>
      <c r="D822" s="4">
        <v>24.64</v>
      </c>
      <c r="E822" s="3">
        <v>42271.0</v>
      </c>
      <c r="F822" s="4">
        <v>112.99</v>
      </c>
      <c r="G822" s="3">
        <v>42269.0</v>
      </c>
      <c r="H822" s="4">
        <v>123.3</v>
      </c>
      <c r="I822" s="3">
        <v>42269.0</v>
      </c>
      <c r="J822" s="4">
        <v>132.27</v>
      </c>
      <c r="K822" s="3">
        <v>42256.0</v>
      </c>
      <c r="L822" s="4">
        <v>1384.8827</v>
      </c>
    </row>
    <row r="823">
      <c r="A823" s="3">
        <v>42262.0</v>
      </c>
      <c r="B823" s="4">
        <v>123.69</v>
      </c>
      <c r="C823" s="3">
        <v>42173.0</v>
      </c>
      <c r="D823" s="4">
        <v>24.63</v>
      </c>
      <c r="E823" s="3">
        <v>42270.0</v>
      </c>
      <c r="F823" s="4">
        <v>112.52</v>
      </c>
      <c r="G823" s="3">
        <v>42268.0</v>
      </c>
      <c r="H823" s="4">
        <v>123.36</v>
      </c>
      <c r="I823" s="3">
        <v>42268.0</v>
      </c>
      <c r="J823" s="4">
        <v>132.36</v>
      </c>
      <c r="K823" s="3">
        <v>42255.0</v>
      </c>
      <c r="L823" s="4">
        <v>1371.8909</v>
      </c>
    </row>
    <row r="824">
      <c r="A824" s="3">
        <v>42261.0</v>
      </c>
      <c r="B824" s="4">
        <v>123.66</v>
      </c>
      <c r="C824" s="3">
        <v>42172.0</v>
      </c>
      <c r="D824" s="4">
        <v>24.65</v>
      </c>
      <c r="E824" s="3">
        <v>42269.0</v>
      </c>
      <c r="F824" s="4">
        <v>112.37</v>
      </c>
      <c r="G824" s="3">
        <v>42265.0</v>
      </c>
      <c r="H824" s="4">
        <v>123.14</v>
      </c>
      <c r="I824" s="3">
        <v>42265.0</v>
      </c>
      <c r="J824" s="4">
        <v>132.65</v>
      </c>
      <c r="K824" s="3">
        <v>42254.0</v>
      </c>
      <c r="L824" s="4">
        <v>1372.4583</v>
      </c>
    </row>
    <row r="825">
      <c r="A825" s="3">
        <v>42258.0</v>
      </c>
      <c r="B825" s="4">
        <v>123.89</v>
      </c>
      <c r="C825" s="3">
        <v>42171.0</v>
      </c>
      <c r="D825" s="4">
        <v>24.65</v>
      </c>
      <c r="E825" s="3">
        <v>42268.0</v>
      </c>
      <c r="F825" s="4">
        <v>112.41</v>
      </c>
      <c r="G825" s="3">
        <v>42264.0</v>
      </c>
      <c r="H825" s="4">
        <v>123.17</v>
      </c>
      <c r="I825" s="3">
        <v>42264.0</v>
      </c>
      <c r="J825" s="4">
        <v>132.6</v>
      </c>
      <c r="K825" s="3">
        <v>42251.0</v>
      </c>
      <c r="L825" s="4">
        <v>1379.0192</v>
      </c>
    </row>
    <row r="826">
      <c r="A826" s="3">
        <v>42257.0</v>
      </c>
      <c r="B826" s="4">
        <v>124.24</v>
      </c>
      <c r="C826" s="3">
        <v>42170.0</v>
      </c>
      <c r="D826" s="4">
        <v>24.65</v>
      </c>
      <c r="E826" s="3">
        <v>42265.0</v>
      </c>
      <c r="F826" s="4">
        <v>112.63</v>
      </c>
      <c r="G826" s="3">
        <v>42263.0</v>
      </c>
      <c r="H826" s="4">
        <v>123.21</v>
      </c>
      <c r="I826" s="3">
        <v>42263.0</v>
      </c>
      <c r="J826" s="4">
        <v>132.55</v>
      </c>
      <c r="K826" s="3">
        <v>42250.0</v>
      </c>
      <c r="L826" s="4">
        <v>1374.0199</v>
      </c>
    </row>
    <row r="827">
      <c r="A827" s="3">
        <v>42256.0</v>
      </c>
      <c r="B827" s="4">
        <v>124.52</v>
      </c>
      <c r="C827" s="3">
        <v>42167.0</v>
      </c>
      <c r="D827" s="4">
        <v>24.65</v>
      </c>
      <c r="E827" s="3">
        <v>42264.0</v>
      </c>
      <c r="F827" s="4">
        <v>112.75</v>
      </c>
      <c r="G827" s="3">
        <v>42262.0</v>
      </c>
      <c r="H827" s="4">
        <v>123.42</v>
      </c>
      <c r="I827" s="3">
        <v>42262.0</v>
      </c>
      <c r="J827" s="4">
        <v>132.5</v>
      </c>
      <c r="K827" s="3">
        <v>42249.0</v>
      </c>
      <c r="L827" s="4">
        <v>1368.6773</v>
      </c>
    </row>
    <row r="828">
      <c r="A828" s="3">
        <v>42255.0</v>
      </c>
      <c r="B828" s="4">
        <v>124.23</v>
      </c>
      <c r="C828" s="3">
        <v>42166.0</v>
      </c>
      <c r="D828" s="4">
        <v>24.65</v>
      </c>
      <c r="E828" s="3">
        <v>42263.0</v>
      </c>
      <c r="F828" s="4">
        <v>112.72</v>
      </c>
      <c r="G828" s="3">
        <v>42261.0</v>
      </c>
      <c r="H828" s="4">
        <v>123.46</v>
      </c>
      <c r="I828" s="3">
        <v>42261.0</v>
      </c>
      <c r="J828" s="4">
        <v>132.52</v>
      </c>
      <c r="K828" s="3">
        <v>42248.0</v>
      </c>
      <c r="L828" s="4">
        <v>1380.2829</v>
      </c>
    </row>
    <row r="829">
      <c r="A829" s="3">
        <v>42254.0</v>
      </c>
      <c r="B829" s="4">
        <v>123.96</v>
      </c>
      <c r="C829" s="3">
        <v>42165.0</v>
      </c>
      <c r="D829" s="4">
        <v>24.65</v>
      </c>
      <c r="E829" s="3">
        <v>42262.0</v>
      </c>
      <c r="F829" s="4">
        <v>112.71</v>
      </c>
      <c r="G829" s="3">
        <v>42258.0</v>
      </c>
      <c r="H829" s="4">
        <v>123.42</v>
      </c>
      <c r="I829" s="3">
        <v>42258.0</v>
      </c>
      <c r="J829" s="4">
        <v>132.63</v>
      </c>
      <c r="K829" s="3">
        <v>42247.0</v>
      </c>
      <c r="L829" s="4">
        <v>1385.0156</v>
      </c>
    </row>
    <row r="830">
      <c r="A830" s="3">
        <v>42251.0</v>
      </c>
      <c r="B830" s="4">
        <v>124.04</v>
      </c>
      <c r="C830" s="3">
        <v>42164.0</v>
      </c>
      <c r="D830" s="4">
        <v>24.65</v>
      </c>
      <c r="E830" s="3">
        <v>42261.0</v>
      </c>
      <c r="F830" s="4">
        <v>112.7</v>
      </c>
      <c r="G830" s="3">
        <v>42257.0</v>
      </c>
      <c r="H830" s="4">
        <v>123.46</v>
      </c>
      <c r="I830" s="3">
        <v>42257.0</v>
      </c>
      <c r="J830" s="4">
        <v>132.73</v>
      </c>
      <c r="K830" s="3">
        <v>42244.0</v>
      </c>
      <c r="L830" s="4">
        <v>1384.1194</v>
      </c>
    </row>
    <row r="831">
      <c r="A831" s="3">
        <v>42250.0</v>
      </c>
      <c r="B831" s="4">
        <v>124.68</v>
      </c>
      <c r="C831" s="3">
        <v>42163.0</v>
      </c>
      <c r="D831" s="4">
        <v>24.65</v>
      </c>
      <c r="E831" s="3">
        <v>42258.0</v>
      </c>
      <c r="F831" s="4">
        <v>112.72</v>
      </c>
      <c r="G831" s="3">
        <v>42256.0</v>
      </c>
      <c r="H831" s="4">
        <v>123.49</v>
      </c>
      <c r="I831" s="3">
        <v>42256.0</v>
      </c>
      <c r="J831" s="4">
        <v>132.76</v>
      </c>
      <c r="K831" s="3">
        <v>42243.0</v>
      </c>
      <c r="L831" s="4">
        <v>1367.9498</v>
      </c>
    </row>
    <row r="832">
      <c r="A832" s="3">
        <v>42249.0</v>
      </c>
      <c r="B832" s="4">
        <v>124.13</v>
      </c>
      <c r="C832" s="3">
        <v>42160.0</v>
      </c>
      <c r="D832" s="4">
        <v>24.67</v>
      </c>
      <c r="E832" s="3">
        <v>42257.0</v>
      </c>
      <c r="F832" s="4">
        <v>112.65</v>
      </c>
      <c r="G832" s="3">
        <v>42255.0</v>
      </c>
      <c r="H832" s="4">
        <v>123.51</v>
      </c>
      <c r="I832" s="3">
        <v>42255.0</v>
      </c>
      <c r="J832" s="4">
        <v>132.45</v>
      </c>
      <c r="K832" s="3">
        <v>42242.0</v>
      </c>
      <c r="L832" s="4">
        <v>1361.2028</v>
      </c>
    </row>
    <row r="833">
      <c r="A833" s="3">
        <v>42248.0</v>
      </c>
      <c r="B833" s="4">
        <v>123.94</v>
      </c>
      <c r="C833" s="3">
        <v>42159.0</v>
      </c>
      <c r="D833" s="4">
        <v>24.65</v>
      </c>
      <c r="E833" s="3">
        <v>42256.0</v>
      </c>
      <c r="F833" s="4">
        <v>112.71</v>
      </c>
      <c r="G833" s="3">
        <v>42254.0</v>
      </c>
      <c r="H833" s="4">
        <v>123.59</v>
      </c>
      <c r="I833" s="3">
        <v>42254.0</v>
      </c>
      <c r="J833" s="4">
        <v>132.46</v>
      </c>
      <c r="K833" s="3">
        <v>42241.0</v>
      </c>
      <c r="L833" s="4">
        <v>1350.9399</v>
      </c>
    </row>
    <row r="834">
      <c r="A834" s="3">
        <v>42247.0</v>
      </c>
      <c r="B834" s="4">
        <v>124.56</v>
      </c>
      <c r="C834" s="3">
        <v>42158.0</v>
      </c>
      <c r="D834" s="4">
        <v>24.66</v>
      </c>
      <c r="E834" s="3">
        <v>42255.0</v>
      </c>
      <c r="F834" s="4">
        <v>112.65</v>
      </c>
      <c r="G834" s="3">
        <v>42251.0</v>
      </c>
      <c r="H834" s="4">
        <v>123.52</v>
      </c>
      <c r="I834" s="3">
        <v>42251.0</v>
      </c>
      <c r="J834" s="4">
        <v>132.69</v>
      </c>
      <c r="K834" s="3">
        <v>42240.0</v>
      </c>
      <c r="L834" s="4">
        <v>1370.0254</v>
      </c>
    </row>
    <row r="835">
      <c r="A835" s="3">
        <v>42244.0</v>
      </c>
      <c r="B835" s="4">
        <v>124.69</v>
      </c>
      <c r="C835" s="3">
        <v>42157.0</v>
      </c>
      <c r="D835" s="4">
        <v>24.68</v>
      </c>
      <c r="E835" s="3">
        <v>42254.0</v>
      </c>
      <c r="F835" s="4">
        <v>112.67</v>
      </c>
      <c r="G835" s="3">
        <v>42250.0</v>
      </c>
      <c r="H835" s="4">
        <v>123.39</v>
      </c>
      <c r="I835" s="3">
        <v>42250.0</v>
      </c>
      <c r="J835" s="4">
        <v>132.39</v>
      </c>
      <c r="K835" s="3">
        <v>42237.0</v>
      </c>
      <c r="L835" s="4">
        <v>1386.8016</v>
      </c>
    </row>
    <row r="836">
      <c r="A836" s="3">
        <v>42243.0</v>
      </c>
      <c r="B836" s="4">
        <v>124.64</v>
      </c>
      <c r="C836" s="3">
        <v>42156.0</v>
      </c>
      <c r="D836" s="4">
        <v>24.7</v>
      </c>
      <c r="E836" s="3">
        <v>42251.0</v>
      </c>
      <c r="F836" s="4">
        <v>112.65</v>
      </c>
      <c r="G836" s="3">
        <v>42249.0</v>
      </c>
      <c r="H836" s="4">
        <v>123.41</v>
      </c>
      <c r="I836" s="3">
        <v>42249.0</v>
      </c>
      <c r="J836" s="4">
        <v>132.1</v>
      </c>
      <c r="K836" s="3">
        <v>42236.0</v>
      </c>
      <c r="L836" s="4">
        <v>1401.8948</v>
      </c>
    </row>
    <row r="837">
      <c r="A837" s="3">
        <v>42242.0</v>
      </c>
      <c r="B837" s="4">
        <v>123.82</v>
      </c>
      <c r="C837" s="3">
        <v>42153.0</v>
      </c>
      <c r="D837" s="4">
        <v>24.7</v>
      </c>
      <c r="E837" s="3">
        <v>42250.0</v>
      </c>
      <c r="F837" s="4">
        <v>112.78</v>
      </c>
      <c r="G837" s="3">
        <v>42248.0</v>
      </c>
      <c r="H837" s="4">
        <v>123.47</v>
      </c>
      <c r="I837" s="3">
        <v>42248.0</v>
      </c>
      <c r="J837" s="4">
        <v>132.97</v>
      </c>
      <c r="K837" s="3">
        <v>42235.0</v>
      </c>
      <c r="L837" s="4">
        <v>1409.598</v>
      </c>
    </row>
    <row r="838">
      <c r="A838" s="3">
        <v>42241.0</v>
      </c>
      <c r="B838" s="4">
        <v>124.11</v>
      </c>
      <c r="C838" s="3">
        <v>42152.0</v>
      </c>
      <c r="D838" s="4">
        <v>24.71</v>
      </c>
      <c r="E838" s="3">
        <v>42249.0</v>
      </c>
      <c r="F838" s="4">
        <v>112.88</v>
      </c>
      <c r="G838" s="3">
        <v>42247.0</v>
      </c>
      <c r="H838" s="4">
        <v>123.52</v>
      </c>
      <c r="I838" s="3">
        <v>42247.0</v>
      </c>
      <c r="J838" s="4">
        <v>133.15</v>
      </c>
      <c r="K838" s="3">
        <v>42234.0</v>
      </c>
      <c r="L838" s="4">
        <v>1413.9382</v>
      </c>
    </row>
    <row r="839">
      <c r="A839" s="3">
        <v>42240.0</v>
      </c>
      <c r="B839" s="4">
        <v>122.96</v>
      </c>
      <c r="C839" s="3">
        <v>42151.0</v>
      </c>
      <c r="D839" s="4">
        <v>24.72</v>
      </c>
      <c r="E839" s="3">
        <v>42248.0</v>
      </c>
      <c r="F839" s="4">
        <v>112.95</v>
      </c>
      <c r="G839" s="3">
        <v>42244.0</v>
      </c>
      <c r="H839" s="4">
        <v>123.44</v>
      </c>
      <c r="I839" s="3">
        <v>42244.0</v>
      </c>
      <c r="J839" s="4">
        <v>133.04</v>
      </c>
      <c r="K839" s="3">
        <v>42233.0</v>
      </c>
      <c r="L839" s="4">
        <v>1413.1023</v>
      </c>
    </row>
    <row r="840">
      <c r="A840" s="3">
        <v>42237.0</v>
      </c>
      <c r="B840" s="4">
        <v>124.69</v>
      </c>
      <c r="C840" s="3">
        <v>42150.0</v>
      </c>
      <c r="D840" s="4">
        <v>24.72</v>
      </c>
      <c r="E840" s="3">
        <v>42247.0</v>
      </c>
      <c r="F840" s="4">
        <v>112.97</v>
      </c>
      <c r="G840" s="3">
        <v>42243.0</v>
      </c>
      <c r="H840" s="4">
        <v>123.5</v>
      </c>
      <c r="I840" s="3">
        <v>42243.0</v>
      </c>
      <c r="J840" s="4">
        <v>131.98</v>
      </c>
      <c r="K840" s="3">
        <v>42230.0</v>
      </c>
      <c r="L840" s="4">
        <v>1411.5336</v>
      </c>
    </row>
    <row r="841">
      <c r="A841" s="3">
        <v>42236.0</v>
      </c>
      <c r="B841" s="4">
        <v>125.49</v>
      </c>
      <c r="C841" s="3">
        <v>42146.0</v>
      </c>
      <c r="D841" s="4">
        <v>24.72</v>
      </c>
      <c r="E841" s="3">
        <v>42244.0</v>
      </c>
      <c r="F841" s="4">
        <v>112.97</v>
      </c>
      <c r="G841" s="3">
        <v>42242.0</v>
      </c>
      <c r="H841" s="4">
        <v>123.46</v>
      </c>
      <c r="I841" s="3">
        <v>42242.0</v>
      </c>
      <c r="J841" s="4">
        <v>131.44</v>
      </c>
      <c r="K841" s="3">
        <v>42229.0</v>
      </c>
      <c r="L841" s="4">
        <v>1409.6956</v>
      </c>
    </row>
    <row r="842">
      <c r="A842" s="3">
        <v>42235.0</v>
      </c>
      <c r="B842" s="4">
        <v>126.11</v>
      </c>
      <c r="C842" s="3">
        <v>42145.0</v>
      </c>
      <c r="D842" s="4">
        <v>24.71</v>
      </c>
      <c r="E842" s="3">
        <v>42243.0</v>
      </c>
      <c r="F842" s="4">
        <v>112.93</v>
      </c>
      <c r="G842" s="3">
        <v>42241.0</v>
      </c>
      <c r="H842" s="4">
        <v>123.76</v>
      </c>
      <c r="I842" s="3">
        <v>42241.0</v>
      </c>
      <c r="J842" s="4">
        <v>131.05</v>
      </c>
      <c r="K842" s="3">
        <v>42228.0</v>
      </c>
      <c r="L842" s="4">
        <v>1415.2915</v>
      </c>
    </row>
    <row r="843">
      <c r="A843" s="3">
        <v>42234.0</v>
      </c>
      <c r="B843" s="4">
        <v>126.68</v>
      </c>
      <c r="C843" s="3">
        <v>42144.0</v>
      </c>
      <c r="D843" s="4">
        <v>24.71</v>
      </c>
      <c r="E843" s="3">
        <v>42242.0</v>
      </c>
      <c r="F843" s="4">
        <v>112.81</v>
      </c>
      <c r="G843" s="3">
        <v>42240.0</v>
      </c>
      <c r="H843" s="4">
        <v>123.81</v>
      </c>
      <c r="I843" s="3">
        <v>42240.0</v>
      </c>
      <c r="J843" s="4">
        <v>132.28</v>
      </c>
      <c r="K843" s="3">
        <v>42227.0</v>
      </c>
      <c r="L843" s="4">
        <v>1423.2842</v>
      </c>
    </row>
    <row r="844">
      <c r="A844" s="3">
        <v>42233.0</v>
      </c>
      <c r="B844" s="4">
        <v>126.77</v>
      </c>
      <c r="C844" s="3">
        <v>42143.0</v>
      </c>
      <c r="D844" s="4">
        <v>24.7</v>
      </c>
      <c r="E844" s="3">
        <v>42241.0</v>
      </c>
      <c r="F844" s="4">
        <v>112.71</v>
      </c>
      <c r="G844" s="3">
        <v>42237.0</v>
      </c>
      <c r="H844" s="4">
        <v>123.88</v>
      </c>
      <c r="I844" s="3">
        <v>42237.0</v>
      </c>
      <c r="J844" s="4">
        <v>133.05</v>
      </c>
      <c r="K844" s="3">
        <v>42226.0</v>
      </c>
      <c r="L844" s="4">
        <v>1418.324</v>
      </c>
    </row>
    <row r="845">
      <c r="A845" s="3">
        <v>42230.0</v>
      </c>
      <c r="B845" s="4">
        <v>126.72</v>
      </c>
      <c r="C845" s="3">
        <v>42142.0</v>
      </c>
      <c r="D845" s="4">
        <v>24.68</v>
      </c>
      <c r="E845" s="3">
        <v>42240.0</v>
      </c>
      <c r="F845" s="4">
        <v>112.64</v>
      </c>
      <c r="G845" s="3">
        <v>42236.0</v>
      </c>
      <c r="H845" s="4">
        <v>123.83</v>
      </c>
      <c r="I845" s="3">
        <v>42236.0</v>
      </c>
      <c r="J845" s="4">
        <v>134.03</v>
      </c>
      <c r="K845" s="3">
        <v>42223.0</v>
      </c>
      <c r="L845" s="4">
        <v>1417.7954</v>
      </c>
    </row>
    <row r="846">
      <c r="A846" s="3">
        <v>42229.0</v>
      </c>
      <c r="B846" s="4">
        <v>126.72</v>
      </c>
      <c r="C846" s="3">
        <v>42139.0</v>
      </c>
      <c r="D846" s="4">
        <v>24.67</v>
      </c>
      <c r="E846" s="3">
        <v>42237.0</v>
      </c>
      <c r="F846" s="4">
        <v>112.74</v>
      </c>
      <c r="G846" s="3">
        <v>42235.0</v>
      </c>
      <c r="H846" s="4">
        <v>123.85</v>
      </c>
      <c r="I846" s="3">
        <v>42235.0</v>
      </c>
      <c r="J846" s="4">
        <v>134.16</v>
      </c>
      <c r="K846" s="3">
        <v>42222.0</v>
      </c>
      <c r="L846" s="4">
        <v>1422.6758</v>
      </c>
    </row>
    <row r="847">
      <c r="A847" s="3">
        <v>42228.0</v>
      </c>
      <c r="B847" s="4">
        <v>126.55</v>
      </c>
      <c r="C847" s="3">
        <v>42137.0</v>
      </c>
      <c r="D847" s="4">
        <v>24.68</v>
      </c>
      <c r="E847" s="3">
        <v>42236.0</v>
      </c>
      <c r="F847" s="4">
        <v>112.79</v>
      </c>
      <c r="G847" s="3">
        <v>42234.0</v>
      </c>
      <c r="H847" s="4">
        <v>123.92</v>
      </c>
      <c r="I847" s="3">
        <v>42234.0</v>
      </c>
      <c r="J847" s="4">
        <v>134.18</v>
      </c>
      <c r="K847" s="3">
        <v>42221.0</v>
      </c>
      <c r="L847" s="4">
        <v>1417.3313</v>
      </c>
    </row>
    <row r="848">
      <c r="A848" s="3">
        <v>42227.0</v>
      </c>
      <c r="B848" s="4">
        <v>127.45</v>
      </c>
      <c r="C848" s="3">
        <v>42136.0</v>
      </c>
      <c r="D848" s="4">
        <v>24.69</v>
      </c>
      <c r="E848" s="3">
        <v>42235.0</v>
      </c>
      <c r="F848" s="4">
        <v>112.84</v>
      </c>
      <c r="G848" s="3">
        <v>42233.0</v>
      </c>
      <c r="H848" s="4">
        <v>123.85</v>
      </c>
      <c r="I848" s="3">
        <v>42233.0</v>
      </c>
      <c r="J848" s="4">
        <v>133.78</v>
      </c>
      <c r="K848" s="3">
        <v>42220.0</v>
      </c>
      <c r="L848" s="4">
        <v>1415.3339</v>
      </c>
    </row>
    <row r="849">
      <c r="A849" s="3">
        <v>42226.0</v>
      </c>
      <c r="B849" s="4">
        <v>127.94</v>
      </c>
      <c r="C849" s="3">
        <v>42135.0</v>
      </c>
      <c r="D849" s="4">
        <v>24.7</v>
      </c>
      <c r="E849" s="3">
        <v>42234.0</v>
      </c>
      <c r="F849" s="4">
        <v>112.9</v>
      </c>
      <c r="G849" s="3">
        <v>42230.0</v>
      </c>
      <c r="H849" s="4">
        <v>123.9</v>
      </c>
      <c r="I849" s="3">
        <v>42230.0</v>
      </c>
      <c r="J849" s="4">
        <v>133.71</v>
      </c>
      <c r="K849" s="3">
        <v>42219.0</v>
      </c>
      <c r="L849" s="4">
        <v>1415.7982</v>
      </c>
    </row>
    <row r="850">
      <c r="A850" s="3">
        <v>42223.0</v>
      </c>
      <c r="B850" s="4">
        <v>127.66</v>
      </c>
      <c r="C850" s="3">
        <v>42132.0</v>
      </c>
      <c r="D850" s="4">
        <v>24.69</v>
      </c>
      <c r="E850" s="3">
        <v>42233.0</v>
      </c>
      <c r="F850" s="4">
        <v>112.94</v>
      </c>
      <c r="G850" s="3">
        <v>42229.0</v>
      </c>
      <c r="H850" s="4">
        <v>123.89</v>
      </c>
      <c r="I850" s="3">
        <v>42229.0</v>
      </c>
      <c r="J850" s="4">
        <v>133.96</v>
      </c>
      <c r="K850" s="3">
        <v>42216.0</v>
      </c>
      <c r="L850" s="4">
        <v>1418.127</v>
      </c>
    </row>
    <row r="851">
      <c r="A851" s="3">
        <v>42222.0</v>
      </c>
      <c r="B851" s="4">
        <v>127.84</v>
      </c>
      <c r="C851" s="3">
        <v>42131.0</v>
      </c>
      <c r="D851" s="4">
        <v>24.67</v>
      </c>
      <c r="E851" s="3">
        <v>42230.0</v>
      </c>
      <c r="F851" s="4">
        <v>112.9</v>
      </c>
      <c r="G851" s="3">
        <v>42228.0</v>
      </c>
      <c r="H851" s="4">
        <v>124.0</v>
      </c>
      <c r="I851" s="3">
        <v>42228.0</v>
      </c>
      <c r="J851" s="4">
        <v>134.65</v>
      </c>
      <c r="K851" s="3">
        <v>42215.0</v>
      </c>
      <c r="L851" s="4">
        <v>1417.421</v>
      </c>
    </row>
    <row r="852">
      <c r="A852" s="3">
        <v>42221.0</v>
      </c>
      <c r="B852" s="4">
        <v>127.9</v>
      </c>
      <c r="C852" s="3">
        <v>42130.0</v>
      </c>
      <c r="D852" s="4">
        <v>24.67</v>
      </c>
      <c r="E852" s="3">
        <v>42229.0</v>
      </c>
      <c r="F852" s="4">
        <v>112.87</v>
      </c>
      <c r="G852" s="3">
        <v>42227.0</v>
      </c>
      <c r="H852" s="4">
        <v>123.99</v>
      </c>
      <c r="I852" s="3">
        <v>42227.0</v>
      </c>
      <c r="J852" s="4">
        <v>135.08</v>
      </c>
      <c r="K852" s="3">
        <v>42214.0</v>
      </c>
      <c r="L852" s="4">
        <v>1413.339</v>
      </c>
    </row>
    <row r="853">
      <c r="A853" s="3">
        <v>42220.0</v>
      </c>
      <c r="B853" s="4">
        <v>127.47</v>
      </c>
      <c r="C853" s="3">
        <v>42129.0</v>
      </c>
      <c r="D853" s="4">
        <v>24.69</v>
      </c>
      <c r="E853" s="3">
        <v>42228.0</v>
      </c>
      <c r="F853" s="4">
        <v>112.8</v>
      </c>
      <c r="G853" s="3">
        <v>42226.0</v>
      </c>
      <c r="H853" s="4">
        <v>124.02</v>
      </c>
      <c r="I853" s="3">
        <v>42226.0</v>
      </c>
      <c r="J853" s="4">
        <v>134.9</v>
      </c>
      <c r="K853" s="3">
        <v>42213.0</v>
      </c>
      <c r="L853" s="4">
        <v>1407.5565</v>
      </c>
    </row>
    <row r="854">
      <c r="A854" s="3">
        <v>42219.0</v>
      </c>
      <c r="B854" s="4">
        <v>127.65</v>
      </c>
      <c r="C854" s="3">
        <v>42128.0</v>
      </c>
      <c r="D854" s="4">
        <v>24.69</v>
      </c>
      <c r="E854" s="3">
        <v>42227.0</v>
      </c>
      <c r="F854" s="4">
        <v>112.89</v>
      </c>
      <c r="G854" s="3">
        <v>42223.0</v>
      </c>
      <c r="H854" s="4">
        <v>123.94</v>
      </c>
      <c r="I854" s="3">
        <v>42223.0</v>
      </c>
      <c r="J854" s="4">
        <v>135.13</v>
      </c>
      <c r="K854" s="3">
        <v>42212.0</v>
      </c>
      <c r="L854" s="4">
        <v>1415.6035</v>
      </c>
    </row>
    <row r="855">
      <c r="A855" s="3">
        <v>42216.0</v>
      </c>
      <c r="B855" s="4">
        <v>127.48</v>
      </c>
      <c r="C855" s="3">
        <v>42124.0</v>
      </c>
      <c r="D855" s="4">
        <v>24.69</v>
      </c>
      <c r="E855" s="3">
        <v>42226.0</v>
      </c>
      <c r="F855" s="4">
        <v>112.94</v>
      </c>
      <c r="G855" s="3">
        <v>42222.0</v>
      </c>
      <c r="H855" s="4">
        <v>123.9</v>
      </c>
      <c r="I855" s="3">
        <v>42222.0</v>
      </c>
      <c r="J855" s="4">
        <v>135.8</v>
      </c>
      <c r="K855" s="3">
        <v>42209.0</v>
      </c>
      <c r="L855" s="4">
        <v>1423.0209</v>
      </c>
    </row>
    <row r="856">
      <c r="A856" s="3">
        <v>42215.0</v>
      </c>
      <c r="B856" s="4">
        <v>127.46</v>
      </c>
      <c r="C856" s="3">
        <v>42123.0</v>
      </c>
      <c r="D856" s="4">
        <v>24.72</v>
      </c>
      <c r="E856" s="3">
        <v>42223.0</v>
      </c>
      <c r="F856" s="4">
        <v>112.94</v>
      </c>
      <c r="G856" s="3">
        <v>42221.0</v>
      </c>
      <c r="H856" s="4">
        <v>124.1</v>
      </c>
      <c r="I856" s="3">
        <v>42221.0</v>
      </c>
      <c r="J856" s="4">
        <v>135.49</v>
      </c>
      <c r="K856" s="3">
        <v>42208.0</v>
      </c>
      <c r="L856" s="4">
        <v>1424.3168</v>
      </c>
    </row>
    <row r="857">
      <c r="A857" s="3">
        <v>42214.0</v>
      </c>
      <c r="B857" s="4">
        <v>127.37</v>
      </c>
      <c r="C857" s="3">
        <v>42122.0</v>
      </c>
      <c r="D857" s="4">
        <v>24.73</v>
      </c>
      <c r="E857" s="3">
        <v>42222.0</v>
      </c>
      <c r="F857" s="4">
        <v>112.99</v>
      </c>
      <c r="G857" s="3">
        <v>42220.0</v>
      </c>
      <c r="H857" s="4">
        <v>124.1</v>
      </c>
      <c r="I857" s="3">
        <v>42220.0</v>
      </c>
      <c r="J857" s="4">
        <v>135.63</v>
      </c>
      <c r="K857" s="3">
        <v>42207.0</v>
      </c>
      <c r="L857" s="4">
        <v>1427.4678</v>
      </c>
    </row>
    <row r="858">
      <c r="A858" s="3">
        <v>42213.0</v>
      </c>
      <c r="B858" s="4">
        <v>127.13</v>
      </c>
      <c r="C858" s="3">
        <v>42121.0</v>
      </c>
      <c r="D858" s="4">
        <v>24.73</v>
      </c>
      <c r="E858" s="3">
        <v>42221.0</v>
      </c>
      <c r="F858" s="4">
        <v>113.07</v>
      </c>
      <c r="G858" s="3">
        <v>42219.0</v>
      </c>
      <c r="H858" s="4">
        <v>124.18</v>
      </c>
      <c r="I858" s="3">
        <v>42219.0</v>
      </c>
      <c r="J858" s="4">
        <v>135.33</v>
      </c>
      <c r="K858" s="3">
        <v>42206.0</v>
      </c>
      <c r="L858" s="4">
        <v>1432.4406</v>
      </c>
    </row>
    <row r="859">
      <c r="A859" s="3">
        <v>42212.0</v>
      </c>
      <c r="B859" s="4">
        <v>126.94</v>
      </c>
      <c r="C859" s="3">
        <v>42118.0</v>
      </c>
      <c r="D859" s="4">
        <v>24.73</v>
      </c>
      <c r="E859" s="3">
        <v>42220.0</v>
      </c>
      <c r="F859" s="4">
        <v>113.08</v>
      </c>
      <c r="G859" s="3">
        <v>42216.0</v>
      </c>
      <c r="H859" s="4">
        <v>124.09</v>
      </c>
      <c r="I859" s="3">
        <v>42216.0</v>
      </c>
      <c r="J859" s="4">
        <v>135.33</v>
      </c>
      <c r="K859" s="3">
        <v>42205.0</v>
      </c>
      <c r="L859" s="4">
        <v>1429.3012</v>
      </c>
    </row>
    <row r="860">
      <c r="A860" s="3">
        <v>42209.0</v>
      </c>
      <c r="B860" s="4">
        <v>127.66</v>
      </c>
      <c r="C860" s="3">
        <v>42117.0</v>
      </c>
      <c r="D860" s="4">
        <v>24.74</v>
      </c>
      <c r="E860" s="3">
        <v>42219.0</v>
      </c>
      <c r="F860" s="4">
        <v>113.25</v>
      </c>
      <c r="G860" s="3">
        <v>42215.0</v>
      </c>
      <c r="H860" s="4">
        <v>124.06</v>
      </c>
      <c r="I860" s="3">
        <v>42215.0</v>
      </c>
      <c r="J860" s="4">
        <v>135.23</v>
      </c>
      <c r="K860" s="3">
        <v>42202.0</v>
      </c>
      <c r="L860" s="4">
        <v>1427.6106</v>
      </c>
    </row>
    <row r="861">
      <c r="A861" s="3">
        <v>42208.0</v>
      </c>
      <c r="B861" s="4">
        <v>127.99</v>
      </c>
      <c r="C861" s="3">
        <v>42116.0</v>
      </c>
      <c r="D861" s="4">
        <v>24.75</v>
      </c>
      <c r="E861" s="3">
        <v>42216.0</v>
      </c>
      <c r="F861" s="4">
        <v>113.34316</v>
      </c>
      <c r="G861" s="3">
        <v>42214.0</v>
      </c>
      <c r="H861" s="4">
        <v>124.06</v>
      </c>
      <c r="I861" s="3">
        <v>42214.0</v>
      </c>
      <c r="J861" s="4">
        <v>135.13</v>
      </c>
      <c r="K861" s="3">
        <v>42201.0</v>
      </c>
      <c r="L861" s="4">
        <v>1425.5521</v>
      </c>
    </row>
    <row r="862">
      <c r="A862" s="3">
        <v>42207.0</v>
      </c>
      <c r="B862" s="4">
        <v>128.09</v>
      </c>
      <c r="C862" s="3">
        <v>42115.0</v>
      </c>
      <c r="D862" s="4">
        <v>24.74</v>
      </c>
      <c r="E862" s="3">
        <v>42215.0</v>
      </c>
      <c r="F862" s="4">
        <v>113.35</v>
      </c>
      <c r="G862" s="3">
        <v>42213.0</v>
      </c>
      <c r="H862" s="4">
        <v>123.84</v>
      </c>
      <c r="I862" s="3">
        <v>42213.0</v>
      </c>
      <c r="J862" s="4">
        <v>134.62</v>
      </c>
      <c r="K862" s="3">
        <v>42200.0</v>
      </c>
      <c r="L862" s="4">
        <v>1425.7249</v>
      </c>
    </row>
    <row r="863">
      <c r="A863" s="3">
        <v>42206.0</v>
      </c>
      <c r="B863" s="4">
        <v>128.34</v>
      </c>
      <c r="C863" s="3">
        <v>42114.0</v>
      </c>
      <c r="D863" s="4">
        <v>24.74</v>
      </c>
      <c r="E863" s="3">
        <v>42214.0</v>
      </c>
      <c r="F863" s="4">
        <v>113.35</v>
      </c>
      <c r="G863" s="3">
        <v>42212.0</v>
      </c>
      <c r="H863" s="4">
        <v>125.05</v>
      </c>
      <c r="I863" s="3">
        <v>42212.0</v>
      </c>
      <c r="J863" s="4">
        <v>135.4</v>
      </c>
      <c r="K863" s="3">
        <v>42199.0</v>
      </c>
      <c r="L863" s="4">
        <v>1422.4009</v>
      </c>
    </row>
    <row r="864">
      <c r="A864" s="3">
        <v>42205.0</v>
      </c>
      <c r="B864" s="4">
        <v>128.66</v>
      </c>
      <c r="C864" s="3">
        <v>42111.0</v>
      </c>
      <c r="D864" s="4">
        <v>24.74</v>
      </c>
      <c r="E864" s="3">
        <v>42213.0</v>
      </c>
      <c r="F864" s="4">
        <v>113.34</v>
      </c>
      <c r="G864" s="3">
        <v>42209.0</v>
      </c>
      <c r="H864" s="4">
        <v>125.66</v>
      </c>
      <c r="I864" s="3">
        <v>42209.0</v>
      </c>
      <c r="J864" s="4">
        <v>135.82</v>
      </c>
      <c r="K864" s="3">
        <v>42198.0</v>
      </c>
      <c r="L864" s="4">
        <v>1415.9133</v>
      </c>
    </row>
    <row r="865">
      <c r="A865" s="3">
        <v>42202.0</v>
      </c>
      <c r="B865" s="4">
        <v>128.55</v>
      </c>
      <c r="C865" s="3">
        <v>42110.0</v>
      </c>
      <c r="D865" s="4">
        <v>24.75</v>
      </c>
      <c r="E865" s="3">
        <v>42212.0</v>
      </c>
      <c r="F865" s="4">
        <v>113.35</v>
      </c>
      <c r="G865" s="3">
        <v>42208.0</v>
      </c>
      <c r="H865" s="4">
        <v>125.75</v>
      </c>
      <c r="I865" s="3">
        <v>42208.0</v>
      </c>
      <c r="J865" s="4">
        <v>136.15</v>
      </c>
      <c r="K865" s="3">
        <v>42195.0</v>
      </c>
      <c r="L865" s="4">
        <v>1405.264</v>
      </c>
    </row>
    <row r="866">
      <c r="A866" s="3">
        <v>42201.0</v>
      </c>
      <c r="B866" s="4">
        <v>128.41</v>
      </c>
      <c r="C866" s="3">
        <v>42109.0</v>
      </c>
      <c r="D866" s="4">
        <v>24.75</v>
      </c>
      <c r="E866" s="3">
        <v>42209.0</v>
      </c>
      <c r="F866" s="4">
        <v>113.36</v>
      </c>
      <c r="G866" s="3">
        <v>42207.0</v>
      </c>
      <c r="H866" s="4">
        <v>126.09</v>
      </c>
      <c r="I866" s="3">
        <v>42207.0</v>
      </c>
      <c r="J866" s="4">
        <v>136.26</v>
      </c>
      <c r="K866" s="3">
        <v>42194.0</v>
      </c>
      <c r="L866" s="4">
        <v>1400.0641</v>
      </c>
    </row>
    <row r="867">
      <c r="A867" s="3">
        <v>42200.0</v>
      </c>
      <c r="B867" s="4">
        <v>127.91</v>
      </c>
      <c r="C867" s="3">
        <v>42108.0</v>
      </c>
      <c r="D867" s="4">
        <v>24.74</v>
      </c>
      <c r="E867" s="3">
        <v>42208.0</v>
      </c>
      <c r="F867" s="4">
        <v>113.38</v>
      </c>
      <c r="G867" s="3">
        <v>42206.0</v>
      </c>
      <c r="H867" s="4">
        <v>126.88</v>
      </c>
      <c r="I867" s="3">
        <v>42206.0</v>
      </c>
      <c r="J867" s="4">
        <v>136.47</v>
      </c>
      <c r="K867" s="3">
        <v>42193.0</v>
      </c>
      <c r="L867" s="4">
        <v>1404.457</v>
      </c>
    </row>
    <row r="868">
      <c r="A868" s="3">
        <v>42198.0</v>
      </c>
      <c r="B868" s="4">
        <v>127.7</v>
      </c>
      <c r="C868" s="3">
        <v>42107.0</v>
      </c>
      <c r="D868" s="4">
        <v>24.74</v>
      </c>
      <c r="E868" s="3">
        <v>42207.0</v>
      </c>
      <c r="F868" s="4">
        <v>113.43</v>
      </c>
      <c r="G868" s="3">
        <v>42205.0</v>
      </c>
      <c r="H868" s="4">
        <v>126.64</v>
      </c>
      <c r="I868" s="3">
        <v>42205.0</v>
      </c>
      <c r="J868" s="4">
        <v>136.61</v>
      </c>
      <c r="K868" s="3">
        <v>42192.0</v>
      </c>
      <c r="L868" s="4">
        <v>1411.6613</v>
      </c>
    </row>
    <row r="869">
      <c r="A869" s="3">
        <v>42195.0</v>
      </c>
      <c r="B869" s="4">
        <v>127.18</v>
      </c>
      <c r="C869" s="3">
        <v>42104.0</v>
      </c>
      <c r="D869" s="4">
        <v>24.74</v>
      </c>
      <c r="E869" s="3">
        <v>42206.0</v>
      </c>
      <c r="F869" s="4">
        <v>113.44</v>
      </c>
      <c r="G869" s="3">
        <v>42202.0</v>
      </c>
      <c r="H869" s="4">
        <v>126.76</v>
      </c>
      <c r="I869" s="3">
        <v>42202.0</v>
      </c>
      <c r="J869" s="4">
        <v>136.43</v>
      </c>
      <c r="K869" s="3">
        <v>42191.0</v>
      </c>
      <c r="L869" s="4">
        <v>1417.8846</v>
      </c>
    </row>
    <row r="870">
      <c r="A870" s="3">
        <v>42194.0</v>
      </c>
      <c r="B870" s="4">
        <v>126.33</v>
      </c>
      <c r="C870" s="3">
        <v>42103.0</v>
      </c>
      <c r="D870" s="4">
        <v>24.76</v>
      </c>
      <c r="E870" s="3">
        <v>42205.0</v>
      </c>
      <c r="F870" s="4">
        <v>113.43</v>
      </c>
      <c r="G870" s="3">
        <v>42201.0</v>
      </c>
      <c r="H870" s="4">
        <v>126.34</v>
      </c>
      <c r="I870" s="3">
        <v>42201.0</v>
      </c>
      <c r="J870" s="4">
        <v>136.08</v>
      </c>
      <c r="K870" s="3">
        <v>42188.0</v>
      </c>
      <c r="L870" s="4">
        <v>1420.771</v>
      </c>
    </row>
    <row r="871">
      <c r="A871" s="3">
        <v>42193.0</v>
      </c>
      <c r="B871" s="4">
        <v>125.58</v>
      </c>
      <c r="C871" s="3">
        <v>42102.0</v>
      </c>
      <c r="D871" s="4">
        <v>24.73</v>
      </c>
      <c r="E871" s="3">
        <v>42202.0</v>
      </c>
      <c r="F871" s="4">
        <v>113.4</v>
      </c>
      <c r="G871" s="3">
        <v>42200.0</v>
      </c>
      <c r="H871" s="4">
        <v>126.3</v>
      </c>
      <c r="I871" s="3">
        <v>42200.0</v>
      </c>
      <c r="J871" s="4">
        <v>135.92</v>
      </c>
      <c r="K871" s="3">
        <v>42187.0</v>
      </c>
      <c r="L871" s="4">
        <v>1422.4692</v>
      </c>
    </row>
    <row r="872">
      <c r="A872" s="3">
        <v>42192.0</v>
      </c>
      <c r="B872" s="4">
        <v>125.51</v>
      </c>
      <c r="C872" s="3">
        <v>42101.0</v>
      </c>
      <c r="D872" s="4">
        <v>24.71</v>
      </c>
      <c r="E872" s="3">
        <v>42201.0</v>
      </c>
      <c r="F872" s="4">
        <v>113.39</v>
      </c>
      <c r="G872" s="3">
        <v>42199.0</v>
      </c>
      <c r="H872" s="4">
        <v>126.29</v>
      </c>
      <c r="I872" s="3">
        <v>42199.0</v>
      </c>
      <c r="J872" s="4">
        <v>135.73</v>
      </c>
      <c r="K872" s="3">
        <v>42186.0</v>
      </c>
      <c r="L872" s="4">
        <v>1421.0356</v>
      </c>
    </row>
    <row r="873">
      <c r="A873" s="3">
        <v>42191.0</v>
      </c>
      <c r="B873" s="4">
        <v>126.13</v>
      </c>
      <c r="C873" s="3">
        <v>42096.0</v>
      </c>
      <c r="D873" s="4">
        <v>24.7</v>
      </c>
      <c r="E873" s="3">
        <v>42200.0</v>
      </c>
      <c r="F873" s="4">
        <v>113.38</v>
      </c>
      <c r="G873" s="3">
        <v>42198.0</v>
      </c>
      <c r="H873" s="4">
        <v>126.3</v>
      </c>
      <c r="I873" s="3">
        <v>42198.0</v>
      </c>
      <c r="J873" s="4">
        <v>135.14</v>
      </c>
      <c r="K873" s="3">
        <v>42185.0</v>
      </c>
      <c r="L873" s="4">
        <v>1419.8113</v>
      </c>
    </row>
    <row r="874">
      <c r="A874" s="3">
        <v>42188.0</v>
      </c>
      <c r="B874" s="4">
        <v>126.87</v>
      </c>
      <c r="C874" s="3">
        <v>42095.0</v>
      </c>
      <c r="D874" s="4">
        <v>24.72</v>
      </c>
      <c r="E874" s="3">
        <v>42199.0</v>
      </c>
      <c r="F874" s="4">
        <v>113.37</v>
      </c>
      <c r="G874" s="3">
        <v>42195.0</v>
      </c>
      <c r="H874" s="4">
        <v>126.35</v>
      </c>
      <c r="I874" s="3">
        <v>42195.0</v>
      </c>
      <c r="J874" s="4">
        <v>135.17</v>
      </c>
      <c r="K874" s="3">
        <v>42184.0</v>
      </c>
      <c r="L874" s="4">
        <v>1433.4028</v>
      </c>
    </row>
    <row r="875">
      <c r="A875" s="3">
        <v>42187.0</v>
      </c>
      <c r="B875" s="4">
        <v>126.99</v>
      </c>
      <c r="C875" s="3">
        <v>42094.0</v>
      </c>
      <c r="D875" s="4">
        <v>24.72</v>
      </c>
      <c r="E875" s="3">
        <v>42198.0</v>
      </c>
      <c r="F875" s="4">
        <v>113.35</v>
      </c>
      <c r="G875" s="3">
        <v>42194.0</v>
      </c>
      <c r="H875" s="4">
        <v>126.29</v>
      </c>
      <c r="I875" s="3">
        <v>42194.0</v>
      </c>
      <c r="J875" s="4">
        <v>134.88</v>
      </c>
      <c r="K875" s="3">
        <v>42181.0</v>
      </c>
      <c r="L875" s="4">
        <v>1441.4602</v>
      </c>
    </row>
    <row r="876">
      <c r="A876" s="3">
        <v>42186.0</v>
      </c>
      <c r="B876" s="4">
        <v>127.16</v>
      </c>
      <c r="C876" s="3">
        <v>42093.0</v>
      </c>
      <c r="D876" s="4">
        <v>24.71</v>
      </c>
      <c r="E876" s="3">
        <v>42195.0</v>
      </c>
      <c r="F876" s="4">
        <v>113.12</v>
      </c>
      <c r="G876" s="3">
        <v>42193.0</v>
      </c>
      <c r="H876" s="4">
        <v>126.24</v>
      </c>
      <c r="I876" s="3">
        <v>42193.0</v>
      </c>
      <c r="J876" s="4">
        <v>135.28</v>
      </c>
      <c r="K876" s="3">
        <v>42180.0</v>
      </c>
      <c r="L876" s="4">
        <v>1441.7072</v>
      </c>
    </row>
    <row r="877">
      <c r="A877" s="3">
        <v>42185.0</v>
      </c>
      <c r="B877" s="4">
        <v>126.96</v>
      </c>
      <c r="C877" s="3">
        <v>42090.0</v>
      </c>
      <c r="D877" s="4">
        <v>24.7</v>
      </c>
      <c r="E877" s="3">
        <v>42194.0</v>
      </c>
      <c r="F877" s="4">
        <v>113.02</v>
      </c>
      <c r="G877" s="3">
        <v>42192.0</v>
      </c>
      <c r="H877" s="4">
        <v>126.35</v>
      </c>
      <c r="I877" s="3">
        <v>42192.0</v>
      </c>
      <c r="J877" s="4">
        <v>135.13</v>
      </c>
      <c r="K877" s="3">
        <v>42179.0</v>
      </c>
      <c r="L877" s="4">
        <v>1445.936</v>
      </c>
    </row>
    <row r="878">
      <c r="A878" s="3">
        <v>42184.0</v>
      </c>
      <c r="B878" s="4">
        <v>127.0</v>
      </c>
      <c r="C878" s="3">
        <v>42089.0</v>
      </c>
      <c r="D878" s="4">
        <v>24.71</v>
      </c>
      <c r="E878" s="3">
        <v>42193.0</v>
      </c>
      <c r="F878" s="4">
        <v>112.99</v>
      </c>
      <c r="G878" s="3">
        <v>42191.0</v>
      </c>
      <c r="H878" s="4">
        <v>126.46</v>
      </c>
      <c r="I878" s="3">
        <v>42191.0</v>
      </c>
      <c r="J878" s="4">
        <v>135.35</v>
      </c>
      <c r="K878" s="3">
        <v>42177.0</v>
      </c>
      <c r="L878" s="4">
        <v>1436.5302</v>
      </c>
    </row>
    <row r="879">
      <c r="A879" s="3">
        <v>42181.0</v>
      </c>
      <c r="B879" s="4">
        <v>128.39</v>
      </c>
      <c r="C879" s="3">
        <v>42088.0</v>
      </c>
      <c r="D879" s="4">
        <v>24.71</v>
      </c>
      <c r="E879" s="3">
        <v>42192.0</v>
      </c>
      <c r="F879" s="4">
        <v>113.1</v>
      </c>
      <c r="G879" s="3">
        <v>42188.0</v>
      </c>
      <c r="H879" s="4">
        <v>126.46</v>
      </c>
      <c r="I879" s="3">
        <v>42188.0</v>
      </c>
      <c r="J879" s="4">
        <v>135.36</v>
      </c>
      <c r="K879" s="3">
        <v>42174.0</v>
      </c>
      <c r="L879" s="4">
        <v>1436.1351</v>
      </c>
    </row>
    <row r="880">
      <c r="A880" s="3">
        <v>42180.0</v>
      </c>
      <c r="B880" s="4">
        <v>128.23</v>
      </c>
      <c r="C880" s="3">
        <v>42087.0</v>
      </c>
      <c r="D880" s="4">
        <v>24.72</v>
      </c>
      <c r="E880" s="3">
        <v>42191.0</v>
      </c>
      <c r="F880" s="4">
        <v>113.04</v>
      </c>
      <c r="G880" s="3">
        <v>42187.0</v>
      </c>
      <c r="H880" s="4">
        <v>126.45</v>
      </c>
      <c r="I880" s="3">
        <v>42187.0</v>
      </c>
      <c r="J880" s="4">
        <v>135.33</v>
      </c>
      <c r="K880" s="3">
        <v>42173.0</v>
      </c>
      <c r="L880" s="4">
        <v>1430.9119</v>
      </c>
    </row>
    <row r="881">
      <c r="A881" s="3">
        <v>42179.0</v>
      </c>
      <c r="B881" s="4">
        <v>128.24001</v>
      </c>
      <c r="C881" s="3">
        <v>42086.0</v>
      </c>
      <c r="D881" s="4">
        <v>24.71</v>
      </c>
      <c r="E881" s="3">
        <v>42188.0</v>
      </c>
      <c r="F881" s="4">
        <v>113.11</v>
      </c>
      <c r="G881" s="3">
        <v>42186.0</v>
      </c>
      <c r="H881" s="4">
        <v>126.49</v>
      </c>
      <c r="I881" s="3">
        <v>42186.0</v>
      </c>
      <c r="J881" s="4">
        <v>135.01</v>
      </c>
      <c r="K881" s="3">
        <v>42172.0</v>
      </c>
      <c r="L881" s="4">
        <v>1431.6007</v>
      </c>
    </row>
    <row r="882">
      <c r="A882" s="3">
        <v>42177.0</v>
      </c>
      <c r="B882" s="4">
        <v>127.97</v>
      </c>
      <c r="C882" s="3">
        <v>42083.0</v>
      </c>
      <c r="D882" s="4">
        <v>24.72</v>
      </c>
      <c r="E882" s="3">
        <v>42187.0</v>
      </c>
      <c r="F882" s="4">
        <v>113.09</v>
      </c>
      <c r="G882" s="3">
        <v>42185.0</v>
      </c>
      <c r="H882" s="4">
        <v>126.44</v>
      </c>
      <c r="I882" s="3">
        <v>42185.0</v>
      </c>
      <c r="J882" s="4">
        <v>135.11</v>
      </c>
      <c r="K882" s="3">
        <v>42171.0</v>
      </c>
      <c r="L882" s="4">
        <v>1429.887</v>
      </c>
    </row>
    <row r="883">
      <c r="A883" s="3">
        <v>42174.0</v>
      </c>
      <c r="B883" s="4">
        <v>126.89</v>
      </c>
      <c r="C883" s="3">
        <v>42082.0</v>
      </c>
      <c r="D883" s="4">
        <v>24.73</v>
      </c>
      <c r="E883" s="3">
        <v>42186.0</v>
      </c>
      <c r="F883" s="4">
        <v>113.05</v>
      </c>
      <c r="G883" s="3">
        <v>42184.0</v>
      </c>
      <c r="H883" s="4">
        <v>126.56</v>
      </c>
      <c r="I883" s="3">
        <v>42184.0</v>
      </c>
      <c r="J883" s="4">
        <v>136.08</v>
      </c>
      <c r="K883" s="3">
        <v>42170.0</v>
      </c>
      <c r="L883" s="4">
        <v>1436.419</v>
      </c>
    </row>
    <row r="884">
      <c r="A884" s="3">
        <v>42173.0</v>
      </c>
      <c r="B884" s="4">
        <v>126.89</v>
      </c>
      <c r="C884" s="3">
        <v>42081.0</v>
      </c>
      <c r="D884" s="4">
        <v>24.72</v>
      </c>
      <c r="E884" s="3">
        <v>42185.0</v>
      </c>
      <c r="F884" s="4">
        <v>113.0</v>
      </c>
      <c r="G884" s="3">
        <v>42181.0</v>
      </c>
      <c r="H884" s="4">
        <v>126.56</v>
      </c>
      <c r="I884" s="3">
        <v>42181.0</v>
      </c>
      <c r="J884" s="4">
        <v>136.0</v>
      </c>
      <c r="K884" s="3">
        <v>42167.0</v>
      </c>
      <c r="L884" s="4">
        <v>1440.0352</v>
      </c>
    </row>
    <row r="885">
      <c r="A885" s="3">
        <v>42172.0</v>
      </c>
      <c r="B885" s="4">
        <v>126.72</v>
      </c>
      <c r="C885" s="3">
        <v>42080.0</v>
      </c>
      <c r="D885" s="4">
        <v>24.72</v>
      </c>
      <c r="E885" s="3">
        <v>42184.0</v>
      </c>
      <c r="F885" s="4">
        <v>112.99</v>
      </c>
      <c r="G885" s="3">
        <v>42180.0</v>
      </c>
      <c r="H885" s="4">
        <v>126.57</v>
      </c>
      <c r="I885" s="3">
        <v>42180.0</v>
      </c>
      <c r="J885" s="4">
        <v>136.07</v>
      </c>
      <c r="K885" s="3">
        <v>42166.0</v>
      </c>
      <c r="L885" s="4">
        <v>1436.4724</v>
      </c>
    </row>
    <row r="886">
      <c r="A886" s="3">
        <v>42171.0</v>
      </c>
      <c r="B886" s="4">
        <v>127.0</v>
      </c>
      <c r="C886" s="3">
        <v>42079.0</v>
      </c>
      <c r="D886" s="4">
        <v>24.74</v>
      </c>
      <c r="E886" s="3">
        <v>42181.0</v>
      </c>
      <c r="F886" s="4">
        <v>113.24</v>
      </c>
      <c r="G886" s="3">
        <v>42179.0</v>
      </c>
      <c r="H886" s="4">
        <v>126.63</v>
      </c>
      <c r="I886" s="3">
        <v>42179.0</v>
      </c>
      <c r="J886" s="4">
        <v>136.34</v>
      </c>
      <c r="K886" s="3">
        <v>42165.0</v>
      </c>
      <c r="L886" s="4">
        <v>1430.4606</v>
      </c>
    </row>
    <row r="887">
      <c r="A887" s="3">
        <v>42170.0</v>
      </c>
      <c r="B887" s="4">
        <v>126.99</v>
      </c>
      <c r="C887" s="3">
        <v>42076.0</v>
      </c>
      <c r="D887" s="4">
        <v>24.74</v>
      </c>
      <c r="E887" s="3">
        <v>42180.0</v>
      </c>
      <c r="F887" s="4">
        <v>113.27</v>
      </c>
      <c r="G887" s="3">
        <v>42177.0</v>
      </c>
      <c r="H887" s="4">
        <v>126.5</v>
      </c>
      <c r="I887" s="3">
        <v>42177.0</v>
      </c>
      <c r="J887" s="4">
        <v>135.49</v>
      </c>
      <c r="K887" s="3">
        <v>42164.0</v>
      </c>
      <c r="L887" s="4">
        <v>1434.3604</v>
      </c>
    </row>
    <row r="888">
      <c r="A888" s="3">
        <v>42167.0</v>
      </c>
      <c r="B888" s="4">
        <v>127.61</v>
      </c>
      <c r="C888" s="3">
        <v>42075.0</v>
      </c>
      <c r="D888" s="4">
        <v>24.74</v>
      </c>
      <c r="E888" s="3">
        <v>42179.0</v>
      </c>
      <c r="F888" s="4">
        <v>113.29</v>
      </c>
      <c r="G888" s="3">
        <v>42174.0</v>
      </c>
      <c r="H888" s="4">
        <v>126.56</v>
      </c>
      <c r="I888" s="3">
        <v>42174.0</v>
      </c>
      <c r="J888" s="4">
        <v>135.41</v>
      </c>
      <c r="K888" s="3">
        <v>42163.0</v>
      </c>
      <c r="L888" s="4">
        <v>1442.224</v>
      </c>
    </row>
    <row r="889">
      <c r="A889" s="3">
        <v>42166.0</v>
      </c>
      <c r="B889" s="4">
        <v>127.99</v>
      </c>
      <c r="C889" s="3">
        <v>42074.0</v>
      </c>
      <c r="D889" s="4">
        <v>24.73</v>
      </c>
      <c r="E889" s="3">
        <v>42177.0</v>
      </c>
      <c r="F889" s="4">
        <v>113.21</v>
      </c>
      <c r="G889" s="3">
        <v>42173.0</v>
      </c>
      <c r="H889" s="4">
        <v>126.55</v>
      </c>
      <c r="I889" s="3">
        <v>42173.0</v>
      </c>
      <c r="J889" s="4">
        <v>135.31</v>
      </c>
      <c r="K889" s="3">
        <v>42160.0</v>
      </c>
      <c r="L889" s="4">
        <v>1445.0837</v>
      </c>
    </row>
    <row r="890">
      <c r="A890" s="3">
        <v>42165.0</v>
      </c>
      <c r="B890" s="4">
        <v>127.73</v>
      </c>
      <c r="C890" s="3">
        <v>42073.0</v>
      </c>
      <c r="D890" s="4">
        <v>24.71</v>
      </c>
      <c r="E890" s="3">
        <v>42174.0</v>
      </c>
      <c r="F890" s="4">
        <v>113.12</v>
      </c>
      <c r="G890" s="3">
        <v>42172.0</v>
      </c>
      <c r="H890" s="4">
        <v>126.56</v>
      </c>
      <c r="I890" s="3">
        <v>42172.0</v>
      </c>
      <c r="J890" s="4">
        <v>135.41</v>
      </c>
      <c r="K890" s="3">
        <v>42159.0</v>
      </c>
      <c r="L890" s="4">
        <v>1449.4656</v>
      </c>
    </row>
    <row r="891">
      <c r="A891" s="3">
        <v>42164.0</v>
      </c>
      <c r="B891" s="4">
        <v>127.24</v>
      </c>
      <c r="C891" s="3">
        <v>42072.0</v>
      </c>
      <c r="D891" s="4">
        <v>24.71</v>
      </c>
      <c r="E891" s="3">
        <v>42173.0</v>
      </c>
      <c r="F891" s="4">
        <v>113.1</v>
      </c>
      <c r="G891" s="3">
        <v>42171.0</v>
      </c>
      <c r="H891" s="4">
        <v>126.63</v>
      </c>
      <c r="I891" s="3">
        <v>42171.0</v>
      </c>
      <c r="J891" s="4">
        <v>135.34</v>
      </c>
      <c r="K891" s="3">
        <v>42158.0</v>
      </c>
      <c r="L891" s="4">
        <v>1451.3336</v>
      </c>
    </row>
    <row r="892">
      <c r="A892" s="3">
        <v>42163.0</v>
      </c>
      <c r="B892" s="4">
        <v>127.46</v>
      </c>
      <c r="C892" s="3">
        <v>42069.0</v>
      </c>
      <c r="D892" s="4">
        <v>24.7</v>
      </c>
      <c r="E892" s="3">
        <v>42172.0</v>
      </c>
      <c r="F892" s="4">
        <v>113.19</v>
      </c>
      <c r="G892" s="3">
        <v>42170.0</v>
      </c>
      <c r="H892" s="4">
        <v>126.62</v>
      </c>
      <c r="I892" s="3">
        <v>42170.0</v>
      </c>
      <c r="J892" s="4">
        <v>135.91</v>
      </c>
      <c r="K892" s="3">
        <v>42157.0</v>
      </c>
      <c r="L892" s="4">
        <v>1453.3367</v>
      </c>
    </row>
    <row r="893">
      <c r="A893" s="3">
        <v>42160.0</v>
      </c>
      <c r="B893" s="4">
        <v>127.87</v>
      </c>
      <c r="C893" s="3">
        <v>42068.0</v>
      </c>
      <c r="D893" s="4">
        <v>24.69</v>
      </c>
      <c r="E893" s="3">
        <v>42171.0</v>
      </c>
      <c r="F893" s="4">
        <v>113.22</v>
      </c>
      <c r="G893" s="3">
        <v>42167.0</v>
      </c>
      <c r="H893" s="4">
        <v>126.65</v>
      </c>
      <c r="I893" s="3">
        <v>42167.0</v>
      </c>
      <c r="J893" s="4">
        <v>136.22</v>
      </c>
      <c r="K893" s="3">
        <v>42156.0</v>
      </c>
      <c r="L893" s="4">
        <v>1453.0624</v>
      </c>
    </row>
    <row r="894">
      <c r="A894" s="3">
        <v>42159.0</v>
      </c>
      <c r="B894" s="4">
        <v>128.5</v>
      </c>
      <c r="C894" s="3">
        <v>42067.0</v>
      </c>
      <c r="D894" s="4">
        <v>24.69</v>
      </c>
      <c r="E894" s="3">
        <v>42170.0</v>
      </c>
      <c r="F894" s="4">
        <v>113.26</v>
      </c>
      <c r="G894" s="3">
        <v>42166.0</v>
      </c>
      <c r="H894" s="4">
        <v>126.86</v>
      </c>
      <c r="I894" s="3">
        <v>42166.0</v>
      </c>
      <c r="J894" s="4">
        <v>136.16</v>
      </c>
      <c r="K894" s="3">
        <v>42153.0</v>
      </c>
      <c r="L894" s="4">
        <v>1456.1414</v>
      </c>
    </row>
    <row r="895">
      <c r="A895" s="3">
        <v>42158.0</v>
      </c>
      <c r="B895" s="4">
        <v>128.73</v>
      </c>
      <c r="C895" s="3">
        <v>42066.0</v>
      </c>
      <c r="D895" s="4">
        <v>24.68</v>
      </c>
      <c r="E895" s="3">
        <v>42167.0</v>
      </c>
      <c r="F895" s="4">
        <v>113.26</v>
      </c>
      <c r="G895" s="3">
        <v>42165.0</v>
      </c>
      <c r="H895" s="4">
        <v>126.75</v>
      </c>
      <c r="I895" s="3">
        <v>42165.0</v>
      </c>
      <c r="J895" s="4">
        <v>135.67</v>
      </c>
      <c r="K895" s="3">
        <v>42152.0</v>
      </c>
      <c r="L895" s="4">
        <v>1457.7185</v>
      </c>
    </row>
    <row r="896">
      <c r="A896" s="3">
        <v>42157.0</v>
      </c>
      <c r="B896" s="4">
        <v>128.83</v>
      </c>
      <c r="C896" s="3">
        <v>42065.0</v>
      </c>
      <c r="D896" s="4">
        <v>24.67</v>
      </c>
      <c r="E896" s="3">
        <v>42166.0</v>
      </c>
      <c r="F896" s="4">
        <v>113.26</v>
      </c>
      <c r="G896" s="3">
        <v>42164.0</v>
      </c>
      <c r="H896" s="4">
        <v>126.84</v>
      </c>
      <c r="I896" s="3">
        <v>42164.0</v>
      </c>
      <c r="J896" s="4">
        <v>135.84</v>
      </c>
      <c r="K896" s="3">
        <v>42151.0</v>
      </c>
      <c r="L896" s="4">
        <v>1453.73</v>
      </c>
    </row>
    <row r="897">
      <c r="A897" s="3">
        <v>42156.0</v>
      </c>
      <c r="B897" s="4">
        <v>129.12</v>
      </c>
      <c r="C897" s="3">
        <v>42062.0</v>
      </c>
      <c r="D897" s="4">
        <v>24.67</v>
      </c>
      <c r="E897" s="3">
        <v>42165.0</v>
      </c>
      <c r="F897" s="4">
        <v>113.21</v>
      </c>
      <c r="G897" s="3">
        <v>42163.0</v>
      </c>
      <c r="H897" s="4">
        <v>126.81</v>
      </c>
      <c r="I897" s="3">
        <v>42163.0</v>
      </c>
      <c r="J897" s="4">
        <v>136.19</v>
      </c>
      <c r="K897" s="3">
        <v>42150.0</v>
      </c>
      <c r="L897" s="4">
        <v>1459.3969</v>
      </c>
    </row>
    <row r="898">
      <c r="A898" s="3">
        <v>42153.0</v>
      </c>
      <c r="B898" s="4">
        <v>129.14</v>
      </c>
      <c r="C898" s="3">
        <v>42061.0</v>
      </c>
      <c r="D898" s="4">
        <v>24.67</v>
      </c>
      <c r="E898" s="3">
        <v>42164.0</v>
      </c>
      <c r="F898" s="4">
        <v>113.23</v>
      </c>
      <c r="G898" s="3">
        <v>42160.0</v>
      </c>
      <c r="H898" s="4">
        <v>126.95</v>
      </c>
      <c r="I898" s="3">
        <v>42160.0</v>
      </c>
      <c r="J898" s="4">
        <v>136.17</v>
      </c>
      <c r="K898" s="3">
        <v>42146.0</v>
      </c>
      <c r="L898" s="4">
        <v>1458.1847</v>
      </c>
    </row>
    <row r="899">
      <c r="A899" s="3">
        <v>42152.0</v>
      </c>
      <c r="B899" s="4">
        <v>129.74001</v>
      </c>
      <c r="C899" s="3">
        <v>42060.0</v>
      </c>
      <c r="D899" s="4">
        <v>24.66</v>
      </c>
      <c r="E899" s="3">
        <v>42163.0</v>
      </c>
      <c r="F899" s="4">
        <v>113.24</v>
      </c>
      <c r="G899" s="3">
        <v>42159.0</v>
      </c>
      <c r="H899" s="4">
        <v>126.92</v>
      </c>
      <c r="I899" s="3">
        <v>42159.0</v>
      </c>
      <c r="J899" s="4">
        <v>136.52</v>
      </c>
      <c r="K899" s="3">
        <v>42145.0</v>
      </c>
      <c r="L899" s="4">
        <v>1456.3718</v>
      </c>
    </row>
    <row r="900">
      <c r="A900" s="3">
        <v>42151.0</v>
      </c>
      <c r="B900" s="4">
        <v>129.88</v>
      </c>
      <c r="C900" s="3">
        <v>42059.0</v>
      </c>
      <c r="D900" s="4">
        <v>24.65</v>
      </c>
      <c r="E900" s="3">
        <v>42160.0</v>
      </c>
      <c r="F900" s="4">
        <v>113.24</v>
      </c>
      <c r="G900" s="3">
        <v>42158.0</v>
      </c>
      <c r="H900" s="4">
        <v>127.5</v>
      </c>
      <c r="I900" s="3">
        <v>42158.0</v>
      </c>
      <c r="J900" s="4">
        <v>136.57</v>
      </c>
      <c r="K900" s="3">
        <v>42144.0</v>
      </c>
      <c r="L900" s="4">
        <v>1459.5625</v>
      </c>
    </row>
    <row r="901">
      <c r="A901" s="3">
        <v>42150.0</v>
      </c>
      <c r="B901" s="4">
        <v>129.38</v>
      </c>
      <c r="C901" s="3">
        <v>42058.0</v>
      </c>
      <c r="D901" s="4">
        <v>24.64</v>
      </c>
      <c r="E901" s="3">
        <v>42159.0</v>
      </c>
      <c r="F901" s="4">
        <v>113.27</v>
      </c>
      <c r="G901" s="3">
        <v>42157.0</v>
      </c>
      <c r="H901" s="4">
        <v>127.71</v>
      </c>
      <c r="I901" s="3">
        <v>42157.0</v>
      </c>
      <c r="J901" s="4">
        <v>137.19</v>
      </c>
      <c r="K901" s="3">
        <v>42143.0</v>
      </c>
      <c r="L901" s="4">
        <v>1457.4031</v>
      </c>
    </row>
    <row r="902">
      <c r="A902" s="3">
        <v>42146.0</v>
      </c>
      <c r="B902" s="4">
        <v>130.08</v>
      </c>
      <c r="C902" s="3">
        <v>42055.0</v>
      </c>
      <c r="D902" s="4">
        <v>24.64</v>
      </c>
      <c r="E902" s="3">
        <v>42158.0</v>
      </c>
      <c r="F902" s="4">
        <v>113.26</v>
      </c>
      <c r="G902" s="3">
        <v>42156.0</v>
      </c>
      <c r="H902" s="4">
        <v>127.64</v>
      </c>
      <c r="I902" s="3">
        <v>42156.0</v>
      </c>
      <c r="J902" s="4">
        <v>136.94</v>
      </c>
      <c r="K902" s="3">
        <v>42142.0</v>
      </c>
      <c r="L902" s="4">
        <v>1454.701</v>
      </c>
    </row>
    <row r="903">
      <c r="A903" s="3">
        <v>42145.0</v>
      </c>
      <c r="B903" s="4">
        <v>130.12</v>
      </c>
      <c r="C903" s="3">
        <v>42054.0</v>
      </c>
      <c r="D903" s="4">
        <v>24.64</v>
      </c>
      <c r="E903" s="3">
        <v>42157.0</v>
      </c>
      <c r="F903" s="4">
        <v>113.3</v>
      </c>
      <c r="G903" s="3">
        <v>42153.0</v>
      </c>
      <c r="H903" s="4">
        <v>128.64</v>
      </c>
      <c r="I903" s="3">
        <v>42153.0</v>
      </c>
      <c r="J903" s="4">
        <v>137.44</v>
      </c>
      <c r="K903" s="3">
        <v>42139.0</v>
      </c>
      <c r="L903" s="4">
        <v>1452.5739</v>
      </c>
    </row>
    <row r="904">
      <c r="A904" s="3">
        <v>42144.0</v>
      </c>
      <c r="B904" s="4">
        <v>130.08</v>
      </c>
      <c r="C904" s="3">
        <v>42053.0</v>
      </c>
      <c r="D904" s="4">
        <v>24.64</v>
      </c>
      <c r="E904" s="3">
        <v>42156.0</v>
      </c>
      <c r="F904" s="4">
        <v>113.34</v>
      </c>
      <c r="G904" s="3">
        <v>42152.0</v>
      </c>
      <c r="H904" s="4">
        <v>129.05</v>
      </c>
      <c r="I904" s="3">
        <v>42152.0</v>
      </c>
      <c r="J904" s="4">
        <v>137.68</v>
      </c>
      <c r="K904" s="3">
        <v>42137.0</v>
      </c>
      <c r="L904" s="4">
        <v>1447.2701</v>
      </c>
    </row>
    <row r="905">
      <c r="A905" s="3">
        <v>42143.0</v>
      </c>
      <c r="B905" s="4">
        <v>130.13</v>
      </c>
      <c r="C905" s="3">
        <v>42052.0</v>
      </c>
      <c r="D905" s="4">
        <v>24.63</v>
      </c>
      <c r="E905" s="3">
        <v>42153.0</v>
      </c>
      <c r="F905" s="4">
        <v>113.33</v>
      </c>
      <c r="G905" s="3">
        <v>42151.0</v>
      </c>
      <c r="H905" s="4">
        <v>128.37</v>
      </c>
      <c r="I905" s="3">
        <v>42151.0</v>
      </c>
      <c r="J905" s="4">
        <v>137.18</v>
      </c>
      <c r="K905" s="3">
        <v>42136.0</v>
      </c>
      <c r="L905" s="4">
        <v>1449.7764</v>
      </c>
    </row>
    <row r="906">
      <c r="A906" s="3">
        <v>42142.0</v>
      </c>
      <c r="B906" s="4">
        <v>129.45</v>
      </c>
      <c r="C906" s="3">
        <v>42051.0</v>
      </c>
      <c r="D906" s="4">
        <v>24.62</v>
      </c>
      <c r="E906" s="3">
        <v>42152.0</v>
      </c>
      <c r="F906" s="4">
        <v>113.33</v>
      </c>
      <c r="G906" s="3">
        <v>42150.0</v>
      </c>
      <c r="H906" s="4">
        <v>129.3</v>
      </c>
      <c r="I906" s="3">
        <v>42150.0</v>
      </c>
      <c r="J906" s="4">
        <v>137.38</v>
      </c>
      <c r="K906" s="3">
        <v>42135.0</v>
      </c>
      <c r="L906" s="4">
        <v>1450.1668</v>
      </c>
    </row>
    <row r="907">
      <c r="A907" s="3">
        <v>42139.0</v>
      </c>
      <c r="B907" s="4">
        <v>129.41</v>
      </c>
      <c r="C907" s="3">
        <v>42048.0</v>
      </c>
      <c r="D907" s="4">
        <v>24.62</v>
      </c>
      <c r="E907" s="3">
        <v>42151.0</v>
      </c>
      <c r="F907" s="4">
        <v>113.34</v>
      </c>
      <c r="G907" s="3">
        <v>42146.0</v>
      </c>
      <c r="H907" s="4">
        <v>129.48</v>
      </c>
      <c r="I907" s="3">
        <v>42146.0</v>
      </c>
      <c r="J907" s="4">
        <v>137.28</v>
      </c>
      <c r="K907" s="3">
        <v>42132.0</v>
      </c>
      <c r="L907" s="4">
        <v>1441.2743</v>
      </c>
    </row>
    <row r="908">
      <c r="A908" s="3">
        <v>42137.0</v>
      </c>
      <c r="B908" s="4">
        <v>129.14</v>
      </c>
      <c r="C908" s="3">
        <v>42047.0</v>
      </c>
      <c r="D908" s="4">
        <v>24.62</v>
      </c>
      <c r="E908" s="3">
        <v>42150.0</v>
      </c>
      <c r="F908" s="4">
        <v>113.36</v>
      </c>
      <c r="G908" s="3">
        <v>42145.0</v>
      </c>
      <c r="H908" s="4">
        <v>129.53</v>
      </c>
      <c r="I908" s="3">
        <v>42145.0</v>
      </c>
      <c r="J908" s="4">
        <v>137.14</v>
      </c>
      <c r="K908" s="3">
        <v>42131.0</v>
      </c>
      <c r="L908" s="4">
        <v>1439.0623</v>
      </c>
    </row>
    <row r="909">
      <c r="A909" s="3">
        <v>42136.0</v>
      </c>
      <c r="B909" s="4">
        <v>129.13</v>
      </c>
      <c r="C909" s="3">
        <v>42046.0</v>
      </c>
      <c r="D909" s="4">
        <v>24.62</v>
      </c>
      <c r="E909" s="3">
        <v>42146.0</v>
      </c>
      <c r="F909" s="4">
        <v>113.31</v>
      </c>
      <c r="G909" s="3">
        <v>42144.0</v>
      </c>
      <c r="H909" s="4">
        <v>129.64999</v>
      </c>
      <c r="I909" s="3">
        <v>42144.0</v>
      </c>
      <c r="J909" s="4">
        <v>137.15</v>
      </c>
      <c r="K909" s="3">
        <v>42130.0</v>
      </c>
      <c r="L909" s="4">
        <v>1444.1873</v>
      </c>
    </row>
    <row r="910">
      <c r="A910" s="3">
        <v>42135.0</v>
      </c>
      <c r="B910" s="4">
        <v>129.53</v>
      </c>
      <c r="C910" s="3">
        <v>42045.0</v>
      </c>
      <c r="D910" s="4">
        <v>24.63</v>
      </c>
      <c r="E910" s="3">
        <v>42145.0</v>
      </c>
      <c r="F910" s="4">
        <v>113.29</v>
      </c>
      <c r="G910" s="3">
        <v>42143.0</v>
      </c>
      <c r="H910" s="4">
        <v>128.31</v>
      </c>
      <c r="I910" s="3">
        <v>42143.0</v>
      </c>
      <c r="J910" s="4">
        <v>136.55</v>
      </c>
      <c r="K910" s="3">
        <v>42129.0</v>
      </c>
      <c r="L910" s="4">
        <v>1452.6924</v>
      </c>
    </row>
    <row r="911">
      <c r="A911" s="3">
        <v>42131.0</v>
      </c>
      <c r="B911" s="4">
        <v>128.3</v>
      </c>
      <c r="C911" s="3">
        <v>42044.0</v>
      </c>
      <c r="D911" s="4">
        <v>24.63</v>
      </c>
      <c r="E911" s="3">
        <v>42144.0</v>
      </c>
      <c r="F911" s="4">
        <v>113.28</v>
      </c>
      <c r="G911" s="3">
        <v>42142.0</v>
      </c>
      <c r="H911" s="4">
        <v>127.63</v>
      </c>
      <c r="I911" s="3">
        <v>42142.0</v>
      </c>
      <c r="J911" s="4">
        <v>136.43</v>
      </c>
      <c r="K911" s="3">
        <v>42128.0</v>
      </c>
      <c r="L911" s="4">
        <v>1450.8668</v>
      </c>
    </row>
    <row r="912">
      <c r="A912" s="3">
        <v>42130.0</v>
      </c>
      <c r="B912" s="4">
        <v>128.50999</v>
      </c>
      <c r="C912" s="3">
        <v>42041.0</v>
      </c>
      <c r="D912" s="4">
        <v>24.63</v>
      </c>
      <c r="E912" s="3">
        <v>42143.0</v>
      </c>
      <c r="F912" s="4">
        <v>113.29</v>
      </c>
      <c r="G912" s="3">
        <v>42139.0</v>
      </c>
      <c r="H912" s="4">
        <v>127.25</v>
      </c>
      <c r="I912" s="3">
        <v>42139.0</v>
      </c>
      <c r="J912" s="4">
        <v>136.44</v>
      </c>
      <c r="K912" s="3">
        <v>42124.0</v>
      </c>
      <c r="L912" s="4">
        <v>1453.8678</v>
      </c>
    </row>
    <row r="913">
      <c r="A913" s="3">
        <v>42129.0</v>
      </c>
      <c r="B913" s="4">
        <v>128.5</v>
      </c>
      <c r="C913" s="3">
        <v>42040.0</v>
      </c>
      <c r="D913" s="4">
        <v>24.62</v>
      </c>
      <c r="E913" s="3">
        <v>42142.0</v>
      </c>
      <c r="F913" s="4">
        <v>113.31</v>
      </c>
      <c r="G913" s="3">
        <v>42137.0</v>
      </c>
      <c r="H913" s="4">
        <v>127.81</v>
      </c>
      <c r="I913" s="3">
        <v>42137.0</v>
      </c>
      <c r="J913" s="4">
        <v>136.22</v>
      </c>
      <c r="K913" s="3">
        <v>42123.0</v>
      </c>
      <c r="L913" s="4">
        <v>1459.9992</v>
      </c>
    </row>
    <row r="914">
      <c r="A914" s="3">
        <v>42128.0</v>
      </c>
      <c r="B914" s="4">
        <v>129.13</v>
      </c>
      <c r="C914" s="3">
        <v>42039.0</v>
      </c>
      <c r="D914" s="4">
        <v>24.62</v>
      </c>
      <c r="E914" s="3">
        <v>42139.0</v>
      </c>
      <c r="F914" s="4">
        <v>113.37</v>
      </c>
      <c r="G914" s="3">
        <v>42136.0</v>
      </c>
      <c r="H914" s="4">
        <v>128.78999</v>
      </c>
      <c r="I914" s="3">
        <v>42136.0</v>
      </c>
      <c r="J914" s="4">
        <v>136.71</v>
      </c>
      <c r="K914" s="3">
        <v>42122.0</v>
      </c>
      <c r="L914" s="4">
        <v>1464.1216</v>
      </c>
    </row>
    <row r="915">
      <c r="A915" s="3">
        <v>42124.0</v>
      </c>
      <c r="B915" s="4">
        <v>129.13</v>
      </c>
      <c r="C915" s="3">
        <v>42038.0</v>
      </c>
      <c r="D915" s="4">
        <v>24.62</v>
      </c>
      <c r="E915" s="3">
        <v>42137.0</v>
      </c>
      <c r="F915" s="4">
        <v>113.28</v>
      </c>
      <c r="G915" s="3">
        <v>42135.0</v>
      </c>
      <c r="H915" s="4">
        <v>128.96001</v>
      </c>
      <c r="I915" s="3">
        <v>42135.0</v>
      </c>
      <c r="J915" s="4">
        <v>136.83</v>
      </c>
      <c r="K915" s="3">
        <v>42121.0</v>
      </c>
      <c r="L915" s="4">
        <v>1461.4066</v>
      </c>
    </row>
    <row r="916">
      <c r="A916" s="3">
        <v>42123.0</v>
      </c>
      <c r="B916" s="4">
        <v>129.32001</v>
      </c>
      <c r="C916" s="3">
        <v>42037.0</v>
      </c>
      <c r="D916" s="4">
        <v>24.63</v>
      </c>
      <c r="E916" s="3">
        <v>42136.0</v>
      </c>
      <c r="F916" s="4">
        <v>113.36</v>
      </c>
      <c r="G916" s="3">
        <v>42132.0</v>
      </c>
      <c r="H916" s="4">
        <v>128.25999</v>
      </c>
      <c r="I916" s="3">
        <v>42132.0</v>
      </c>
      <c r="J916" s="4">
        <v>136.16</v>
      </c>
      <c r="K916" s="3">
        <v>42118.0</v>
      </c>
      <c r="L916" s="4">
        <v>1459.5255</v>
      </c>
    </row>
    <row r="917">
      <c r="A917" s="3">
        <v>42122.0</v>
      </c>
      <c r="B917" s="4">
        <v>130.10001</v>
      </c>
      <c r="C917" s="3">
        <v>42034.0</v>
      </c>
      <c r="D917" s="4">
        <v>24.64</v>
      </c>
      <c r="E917" s="3">
        <v>42135.0</v>
      </c>
      <c r="F917" s="4">
        <v>113.35</v>
      </c>
      <c r="G917" s="3">
        <v>42131.0</v>
      </c>
      <c r="H917" s="4">
        <v>128.28</v>
      </c>
      <c r="I917" s="3">
        <v>42131.0</v>
      </c>
      <c r="J917" s="4">
        <v>136.05</v>
      </c>
      <c r="K917" s="3">
        <v>42117.0</v>
      </c>
      <c r="L917" s="4">
        <v>1458.5574</v>
      </c>
    </row>
    <row r="918">
      <c r="A918" s="3">
        <v>42121.0</v>
      </c>
      <c r="B918" s="4">
        <v>130.59</v>
      </c>
      <c r="C918" s="3">
        <v>42033.0</v>
      </c>
      <c r="D918" s="4">
        <v>24.63</v>
      </c>
      <c r="E918" s="3">
        <v>42132.0</v>
      </c>
      <c r="F918" s="4">
        <v>113.32</v>
      </c>
      <c r="G918" s="3">
        <v>42130.0</v>
      </c>
      <c r="H918" s="4">
        <v>128.3</v>
      </c>
      <c r="I918" s="3">
        <v>42130.0</v>
      </c>
      <c r="J918" s="4">
        <v>136.42</v>
      </c>
      <c r="K918" s="3">
        <v>42116.0</v>
      </c>
      <c r="L918" s="4">
        <v>1456.9056</v>
      </c>
    </row>
    <row r="919">
      <c r="A919" s="3">
        <v>42118.0</v>
      </c>
      <c r="B919" s="4">
        <v>129.96001</v>
      </c>
      <c r="C919" s="3">
        <v>42032.0</v>
      </c>
      <c r="D919" s="4">
        <v>24.65</v>
      </c>
      <c r="E919" s="3">
        <v>42131.0</v>
      </c>
      <c r="F919" s="4">
        <v>113.25</v>
      </c>
      <c r="G919" s="3">
        <v>42129.0</v>
      </c>
      <c r="H919" s="4">
        <v>129.14</v>
      </c>
      <c r="I919" s="3">
        <v>42129.0</v>
      </c>
      <c r="J919" s="4">
        <v>137.17</v>
      </c>
      <c r="K919" s="3">
        <v>42115.0</v>
      </c>
      <c r="L919" s="4">
        <v>1453.3337</v>
      </c>
    </row>
    <row r="920">
      <c r="A920" s="3">
        <v>42117.0</v>
      </c>
      <c r="B920" s="4">
        <v>129.78</v>
      </c>
      <c r="C920" s="3">
        <v>42031.0</v>
      </c>
      <c r="D920" s="4">
        <v>24.65</v>
      </c>
      <c r="E920" s="3">
        <v>42130.0</v>
      </c>
      <c r="F920" s="4">
        <v>113.23</v>
      </c>
      <c r="G920" s="3">
        <v>42128.0</v>
      </c>
      <c r="H920" s="4">
        <v>129.39999</v>
      </c>
      <c r="I920" s="3">
        <v>42128.0</v>
      </c>
      <c r="J920" s="4">
        <v>137.0</v>
      </c>
      <c r="K920" s="3">
        <v>42114.0</v>
      </c>
      <c r="L920" s="4">
        <v>1448.5084</v>
      </c>
    </row>
    <row r="921">
      <c r="A921" s="3">
        <v>42116.0</v>
      </c>
      <c r="B921" s="4">
        <v>130.03999</v>
      </c>
      <c r="C921" s="3">
        <v>42030.0</v>
      </c>
      <c r="D921" s="4">
        <v>24.67</v>
      </c>
      <c r="E921" s="3">
        <v>42129.0</v>
      </c>
      <c r="F921" s="4">
        <v>113.23</v>
      </c>
      <c r="G921" s="3">
        <v>42124.0</v>
      </c>
      <c r="H921" s="4">
        <v>129.96001</v>
      </c>
      <c r="I921" s="3">
        <v>42124.0</v>
      </c>
      <c r="J921" s="4">
        <v>137.25</v>
      </c>
      <c r="K921" s="3">
        <v>42111.0</v>
      </c>
      <c r="L921" s="4">
        <v>1458.3117</v>
      </c>
    </row>
    <row r="922">
      <c r="A922" s="3">
        <v>42115.0</v>
      </c>
      <c r="B922" s="4">
        <v>130.13</v>
      </c>
      <c r="C922" s="3">
        <v>42027.0</v>
      </c>
      <c r="D922" s="4">
        <v>24.67</v>
      </c>
      <c r="E922" s="3">
        <v>42128.0</v>
      </c>
      <c r="F922" s="4">
        <v>113.24</v>
      </c>
      <c r="G922" s="3">
        <v>42123.0</v>
      </c>
      <c r="H922" s="4">
        <v>132.33</v>
      </c>
      <c r="I922" s="3">
        <v>42123.0</v>
      </c>
      <c r="J922" s="4">
        <v>138.27</v>
      </c>
      <c r="K922" s="3">
        <v>42110.0</v>
      </c>
      <c r="L922" s="4">
        <v>1461.5822</v>
      </c>
    </row>
    <row r="923">
      <c r="A923" s="3">
        <v>42114.0</v>
      </c>
      <c r="B923" s="4">
        <v>129.91</v>
      </c>
      <c r="C923" s="3">
        <v>42026.0</v>
      </c>
      <c r="D923" s="4">
        <v>24.65</v>
      </c>
      <c r="E923" s="3">
        <v>42124.0</v>
      </c>
      <c r="F923" s="4">
        <v>113.2</v>
      </c>
      <c r="G923" s="3">
        <v>42122.0</v>
      </c>
      <c r="H923" s="4">
        <v>133.32001</v>
      </c>
      <c r="I923" s="3">
        <v>42122.0</v>
      </c>
      <c r="J923" s="4">
        <v>138.81</v>
      </c>
      <c r="K923" s="3">
        <v>42109.0</v>
      </c>
      <c r="L923" s="4">
        <v>1457.0288</v>
      </c>
    </row>
    <row r="924">
      <c r="A924" s="3">
        <v>42111.0</v>
      </c>
      <c r="B924" s="4">
        <v>129.69</v>
      </c>
      <c r="C924" s="3">
        <v>42025.0</v>
      </c>
      <c r="D924" s="4">
        <v>24.63</v>
      </c>
      <c r="E924" s="3">
        <v>42123.0</v>
      </c>
      <c r="F924" s="4">
        <v>113.19</v>
      </c>
      <c r="G924" s="3">
        <v>42121.0</v>
      </c>
      <c r="H924" s="4">
        <v>132.35001</v>
      </c>
      <c r="I924" s="3">
        <v>42121.0</v>
      </c>
      <c r="J924" s="4">
        <v>138.9</v>
      </c>
      <c r="K924" s="3">
        <v>42108.0</v>
      </c>
      <c r="L924" s="4">
        <v>1459.0835</v>
      </c>
    </row>
    <row r="925">
      <c r="A925" s="3">
        <v>42110.0</v>
      </c>
      <c r="B925" s="4">
        <v>130.37</v>
      </c>
      <c r="C925" s="3">
        <v>42024.0</v>
      </c>
      <c r="D925" s="4">
        <v>24.63</v>
      </c>
      <c r="E925" s="3">
        <v>42122.0</v>
      </c>
      <c r="F925" s="4">
        <v>113.19</v>
      </c>
      <c r="G925" s="3">
        <v>42118.0</v>
      </c>
      <c r="H925" s="4">
        <v>131.99001</v>
      </c>
      <c r="I925" s="3">
        <v>42118.0</v>
      </c>
      <c r="J925" s="4">
        <v>138.77</v>
      </c>
      <c r="K925" s="3">
        <v>42107.0</v>
      </c>
      <c r="L925" s="4">
        <v>1459.3023</v>
      </c>
    </row>
    <row r="926">
      <c r="A926" s="3">
        <v>42109.0</v>
      </c>
      <c r="B926" s="4">
        <v>130.71001</v>
      </c>
      <c r="C926" s="3">
        <v>42023.0</v>
      </c>
      <c r="D926" s="4">
        <v>24.63</v>
      </c>
      <c r="E926" s="3">
        <v>42121.0</v>
      </c>
      <c r="F926" s="4">
        <v>113.15</v>
      </c>
      <c r="G926" s="3">
        <v>42117.0</v>
      </c>
      <c r="H926" s="4">
        <v>132.75999</v>
      </c>
      <c r="I926" s="3">
        <v>42117.0</v>
      </c>
      <c r="J926" s="4">
        <v>138.94</v>
      </c>
      <c r="K926" s="3">
        <v>42104.0</v>
      </c>
      <c r="L926" s="4">
        <v>1452.9871</v>
      </c>
    </row>
    <row r="927">
      <c r="A927" s="3">
        <v>42108.0</v>
      </c>
      <c r="B927" s="4">
        <v>130.75</v>
      </c>
      <c r="C927" s="3">
        <v>42020.0</v>
      </c>
      <c r="D927" s="4">
        <v>24.65</v>
      </c>
      <c r="E927" s="3">
        <v>42118.0</v>
      </c>
      <c r="F927" s="4">
        <v>113.06</v>
      </c>
      <c r="G927" s="3">
        <v>42116.0</v>
      </c>
      <c r="H927" s="4">
        <v>133.53999</v>
      </c>
      <c r="I927" s="3">
        <v>42116.0</v>
      </c>
      <c r="J927" s="4">
        <v>138.74</v>
      </c>
      <c r="K927" s="3">
        <v>42103.0</v>
      </c>
      <c r="L927" s="4">
        <v>1448.7056</v>
      </c>
    </row>
    <row r="928">
      <c r="A928" s="3">
        <v>42107.0</v>
      </c>
      <c r="B928" s="4">
        <v>130.78</v>
      </c>
      <c r="C928" s="3">
        <v>42019.0</v>
      </c>
      <c r="D928" s="4">
        <v>24.64</v>
      </c>
      <c r="E928" s="3">
        <v>42117.0</v>
      </c>
      <c r="F928" s="4">
        <v>113.01</v>
      </c>
      <c r="G928" s="3">
        <v>42115.0</v>
      </c>
      <c r="H928" s="4">
        <v>133.5</v>
      </c>
      <c r="I928" s="3">
        <v>42115.0</v>
      </c>
      <c r="J928" s="4">
        <v>138.5</v>
      </c>
      <c r="K928" s="3">
        <v>42102.0</v>
      </c>
      <c r="L928" s="4">
        <v>1443.2501</v>
      </c>
    </row>
    <row r="929">
      <c r="A929" s="3">
        <v>42104.0</v>
      </c>
      <c r="B929" s="4">
        <v>130.57001</v>
      </c>
      <c r="C929" s="3">
        <v>42018.0</v>
      </c>
      <c r="D929" s="4">
        <v>24.61</v>
      </c>
      <c r="E929" s="3">
        <v>42116.0</v>
      </c>
      <c r="F929" s="4">
        <v>113.01</v>
      </c>
      <c r="G929" s="3">
        <v>42114.0</v>
      </c>
      <c r="H929" s="4">
        <v>132.60001</v>
      </c>
      <c r="I929" s="3">
        <v>42114.0</v>
      </c>
      <c r="J929" s="4">
        <v>137.9</v>
      </c>
      <c r="K929" s="3">
        <v>42101.0</v>
      </c>
      <c r="L929" s="4">
        <v>1436.4027</v>
      </c>
    </row>
    <row r="930">
      <c r="A930" s="3">
        <v>42103.0</v>
      </c>
      <c r="B930" s="4">
        <v>130.00999</v>
      </c>
      <c r="C930" s="3">
        <v>42017.0</v>
      </c>
      <c r="D930" s="4">
        <v>24.6</v>
      </c>
      <c r="E930" s="3">
        <v>42115.0</v>
      </c>
      <c r="F930" s="4">
        <v>113.02</v>
      </c>
      <c r="G930" s="3">
        <v>42111.0</v>
      </c>
      <c r="H930" s="4">
        <v>133.88</v>
      </c>
      <c r="I930" s="3">
        <v>42111.0</v>
      </c>
      <c r="J930" s="4">
        <v>138.74</v>
      </c>
      <c r="K930" s="3">
        <v>42096.0</v>
      </c>
      <c r="L930" s="4">
        <v>1429.4659</v>
      </c>
    </row>
    <row r="931">
      <c r="A931" s="3">
        <v>42102.0</v>
      </c>
      <c r="B931" s="4">
        <v>129.55</v>
      </c>
      <c r="C931" s="3">
        <v>42016.0</v>
      </c>
      <c r="D931" s="4">
        <v>24.6</v>
      </c>
      <c r="E931" s="3">
        <v>42114.0</v>
      </c>
      <c r="F931" s="4">
        <v>113.03</v>
      </c>
      <c r="G931" s="3">
        <v>42110.0</v>
      </c>
      <c r="H931" s="4">
        <v>134.78999</v>
      </c>
      <c r="I931" s="3">
        <v>42110.0</v>
      </c>
      <c r="J931" s="4">
        <v>139.38</v>
      </c>
      <c r="K931" s="3">
        <v>42095.0</v>
      </c>
      <c r="L931" s="4">
        <v>1426.8221</v>
      </c>
    </row>
    <row r="932">
      <c r="A932" s="3">
        <v>42101.0</v>
      </c>
      <c r="B932" s="4">
        <v>129.5</v>
      </c>
      <c r="C932" s="3">
        <v>42013.0</v>
      </c>
      <c r="D932" s="4">
        <v>24.6</v>
      </c>
      <c r="E932" s="3">
        <v>42111.0</v>
      </c>
      <c r="F932" s="4">
        <v>112.99</v>
      </c>
      <c r="G932" s="3">
        <v>42109.0</v>
      </c>
      <c r="H932" s="4">
        <v>134.53</v>
      </c>
      <c r="I932" s="3">
        <v>42109.0</v>
      </c>
      <c r="J932" s="4">
        <v>138.9</v>
      </c>
      <c r="K932" s="3">
        <v>42094.0</v>
      </c>
      <c r="L932" s="4">
        <v>1429.6718</v>
      </c>
    </row>
    <row r="933">
      <c r="A933" s="3">
        <v>42096.0</v>
      </c>
      <c r="B933" s="4">
        <v>128.84</v>
      </c>
      <c r="C933" s="3">
        <v>42012.0</v>
      </c>
      <c r="D933" s="4">
        <v>24.59</v>
      </c>
      <c r="E933" s="3">
        <v>42110.0</v>
      </c>
      <c r="F933" s="4">
        <v>113.01</v>
      </c>
      <c r="G933" s="3">
        <v>42108.0</v>
      </c>
      <c r="H933" s="4">
        <v>134.89</v>
      </c>
      <c r="I933" s="3">
        <v>42108.0</v>
      </c>
      <c r="J933" s="4">
        <v>139.09</v>
      </c>
      <c r="K933" s="3">
        <v>42093.0</v>
      </c>
      <c r="L933" s="4">
        <v>1424.9048</v>
      </c>
    </row>
    <row r="934">
      <c r="A934" s="3">
        <v>42095.0</v>
      </c>
      <c r="B934" s="4">
        <v>128.74001</v>
      </c>
      <c r="C934" s="3">
        <v>42011.0</v>
      </c>
      <c r="D934" s="4">
        <v>24.61</v>
      </c>
      <c r="E934" s="3">
        <v>42109.0</v>
      </c>
      <c r="F934" s="4">
        <v>113.02</v>
      </c>
      <c r="G934" s="3">
        <v>42107.0</v>
      </c>
      <c r="H934" s="4">
        <v>134.92999</v>
      </c>
      <c r="I934" s="3">
        <v>42107.0</v>
      </c>
      <c r="J934" s="4">
        <v>139.07</v>
      </c>
      <c r="K934" s="3">
        <v>42090.0</v>
      </c>
      <c r="L934" s="4">
        <v>1418.8014</v>
      </c>
    </row>
    <row r="935">
      <c r="A935" s="3">
        <v>42094.0</v>
      </c>
      <c r="B935" s="4">
        <v>128.46001</v>
      </c>
      <c r="C935" s="3">
        <v>42010.0</v>
      </c>
      <c r="D935" s="4">
        <v>24.59</v>
      </c>
      <c r="E935" s="3">
        <v>42108.0</v>
      </c>
      <c r="F935" s="4">
        <v>112.98</v>
      </c>
      <c r="G935" s="3">
        <v>42104.0</v>
      </c>
      <c r="H935" s="4">
        <v>133.94</v>
      </c>
      <c r="I935" s="3">
        <v>42104.0</v>
      </c>
      <c r="J935" s="4">
        <v>138.8</v>
      </c>
      <c r="K935" s="3">
        <v>42089.0</v>
      </c>
      <c r="L935" s="4">
        <v>1423.7943</v>
      </c>
    </row>
    <row r="936">
      <c r="A936" s="3">
        <v>42093.0</v>
      </c>
      <c r="B936" s="4">
        <v>128.77</v>
      </c>
      <c r="C936" s="3">
        <v>42009.0</v>
      </c>
      <c r="D936" s="4">
        <v>24.59</v>
      </c>
      <c r="E936" s="3">
        <v>42107.0</v>
      </c>
      <c r="F936" s="4">
        <v>112.96</v>
      </c>
      <c r="G936" s="3">
        <v>42103.0</v>
      </c>
      <c r="H936" s="4">
        <v>133.41</v>
      </c>
      <c r="I936" s="3">
        <v>42103.0</v>
      </c>
      <c r="J936" s="4">
        <v>138.09</v>
      </c>
      <c r="K936" s="3">
        <v>42088.0</v>
      </c>
      <c r="L936" s="4">
        <v>1433.8949</v>
      </c>
    </row>
    <row r="937">
      <c r="A937" s="3">
        <v>42090.0</v>
      </c>
      <c r="B937" s="4">
        <v>128.24001</v>
      </c>
      <c r="C937" s="3">
        <v>42006.0</v>
      </c>
      <c r="D937" s="4">
        <v>24.57</v>
      </c>
      <c r="E937" s="3">
        <v>42104.0</v>
      </c>
      <c r="F937" s="4">
        <v>112.94</v>
      </c>
      <c r="G937" s="3">
        <v>42102.0</v>
      </c>
      <c r="H937" s="4">
        <v>133.52</v>
      </c>
      <c r="I937" s="3">
        <v>42102.0</v>
      </c>
      <c r="J937" s="4">
        <v>137.62</v>
      </c>
      <c r="K937" s="3">
        <v>42087.0</v>
      </c>
      <c r="L937" s="4">
        <v>1433.764</v>
      </c>
    </row>
    <row r="938">
      <c r="A938" s="3">
        <v>42089.0</v>
      </c>
      <c r="B938" s="4">
        <v>128.05</v>
      </c>
      <c r="C938" s="3">
        <v>42004.0</v>
      </c>
      <c r="D938" s="4">
        <v>24.57</v>
      </c>
      <c r="E938" s="3">
        <v>42103.0</v>
      </c>
      <c r="F938" s="4">
        <v>112.92</v>
      </c>
      <c r="G938" s="3">
        <v>42101.0</v>
      </c>
      <c r="H938" s="4">
        <v>132.85001</v>
      </c>
      <c r="I938" s="3">
        <v>42101.0</v>
      </c>
      <c r="J938" s="4">
        <v>136.83</v>
      </c>
      <c r="K938" s="3">
        <v>42086.0</v>
      </c>
      <c r="L938" s="4">
        <v>1436.4323</v>
      </c>
    </row>
    <row r="939">
      <c r="A939" s="3">
        <v>42088.0</v>
      </c>
      <c r="B939" s="4">
        <v>128.46001</v>
      </c>
      <c r="C939" s="3">
        <v>42003.0</v>
      </c>
      <c r="D939" s="4">
        <v>24.56</v>
      </c>
      <c r="E939" s="3">
        <v>42102.0</v>
      </c>
      <c r="F939" s="4">
        <v>112.89</v>
      </c>
      <c r="G939" s="3">
        <v>42096.0</v>
      </c>
      <c r="H939" s="4">
        <v>133.14999</v>
      </c>
      <c r="I939" s="3">
        <v>42096.0</v>
      </c>
      <c r="J939" s="4">
        <v>137.34</v>
      </c>
      <c r="K939" s="3">
        <v>42083.0</v>
      </c>
      <c r="L939" s="4">
        <v>1430.0966</v>
      </c>
    </row>
    <row r="940">
      <c r="A940" s="3">
        <v>42087.0</v>
      </c>
      <c r="B940" s="4">
        <v>128.85001</v>
      </c>
      <c r="C940" s="3">
        <v>42002.0</v>
      </c>
      <c r="D940" s="4">
        <v>24.55</v>
      </c>
      <c r="E940" s="3">
        <v>42101.0</v>
      </c>
      <c r="F940" s="4">
        <v>112.86</v>
      </c>
      <c r="G940" s="3">
        <v>42095.0</v>
      </c>
      <c r="H940" s="4">
        <v>132.95</v>
      </c>
      <c r="I940" s="3">
        <v>42095.0</v>
      </c>
      <c r="J940" s="4">
        <v>137.33</v>
      </c>
      <c r="K940" s="3">
        <v>42082.0</v>
      </c>
      <c r="L940" s="4">
        <v>1427.6375</v>
      </c>
    </row>
    <row r="941">
      <c r="A941" s="3">
        <v>42086.0</v>
      </c>
      <c r="B941" s="4">
        <v>128.5</v>
      </c>
      <c r="C941" s="3">
        <v>41996.0</v>
      </c>
      <c r="D941" s="4">
        <v>24.55</v>
      </c>
      <c r="E941" s="3">
        <v>42096.0</v>
      </c>
      <c r="F941" s="4">
        <v>112.81</v>
      </c>
      <c r="G941" s="3">
        <v>42094.0</v>
      </c>
      <c r="H941" s="4">
        <v>133.23</v>
      </c>
      <c r="I941" s="3">
        <v>42094.0</v>
      </c>
      <c r="J941" s="4">
        <v>137.53</v>
      </c>
      <c r="K941" s="3">
        <v>42081.0</v>
      </c>
      <c r="L941" s="4">
        <v>1425.5502</v>
      </c>
    </row>
    <row r="942">
      <c r="A942" s="3">
        <v>42083.0</v>
      </c>
      <c r="B942" s="4">
        <v>128.78</v>
      </c>
      <c r="C942" s="3">
        <v>41995.0</v>
      </c>
      <c r="D942" s="4">
        <v>24.54</v>
      </c>
      <c r="E942" s="3">
        <v>42095.0</v>
      </c>
      <c r="F942" s="4">
        <v>112.77</v>
      </c>
      <c r="G942" s="3">
        <v>42093.0</v>
      </c>
      <c r="H942" s="4">
        <v>132.31</v>
      </c>
      <c r="I942" s="3">
        <v>42093.0</v>
      </c>
      <c r="J942" s="4">
        <v>136.9</v>
      </c>
      <c r="K942" s="3">
        <v>42080.0</v>
      </c>
      <c r="L942" s="4">
        <v>1424.3431</v>
      </c>
    </row>
    <row r="943">
      <c r="A943" s="3">
        <v>42082.0</v>
      </c>
      <c r="B943" s="4">
        <v>128.25</v>
      </c>
      <c r="C943" s="3">
        <v>41992.0</v>
      </c>
      <c r="D943" s="4">
        <v>24.54</v>
      </c>
      <c r="E943" s="3">
        <v>42094.0</v>
      </c>
      <c r="F943" s="4">
        <v>112.77</v>
      </c>
      <c r="G943" s="3">
        <v>42090.0</v>
      </c>
      <c r="H943" s="4">
        <v>132.25999</v>
      </c>
      <c r="I943" s="3">
        <v>42090.0</v>
      </c>
      <c r="J943" s="4">
        <v>136.77</v>
      </c>
      <c r="K943" s="3">
        <v>42079.0</v>
      </c>
      <c r="L943" s="4">
        <v>1411.6296</v>
      </c>
    </row>
    <row r="944">
      <c r="A944" s="3">
        <v>42081.0</v>
      </c>
      <c r="B944" s="4">
        <v>128.13</v>
      </c>
      <c r="C944" s="3">
        <v>41991.0</v>
      </c>
      <c r="D944" s="4">
        <v>24.54</v>
      </c>
      <c r="E944" s="3">
        <v>42093.0</v>
      </c>
      <c r="F944" s="4">
        <v>112.79</v>
      </c>
      <c r="G944" s="3">
        <v>42089.0</v>
      </c>
      <c r="H944" s="4">
        <v>132.41</v>
      </c>
      <c r="I944" s="3">
        <v>42089.0</v>
      </c>
      <c r="J944" s="4">
        <v>136.97</v>
      </c>
      <c r="K944" s="3">
        <v>42076.0</v>
      </c>
      <c r="L944" s="4">
        <v>1418.329</v>
      </c>
    </row>
    <row r="945">
      <c r="A945" s="3">
        <v>42080.0</v>
      </c>
      <c r="B945" s="4">
        <v>128.06</v>
      </c>
      <c r="C945" s="3">
        <v>41990.0</v>
      </c>
      <c r="D945" s="4">
        <v>24.51</v>
      </c>
      <c r="E945" s="3">
        <v>42090.0</v>
      </c>
      <c r="F945" s="4">
        <v>112.78</v>
      </c>
      <c r="G945" s="3">
        <v>42088.0</v>
      </c>
      <c r="H945" s="4">
        <v>132.92</v>
      </c>
      <c r="I945" s="3">
        <v>42088.0</v>
      </c>
      <c r="J945" s="4">
        <v>137.59</v>
      </c>
      <c r="K945" s="3">
        <v>42075.0</v>
      </c>
      <c r="L945" s="4">
        <v>1415.0142</v>
      </c>
    </row>
    <row r="946">
      <c r="A946" s="3">
        <v>42079.0</v>
      </c>
      <c r="B946" s="4">
        <v>128.46001</v>
      </c>
      <c r="C946" s="3">
        <v>41989.0</v>
      </c>
      <c r="D946" s="4">
        <v>24.5</v>
      </c>
      <c r="E946" s="3">
        <v>42089.0</v>
      </c>
      <c r="F946" s="4">
        <v>112.73</v>
      </c>
      <c r="G946" s="3">
        <v>42087.0</v>
      </c>
      <c r="H946" s="4">
        <v>132.46001</v>
      </c>
      <c r="I946" s="3">
        <v>42087.0</v>
      </c>
      <c r="J946" s="4">
        <v>137.52</v>
      </c>
      <c r="K946" s="3">
        <v>42074.0</v>
      </c>
      <c r="L946" s="4">
        <v>1408.9072</v>
      </c>
    </row>
    <row r="947">
      <c r="A947" s="3">
        <v>42076.0</v>
      </c>
      <c r="B947" s="4">
        <v>127.85</v>
      </c>
      <c r="C947" s="3">
        <v>41988.0</v>
      </c>
      <c r="D947" s="4">
        <v>24.52</v>
      </c>
      <c r="E947" s="3">
        <v>42088.0</v>
      </c>
      <c r="F947" s="4">
        <v>112.74</v>
      </c>
      <c r="G947" s="3">
        <v>42086.0</v>
      </c>
      <c r="H947" s="4">
        <v>133.50999</v>
      </c>
      <c r="I947" s="3">
        <v>42086.0</v>
      </c>
      <c r="J947" s="4">
        <v>137.94</v>
      </c>
      <c r="K947" s="3">
        <v>42073.0</v>
      </c>
      <c r="L947" s="4">
        <v>1415.6049</v>
      </c>
    </row>
    <row r="948">
      <c r="A948" s="3">
        <v>42075.0</v>
      </c>
      <c r="B948" s="4">
        <v>127.63</v>
      </c>
      <c r="C948" s="3">
        <v>41985.0</v>
      </c>
      <c r="D948" s="4">
        <v>24.53</v>
      </c>
      <c r="E948" s="3">
        <v>42087.0</v>
      </c>
      <c r="F948" s="4">
        <v>112.76</v>
      </c>
      <c r="G948" s="3">
        <v>42083.0</v>
      </c>
      <c r="H948" s="4">
        <v>132.82001</v>
      </c>
      <c r="I948" s="3">
        <v>42083.0</v>
      </c>
      <c r="J948" s="4">
        <v>137.6</v>
      </c>
      <c r="K948" s="3">
        <v>42072.0</v>
      </c>
      <c r="L948" s="4">
        <v>1415.8906</v>
      </c>
    </row>
    <row r="949">
      <c r="A949" s="3">
        <v>42074.0</v>
      </c>
      <c r="B949" s="4">
        <v>127.64</v>
      </c>
      <c r="C949" s="3">
        <v>41984.0</v>
      </c>
      <c r="D949" s="4">
        <v>24.55</v>
      </c>
      <c r="E949" s="3">
        <v>42086.0</v>
      </c>
      <c r="F949" s="4">
        <v>112.71</v>
      </c>
      <c r="G949" s="3">
        <v>42082.0</v>
      </c>
      <c r="H949" s="4">
        <v>132.82001</v>
      </c>
      <c r="I949" s="3">
        <v>42082.0</v>
      </c>
      <c r="J949" s="4">
        <v>137.44</v>
      </c>
      <c r="K949" s="3">
        <v>42069.0</v>
      </c>
      <c r="L949" s="4">
        <v>1423.5508</v>
      </c>
    </row>
    <row r="950">
      <c r="A950" s="3">
        <v>42073.0</v>
      </c>
      <c r="B950" s="4">
        <v>126.99</v>
      </c>
      <c r="C950" s="3">
        <v>41983.0</v>
      </c>
      <c r="D950" s="4">
        <v>24.56</v>
      </c>
      <c r="E950" s="3">
        <v>42083.0</v>
      </c>
      <c r="F950" s="4">
        <v>112.66</v>
      </c>
      <c r="G950" s="3">
        <v>42081.0</v>
      </c>
      <c r="H950" s="4">
        <v>132.5</v>
      </c>
      <c r="I950" s="3">
        <v>42081.0</v>
      </c>
      <c r="J950" s="4">
        <v>136.88</v>
      </c>
      <c r="K950" s="3">
        <v>42068.0</v>
      </c>
      <c r="L950" s="4">
        <v>1418.7775</v>
      </c>
    </row>
    <row r="951">
      <c r="A951" s="3">
        <v>42072.0</v>
      </c>
      <c r="B951" s="4">
        <v>127.39</v>
      </c>
      <c r="C951" s="3">
        <v>41982.0</v>
      </c>
      <c r="D951" s="4">
        <v>24.57</v>
      </c>
      <c r="E951" s="3">
        <v>42082.0</v>
      </c>
      <c r="F951" s="4">
        <v>112.71</v>
      </c>
      <c r="G951" s="3">
        <v>42080.0</v>
      </c>
      <c r="H951" s="4">
        <v>133.38</v>
      </c>
      <c r="I951" s="3">
        <v>42080.0</v>
      </c>
      <c r="J951" s="4">
        <v>137.23</v>
      </c>
      <c r="K951" s="3">
        <v>42067.0</v>
      </c>
      <c r="L951" s="4">
        <v>1418.582</v>
      </c>
    </row>
    <row r="952">
      <c r="A952" s="3">
        <v>42069.0</v>
      </c>
      <c r="B952" s="4">
        <v>127.49</v>
      </c>
      <c r="C952" s="3">
        <v>41981.0</v>
      </c>
      <c r="D952" s="4">
        <v>24.58</v>
      </c>
      <c r="E952" s="3">
        <v>42081.0</v>
      </c>
      <c r="F952" s="4">
        <v>112.69</v>
      </c>
      <c r="G952" s="3">
        <v>42079.0</v>
      </c>
      <c r="H952" s="4">
        <v>132.38</v>
      </c>
      <c r="I952" s="3">
        <v>42079.0</v>
      </c>
      <c r="J952" s="4">
        <v>137.06</v>
      </c>
      <c r="K952" s="3">
        <v>42066.0</v>
      </c>
      <c r="L952" s="4">
        <v>1424.7604</v>
      </c>
    </row>
    <row r="953">
      <c r="A953" s="3">
        <v>42068.0</v>
      </c>
      <c r="B953" s="4">
        <v>127.49</v>
      </c>
      <c r="C953" s="3">
        <v>41978.0</v>
      </c>
      <c r="D953" s="4">
        <v>24.59</v>
      </c>
      <c r="E953" s="3">
        <v>42080.0</v>
      </c>
      <c r="F953" s="4">
        <v>112.66</v>
      </c>
      <c r="G953" s="3">
        <v>42076.0</v>
      </c>
      <c r="H953" s="4">
        <v>131.98</v>
      </c>
      <c r="I953" s="3">
        <v>42076.0</v>
      </c>
      <c r="J953" s="4">
        <v>137.03</v>
      </c>
      <c r="K953" s="3">
        <v>42065.0</v>
      </c>
      <c r="L953" s="4">
        <v>1422.1493</v>
      </c>
    </row>
    <row r="954">
      <c r="A954" s="3">
        <v>42067.0</v>
      </c>
      <c r="B954" s="4">
        <v>127.03</v>
      </c>
      <c r="C954" s="3">
        <v>41977.0</v>
      </c>
      <c r="D954" s="4">
        <v>24.57</v>
      </c>
      <c r="E954" s="3">
        <v>42079.0</v>
      </c>
      <c r="F954" s="4">
        <v>112.7</v>
      </c>
      <c r="G954" s="3">
        <v>42075.0</v>
      </c>
      <c r="H954" s="4">
        <v>132.3</v>
      </c>
      <c r="I954" s="3">
        <v>42075.0</v>
      </c>
      <c r="J954" s="4">
        <v>136.7</v>
      </c>
      <c r="K954" s="3">
        <v>42062.0</v>
      </c>
      <c r="L954" s="4">
        <v>1422.2738</v>
      </c>
    </row>
    <row r="955">
      <c r="A955" s="3">
        <v>42066.0</v>
      </c>
      <c r="B955" s="4">
        <v>126.98</v>
      </c>
      <c r="C955" s="3">
        <v>41976.0</v>
      </c>
      <c r="D955" s="4">
        <v>24.61</v>
      </c>
      <c r="E955" s="3">
        <v>42076.0</v>
      </c>
      <c r="F955" s="4">
        <v>112.7</v>
      </c>
      <c r="G955" s="3">
        <v>42074.0</v>
      </c>
      <c r="H955" s="4">
        <v>130.77</v>
      </c>
      <c r="I955" s="3">
        <v>42074.0</v>
      </c>
      <c r="J955" s="4">
        <v>136.1</v>
      </c>
      <c r="K955" s="3">
        <v>42061.0</v>
      </c>
      <c r="L955" s="4">
        <v>1419.5602</v>
      </c>
    </row>
    <row r="956">
      <c r="A956" s="3">
        <v>42065.0</v>
      </c>
      <c r="B956" s="4">
        <v>127.31</v>
      </c>
      <c r="C956" s="3">
        <v>41975.0</v>
      </c>
      <c r="D956" s="4">
        <v>24.59</v>
      </c>
      <c r="E956" s="3">
        <v>42075.0</v>
      </c>
      <c r="F956" s="4">
        <v>112.79</v>
      </c>
      <c r="G956" s="3">
        <v>42073.0</v>
      </c>
      <c r="H956" s="4">
        <v>130.48</v>
      </c>
      <c r="I956" s="3">
        <v>42073.0</v>
      </c>
      <c r="J956" s="4">
        <v>136.37</v>
      </c>
      <c r="K956" s="3">
        <v>42060.0</v>
      </c>
      <c r="L956" s="4">
        <v>1418.491</v>
      </c>
    </row>
    <row r="957">
      <c r="A957" s="3">
        <v>42062.0</v>
      </c>
      <c r="B957" s="4">
        <v>127.32</v>
      </c>
      <c r="C957" s="3">
        <v>41974.0</v>
      </c>
      <c r="D957" s="4">
        <v>24.58</v>
      </c>
      <c r="E957" s="3">
        <v>42074.0</v>
      </c>
      <c r="F957" s="4">
        <v>112.79</v>
      </c>
      <c r="G957" s="3">
        <v>42072.0</v>
      </c>
      <c r="H957" s="4">
        <v>129.91</v>
      </c>
      <c r="I957" s="3">
        <v>42072.0</v>
      </c>
      <c r="J957" s="4">
        <v>136.43</v>
      </c>
      <c r="K957" s="3">
        <v>42059.0</v>
      </c>
      <c r="L957" s="4">
        <v>1415.9606</v>
      </c>
    </row>
    <row r="958">
      <c r="A958" s="3">
        <v>42061.0</v>
      </c>
      <c r="B958" s="4">
        <v>127.26</v>
      </c>
      <c r="C958" s="3">
        <v>41971.0</v>
      </c>
      <c r="D958" s="4">
        <v>24.58</v>
      </c>
      <c r="E958" s="3">
        <v>42073.0</v>
      </c>
      <c r="F958" s="4">
        <v>112.8</v>
      </c>
      <c r="G958" s="3">
        <v>42069.0</v>
      </c>
      <c r="H958" s="4">
        <v>129.94</v>
      </c>
      <c r="I958" s="3">
        <v>42069.0</v>
      </c>
      <c r="J958" s="4">
        <v>136.72</v>
      </c>
      <c r="K958" s="3">
        <v>42058.0</v>
      </c>
      <c r="L958" s="4">
        <v>1416.6852</v>
      </c>
    </row>
    <row r="959">
      <c r="A959" s="3">
        <v>42060.0</v>
      </c>
      <c r="B959" s="4">
        <v>126.98</v>
      </c>
      <c r="C959" s="3">
        <v>41970.0</v>
      </c>
      <c r="D959" s="4">
        <v>24.58</v>
      </c>
      <c r="E959" s="3">
        <v>42072.0</v>
      </c>
      <c r="F959" s="4">
        <v>112.81</v>
      </c>
      <c r="G959" s="3">
        <v>42068.0</v>
      </c>
      <c r="H959" s="4">
        <v>129.28</v>
      </c>
      <c r="I959" s="3">
        <v>42068.0</v>
      </c>
      <c r="J959" s="4">
        <v>136.42</v>
      </c>
      <c r="K959" s="3">
        <v>42055.0</v>
      </c>
      <c r="L959" s="4">
        <v>1414.1771</v>
      </c>
    </row>
    <row r="960">
      <c r="A960" s="3">
        <v>42059.0</v>
      </c>
      <c r="B960" s="4">
        <v>127.06</v>
      </c>
      <c r="C960" s="3">
        <v>41969.0</v>
      </c>
      <c r="D960" s="4">
        <v>24.58</v>
      </c>
      <c r="E960" s="3">
        <v>42069.0</v>
      </c>
      <c r="F960" s="4">
        <v>112.78</v>
      </c>
      <c r="G960" s="3">
        <v>42067.0</v>
      </c>
      <c r="H960" s="4">
        <v>128.94</v>
      </c>
      <c r="I960" s="3">
        <v>42067.0</v>
      </c>
      <c r="J960" s="4">
        <v>136.02</v>
      </c>
      <c r="K960" s="3">
        <v>42054.0</v>
      </c>
      <c r="L960" s="4">
        <v>1411.8345</v>
      </c>
    </row>
    <row r="961">
      <c r="A961" s="3">
        <v>42058.0</v>
      </c>
      <c r="B961" s="4">
        <v>126.69</v>
      </c>
      <c r="C961" s="3">
        <v>41968.0</v>
      </c>
      <c r="D961" s="4">
        <v>24.58</v>
      </c>
      <c r="E961" s="3">
        <v>42068.0</v>
      </c>
      <c r="F961" s="4">
        <v>112.77</v>
      </c>
      <c r="G961" s="3">
        <v>42066.0</v>
      </c>
      <c r="H961" s="4">
        <v>129.47</v>
      </c>
      <c r="I961" s="3">
        <v>42066.0</v>
      </c>
      <c r="J961" s="4">
        <v>136.6</v>
      </c>
      <c r="K961" s="3">
        <v>42053.0</v>
      </c>
      <c r="L961" s="4">
        <v>1410.2717</v>
      </c>
    </row>
    <row r="962">
      <c r="A962" s="3">
        <v>42055.0</v>
      </c>
      <c r="B962" s="4">
        <v>126.37</v>
      </c>
      <c r="C962" s="3">
        <v>41967.0</v>
      </c>
      <c r="D962" s="4">
        <v>24.6</v>
      </c>
      <c r="E962" s="3">
        <v>42067.0</v>
      </c>
      <c r="F962" s="4">
        <v>112.76</v>
      </c>
      <c r="G962" s="3">
        <v>42065.0</v>
      </c>
      <c r="H962" s="4">
        <v>129.53999</v>
      </c>
      <c r="I962" s="3">
        <v>42065.0</v>
      </c>
      <c r="J962" s="4">
        <v>136.59</v>
      </c>
      <c r="K962" s="3">
        <v>42052.0</v>
      </c>
      <c r="L962" s="4">
        <v>1416.4393</v>
      </c>
    </row>
    <row r="963">
      <c r="A963" s="3">
        <v>42054.0</v>
      </c>
      <c r="B963" s="4">
        <v>126.34</v>
      </c>
      <c r="C963" s="3">
        <v>41964.0</v>
      </c>
      <c r="D963" s="4">
        <v>24.61</v>
      </c>
      <c r="E963" s="3">
        <v>42066.0</v>
      </c>
      <c r="F963" s="4">
        <v>112.75</v>
      </c>
      <c r="G963" s="3">
        <v>42062.0</v>
      </c>
      <c r="H963" s="4">
        <v>129.39</v>
      </c>
      <c r="I963" s="3">
        <v>42062.0</v>
      </c>
      <c r="J963" s="4">
        <v>136.64</v>
      </c>
      <c r="K963" s="3">
        <v>42051.0</v>
      </c>
      <c r="L963" s="4">
        <v>1409.1397</v>
      </c>
    </row>
    <row r="964">
      <c r="A964" s="3">
        <v>42053.0</v>
      </c>
      <c r="B964" s="4">
        <v>126.05</v>
      </c>
      <c r="C964" s="3">
        <v>41963.0</v>
      </c>
      <c r="D964" s="4">
        <v>24.57</v>
      </c>
      <c r="E964" s="3">
        <v>42065.0</v>
      </c>
      <c r="F964" s="4">
        <v>112.75</v>
      </c>
      <c r="G964" s="3">
        <v>42061.0</v>
      </c>
      <c r="H964" s="4">
        <v>128.72</v>
      </c>
      <c r="I964" s="3">
        <v>42061.0</v>
      </c>
      <c r="J964" s="4">
        <v>136.07</v>
      </c>
      <c r="K964" s="3">
        <v>42048.0</v>
      </c>
      <c r="L964" s="4">
        <v>1404.7764</v>
      </c>
    </row>
    <row r="965">
      <c r="A965" s="3">
        <v>42052.0</v>
      </c>
      <c r="B965" s="4">
        <v>125.8</v>
      </c>
      <c r="C965" s="3">
        <v>41962.0</v>
      </c>
      <c r="D965" s="4">
        <v>24.57</v>
      </c>
      <c r="E965" s="3">
        <v>42062.0</v>
      </c>
      <c r="F965" s="4">
        <v>112.71</v>
      </c>
      <c r="G965" s="3">
        <v>42060.0</v>
      </c>
      <c r="H965" s="4">
        <v>128.39999</v>
      </c>
      <c r="I965" s="3">
        <v>42060.0</v>
      </c>
      <c r="J965" s="4">
        <v>135.95</v>
      </c>
      <c r="K965" s="3">
        <v>42047.0</v>
      </c>
      <c r="L965" s="4">
        <v>1396.6436</v>
      </c>
    </row>
    <row r="966">
      <c r="A966" s="3">
        <v>42051.0</v>
      </c>
      <c r="B966" s="4">
        <v>125.83</v>
      </c>
      <c r="C966" s="3">
        <v>41961.0</v>
      </c>
      <c r="D966" s="4">
        <v>24.59</v>
      </c>
      <c r="E966" s="3">
        <v>42061.0</v>
      </c>
      <c r="F966" s="4">
        <v>112.7</v>
      </c>
      <c r="G966" s="3">
        <v>42059.0</v>
      </c>
      <c r="H966" s="4">
        <v>128.02</v>
      </c>
      <c r="I966" s="3">
        <v>42059.0</v>
      </c>
      <c r="J966" s="4">
        <v>135.54</v>
      </c>
      <c r="K966" s="3">
        <v>42046.0</v>
      </c>
      <c r="L966" s="4">
        <v>1396.5779</v>
      </c>
    </row>
    <row r="967">
      <c r="A967" s="3">
        <v>42048.0</v>
      </c>
      <c r="B967" s="4">
        <v>125.94</v>
      </c>
      <c r="C967" s="3">
        <v>41960.0</v>
      </c>
      <c r="D967" s="4">
        <v>24.6</v>
      </c>
      <c r="E967" s="3">
        <v>42060.0</v>
      </c>
      <c r="F967" s="4">
        <v>112.68</v>
      </c>
      <c r="G967" s="3">
        <v>42058.0</v>
      </c>
      <c r="H967" s="4">
        <v>127.66</v>
      </c>
      <c r="I967" s="3">
        <v>42058.0</v>
      </c>
      <c r="J967" s="4">
        <v>135.32</v>
      </c>
      <c r="K967" s="3">
        <v>42045.0</v>
      </c>
      <c r="L967" s="4">
        <v>1392.7852</v>
      </c>
    </row>
    <row r="968">
      <c r="A968" s="3">
        <v>42047.0</v>
      </c>
      <c r="B968" s="4">
        <v>125.52</v>
      </c>
      <c r="C968" s="3">
        <v>41957.0</v>
      </c>
      <c r="D968" s="4">
        <v>24.59</v>
      </c>
      <c r="E968" s="3">
        <v>42059.0</v>
      </c>
      <c r="F968" s="4">
        <v>112.67</v>
      </c>
      <c r="G968" s="3">
        <v>42055.0</v>
      </c>
      <c r="H968" s="4">
        <v>127.35</v>
      </c>
      <c r="I968" s="3">
        <v>42055.0</v>
      </c>
      <c r="J968" s="4">
        <v>134.93</v>
      </c>
      <c r="K968" s="3">
        <v>42044.0</v>
      </c>
      <c r="L968" s="4">
        <v>1398.1108</v>
      </c>
    </row>
    <row r="969">
      <c r="A969" s="3">
        <v>42046.0</v>
      </c>
      <c r="B969" s="4">
        <v>125.05</v>
      </c>
      <c r="C969" s="3">
        <v>41956.0</v>
      </c>
      <c r="D969" s="4">
        <v>24.6</v>
      </c>
      <c r="E969" s="3">
        <v>42058.0</v>
      </c>
      <c r="F969" s="4">
        <v>112.63</v>
      </c>
      <c r="G969" s="3">
        <v>42054.0</v>
      </c>
      <c r="H969" s="4">
        <v>127.06</v>
      </c>
      <c r="I969" s="3">
        <v>42054.0</v>
      </c>
      <c r="J969" s="4">
        <v>135.12</v>
      </c>
      <c r="K969" s="3">
        <v>42041.0</v>
      </c>
      <c r="L969" s="4">
        <v>1398.8556</v>
      </c>
    </row>
    <row r="970">
      <c r="A970" s="3">
        <v>42045.0</v>
      </c>
      <c r="B970" s="4">
        <v>125.29</v>
      </c>
      <c r="C970" s="3">
        <v>41955.0</v>
      </c>
      <c r="D970" s="4">
        <v>24.6</v>
      </c>
      <c r="E970" s="3">
        <v>42055.0</v>
      </c>
      <c r="F970" s="4">
        <v>112.59</v>
      </c>
      <c r="G970" s="3">
        <v>42053.0</v>
      </c>
      <c r="H970" s="4">
        <v>126.74</v>
      </c>
      <c r="I970" s="3">
        <v>42053.0</v>
      </c>
      <c r="J970" s="4">
        <v>134.85</v>
      </c>
      <c r="K970" s="3">
        <v>42040.0</v>
      </c>
      <c r="L970" s="4">
        <v>1394.4133</v>
      </c>
    </row>
    <row r="971">
      <c r="A971" s="3">
        <v>42044.0</v>
      </c>
      <c r="B971" s="4">
        <v>125.04</v>
      </c>
      <c r="C971" s="3">
        <v>41954.0</v>
      </c>
      <c r="D971" s="4">
        <v>24.61</v>
      </c>
      <c r="E971" s="3">
        <v>42054.0</v>
      </c>
      <c r="F971" s="4">
        <v>112.56</v>
      </c>
      <c r="G971" s="3">
        <v>42052.0</v>
      </c>
      <c r="H971" s="4">
        <v>127.17</v>
      </c>
      <c r="I971" s="3">
        <v>42052.0</v>
      </c>
      <c r="J971" s="4">
        <v>134.92</v>
      </c>
      <c r="K971" s="3">
        <v>42039.0</v>
      </c>
      <c r="L971" s="4">
        <v>1395.3948</v>
      </c>
    </row>
    <row r="972">
      <c r="A972" s="3">
        <v>42041.0</v>
      </c>
      <c r="B972" s="4">
        <v>125.46</v>
      </c>
      <c r="C972" s="3">
        <v>41953.0</v>
      </c>
      <c r="D972" s="4">
        <v>24.6</v>
      </c>
      <c r="E972" s="3">
        <v>42053.0</v>
      </c>
      <c r="F972" s="4">
        <v>112.55</v>
      </c>
      <c r="G972" s="3">
        <v>42051.0</v>
      </c>
      <c r="H972" s="4">
        <v>127.39</v>
      </c>
      <c r="I972" s="3">
        <v>42051.0</v>
      </c>
      <c r="J972" s="4">
        <v>134.93</v>
      </c>
      <c r="K972" s="3">
        <v>42038.0</v>
      </c>
      <c r="L972" s="4">
        <v>1388.0237</v>
      </c>
    </row>
    <row r="973">
      <c r="A973" s="3">
        <v>42040.0</v>
      </c>
      <c r="B973" s="4">
        <v>125.52</v>
      </c>
      <c r="C973" s="3">
        <v>41950.0</v>
      </c>
      <c r="D973" s="4">
        <v>24.59</v>
      </c>
      <c r="E973" s="3">
        <v>42052.0</v>
      </c>
      <c r="F973" s="4">
        <v>112.54</v>
      </c>
      <c r="G973" s="3">
        <v>42048.0</v>
      </c>
      <c r="H973" s="4">
        <v>127.13</v>
      </c>
      <c r="I973" s="3">
        <v>42048.0</v>
      </c>
      <c r="J973" s="4">
        <v>134.76</v>
      </c>
      <c r="K973" s="3">
        <v>42037.0</v>
      </c>
      <c r="L973" s="4">
        <v>1386.0518</v>
      </c>
    </row>
    <row r="974">
      <c r="A974" s="3">
        <v>42039.0</v>
      </c>
      <c r="B974" s="4">
        <v>125.32</v>
      </c>
      <c r="C974" s="3">
        <v>41949.0</v>
      </c>
      <c r="D974" s="4">
        <v>24.6</v>
      </c>
      <c r="E974" s="3">
        <v>42051.0</v>
      </c>
      <c r="F974" s="4">
        <v>112.56</v>
      </c>
      <c r="G974" s="3">
        <v>42047.0</v>
      </c>
      <c r="H974" s="4">
        <v>126.18</v>
      </c>
      <c r="I974" s="3">
        <v>42047.0</v>
      </c>
      <c r="J974" s="4">
        <v>134.59</v>
      </c>
      <c r="K974" s="3">
        <v>42034.0</v>
      </c>
      <c r="L974" s="4">
        <v>1391.4165</v>
      </c>
    </row>
    <row r="975">
      <c r="A975" s="3">
        <v>42038.0</v>
      </c>
      <c r="B975" s="4">
        <v>125.14</v>
      </c>
      <c r="C975" s="3">
        <v>41948.0</v>
      </c>
      <c r="D975" s="4">
        <v>24.58</v>
      </c>
      <c r="E975" s="3">
        <v>42048.0</v>
      </c>
      <c r="F975" s="4">
        <v>112.54</v>
      </c>
      <c r="G975" s="3">
        <v>42046.0</v>
      </c>
      <c r="H975" s="4">
        <v>126.07</v>
      </c>
      <c r="I975" s="3">
        <v>42046.0</v>
      </c>
      <c r="J975" s="4">
        <v>134.66</v>
      </c>
      <c r="K975" s="3">
        <v>42033.0</v>
      </c>
      <c r="L975" s="4">
        <v>1389.0606</v>
      </c>
    </row>
    <row r="976">
      <c r="A976" s="3">
        <v>42037.0</v>
      </c>
      <c r="B976" s="4">
        <v>124.6</v>
      </c>
      <c r="C976" s="3">
        <v>41947.0</v>
      </c>
      <c r="D976" s="4">
        <v>24.57</v>
      </c>
      <c r="E976" s="3">
        <v>42047.0</v>
      </c>
      <c r="F976" s="4">
        <v>112.47</v>
      </c>
      <c r="G976" s="3">
        <v>42045.0</v>
      </c>
      <c r="H976" s="4">
        <v>126.02</v>
      </c>
      <c r="I976" s="3">
        <v>42045.0</v>
      </c>
      <c r="J976" s="4">
        <v>134.46</v>
      </c>
      <c r="K976" s="3">
        <v>42032.0</v>
      </c>
      <c r="L976" s="4">
        <v>1393.2924</v>
      </c>
    </row>
    <row r="977">
      <c r="A977" s="3">
        <v>42034.0</v>
      </c>
      <c r="B977" s="4">
        <v>124.37</v>
      </c>
      <c r="C977" s="3">
        <v>41946.0</v>
      </c>
      <c r="D977" s="4">
        <v>24.59</v>
      </c>
      <c r="E977" s="3">
        <v>42046.0</v>
      </c>
      <c r="F977" s="4">
        <v>112.48</v>
      </c>
      <c r="G977" s="3">
        <v>42044.0</v>
      </c>
      <c r="H977" s="4">
        <v>126.63</v>
      </c>
      <c r="I977" s="3">
        <v>42044.0</v>
      </c>
      <c r="J977" s="4">
        <v>134.67</v>
      </c>
      <c r="K977" s="3">
        <v>42031.0</v>
      </c>
      <c r="L977" s="4">
        <v>1399.7239</v>
      </c>
    </row>
    <row r="978">
      <c r="A978" s="3">
        <v>42033.0</v>
      </c>
      <c r="B978" s="4">
        <v>124.54</v>
      </c>
      <c r="C978" s="3">
        <v>41943.0</v>
      </c>
      <c r="D978" s="4">
        <v>24.59</v>
      </c>
      <c r="E978" s="3">
        <v>42045.0</v>
      </c>
      <c r="F978" s="4">
        <v>112.51</v>
      </c>
      <c r="G978" s="3">
        <v>42041.0</v>
      </c>
      <c r="H978" s="4">
        <v>127.0</v>
      </c>
      <c r="I978" s="3">
        <v>42041.0</v>
      </c>
      <c r="J978" s="4">
        <v>134.82</v>
      </c>
      <c r="K978" s="3">
        <v>42030.0</v>
      </c>
      <c r="L978" s="4">
        <v>1393.6097</v>
      </c>
    </row>
    <row r="979">
      <c r="A979" s="3">
        <v>42032.0</v>
      </c>
      <c r="B979" s="4">
        <v>124.35</v>
      </c>
      <c r="C979" s="3">
        <v>41942.0</v>
      </c>
      <c r="D979" s="4">
        <v>24.56</v>
      </c>
      <c r="E979" s="3">
        <v>42044.0</v>
      </c>
      <c r="F979" s="4">
        <v>112.49</v>
      </c>
      <c r="G979" s="3">
        <v>42040.0</v>
      </c>
      <c r="H979" s="4">
        <v>126.97</v>
      </c>
      <c r="I979" s="3">
        <v>42040.0</v>
      </c>
      <c r="J979" s="4">
        <v>134.65</v>
      </c>
      <c r="K979" s="3">
        <v>42027.0</v>
      </c>
      <c r="L979" s="4">
        <v>1390.0856</v>
      </c>
    </row>
    <row r="980">
      <c r="A980" s="3">
        <v>42031.0</v>
      </c>
      <c r="B980" s="4">
        <v>124.33</v>
      </c>
      <c r="C980" s="3">
        <v>41941.0</v>
      </c>
      <c r="D980" s="4">
        <v>24.52</v>
      </c>
      <c r="E980" s="3">
        <v>42041.0</v>
      </c>
      <c r="F980" s="4">
        <v>112.47</v>
      </c>
      <c r="G980" s="3">
        <v>42039.0</v>
      </c>
      <c r="H980" s="4">
        <v>127.17</v>
      </c>
      <c r="I980" s="3">
        <v>42039.0</v>
      </c>
      <c r="J980" s="4">
        <v>134.9</v>
      </c>
      <c r="K980" s="3">
        <v>42026.0</v>
      </c>
      <c r="L980" s="4">
        <v>1380.8667</v>
      </c>
    </row>
    <row r="981">
      <c r="A981" s="3">
        <v>42030.0</v>
      </c>
      <c r="B981" s="4">
        <v>124.78</v>
      </c>
      <c r="C981" s="3">
        <v>41940.0</v>
      </c>
      <c r="D981" s="4">
        <v>24.52</v>
      </c>
      <c r="E981" s="3">
        <v>42040.0</v>
      </c>
      <c r="F981" s="4">
        <v>112.48</v>
      </c>
      <c r="G981" s="3">
        <v>42038.0</v>
      </c>
      <c r="H981" s="4">
        <v>126.92</v>
      </c>
      <c r="I981" s="3">
        <v>42038.0</v>
      </c>
      <c r="J981" s="4">
        <v>134.82</v>
      </c>
      <c r="K981" s="3">
        <v>42025.0</v>
      </c>
      <c r="L981" s="4">
        <v>1378.158</v>
      </c>
    </row>
    <row r="982">
      <c r="A982" s="3">
        <v>42027.0</v>
      </c>
      <c r="B982" s="4">
        <v>124.41</v>
      </c>
      <c r="C982" s="3">
        <v>41939.0</v>
      </c>
      <c r="D982" s="4">
        <v>24.52</v>
      </c>
      <c r="E982" s="3">
        <v>42039.0</v>
      </c>
      <c r="F982" s="4">
        <v>112.48</v>
      </c>
      <c r="G982" s="3">
        <v>42037.0</v>
      </c>
      <c r="H982" s="4">
        <v>126.31</v>
      </c>
      <c r="I982" s="3">
        <v>42037.0</v>
      </c>
      <c r="J982" s="4">
        <v>134.42</v>
      </c>
      <c r="K982" s="3">
        <v>42024.0</v>
      </c>
      <c r="L982" s="4">
        <v>1375.5247</v>
      </c>
    </row>
    <row r="983">
      <c r="A983" s="3">
        <v>42026.0</v>
      </c>
      <c r="B983" s="4">
        <v>123.63</v>
      </c>
      <c r="C983" s="3">
        <v>41936.0</v>
      </c>
      <c r="D983" s="4">
        <v>24.54</v>
      </c>
      <c r="E983" s="3">
        <v>42038.0</v>
      </c>
      <c r="F983" s="4">
        <v>112.5</v>
      </c>
      <c r="G983" s="3">
        <v>42034.0</v>
      </c>
      <c r="H983" s="4">
        <v>126.21</v>
      </c>
      <c r="I983" s="3">
        <v>42034.0</v>
      </c>
      <c r="J983" s="4">
        <v>134.27</v>
      </c>
      <c r="K983" s="3">
        <v>42023.0</v>
      </c>
      <c r="L983" s="4">
        <v>1372.5122</v>
      </c>
    </row>
    <row r="984">
      <c r="A984" s="3">
        <v>42025.0</v>
      </c>
      <c r="B984" s="4">
        <v>123.1</v>
      </c>
      <c r="C984" s="3">
        <v>41935.0</v>
      </c>
      <c r="D984" s="4">
        <v>24.54</v>
      </c>
      <c r="E984" s="3">
        <v>42037.0</v>
      </c>
      <c r="F984" s="4">
        <v>112.48</v>
      </c>
      <c r="G984" s="3">
        <v>42033.0</v>
      </c>
      <c r="H984" s="4">
        <v>126.04</v>
      </c>
      <c r="I984" s="3">
        <v>42033.0</v>
      </c>
      <c r="J984" s="4">
        <v>133.93</v>
      </c>
      <c r="K984" s="3">
        <v>42020.0</v>
      </c>
      <c r="L984" s="4">
        <v>1366.8561</v>
      </c>
    </row>
    <row r="985">
      <c r="A985" s="3">
        <v>42024.0</v>
      </c>
      <c r="B985" s="4">
        <v>122.73</v>
      </c>
      <c r="C985" s="3">
        <v>41934.0</v>
      </c>
      <c r="D985" s="4">
        <v>24.54</v>
      </c>
      <c r="E985" s="3">
        <v>42034.0</v>
      </c>
      <c r="F985" s="4">
        <v>112.46</v>
      </c>
      <c r="G985" s="3">
        <v>42032.0</v>
      </c>
      <c r="H985" s="4">
        <v>125.65</v>
      </c>
      <c r="I985" s="3">
        <v>42032.0</v>
      </c>
      <c r="J985" s="4">
        <v>134.07</v>
      </c>
      <c r="K985" s="3">
        <v>42019.0</v>
      </c>
      <c r="L985" s="4">
        <v>1371.9418</v>
      </c>
    </row>
    <row r="986">
      <c r="A986" s="3">
        <v>42023.0</v>
      </c>
      <c r="B986" s="4">
        <v>122.39</v>
      </c>
      <c r="C986" s="3">
        <v>41933.0</v>
      </c>
      <c r="D986" s="4">
        <v>24.51</v>
      </c>
      <c r="E986" s="3">
        <v>42033.0</v>
      </c>
      <c r="F986" s="4">
        <v>112.42</v>
      </c>
      <c r="G986" s="3">
        <v>42031.0</v>
      </c>
      <c r="H986" s="4">
        <v>126.38</v>
      </c>
      <c r="I986" s="3">
        <v>42031.0</v>
      </c>
      <c r="J986" s="4">
        <v>134.68</v>
      </c>
      <c r="K986" s="3">
        <v>42018.0</v>
      </c>
      <c r="L986" s="4">
        <v>1374.2325</v>
      </c>
    </row>
    <row r="987">
      <c r="A987" s="3">
        <v>42020.0</v>
      </c>
      <c r="B987" s="4">
        <v>122.12</v>
      </c>
      <c r="C987" s="3">
        <v>41932.0</v>
      </c>
      <c r="D987" s="4">
        <v>24.49</v>
      </c>
      <c r="E987" s="3">
        <v>42032.0</v>
      </c>
      <c r="F987" s="4">
        <v>112.53</v>
      </c>
      <c r="G987" s="3">
        <v>42030.0</v>
      </c>
      <c r="H987" s="4">
        <v>126.0</v>
      </c>
      <c r="I987" s="3">
        <v>42030.0</v>
      </c>
      <c r="J987" s="4">
        <v>134.58</v>
      </c>
      <c r="K987" s="3">
        <v>42017.0</v>
      </c>
      <c r="L987" s="4">
        <v>1373.5571</v>
      </c>
    </row>
    <row r="988">
      <c r="A988" s="3">
        <v>42019.0</v>
      </c>
      <c r="B988" s="4">
        <v>121.72</v>
      </c>
      <c r="C988" s="3">
        <v>41929.0</v>
      </c>
      <c r="D988" s="4">
        <v>24.49</v>
      </c>
      <c r="E988" s="3">
        <v>42031.0</v>
      </c>
      <c r="F988" s="4">
        <v>112.52</v>
      </c>
      <c r="G988" s="3">
        <v>42027.0</v>
      </c>
      <c r="H988" s="4">
        <v>124.46</v>
      </c>
      <c r="I988" s="3">
        <v>42027.0</v>
      </c>
      <c r="J988" s="4">
        <v>133.52</v>
      </c>
      <c r="K988" s="3">
        <v>42016.0</v>
      </c>
      <c r="L988" s="4">
        <v>1374.4652</v>
      </c>
    </row>
    <row r="989">
      <c r="A989" s="3">
        <v>42018.0</v>
      </c>
      <c r="B989" s="4">
        <v>121.24</v>
      </c>
      <c r="C989" s="3">
        <v>41928.0</v>
      </c>
      <c r="D989" s="4">
        <v>24.48</v>
      </c>
      <c r="E989" s="3">
        <v>42030.0</v>
      </c>
      <c r="F989" s="4">
        <v>112.53</v>
      </c>
      <c r="G989" s="3">
        <v>42026.0</v>
      </c>
      <c r="H989" s="4">
        <v>123.28</v>
      </c>
      <c r="I989" s="3">
        <v>42026.0</v>
      </c>
      <c r="J989" s="4">
        <v>132.56</v>
      </c>
      <c r="K989" s="3">
        <v>42013.0</v>
      </c>
      <c r="L989" s="4">
        <v>1377.7803</v>
      </c>
    </row>
    <row r="990">
      <c r="A990" s="3">
        <v>42017.0</v>
      </c>
      <c r="B990" s="4">
        <v>121.87</v>
      </c>
      <c r="C990" s="3">
        <v>41927.0</v>
      </c>
      <c r="D990" s="4">
        <v>24.5</v>
      </c>
      <c r="E990" s="3">
        <v>42027.0</v>
      </c>
      <c r="F990" s="4">
        <v>112.5</v>
      </c>
      <c r="G990" s="3">
        <v>42025.0</v>
      </c>
      <c r="H990" s="4">
        <v>123.44</v>
      </c>
      <c r="I990" s="3">
        <v>42025.0</v>
      </c>
      <c r="J990" s="4">
        <v>132.64</v>
      </c>
      <c r="K990" s="3">
        <v>42012.0</v>
      </c>
      <c r="L990" s="4">
        <v>1367.692</v>
      </c>
    </row>
    <row r="991">
      <c r="A991" s="3">
        <v>42016.0</v>
      </c>
      <c r="B991" s="4">
        <v>121.55</v>
      </c>
      <c r="C991" s="3">
        <v>41926.0</v>
      </c>
      <c r="D991" s="4">
        <v>24.53</v>
      </c>
      <c r="E991" s="3">
        <v>42026.0</v>
      </c>
      <c r="F991" s="4">
        <v>112.49</v>
      </c>
      <c r="G991" s="3">
        <v>42024.0</v>
      </c>
      <c r="H991" s="4">
        <v>123.49</v>
      </c>
      <c r="I991" s="3">
        <v>42024.0</v>
      </c>
      <c r="J991" s="4">
        <v>132.56</v>
      </c>
      <c r="K991" s="3">
        <v>42011.0</v>
      </c>
      <c r="L991" s="4">
        <v>1362.1461</v>
      </c>
    </row>
    <row r="992">
      <c r="A992" s="3">
        <v>42013.0</v>
      </c>
      <c r="B992" s="4">
        <v>121.23</v>
      </c>
      <c r="C992" s="3">
        <v>41925.0</v>
      </c>
      <c r="D992" s="4">
        <v>24.54</v>
      </c>
      <c r="E992" s="3">
        <v>42025.0</v>
      </c>
      <c r="F992" s="4">
        <v>112.44</v>
      </c>
      <c r="G992" s="3">
        <v>42023.0</v>
      </c>
      <c r="H992" s="4">
        <v>123.09</v>
      </c>
      <c r="I992" s="3">
        <v>42023.0</v>
      </c>
      <c r="J992" s="4">
        <v>132.71</v>
      </c>
      <c r="K992" s="3">
        <v>42010.0</v>
      </c>
      <c r="L992" s="4">
        <v>1365.5316</v>
      </c>
    </row>
    <row r="993">
      <c r="A993" s="3">
        <v>42012.0</v>
      </c>
      <c r="B993" s="4">
        <v>121.62</v>
      </c>
      <c r="C993" s="3">
        <v>41922.0</v>
      </c>
      <c r="D993" s="4">
        <v>24.55</v>
      </c>
      <c r="E993" s="3">
        <v>42024.0</v>
      </c>
      <c r="F993" s="4">
        <v>112.4</v>
      </c>
      <c r="G993" s="3">
        <v>42020.0</v>
      </c>
      <c r="H993" s="4">
        <v>122.09</v>
      </c>
      <c r="I993" s="3">
        <v>42020.0</v>
      </c>
      <c r="J993" s="4">
        <v>132.69</v>
      </c>
      <c r="K993" s="3">
        <v>42009.0</v>
      </c>
      <c r="L993" s="4">
        <v>1374.6865</v>
      </c>
    </row>
    <row r="994">
      <c r="A994" s="3">
        <v>42011.0</v>
      </c>
      <c r="B994" s="4">
        <v>120.89</v>
      </c>
      <c r="C994" s="3">
        <v>41921.0</v>
      </c>
      <c r="D994" s="4">
        <v>24.54</v>
      </c>
      <c r="E994" s="3">
        <v>42023.0</v>
      </c>
      <c r="F994" s="4">
        <v>112.35</v>
      </c>
      <c r="G994" s="3">
        <v>42019.0</v>
      </c>
      <c r="H994" s="4">
        <v>121.12</v>
      </c>
      <c r="I994" s="3">
        <v>42019.0</v>
      </c>
      <c r="J994" s="4">
        <v>133.21</v>
      </c>
      <c r="K994" s="3">
        <v>42006.0</v>
      </c>
      <c r="L994" s="4">
        <v>1375.8154</v>
      </c>
    </row>
    <row r="995">
      <c r="A995" s="3">
        <v>42010.0</v>
      </c>
      <c r="B995" s="4">
        <v>120.82</v>
      </c>
      <c r="C995" s="3">
        <v>41920.0</v>
      </c>
      <c r="D995" s="4">
        <v>24.53</v>
      </c>
      <c r="E995" s="3">
        <v>42020.0</v>
      </c>
      <c r="F995" s="4">
        <v>112.33</v>
      </c>
      <c r="G995" s="3">
        <v>42018.0</v>
      </c>
      <c r="H995" s="4">
        <v>121.29</v>
      </c>
      <c r="I995" s="3">
        <v>42018.0</v>
      </c>
      <c r="J995" s="4">
        <v>133.52</v>
      </c>
      <c r="K995" s="3">
        <v>42004.0</v>
      </c>
      <c r="L995" s="4">
        <v>1376.5746</v>
      </c>
    </row>
    <row r="996">
      <c r="A996" s="3">
        <v>42009.0</v>
      </c>
      <c r="B996" s="4">
        <v>120.98</v>
      </c>
      <c r="C996" s="3">
        <v>41919.0</v>
      </c>
      <c r="D996" s="4">
        <v>24.56</v>
      </c>
      <c r="E996" s="3">
        <v>42019.0</v>
      </c>
      <c r="F996" s="4">
        <v>112.29</v>
      </c>
      <c r="G996" s="3">
        <v>42017.0</v>
      </c>
      <c r="H996" s="4">
        <v>120.51</v>
      </c>
      <c r="I996" s="3">
        <v>42017.0</v>
      </c>
      <c r="J996" s="4">
        <v>133.22</v>
      </c>
      <c r="K996" s="3">
        <v>42003.0</v>
      </c>
      <c r="L996" s="4">
        <v>1379.5378</v>
      </c>
    </row>
    <row r="997">
      <c r="A997" s="3">
        <v>42006.0</v>
      </c>
      <c r="B997" s="4">
        <v>121.63</v>
      </c>
      <c r="C997" s="3">
        <v>41918.0</v>
      </c>
      <c r="D997" s="4">
        <v>24.57</v>
      </c>
      <c r="E997" s="3">
        <v>42018.0</v>
      </c>
      <c r="F997" s="4">
        <v>112.27</v>
      </c>
      <c r="G997" s="3">
        <v>42016.0</v>
      </c>
      <c r="H997" s="4">
        <v>119.7</v>
      </c>
      <c r="I997" s="3">
        <v>42016.0</v>
      </c>
      <c r="J997" s="4">
        <v>133.14</v>
      </c>
      <c r="K997" s="3">
        <v>42002.0</v>
      </c>
      <c r="L997" s="4">
        <v>1379.4612</v>
      </c>
    </row>
    <row r="998">
      <c r="A998" s="3">
        <v>42004.0</v>
      </c>
      <c r="B998" s="4">
        <v>121.51</v>
      </c>
      <c r="C998" s="3">
        <v>41915.0</v>
      </c>
      <c r="D998" s="4">
        <v>24.58</v>
      </c>
      <c r="E998" s="3">
        <v>42017.0</v>
      </c>
      <c r="F998" s="4">
        <v>112.27</v>
      </c>
      <c r="G998" s="3">
        <v>42013.0</v>
      </c>
      <c r="H998" s="4">
        <v>120.72</v>
      </c>
      <c r="I998" s="3">
        <v>42013.0</v>
      </c>
      <c r="J998" s="4">
        <v>133.72</v>
      </c>
      <c r="K998" s="3">
        <v>41996.0</v>
      </c>
      <c r="L998" s="4">
        <v>1376.4219</v>
      </c>
    </row>
    <row r="999">
      <c r="A999" s="3">
        <v>42003.0</v>
      </c>
      <c r="B999" s="4">
        <v>121.49</v>
      </c>
      <c r="C999" s="3">
        <v>41914.0</v>
      </c>
      <c r="D999" s="4">
        <v>24.55</v>
      </c>
      <c r="E999" s="3">
        <v>42016.0</v>
      </c>
      <c r="F999" s="4">
        <v>112.26</v>
      </c>
      <c r="G999" s="3">
        <v>42012.0</v>
      </c>
      <c r="H999" s="4">
        <v>119.14</v>
      </c>
      <c r="I999" s="3">
        <v>42012.0</v>
      </c>
      <c r="J999" s="4">
        <v>132.84</v>
      </c>
      <c r="K999" s="3">
        <v>41995.0</v>
      </c>
      <c r="L999" s="4">
        <v>1373.5512</v>
      </c>
    </row>
    <row r="1000">
      <c r="A1000" s="3">
        <v>42002.0</v>
      </c>
      <c r="B1000" s="4">
        <v>121.83</v>
      </c>
      <c r="C1000" s="3">
        <v>41913.0</v>
      </c>
      <c r="D1000" s="4">
        <v>24.56</v>
      </c>
      <c r="E1000" s="3">
        <v>42013.0</v>
      </c>
      <c r="F1000" s="4">
        <v>112.21</v>
      </c>
      <c r="G1000" s="3">
        <v>42011.0</v>
      </c>
      <c r="H1000" s="4">
        <v>119.21</v>
      </c>
      <c r="I1000" s="3">
        <v>42011.0</v>
      </c>
      <c r="J1000" s="4">
        <v>132.2</v>
      </c>
      <c r="K1000" s="3">
        <v>41992.0</v>
      </c>
      <c r="L1000" s="4">
        <v>1369.3917</v>
      </c>
    </row>
    <row r="1001">
      <c r="A1001" s="3">
        <v>41996.0</v>
      </c>
      <c r="B1001" s="4">
        <v>121.87</v>
      </c>
      <c r="C1001" s="3">
        <v>41912.0</v>
      </c>
      <c r="D1001" s="4">
        <v>24.56</v>
      </c>
      <c r="E1001" s="3">
        <v>42012.0</v>
      </c>
      <c r="F1001" s="4">
        <v>112.2</v>
      </c>
      <c r="G1001" s="3">
        <v>42010.0</v>
      </c>
      <c r="H1001" s="4">
        <v>118.91</v>
      </c>
      <c r="I1001" s="3">
        <v>42010.0</v>
      </c>
      <c r="J1001" s="4">
        <v>132.48</v>
      </c>
      <c r="K1001" s="3">
        <v>41991.0</v>
      </c>
      <c r="L1001" s="4">
        <v>1355.7125</v>
      </c>
    </row>
    <row r="1002">
      <c r="A1002" s="3">
        <v>41995.0</v>
      </c>
      <c r="B1002" s="4">
        <v>121.6</v>
      </c>
      <c r="C1002" s="3">
        <v>41911.0</v>
      </c>
      <c r="D1002" s="4">
        <v>24.53</v>
      </c>
      <c r="E1002" s="3">
        <v>42011.0</v>
      </c>
      <c r="F1002" s="4">
        <v>112.19</v>
      </c>
      <c r="G1002" s="3">
        <v>42009.0</v>
      </c>
      <c r="H1002" s="4">
        <v>120.5</v>
      </c>
      <c r="I1002" s="3">
        <v>42009.0</v>
      </c>
      <c r="J1002" s="4">
        <v>132.93</v>
      </c>
      <c r="K1002" s="3">
        <v>41990.0</v>
      </c>
      <c r="L1002" s="4">
        <v>1349.1486</v>
      </c>
    </row>
    <row r="1003">
      <c r="A1003" s="3">
        <v>41992.0</v>
      </c>
      <c r="B1003" s="4">
        <v>121.43</v>
      </c>
      <c r="C1003" s="3">
        <v>41908.0</v>
      </c>
      <c r="D1003" s="4">
        <v>24.54</v>
      </c>
      <c r="E1003" s="3">
        <v>42010.0</v>
      </c>
      <c r="F1003" s="4">
        <v>112.21</v>
      </c>
      <c r="G1003" s="3">
        <v>42006.0</v>
      </c>
      <c r="H1003" s="4">
        <v>120.57</v>
      </c>
      <c r="I1003" s="3">
        <v>42006.0</v>
      </c>
      <c r="J1003" s="4">
        <v>132.85</v>
      </c>
      <c r="K1003" s="3">
        <v>41989.0</v>
      </c>
      <c r="L1003" s="4">
        <v>1351.2267</v>
      </c>
    </row>
    <row r="1004">
      <c r="A1004" s="3">
        <v>41991.0</v>
      </c>
      <c r="B1004" s="4">
        <v>121.36</v>
      </c>
      <c r="C1004" s="3">
        <v>41907.0</v>
      </c>
      <c r="D1004" s="4">
        <v>24.53</v>
      </c>
      <c r="E1004" s="3">
        <v>42009.0</v>
      </c>
      <c r="F1004" s="4">
        <v>112.28</v>
      </c>
      <c r="G1004" s="3">
        <v>42003.0</v>
      </c>
      <c r="H1004" s="4">
        <v>121.15</v>
      </c>
      <c r="I1004" s="3">
        <v>42003.0</v>
      </c>
      <c r="J1004" s="4">
        <v>133.05</v>
      </c>
      <c r="K1004" s="3">
        <v>41988.0</v>
      </c>
      <c r="L1004" s="4">
        <v>1357.3644</v>
      </c>
    </row>
    <row r="1005">
      <c r="A1005" s="3">
        <v>41990.0</v>
      </c>
      <c r="B1005" s="4">
        <v>120.69</v>
      </c>
      <c r="C1005" s="3">
        <v>41906.0</v>
      </c>
      <c r="D1005" s="4">
        <v>24.52</v>
      </c>
      <c r="E1005" s="3">
        <v>42006.0</v>
      </c>
      <c r="F1005" s="4">
        <v>112.3</v>
      </c>
      <c r="G1005" s="3">
        <v>42002.0</v>
      </c>
      <c r="H1005" s="4">
        <v>120.76</v>
      </c>
      <c r="I1005" s="3">
        <v>42002.0</v>
      </c>
      <c r="J1005" s="4">
        <v>132.64</v>
      </c>
      <c r="K1005" s="3">
        <v>41985.0</v>
      </c>
      <c r="L1005" s="4">
        <v>1364.9927</v>
      </c>
    </row>
    <row r="1006">
      <c r="A1006" s="3">
        <v>41989.0</v>
      </c>
      <c r="B1006" s="4">
        <v>120.65</v>
      </c>
      <c r="C1006" s="3">
        <v>41905.0</v>
      </c>
      <c r="D1006" s="4">
        <v>24.5</v>
      </c>
      <c r="E1006" s="3">
        <v>42004.0</v>
      </c>
      <c r="F1006" s="4">
        <v>112.24</v>
      </c>
      <c r="G1006" s="3">
        <v>41996.0</v>
      </c>
      <c r="H1006" s="4">
        <v>120.55</v>
      </c>
      <c r="I1006" s="3">
        <v>41996.0</v>
      </c>
      <c r="J1006" s="4">
        <v>132.17</v>
      </c>
      <c r="K1006" s="3">
        <v>41984.0</v>
      </c>
      <c r="L1006" s="4">
        <v>1363.3554</v>
      </c>
    </row>
    <row r="1007">
      <c r="A1007" s="3">
        <v>41988.0</v>
      </c>
      <c r="B1007" s="4">
        <v>120.65</v>
      </c>
      <c r="C1007" s="3">
        <v>41904.0</v>
      </c>
      <c r="D1007" s="4">
        <v>24.51</v>
      </c>
      <c r="E1007" s="3">
        <v>42003.0</v>
      </c>
      <c r="F1007" s="4">
        <v>112.31</v>
      </c>
      <c r="G1007" s="3">
        <v>41995.0</v>
      </c>
      <c r="H1007" s="4">
        <v>120.01</v>
      </c>
      <c r="I1007" s="3">
        <v>41995.0</v>
      </c>
      <c r="J1007" s="4">
        <v>132.14</v>
      </c>
      <c r="K1007" s="3">
        <v>41983.0</v>
      </c>
      <c r="L1007" s="4">
        <v>1369.1581</v>
      </c>
    </row>
    <row r="1008">
      <c r="A1008" s="3">
        <v>41985.0</v>
      </c>
      <c r="B1008" s="4">
        <v>121.42</v>
      </c>
      <c r="C1008" s="3">
        <v>41901.0</v>
      </c>
      <c r="D1008" s="4">
        <v>24.51</v>
      </c>
      <c r="E1008" s="3">
        <v>42002.0</v>
      </c>
      <c r="F1008" s="4">
        <v>112.3</v>
      </c>
      <c r="G1008" s="3">
        <v>41992.0</v>
      </c>
      <c r="H1008" s="4">
        <v>119.96</v>
      </c>
      <c r="I1008" s="3">
        <v>41992.0</v>
      </c>
      <c r="J1008" s="4">
        <v>132.13</v>
      </c>
      <c r="K1008" s="3">
        <v>41982.0</v>
      </c>
      <c r="L1008" s="4">
        <v>1375.0776</v>
      </c>
    </row>
    <row r="1009">
      <c r="A1009" s="3">
        <v>41984.0</v>
      </c>
      <c r="B1009" s="4">
        <v>121.96</v>
      </c>
      <c r="C1009" s="3">
        <v>41900.0</v>
      </c>
      <c r="D1009" s="4">
        <v>24.49</v>
      </c>
      <c r="E1009" s="3">
        <v>41996.0</v>
      </c>
      <c r="F1009" s="4">
        <v>112.25</v>
      </c>
      <c r="G1009" s="3">
        <v>41991.0</v>
      </c>
      <c r="H1009" s="4">
        <v>119.02</v>
      </c>
      <c r="I1009" s="3">
        <v>41991.0</v>
      </c>
      <c r="J1009" s="4">
        <v>130.96</v>
      </c>
      <c r="K1009" s="3">
        <v>41981.0</v>
      </c>
      <c r="L1009" s="4">
        <v>1378.5557</v>
      </c>
    </row>
    <row r="1010">
      <c r="A1010" s="3">
        <v>41983.0</v>
      </c>
      <c r="B1010" s="4">
        <v>122.09</v>
      </c>
      <c r="C1010" s="3">
        <v>41899.0</v>
      </c>
      <c r="D1010" s="4">
        <v>24.49</v>
      </c>
      <c r="E1010" s="3">
        <v>41995.0</v>
      </c>
      <c r="F1010" s="4">
        <v>112.25</v>
      </c>
      <c r="G1010" s="3">
        <v>41990.0</v>
      </c>
      <c r="H1010" s="4">
        <v>118.95</v>
      </c>
      <c r="I1010" s="3">
        <v>41990.0</v>
      </c>
      <c r="J1010" s="4">
        <v>130.31</v>
      </c>
      <c r="K1010" s="3">
        <v>41978.0</v>
      </c>
      <c r="L1010" s="4">
        <v>1373.7911</v>
      </c>
    </row>
    <row r="1011">
      <c r="A1011" s="3">
        <v>41982.0</v>
      </c>
      <c r="B1011" s="4">
        <v>122.18</v>
      </c>
      <c r="C1011" s="3">
        <v>41898.0</v>
      </c>
      <c r="D1011" s="4">
        <v>24.49</v>
      </c>
      <c r="E1011" s="3">
        <v>41992.0</v>
      </c>
      <c r="F1011" s="4">
        <v>112.22</v>
      </c>
      <c r="G1011" s="3">
        <v>41989.0</v>
      </c>
      <c r="H1011" s="4">
        <v>117.77</v>
      </c>
      <c r="I1011" s="3">
        <v>41989.0</v>
      </c>
      <c r="J1011" s="4">
        <v>130.45</v>
      </c>
      <c r="K1011" s="3">
        <v>41977.0</v>
      </c>
      <c r="L1011" s="4">
        <v>1375.8257</v>
      </c>
    </row>
    <row r="1012">
      <c r="A1012" s="3">
        <v>41981.0</v>
      </c>
      <c r="B1012" s="4">
        <v>122.55</v>
      </c>
      <c r="C1012" s="3">
        <v>41897.0</v>
      </c>
      <c r="D1012" s="4">
        <v>24.49</v>
      </c>
      <c r="E1012" s="3">
        <v>41991.0</v>
      </c>
      <c r="F1012" s="4">
        <v>112.09</v>
      </c>
      <c r="G1012" s="3">
        <v>41988.0</v>
      </c>
      <c r="H1012" s="4">
        <v>119.0</v>
      </c>
      <c r="I1012" s="3">
        <v>41988.0</v>
      </c>
      <c r="J1012" s="4">
        <v>130.91</v>
      </c>
      <c r="K1012" s="3">
        <v>41976.0</v>
      </c>
      <c r="L1012" s="4">
        <v>1372.4721</v>
      </c>
    </row>
    <row r="1013">
      <c r="A1013" s="3">
        <v>41978.0</v>
      </c>
      <c r="B1013" s="4">
        <v>122.68</v>
      </c>
      <c r="C1013" s="3">
        <v>41894.0</v>
      </c>
      <c r="D1013" s="4">
        <v>24.49</v>
      </c>
      <c r="E1013" s="3">
        <v>41990.0</v>
      </c>
      <c r="F1013" s="4">
        <v>112.08</v>
      </c>
      <c r="G1013" s="3">
        <v>41985.0</v>
      </c>
      <c r="H1013" s="4">
        <v>120.25</v>
      </c>
      <c r="I1013" s="3">
        <v>41985.0</v>
      </c>
      <c r="J1013" s="4">
        <v>131.86</v>
      </c>
      <c r="K1013" s="3">
        <v>41975.0</v>
      </c>
      <c r="L1013" s="4">
        <v>1372.2202</v>
      </c>
    </row>
    <row r="1014">
      <c r="A1014" s="3">
        <v>41977.0</v>
      </c>
      <c r="B1014" s="4">
        <v>122.31</v>
      </c>
      <c r="C1014" s="3">
        <v>41893.0</v>
      </c>
      <c r="D1014" s="4">
        <v>24.51</v>
      </c>
      <c r="E1014" s="3">
        <v>41989.0</v>
      </c>
      <c r="F1014" s="4">
        <v>112.08</v>
      </c>
      <c r="G1014" s="3">
        <v>41984.0</v>
      </c>
      <c r="H1014" s="4">
        <v>120.01</v>
      </c>
      <c r="I1014" s="3">
        <v>41984.0</v>
      </c>
      <c r="J1014" s="4">
        <v>131.49</v>
      </c>
      <c r="K1014" s="3">
        <v>41974.0</v>
      </c>
      <c r="L1014" s="4">
        <v>1377.1292</v>
      </c>
    </row>
    <row r="1015">
      <c r="A1015" s="3">
        <v>41976.0</v>
      </c>
      <c r="B1015" s="4">
        <v>122.45</v>
      </c>
      <c r="C1015" s="3">
        <v>41892.0</v>
      </c>
      <c r="D1015" s="4">
        <v>24.52</v>
      </c>
      <c r="E1015" s="3">
        <v>41988.0</v>
      </c>
      <c r="F1015" s="4">
        <v>112.31</v>
      </c>
      <c r="G1015" s="3">
        <v>41983.0</v>
      </c>
      <c r="H1015" s="4">
        <v>120.08</v>
      </c>
      <c r="I1015" s="3">
        <v>41983.0</v>
      </c>
      <c r="J1015" s="4">
        <v>131.72</v>
      </c>
      <c r="K1015" s="3">
        <v>41971.0</v>
      </c>
      <c r="L1015" s="4">
        <v>1377.9036</v>
      </c>
    </row>
    <row r="1016">
      <c r="A1016" s="3">
        <v>41975.0</v>
      </c>
      <c r="B1016" s="4">
        <v>122.36</v>
      </c>
      <c r="C1016" s="3">
        <v>41891.0</v>
      </c>
      <c r="D1016" s="4">
        <v>24.53</v>
      </c>
      <c r="E1016" s="3">
        <v>41985.0</v>
      </c>
      <c r="F1016" s="4">
        <v>112.38</v>
      </c>
      <c r="G1016" s="3">
        <v>41982.0</v>
      </c>
      <c r="H1016" s="4">
        <v>121.0</v>
      </c>
      <c r="I1016" s="3">
        <v>41982.0</v>
      </c>
      <c r="J1016" s="4">
        <v>132.42</v>
      </c>
      <c r="K1016" s="3">
        <v>41970.0</v>
      </c>
      <c r="L1016" s="4">
        <v>1374.9258</v>
      </c>
    </row>
    <row r="1017">
      <c r="A1017" s="3">
        <v>41974.0</v>
      </c>
      <c r="B1017" s="4">
        <v>122.24</v>
      </c>
      <c r="C1017" s="3">
        <v>41890.0</v>
      </c>
      <c r="D1017" s="4">
        <v>24.55</v>
      </c>
      <c r="E1017" s="3">
        <v>41984.0</v>
      </c>
      <c r="F1017" s="4">
        <v>112.46</v>
      </c>
      <c r="G1017" s="3">
        <v>41981.0</v>
      </c>
      <c r="H1017" s="4">
        <v>121.12</v>
      </c>
      <c r="I1017" s="3">
        <v>41981.0</v>
      </c>
      <c r="J1017" s="4">
        <v>132.72</v>
      </c>
      <c r="K1017" s="3">
        <v>41969.0</v>
      </c>
      <c r="L1017" s="4">
        <v>1374.5978</v>
      </c>
    </row>
    <row r="1018">
      <c r="A1018" s="3">
        <v>41971.0</v>
      </c>
      <c r="B1018" s="4">
        <v>122.07</v>
      </c>
      <c r="C1018" s="3">
        <v>41887.0</v>
      </c>
      <c r="D1018" s="4">
        <v>24.55</v>
      </c>
      <c r="E1018" s="3">
        <v>41983.0</v>
      </c>
      <c r="F1018" s="4">
        <v>112.51</v>
      </c>
      <c r="G1018" s="3">
        <v>41978.0</v>
      </c>
      <c r="H1018" s="4">
        <v>120.03</v>
      </c>
      <c r="I1018" s="3">
        <v>41978.0</v>
      </c>
      <c r="J1018" s="4">
        <v>131.69</v>
      </c>
      <c r="K1018" s="3">
        <v>41968.0</v>
      </c>
      <c r="L1018" s="4">
        <v>1371.0885</v>
      </c>
    </row>
    <row r="1019">
      <c r="A1019" s="3">
        <v>41970.0</v>
      </c>
      <c r="B1019" s="4">
        <v>122.06</v>
      </c>
      <c r="C1019" s="3">
        <v>41886.0</v>
      </c>
      <c r="D1019" s="4">
        <v>24.54</v>
      </c>
      <c r="E1019" s="3">
        <v>41982.0</v>
      </c>
      <c r="F1019" s="4">
        <v>112.55</v>
      </c>
      <c r="G1019" s="3">
        <v>41977.0</v>
      </c>
      <c r="H1019" s="4">
        <v>120.74</v>
      </c>
      <c r="I1019" s="3">
        <v>41977.0</v>
      </c>
      <c r="J1019" s="4">
        <v>132.25</v>
      </c>
      <c r="K1019" s="3">
        <v>41967.0</v>
      </c>
      <c r="L1019" s="4">
        <v>1367.8206</v>
      </c>
    </row>
    <row r="1020">
      <c r="A1020" s="3">
        <v>41969.0</v>
      </c>
      <c r="B1020" s="4">
        <v>121.94</v>
      </c>
      <c r="C1020" s="3">
        <v>41885.0</v>
      </c>
      <c r="D1020" s="4">
        <v>24.48</v>
      </c>
      <c r="E1020" s="3">
        <v>41981.0</v>
      </c>
      <c r="F1020" s="4">
        <v>112.6</v>
      </c>
      <c r="G1020" s="3">
        <v>41976.0</v>
      </c>
      <c r="H1020" s="4">
        <v>120.52</v>
      </c>
      <c r="I1020" s="3">
        <v>41976.0</v>
      </c>
      <c r="J1020" s="4">
        <v>132.13</v>
      </c>
      <c r="K1020" s="3">
        <v>41964.0</v>
      </c>
      <c r="L1020" s="4">
        <v>1363.0768</v>
      </c>
    </row>
    <row r="1021">
      <c r="A1021" s="3">
        <v>41968.0</v>
      </c>
      <c r="B1021" s="4">
        <v>121.9</v>
      </c>
      <c r="C1021" s="3">
        <v>41884.0</v>
      </c>
      <c r="D1021" s="4">
        <v>24.47</v>
      </c>
      <c r="E1021" s="3">
        <v>41978.0</v>
      </c>
      <c r="F1021" s="4">
        <v>112.63</v>
      </c>
      <c r="G1021" s="3">
        <v>41975.0</v>
      </c>
      <c r="H1021" s="4">
        <v>120.7</v>
      </c>
      <c r="I1021" s="3">
        <v>41975.0</v>
      </c>
      <c r="J1021" s="4">
        <v>131.96</v>
      </c>
      <c r="K1021" s="3">
        <v>41963.0</v>
      </c>
      <c r="L1021" s="4">
        <v>1362.2194</v>
      </c>
    </row>
    <row r="1022">
      <c r="A1022" s="3">
        <v>41967.0</v>
      </c>
      <c r="B1022" s="4">
        <v>121.76</v>
      </c>
      <c r="C1022" s="3">
        <v>41883.0</v>
      </c>
      <c r="D1022" s="4">
        <v>24.48</v>
      </c>
      <c r="E1022" s="3">
        <v>41977.0</v>
      </c>
      <c r="F1022" s="4">
        <v>112.61</v>
      </c>
      <c r="G1022" s="3">
        <v>41974.0</v>
      </c>
      <c r="H1022" s="4">
        <v>120.93</v>
      </c>
      <c r="I1022" s="3">
        <v>41974.0</v>
      </c>
      <c r="J1022" s="4">
        <v>132.23</v>
      </c>
      <c r="K1022" s="3">
        <v>41962.0</v>
      </c>
      <c r="L1022" s="4">
        <v>1364.9674</v>
      </c>
    </row>
    <row r="1023">
      <c r="A1023" s="3">
        <v>41964.0</v>
      </c>
      <c r="B1023" s="4">
        <v>121.72</v>
      </c>
      <c r="C1023" s="3">
        <v>41880.0</v>
      </c>
      <c r="D1023" s="4">
        <v>24.47</v>
      </c>
      <c r="E1023" s="3">
        <v>41976.0</v>
      </c>
      <c r="F1023" s="4">
        <v>112.61</v>
      </c>
      <c r="G1023" s="3">
        <v>41971.0</v>
      </c>
      <c r="H1023" s="4">
        <v>120.95</v>
      </c>
      <c r="I1023" s="3">
        <v>41971.0</v>
      </c>
      <c r="J1023" s="4">
        <v>132.16</v>
      </c>
      <c r="K1023" s="3">
        <v>41961.0</v>
      </c>
      <c r="L1023" s="4">
        <v>1361.2726</v>
      </c>
    </row>
    <row r="1024">
      <c r="A1024" s="3">
        <v>41963.0</v>
      </c>
      <c r="B1024" s="4">
        <v>121.29</v>
      </c>
      <c r="C1024" s="3">
        <v>41879.0</v>
      </c>
      <c r="D1024" s="4">
        <v>24.47</v>
      </c>
      <c r="E1024" s="3">
        <v>41975.0</v>
      </c>
      <c r="F1024" s="4">
        <v>112.65</v>
      </c>
      <c r="G1024" s="3">
        <v>41970.0</v>
      </c>
      <c r="H1024" s="4">
        <v>120.61</v>
      </c>
      <c r="I1024" s="3">
        <v>41970.0</v>
      </c>
      <c r="J1024" s="4">
        <v>131.97</v>
      </c>
      <c r="K1024" s="3">
        <v>41960.0</v>
      </c>
      <c r="L1024" s="4">
        <v>1359.6392</v>
      </c>
    </row>
    <row r="1025">
      <c r="A1025" s="3">
        <v>41962.0</v>
      </c>
      <c r="B1025" s="4">
        <v>121.22</v>
      </c>
      <c r="C1025" s="3">
        <v>41878.0</v>
      </c>
      <c r="D1025" s="4">
        <v>24.46</v>
      </c>
      <c r="E1025" s="3">
        <v>41974.0</v>
      </c>
      <c r="F1025" s="4">
        <v>112.62</v>
      </c>
      <c r="G1025" s="3">
        <v>41969.0</v>
      </c>
      <c r="H1025" s="4">
        <v>120.36</v>
      </c>
      <c r="I1025" s="3">
        <v>41969.0</v>
      </c>
      <c r="J1025" s="4">
        <v>131.88</v>
      </c>
      <c r="K1025" s="3">
        <v>41957.0</v>
      </c>
      <c r="L1025" s="4">
        <v>1360.551</v>
      </c>
    </row>
    <row r="1026">
      <c r="A1026" s="3">
        <v>41961.0</v>
      </c>
      <c r="B1026" s="4">
        <v>121.19</v>
      </c>
      <c r="C1026" s="3">
        <v>41877.0</v>
      </c>
      <c r="D1026" s="4">
        <v>24.45</v>
      </c>
      <c r="E1026" s="3">
        <v>41971.0</v>
      </c>
      <c r="F1026" s="4">
        <v>112.64</v>
      </c>
      <c r="G1026" s="3">
        <v>41968.0</v>
      </c>
      <c r="H1026" s="4">
        <v>120.2</v>
      </c>
      <c r="I1026" s="3">
        <v>41968.0</v>
      </c>
      <c r="J1026" s="4">
        <v>131.95</v>
      </c>
      <c r="K1026" s="3">
        <v>41956.0</v>
      </c>
      <c r="L1026" s="4">
        <v>1359.4919</v>
      </c>
    </row>
    <row r="1027">
      <c r="A1027" s="3">
        <v>41960.0</v>
      </c>
      <c r="B1027" s="4">
        <v>120.93</v>
      </c>
      <c r="C1027" s="3">
        <v>41876.0</v>
      </c>
      <c r="D1027" s="4">
        <v>24.45</v>
      </c>
      <c r="E1027" s="3">
        <v>41970.0</v>
      </c>
      <c r="F1027" s="4">
        <v>112.68</v>
      </c>
      <c r="G1027" s="3">
        <v>41967.0</v>
      </c>
      <c r="H1027" s="4">
        <v>120.22</v>
      </c>
      <c r="I1027" s="3">
        <v>41967.0</v>
      </c>
      <c r="J1027" s="4">
        <v>132.07</v>
      </c>
      <c r="K1027" s="3">
        <v>41955.0</v>
      </c>
      <c r="L1027" s="4">
        <v>1361.0833</v>
      </c>
    </row>
    <row r="1028">
      <c r="A1028" s="3">
        <v>41957.0</v>
      </c>
      <c r="B1028" s="4">
        <v>120.69</v>
      </c>
      <c r="C1028" s="3">
        <v>41873.0</v>
      </c>
      <c r="D1028" s="4">
        <v>24.43</v>
      </c>
      <c r="E1028" s="3">
        <v>41969.0</v>
      </c>
      <c r="F1028" s="4">
        <v>112.7</v>
      </c>
      <c r="G1028" s="3">
        <v>41964.0</v>
      </c>
      <c r="H1028" s="4">
        <v>120.07</v>
      </c>
      <c r="I1028" s="3">
        <v>41964.0</v>
      </c>
      <c r="J1028" s="4">
        <v>131.28</v>
      </c>
      <c r="K1028" s="3">
        <v>41954.0</v>
      </c>
      <c r="L1028" s="4">
        <v>1360.6794</v>
      </c>
    </row>
    <row r="1029">
      <c r="A1029" s="3">
        <v>41956.0</v>
      </c>
      <c r="B1029" s="4">
        <v>121.08</v>
      </c>
      <c r="C1029" s="3">
        <v>41872.0</v>
      </c>
      <c r="D1029" s="4">
        <v>24.41</v>
      </c>
      <c r="E1029" s="3">
        <v>41968.0</v>
      </c>
      <c r="F1029" s="4">
        <v>112.71</v>
      </c>
      <c r="G1029" s="3">
        <v>41963.0</v>
      </c>
      <c r="H1029" s="4">
        <v>119.9</v>
      </c>
      <c r="I1029" s="3">
        <v>41963.0</v>
      </c>
      <c r="J1029" s="4">
        <v>131.15</v>
      </c>
      <c r="K1029" s="3">
        <v>41953.0</v>
      </c>
      <c r="L1029" s="4">
        <v>1356.0558</v>
      </c>
    </row>
    <row r="1030">
      <c r="A1030" s="3">
        <v>41955.0</v>
      </c>
      <c r="B1030" s="4">
        <v>121.25</v>
      </c>
      <c r="C1030" s="3">
        <v>41871.0</v>
      </c>
      <c r="D1030" s="4">
        <v>24.41</v>
      </c>
      <c r="E1030" s="3">
        <v>41967.0</v>
      </c>
      <c r="F1030" s="4">
        <v>112.72</v>
      </c>
      <c r="G1030" s="3">
        <v>41962.0</v>
      </c>
      <c r="H1030" s="4">
        <v>120.13</v>
      </c>
      <c r="I1030" s="3">
        <v>41962.0</v>
      </c>
      <c r="J1030" s="4">
        <v>131.25</v>
      </c>
      <c r="K1030" s="3">
        <v>41950.0</v>
      </c>
      <c r="L1030" s="4">
        <v>1357.0192</v>
      </c>
    </row>
    <row r="1031">
      <c r="A1031" s="3">
        <v>41953.0</v>
      </c>
      <c r="B1031" s="4">
        <v>121.35</v>
      </c>
      <c r="C1031" s="3">
        <v>41870.0</v>
      </c>
      <c r="D1031" s="4">
        <v>24.41</v>
      </c>
      <c r="E1031" s="3">
        <v>41964.0</v>
      </c>
      <c r="F1031" s="4">
        <v>112.71</v>
      </c>
      <c r="G1031" s="3">
        <v>41961.0</v>
      </c>
      <c r="H1031" s="4">
        <v>120.12</v>
      </c>
      <c r="I1031" s="3">
        <v>41961.0</v>
      </c>
      <c r="J1031" s="4">
        <v>131.32</v>
      </c>
      <c r="K1031" s="3">
        <v>41949.0</v>
      </c>
      <c r="L1031" s="4">
        <v>1354.5809</v>
      </c>
    </row>
    <row r="1032">
      <c r="A1032" s="3">
        <v>41950.0</v>
      </c>
      <c r="B1032" s="4">
        <v>121.25</v>
      </c>
      <c r="C1032" s="3">
        <v>41869.0</v>
      </c>
      <c r="D1032" s="4">
        <v>24.39</v>
      </c>
      <c r="E1032" s="3">
        <v>41963.0</v>
      </c>
      <c r="F1032" s="4">
        <v>112.66</v>
      </c>
      <c r="G1032" s="3">
        <v>41960.0</v>
      </c>
      <c r="H1032" s="4">
        <v>120.21</v>
      </c>
      <c r="I1032" s="3">
        <v>41960.0</v>
      </c>
      <c r="J1032" s="4">
        <v>131.22</v>
      </c>
      <c r="K1032" s="3">
        <v>41948.0</v>
      </c>
      <c r="L1032" s="4">
        <v>1356.4186</v>
      </c>
    </row>
    <row r="1033">
      <c r="A1033" s="3">
        <v>41949.0</v>
      </c>
      <c r="B1033" s="4">
        <v>121.43</v>
      </c>
      <c r="C1033" s="3">
        <v>41865.0</v>
      </c>
      <c r="D1033" s="4">
        <v>24.38</v>
      </c>
      <c r="E1033" s="3">
        <v>41962.0</v>
      </c>
      <c r="F1033" s="4">
        <v>112.67</v>
      </c>
      <c r="G1033" s="3">
        <v>41957.0</v>
      </c>
      <c r="H1033" s="4">
        <v>120.22</v>
      </c>
      <c r="I1033" s="3">
        <v>41957.0</v>
      </c>
      <c r="J1033" s="4">
        <v>131.2</v>
      </c>
      <c r="K1033" s="3">
        <v>41947.0</v>
      </c>
      <c r="L1033" s="4">
        <v>1359.9108</v>
      </c>
    </row>
    <row r="1034">
      <c r="A1034" s="3">
        <v>41948.0</v>
      </c>
      <c r="B1034" s="4">
        <v>121.41</v>
      </c>
      <c r="C1034" s="3">
        <v>41864.0</v>
      </c>
      <c r="D1034" s="4">
        <v>24.37</v>
      </c>
      <c r="E1034" s="3">
        <v>41961.0</v>
      </c>
      <c r="F1034" s="4">
        <v>112.67</v>
      </c>
      <c r="G1034" s="3">
        <v>41956.0</v>
      </c>
      <c r="H1034" s="4">
        <v>120.24</v>
      </c>
      <c r="I1034" s="3">
        <v>41956.0</v>
      </c>
      <c r="J1034" s="4">
        <v>131.04</v>
      </c>
      <c r="K1034" s="3">
        <v>41946.0</v>
      </c>
      <c r="L1034" s="4">
        <v>1358.9608</v>
      </c>
    </row>
    <row r="1035">
      <c r="A1035" s="3">
        <v>41947.0</v>
      </c>
      <c r="B1035" s="4">
        <v>121.3</v>
      </c>
      <c r="C1035" s="3">
        <v>41863.0</v>
      </c>
      <c r="D1035" s="4">
        <v>24.38</v>
      </c>
      <c r="E1035" s="3">
        <v>41960.0</v>
      </c>
      <c r="F1035" s="4">
        <v>112.61</v>
      </c>
      <c r="G1035" s="3">
        <v>41955.0</v>
      </c>
      <c r="H1035" s="4">
        <v>120.15</v>
      </c>
      <c r="I1035" s="3">
        <v>41955.0</v>
      </c>
      <c r="J1035" s="4">
        <v>131.34</v>
      </c>
      <c r="K1035" s="3">
        <v>41943.0</v>
      </c>
      <c r="L1035" s="4">
        <v>1349.8279</v>
      </c>
    </row>
    <row r="1036">
      <c r="A1036" s="3">
        <v>41946.0</v>
      </c>
      <c r="B1036" s="4">
        <v>121.39</v>
      </c>
      <c r="C1036" s="3">
        <v>41862.0</v>
      </c>
      <c r="D1036" s="4">
        <v>24.36</v>
      </c>
      <c r="E1036" s="3">
        <v>41957.0</v>
      </c>
      <c r="F1036" s="4">
        <v>112.3</v>
      </c>
      <c r="G1036" s="3">
        <v>41954.0</v>
      </c>
      <c r="H1036" s="4">
        <v>120.15</v>
      </c>
      <c r="I1036" s="3">
        <v>41954.0</v>
      </c>
      <c r="J1036" s="4">
        <v>131.34</v>
      </c>
      <c r="K1036" s="3">
        <v>41942.0</v>
      </c>
      <c r="L1036" s="4">
        <v>1342.9153</v>
      </c>
    </row>
    <row r="1037">
      <c r="A1037" s="3">
        <v>41943.0</v>
      </c>
      <c r="B1037" s="4">
        <v>121.48</v>
      </c>
      <c r="C1037" s="3">
        <v>41859.0</v>
      </c>
      <c r="D1037" s="4">
        <v>24.35</v>
      </c>
      <c r="E1037" s="3">
        <v>41956.0</v>
      </c>
      <c r="F1037" s="4">
        <v>112.73</v>
      </c>
      <c r="G1037" s="3">
        <v>41953.0</v>
      </c>
      <c r="H1037" s="4">
        <v>120.15</v>
      </c>
      <c r="I1037" s="3">
        <v>41953.0</v>
      </c>
      <c r="J1037" s="4">
        <v>131.19</v>
      </c>
      <c r="K1037" s="3">
        <v>41941.0</v>
      </c>
      <c r="L1037" s="4">
        <v>1343.6811</v>
      </c>
    </row>
    <row r="1038">
      <c r="A1038" s="3">
        <v>41942.0</v>
      </c>
      <c r="B1038" s="4">
        <v>120.97</v>
      </c>
      <c r="C1038" s="3">
        <v>41858.0</v>
      </c>
      <c r="D1038" s="4">
        <v>24.37</v>
      </c>
      <c r="E1038" s="3">
        <v>41955.0</v>
      </c>
      <c r="F1038" s="4">
        <v>112.8</v>
      </c>
      <c r="G1038" s="3">
        <v>41950.0</v>
      </c>
      <c r="H1038" s="4">
        <v>120.12</v>
      </c>
      <c r="I1038" s="3">
        <v>41950.0</v>
      </c>
      <c r="J1038" s="4">
        <v>131.2</v>
      </c>
      <c r="K1038" s="3">
        <v>41940.0</v>
      </c>
      <c r="L1038" s="4">
        <v>1334.8765</v>
      </c>
    </row>
    <row r="1039">
      <c r="A1039" s="3">
        <v>41941.0</v>
      </c>
      <c r="B1039" s="4">
        <v>120.9</v>
      </c>
      <c r="C1039" s="3">
        <v>41857.0</v>
      </c>
      <c r="D1039" s="4">
        <v>24.38</v>
      </c>
      <c r="E1039" s="3">
        <v>41954.0</v>
      </c>
      <c r="F1039" s="4">
        <v>112.79</v>
      </c>
      <c r="G1039" s="3">
        <v>41949.0</v>
      </c>
      <c r="H1039" s="4">
        <v>120.1</v>
      </c>
      <c r="I1039" s="3">
        <v>41949.0</v>
      </c>
      <c r="J1039" s="4">
        <v>131.06</v>
      </c>
      <c r="K1039" s="3">
        <v>41939.0</v>
      </c>
      <c r="L1039" s="4">
        <v>1335.3568</v>
      </c>
    </row>
    <row r="1040">
      <c r="A1040" s="3">
        <v>41940.0</v>
      </c>
      <c r="B1040" s="4">
        <v>120.92</v>
      </c>
      <c r="C1040" s="3">
        <v>41856.0</v>
      </c>
      <c r="D1040" s="4">
        <v>24.38</v>
      </c>
      <c r="E1040" s="3">
        <v>41953.0</v>
      </c>
      <c r="F1040" s="4">
        <v>112.77</v>
      </c>
      <c r="G1040" s="3">
        <v>41948.0</v>
      </c>
      <c r="H1040" s="4">
        <v>120.23</v>
      </c>
      <c r="I1040" s="3">
        <v>41948.0</v>
      </c>
      <c r="J1040" s="4">
        <v>130.51</v>
      </c>
      <c r="K1040" s="3">
        <v>41936.0</v>
      </c>
      <c r="L1040" s="4">
        <v>1332.8339</v>
      </c>
    </row>
    <row r="1041">
      <c r="A1041" s="3">
        <v>41939.0</v>
      </c>
      <c r="B1041" s="4">
        <v>120.58</v>
      </c>
      <c r="C1041" s="3">
        <v>41855.0</v>
      </c>
      <c r="D1041" s="4">
        <v>24.36</v>
      </c>
      <c r="E1041" s="3">
        <v>41950.0</v>
      </c>
      <c r="F1041" s="4">
        <v>112.75</v>
      </c>
      <c r="G1041" s="3">
        <v>41947.0</v>
      </c>
      <c r="H1041" s="4">
        <v>120.0</v>
      </c>
      <c r="I1041" s="3">
        <v>41947.0</v>
      </c>
      <c r="J1041" s="4">
        <v>130.88</v>
      </c>
      <c r="K1041" s="3">
        <v>41935.0</v>
      </c>
      <c r="L1041" s="4">
        <v>1325.4424</v>
      </c>
    </row>
    <row r="1042">
      <c r="A1042" s="3">
        <v>41936.0</v>
      </c>
      <c r="B1042" s="4">
        <v>120.69</v>
      </c>
      <c r="C1042" s="3">
        <v>41852.0</v>
      </c>
      <c r="D1042" s="4">
        <v>24.36</v>
      </c>
      <c r="E1042" s="3">
        <v>41949.0</v>
      </c>
      <c r="F1042" s="4">
        <v>112.72</v>
      </c>
      <c r="G1042" s="3">
        <v>41946.0</v>
      </c>
      <c r="H1042" s="4">
        <v>120.06</v>
      </c>
      <c r="I1042" s="3">
        <v>41946.0</v>
      </c>
      <c r="J1042" s="4">
        <v>131.06</v>
      </c>
      <c r="K1042" s="3">
        <v>41934.0</v>
      </c>
      <c r="L1042" s="4">
        <v>1324.856</v>
      </c>
    </row>
    <row r="1043">
      <c r="A1043" s="3">
        <v>41935.0</v>
      </c>
      <c r="B1043" s="4">
        <v>120.6</v>
      </c>
      <c r="C1043" s="3">
        <v>41851.0</v>
      </c>
      <c r="D1043" s="4">
        <v>24.37</v>
      </c>
      <c r="E1043" s="3">
        <v>41948.0</v>
      </c>
      <c r="F1043" s="4">
        <v>112.76</v>
      </c>
      <c r="G1043" s="3">
        <v>41943.0</v>
      </c>
      <c r="H1043" s="4">
        <v>120.06</v>
      </c>
      <c r="I1043" s="3">
        <v>41943.0</v>
      </c>
      <c r="J1043" s="4">
        <v>130.62</v>
      </c>
      <c r="K1043" s="3">
        <v>41933.0</v>
      </c>
      <c r="L1043" s="4">
        <v>1312.1115</v>
      </c>
    </row>
    <row r="1044">
      <c r="A1044" s="3">
        <v>41934.0</v>
      </c>
      <c r="B1044" s="4">
        <v>120.29</v>
      </c>
      <c r="C1044" s="3">
        <v>41850.0</v>
      </c>
      <c r="D1044" s="4">
        <v>24.38</v>
      </c>
      <c r="E1044" s="3">
        <v>41947.0</v>
      </c>
      <c r="F1044" s="4">
        <v>112.87</v>
      </c>
      <c r="G1044" s="3">
        <v>41942.0</v>
      </c>
      <c r="H1044" s="4">
        <v>119.87</v>
      </c>
      <c r="I1044" s="3">
        <v>41942.0</v>
      </c>
      <c r="J1044" s="4">
        <v>130.13</v>
      </c>
      <c r="K1044" s="3">
        <v>41932.0</v>
      </c>
      <c r="L1044" s="4">
        <v>1308.1715</v>
      </c>
    </row>
    <row r="1045">
      <c r="A1045" s="3">
        <v>41933.0</v>
      </c>
      <c r="B1045" s="4">
        <v>120.07</v>
      </c>
      <c r="C1045" s="3">
        <v>41849.0</v>
      </c>
      <c r="D1045" s="4">
        <v>24.38</v>
      </c>
      <c r="E1045" s="3">
        <v>41946.0</v>
      </c>
      <c r="F1045" s="4">
        <v>112.85</v>
      </c>
      <c r="G1045" s="3">
        <v>41941.0</v>
      </c>
      <c r="H1045" s="4">
        <v>119.88</v>
      </c>
      <c r="I1045" s="3">
        <v>41941.0</v>
      </c>
      <c r="J1045" s="4">
        <v>130.17</v>
      </c>
      <c r="K1045" s="3">
        <v>41929.0</v>
      </c>
      <c r="L1045" s="4">
        <v>1296.4823</v>
      </c>
    </row>
    <row r="1046">
      <c r="A1046" s="3">
        <v>41932.0</v>
      </c>
      <c r="B1046" s="4">
        <v>119.6</v>
      </c>
      <c r="C1046" s="3">
        <v>41848.0</v>
      </c>
      <c r="D1046" s="4">
        <v>24.38</v>
      </c>
      <c r="E1046" s="3">
        <v>41943.0</v>
      </c>
      <c r="F1046" s="4">
        <v>112.83</v>
      </c>
      <c r="G1046" s="3">
        <v>41940.0</v>
      </c>
      <c r="H1046" s="4">
        <v>119.9</v>
      </c>
      <c r="I1046" s="3">
        <v>41940.0</v>
      </c>
      <c r="J1046" s="4">
        <v>129.91</v>
      </c>
      <c r="K1046" s="3">
        <v>41928.0</v>
      </c>
      <c r="L1046" s="4">
        <v>1296.0784</v>
      </c>
    </row>
    <row r="1047">
      <c r="A1047" s="3">
        <v>41929.0</v>
      </c>
      <c r="B1047" s="4">
        <v>119.66</v>
      </c>
      <c r="C1047" s="3">
        <v>41845.0</v>
      </c>
      <c r="D1047" s="4">
        <v>24.38</v>
      </c>
      <c r="E1047" s="3">
        <v>41942.0</v>
      </c>
      <c r="F1047" s="4">
        <v>112.82</v>
      </c>
      <c r="G1047" s="3">
        <v>41939.0</v>
      </c>
      <c r="H1047" s="4">
        <v>119.82</v>
      </c>
      <c r="I1047" s="3">
        <v>41939.0</v>
      </c>
      <c r="J1047" s="4">
        <v>130.07</v>
      </c>
      <c r="K1047" s="3">
        <v>41927.0</v>
      </c>
      <c r="L1047" s="4">
        <v>1299.859</v>
      </c>
    </row>
    <row r="1048">
      <c r="A1048" s="3">
        <v>41928.0</v>
      </c>
      <c r="B1048" s="4">
        <v>119.1</v>
      </c>
      <c r="C1048" s="3">
        <v>41844.0</v>
      </c>
      <c r="D1048" s="4">
        <v>24.37</v>
      </c>
      <c r="E1048" s="3">
        <v>41941.0</v>
      </c>
      <c r="F1048" s="4">
        <v>112.85</v>
      </c>
      <c r="G1048" s="3">
        <v>41936.0</v>
      </c>
      <c r="H1048" s="4">
        <v>119.79</v>
      </c>
      <c r="I1048" s="3">
        <v>41936.0</v>
      </c>
      <c r="J1048" s="4">
        <v>129.99</v>
      </c>
      <c r="K1048" s="3">
        <v>41926.0</v>
      </c>
      <c r="L1048" s="4">
        <v>1298.2236</v>
      </c>
    </row>
    <row r="1049">
      <c r="A1049" s="3">
        <v>41927.0</v>
      </c>
      <c r="B1049" s="4">
        <v>119.28</v>
      </c>
      <c r="C1049" s="3">
        <v>41843.0</v>
      </c>
      <c r="D1049" s="4">
        <v>24.37</v>
      </c>
      <c r="E1049" s="3">
        <v>41940.0</v>
      </c>
      <c r="F1049" s="4">
        <v>112.87</v>
      </c>
      <c r="G1049" s="3">
        <v>41935.0</v>
      </c>
      <c r="H1049" s="4">
        <v>119.93</v>
      </c>
      <c r="I1049" s="3">
        <v>41935.0</v>
      </c>
      <c r="J1049" s="4">
        <v>129.87</v>
      </c>
      <c r="K1049" s="3">
        <v>41925.0</v>
      </c>
      <c r="L1049" s="4">
        <v>1304.9262</v>
      </c>
    </row>
    <row r="1050">
      <c r="A1050" s="3">
        <v>41926.0</v>
      </c>
      <c r="B1050" s="4">
        <v>119.75</v>
      </c>
      <c r="C1050" s="3">
        <v>41842.0</v>
      </c>
      <c r="D1050" s="4">
        <v>24.37</v>
      </c>
      <c r="E1050" s="3">
        <v>41939.0</v>
      </c>
      <c r="F1050" s="4">
        <v>112.83</v>
      </c>
      <c r="G1050" s="3">
        <v>41934.0</v>
      </c>
      <c r="H1050" s="4">
        <v>119.95</v>
      </c>
      <c r="I1050" s="3">
        <v>41934.0</v>
      </c>
      <c r="J1050" s="4">
        <v>129.8</v>
      </c>
      <c r="K1050" s="3">
        <v>41922.0</v>
      </c>
      <c r="L1050" s="4">
        <v>1318.5486</v>
      </c>
    </row>
    <row r="1051">
      <c r="A1051" s="3">
        <v>41925.0</v>
      </c>
      <c r="B1051" s="4">
        <v>119.79</v>
      </c>
      <c r="C1051" s="3">
        <v>41841.0</v>
      </c>
      <c r="D1051" s="4">
        <v>24.34</v>
      </c>
      <c r="E1051" s="3">
        <v>41936.0</v>
      </c>
      <c r="F1051" s="4">
        <v>112.79</v>
      </c>
      <c r="G1051" s="3">
        <v>41933.0</v>
      </c>
      <c r="H1051" s="4">
        <v>119.93</v>
      </c>
      <c r="I1051" s="3">
        <v>41933.0</v>
      </c>
      <c r="J1051" s="4">
        <v>129.23</v>
      </c>
      <c r="K1051" s="3">
        <v>41921.0</v>
      </c>
      <c r="L1051" s="4">
        <v>1325.5927</v>
      </c>
    </row>
    <row r="1052">
      <c r="A1052" s="3">
        <v>41922.0</v>
      </c>
      <c r="B1052" s="4">
        <v>119.88</v>
      </c>
      <c r="C1052" s="3">
        <v>41838.0</v>
      </c>
      <c r="D1052" s="4">
        <v>24.35</v>
      </c>
      <c r="E1052" s="3">
        <v>41935.0</v>
      </c>
      <c r="F1052" s="4">
        <v>112.74</v>
      </c>
      <c r="G1052" s="3">
        <v>41932.0</v>
      </c>
      <c r="H1052" s="4">
        <v>119.89</v>
      </c>
      <c r="I1052" s="3">
        <v>41932.0</v>
      </c>
      <c r="J1052" s="4">
        <v>129.16</v>
      </c>
      <c r="K1052" s="3">
        <v>41920.0</v>
      </c>
      <c r="L1052" s="4">
        <v>1325.2734</v>
      </c>
    </row>
    <row r="1053">
      <c r="A1053" s="3">
        <v>41921.0</v>
      </c>
      <c r="B1053" s="4">
        <v>120.31</v>
      </c>
      <c r="C1053" s="3">
        <v>41837.0</v>
      </c>
      <c r="D1053" s="4">
        <v>24.34</v>
      </c>
      <c r="E1053" s="3">
        <v>41934.0</v>
      </c>
      <c r="F1053" s="4">
        <v>112.69</v>
      </c>
      <c r="G1053" s="3">
        <v>41929.0</v>
      </c>
      <c r="H1053" s="4">
        <v>119.97</v>
      </c>
      <c r="I1053" s="3">
        <v>41929.0</v>
      </c>
      <c r="J1053" s="4">
        <v>128.66</v>
      </c>
      <c r="K1053" s="3">
        <v>41919.0</v>
      </c>
      <c r="L1053" s="4">
        <v>1333.4445</v>
      </c>
    </row>
    <row r="1054">
      <c r="A1054" s="3">
        <v>41920.0</v>
      </c>
      <c r="B1054" s="4">
        <v>120.35</v>
      </c>
      <c r="C1054" s="3">
        <v>41836.0</v>
      </c>
      <c r="D1054" s="4">
        <v>24.34</v>
      </c>
      <c r="E1054" s="3">
        <v>41933.0</v>
      </c>
      <c r="F1054" s="4">
        <v>112.66</v>
      </c>
      <c r="G1054" s="3">
        <v>41928.0</v>
      </c>
      <c r="H1054" s="4">
        <v>120.13</v>
      </c>
      <c r="I1054" s="3">
        <v>41928.0</v>
      </c>
      <c r="J1054" s="4">
        <v>128.87</v>
      </c>
      <c r="K1054" s="3">
        <v>41918.0</v>
      </c>
      <c r="L1054" s="4">
        <v>1334.6162</v>
      </c>
    </row>
    <row r="1055">
      <c r="A1055" s="3">
        <v>41919.0</v>
      </c>
      <c r="B1055" s="4">
        <v>120.61</v>
      </c>
      <c r="C1055" s="3">
        <v>41835.0</v>
      </c>
      <c r="D1055" s="4">
        <v>24.33</v>
      </c>
      <c r="E1055" s="3">
        <v>41932.0</v>
      </c>
      <c r="F1055" s="4">
        <v>112.7</v>
      </c>
      <c r="G1055" s="3">
        <v>41927.0</v>
      </c>
      <c r="H1055" s="4">
        <v>120.0</v>
      </c>
      <c r="I1055" s="3">
        <v>41927.0</v>
      </c>
      <c r="J1055" s="4">
        <v>129.24</v>
      </c>
      <c r="K1055" s="3">
        <v>41915.0</v>
      </c>
      <c r="L1055" s="4">
        <v>1328.1492</v>
      </c>
    </row>
    <row r="1056">
      <c r="A1056" s="3">
        <v>41918.0</v>
      </c>
      <c r="B1056" s="4">
        <v>121.03</v>
      </c>
      <c r="C1056" s="3">
        <v>41834.0</v>
      </c>
      <c r="D1056" s="4">
        <v>24.31</v>
      </c>
      <c r="E1056" s="3">
        <v>41929.0</v>
      </c>
      <c r="F1056" s="4">
        <v>112.67</v>
      </c>
      <c r="G1056" s="3">
        <v>41926.0</v>
      </c>
      <c r="H1056" s="4">
        <v>119.81</v>
      </c>
      <c r="I1056" s="3">
        <v>41926.0</v>
      </c>
      <c r="J1056" s="4">
        <v>129.17</v>
      </c>
      <c r="K1056" s="3">
        <v>41914.0</v>
      </c>
      <c r="L1056" s="4">
        <v>1332.7562</v>
      </c>
    </row>
    <row r="1057">
      <c r="A1057" s="3">
        <v>41915.0</v>
      </c>
      <c r="B1057" s="4">
        <v>121.09</v>
      </c>
      <c r="C1057" s="3">
        <v>41831.0</v>
      </c>
      <c r="D1057" s="4">
        <v>24.32</v>
      </c>
      <c r="E1057" s="3">
        <v>41928.0</v>
      </c>
      <c r="F1057" s="4">
        <v>112.55</v>
      </c>
      <c r="G1057" s="3">
        <v>41925.0</v>
      </c>
      <c r="H1057" s="4">
        <v>119.93</v>
      </c>
      <c r="I1057" s="3">
        <v>41925.0</v>
      </c>
      <c r="J1057" s="4">
        <v>129.48</v>
      </c>
      <c r="K1057" s="3">
        <v>41913.0</v>
      </c>
      <c r="L1057" s="4">
        <v>1342.42</v>
      </c>
    </row>
    <row r="1058">
      <c r="A1058" s="3">
        <v>41914.0</v>
      </c>
      <c r="B1058" s="4">
        <v>121.03</v>
      </c>
      <c r="C1058" s="3">
        <v>41830.0</v>
      </c>
      <c r="D1058" s="4">
        <v>24.32</v>
      </c>
      <c r="E1058" s="3">
        <v>41927.0</v>
      </c>
      <c r="F1058" s="4">
        <v>112.57</v>
      </c>
      <c r="G1058" s="3">
        <v>41922.0</v>
      </c>
      <c r="H1058" s="4">
        <v>119.93</v>
      </c>
      <c r="I1058" s="3">
        <v>41922.0</v>
      </c>
      <c r="J1058" s="4">
        <v>129.24</v>
      </c>
      <c r="K1058" s="3">
        <v>41912.0</v>
      </c>
      <c r="L1058" s="4">
        <v>1344.6338</v>
      </c>
    </row>
    <row r="1059">
      <c r="A1059" s="3">
        <v>41913.0</v>
      </c>
      <c r="B1059" s="4">
        <v>121.72</v>
      </c>
      <c r="C1059" s="3">
        <v>41829.0</v>
      </c>
      <c r="D1059" s="4">
        <v>24.31</v>
      </c>
      <c r="E1059" s="3">
        <v>41926.0</v>
      </c>
      <c r="F1059" s="4">
        <v>112.81</v>
      </c>
      <c r="G1059" s="3">
        <v>41921.0</v>
      </c>
      <c r="H1059" s="4">
        <v>119.97</v>
      </c>
      <c r="I1059" s="3">
        <v>41921.0</v>
      </c>
      <c r="J1059" s="4">
        <v>129.43</v>
      </c>
      <c r="K1059" s="3">
        <v>41911.0</v>
      </c>
      <c r="L1059" s="4">
        <v>1347.9282</v>
      </c>
    </row>
    <row r="1060">
      <c r="A1060" s="3">
        <v>41912.0</v>
      </c>
      <c r="B1060" s="4">
        <v>122.06</v>
      </c>
      <c r="C1060" s="3">
        <v>41828.0</v>
      </c>
      <c r="D1060" s="4">
        <v>24.31</v>
      </c>
      <c r="E1060" s="3">
        <v>41925.0</v>
      </c>
      <c r="F1060" s="4">
        <v>112.78</v>
      </c>
      <c r="G1060" s="3">
        <v>41920.0</v>
      </c>
      <c r="H1060" s="4">
        <v>120.04</v>
      </c>
      <c r="I1060" s="3">
        <v>41920.0</v>
      </c>
      <c r="J1060" s="4">
        <v>129.48</v>
      </c>
      <c r="K1060" s="3">
        <v>41908.0</v>
      </c>
      <c r="L1060" s="4">
        <v>1346.6586</v>
      </c>
    </row>
    <row r="1061">
      <c r="A1061" s="3">
        <v>41911.0</v>
      </c>
      <c r="B1061" s="4">
        <v>121.96</v>
      </c>
      <c r="C1061" s="3">
        <v>41827.0</v>
      </c>
      <c r="D1061" s="4">
        <v>24.31</v>
      </c>
      <c r="E1061" s="3">
        <v>41922.0</v>
      </c>
      <c r="F1061" s="4">
        <v>112.81</v>
      </c>
      <c r="G1061" s="3">
        <v>41919.0</v>
      </c>
      <c r="H1061" s="4">
        <v>120.43</v>
      </c>
      <c r="I1061" s="3">
        <v>41919.0</v>
      </c>
      <c r="J1061" s="4">
        <v>129.91</v>
      </c>
      <c r="K1061" s="3">
        <v>41907.0</v>
      </c>
      <c r="L1061" s="4">
        <v>1354.7382</v>
      </c>
    </row>
    <row r="1062">
      <c r="A1062" s="3">
        <v>41908.0</v>
      </c>
      <c r="B1062" s="4">
        <v>122.4</v>
      </c>
      <c r="C1062" s="3">
        <v>41824.0</v>
      </c>
      <c r="D1062" s="4">
        <v>24.31</v>
      </c>
      <c r="E1062" s="3">
        <v>41921.0</v>
      </c>
      <c r="F1062" s="4">
        <v>112.91</v>
      </c>
      <c r="G1062" s="3">
        <v>41918.0</v>
      </c>
      <c r="H1062" s="4">
        <v>120.48</v>
      </c>
      <c r="I1062" s="3">
        <v>41918.0</v>
      </c>
      <c r="J1062" s="4">
        <v>130.06</v>
      </c>
      <c r="K1062" s="3">
        <v>41906.0</v>
      </c>
      <c r="L1062" s="4">
        <v>1350.9739</v>
      </c>
    </row>
    <row r="1063">
      <c r="A1063" s="3">
        <v>41907.0</v>
      </c>
      <c r="B1063" s="4">
        <v>122.42</v>
      </c>
      <c r="C1063" s="3">
        <v>41823.0</v>
      </c>
      <c r="D1063" s="4">
        <v>24.3</v>
      </c>
      <c r="E1063" s="3">
        <v>41920.0</v>
      </c>
      <c r="F1063" s="4">
        <v>112.94</v>
      </c>
      <c r="G1063" s="3">
        <v>41915.0</v>
      </c>
      <c r="H1063" s="4">
        <v>120.62</v>
      </c>
      <c r="I1063" s="3">
        <v>41915.0</v>
      </c>
      <c r="J1063" s="4">
        <v>129.26</v>
      </c>
      <c r="K1063" s="3">
        <v>41905.0</v>
      </c>
      <c r="L1063" s="4">
        <v>1354.6292</v>
      </c>
    </row>
    <row r="1064">
      <c r="A1064" s="3">
        <v>41906.0</v>
      </c>
      <c r="B1064" s="4">
        <v>122.7</v>
      </c>
      <c r="C1064" s="3">
        <v>41822.0</v>
      </c>
      <c r="D1064" s="4">
        <v>24.3</v>
      </c>
      <c r="E1064" s="3">
        <v>41919.0</v>
      </c>
      <c r="F1064" s="4">
        <v>112.96</v>
      </c>
      <c r="G1064" s="3">
        <v>41914.0</v>
      </c>
      <c r="H1064" s="4">
        <v>121.54</v>
      </c>
      <c r="I1064" s="3">
        <v>41914.0</v>
      </c>
      <c r="J1064" s="4">
        <v>129.9</v>
      </c>
      <c r="K1064" s="3">
        <v>41904.0</v>
      </c>
      <c r="L1064" s="4">
        <v>1361.1375</v>
      </c>
    </row>
    <row r="1065">
      <c r="A1065" s="3">
        <v>41905.0</v>
      </c>
      <c r="B1065" s="4">
        <v>122.63</v>
      </c>
      <c r="C1065" s="3">
        <v>41821.0</v>
      </c>
      <c r="D1065" s="4">
        <v>24.31</v>
      </c>
      <c r="E1065" s="3">
        <v>41918.0</v>
      </c>
      <c r="F1065" s="4">
        <v>113.05</v>
      </c>
      <c r="G1065" s="3">
        <v>41913.0</v>
      </c>
      <c r="H1065" s="4">
        <v>121.91</v>
      </c>
      <c r="I1065" s="3">
        <v>41913.0</v>
      </c>
      <c r="J1065" s="4">
        <v>129.99</v>
      </c>
      <c r="K1065" s="3">
        <v>41901.0</v>
      </c>
      <c r="L1065" s="4">
        <v>1363.9869</v>
      </c>
    </row>
    <row r="1066">
      <c r="A1066" s="3">
        <v>41904.0</v>
      </c>
      <c r="B1066" s="4">
        <v>123.15</v>
      </c>
      <c r="C1066" s="3">
        <v>41820.0</v>
      </c>
      <c r="D1066" s="4">
        <v>24.29</v>
      </c>
      <c r="E1066" s="3">
        <v>41915.0</v>
      </c>
      <c r="F1066" s="4">
        <v>113.0</v>
      </c>
      <c r="G1066" s="3">
        <v>41912.0</v>
      </c>
      <c r="H1066" s="4">
        <v>121.53</v>
      </c>
      <c r="I1066" s="3">
        <v>41912.0</v>
      </c>
      <c r="J1066" s="4">
        <v>129.6</v>
      </c>
      <c r="K1066" s="3">
        <v>41900.0</v>
      </c>
      <c r="L1066" s="4">
        <v>1360.9192</v>
      </c>
    </row>
    <row r="1067">
      <c r="A1067" s="3">
        <v>41901.0</v>
      </c>
      <c r="B1067" s="4">
        <v>123.43</v>
      </c>
      <c r="C1067" s="3">
        <v>41817.0</v>
      </c>
      <c r="D1067" s="4">
        <v>24.31</v>
      </c>
      <c r="E1067" s="3">
        <v>41914.0</v>
      </c>
      <c r="F1067" s="4">
        <v>113.01</v>
      </c>
      <c r="G1067" s="3">
        <v>41911.0</v>
      </c>
      <c r="H1067" s="4">
        <v>121.81</v>
      </c>
      <c r="I1067" s="3">
        <v>41911.0</v>
      </c>
      <c r="J1067" s="4">
        <v>129.83</v>
      </c>
      <c r="K1067" s="3">
        <v>41899.0</v>
      </c>
      <c r="L1067" s="4">
        <v>1358.6267</v>
      </c>
    </row>
    <row r="1068">
      <c r="A1068" s="3">
        <v>41900.0</v>
      </c>
      <c r="B1068" s="4">
        <v>123.43</v>
      </c>
      <c r="C1068" s="3">
        <v>41816.0</v>
      </c>
      <c r="D1068" s="4">
        <v>24.32</v>
      </c>
      <c r="E1068" s="3">
        <v>41913.0</v>
      </c>
      <c r="F1068" s="4">
        <v>113.04</v>
      </c>
      <c r="G1068" s="3">
        <v>41908.0</v>
      </c>
      <c r="H1068" s="4">
        <v>121.87</v>
      </c>
      <c r="I1068" s="3">
        <v>41908.0</v>
      </c>
      <c r="J1068" s="4">
        <v>129.63</v>
      </c>
      <c r="K1068" s="3">
        <v>41898.0</v>
      </c>
      <c r="L1068" s="4">
        <v>1359.3163</v>
      </c>
    </row>
    <row r="1069">
      <c r="A1069" s="3">
        <v>41899.0</v>
      </c>
      <c r="B1069" s="4">
        <v>123.35</v>
      </c>
      <c r="C1069" s="3">
        <v>41815.0</v>
      </c>
      <c r="D1069" s="4">
        <v>24.3</v>
      </c>
      <c r="E1069" s="3">
        <v>41912.0</v>
      </c>
      <c r="F1069" s="4">
        <v>113.06</v>
      </c>
      <c r="G1069" s="3">
        <v>41907.0</v>
      </c>
      <c r="H1069" s="4">
        <v>122.59</v>
      </c>
      <c r="I1069" s="3">
        <v>41907.0</v>
      </c>
      <c r="J1069" s="4">
        <v>129.95</v>
      </c>
      <c r="K1069" s="3">
        <v>41897.0</v>
      </c>
      <c r="L1069" s="4">
        <v>1367.0476</v>
      </c>
    </row>
    <row r="1070">
      <c r="A1070" s="3">
        <v>41898.0</v>
      </c>
      <c r="B1070" s="4">
        <v>123.18</v>
      </c>
      <c r="C1070" s="3">
        <v>41814.0</v>
      </c>
      <c r="D1070" s="4">
        <v>24.31</v>
      </c>
      <c r="E1070" s="3">
        <v>41911.0</v>
      </c>
      <c r="F1070" s="4">
        <v>113.04</v>
      </c>
      <c r="G1070" s="3">
        <v>41906.0</v>
      </c>
      <c r="H1070" s="4">
        <v>122.14</v>
      </c>
      <c r="I1070" s="3">
        <v>41906.0</v>
      </c>
      <c r="J1070" s="4">
        <v>129.4</v>
      </c>
      <c r="K1070" s="3">
        <v>41894.0</v>
      </c>
      <c r="L1070" s="4">
        <v>1369.9359</v>
      </c>
    </row>
    <row r="1071">
      <c r="A1071" s="3">
        <v>41897.0</v>
      </c>
      <c r="B1071" s="4">
        <v>123.4</v>
      </c>
      <c r="C1071" s="3">
        <v>41810.0</v>
      </c>
      <c r="D1071" s="4">
        <v>24.31</v>
      </c>
      <c r="E1071" s="3">
        <v>41908.0</v>
      </c>
      <c r="F1071" s="4">
        <v>113.1</v>
      </c>
      <c r="G1071" s="3">
        <v>41905.0</v>
      </c>
      <c r="H1071" s="4">
        <v>122.94</v>
      </c>
      <c r="I1071" s="3">
        <v>41905.0</v>
      </c>
      <c r="J1071" s="4">
        <v>129.86</v>
      </c>
      <c r="K1071" s="3">
        <v>41893.0</v>
      </c>
      <c r="L1071" s="4">
        <v>1371.4503</v>
      </c>
    </row>
    <row r="1072">
      <c r="A1072" s="3">
        <v>41894.0</v>
      </c>
      <c r="B1072" s="4">
        <v>123.71</v>
      </c>
      <c r="C1072" s="3">
        <v>41809.0</v>
      </c>
      <c r="D1072" s="4">
        <v>24.3</v>
      </c>
      <c r="E1072" s="3">
        <v>41907.0</v>
      </c>
      <c r="F1072" s="4">
        <v>113.16</v>
      </c>
      <c r="G1072" s="3">
        <v>41904.0</v>
      </c>
      <c r="H1072" s="4">
        <v>123.07</v>
      </c>
      <c r="I1072" s="3">
        <v>41904.0</v>
      </c>
      <c r="J1072" s="4">
        <v>130.13</v>
      </c>
      <c r="K1072" s="3">
        <v>41892.0</v>
      </c>
      <c r="L1072" s="4">
        <v>1373.2811</v>
      </c>
    </row>
    <row r="1073">
      <c r="A1073" s="3">
        <v>41893.0</v>
      </c>
      <c r="B1073" s="4">
        <v>123.78</v>
      </c>
      <c r="C1073" s="3">
        <v>41808.0</v>
      </c>
      <c r="D1073" s="4">
        <v>24.3</v>
      </c>
      <c r="E1073" s="3">
        <v>41906.0</v>
      </c>
      <c r="F1073" s="4">
        <v>113.19</v>
      </c>
      <c r="G1073" s="3">
        <v>41901.0</v>
      </c>
      <c r="H1073" s="4">
        <v>122.91</v>
      </c>
      <c r="I1073" s="3">
        <v>41901.0</v>
      </c>
      <c r="J1073" s="4">
        <v>129.77</v>
      </c>
      <c r="K1073" s="3">
        <v>41891.0</v>
      </c>
      <c r="L1073" s="4">
        <v>1378.0027</v>
      </c>
    </row>
    <row r="1074">
      <c r="A1074" s="3">
        <v>41892.0</v>
      </c>
      <c r="B1074" s="4">
        <v>123.85</v>
      </c>
      <c r="C1074" s="3">
        <v>41807.0</v>
      </c>
      <c r="D1074" s="4">
        <v>24.32</v>
      </c>
      <c r="E1074" s="3">
        <v>41905.0</v>
      </c>
      <c r="F1074" s="4">
        <v>113.23</v>
      </c>
      <c r="G1074" s="3">
        <v>41900.0</v>
      </c>
      <c r="H1074" s="4">
        <v>122.86</v>
      </c>
      <c r="I1074" s="3">
        <v>41900.0</v>
      </c>
      <c r="J1074" s="4">
        <v>129.36</v>
      </c>
      <c r="K1074" s="3">
        <v>41890.0</v>
      </c>
      <c r="L1074" s="4">
        <v>1377.26</v>
      </c>
    </row>
    <row r="1075">
      <c r="A1075" s="3">
        <v>41891.0</v>
      </c>
      <c r="B1075" s="4">
        <v>123.96</v>
      </c>
      <c r="C1075" s="3">
        <v>41806.0</v>
      </c>
      <c r="D1075" s="4">
        <v>24.32</v>
      </c>
      <c r="E1075" s="3">
        <v>41904.0</v>
      </c>
      <c r="F1075" s="4">
        <v>113.3</v>
      </c>
      <c r="G1075" s="3">
        <v>41899.0</v>
      </c>
      <c r="H1075" s="4">
        <v>122.75</v>
      </c>
      <c r="I1075" s="3">
        <v>41899.0</v>
      </c>
      <c r="J1075" s="4">
        <v>129.37</v>
      </c>
      <c r="K1075" s="3">
        <v>41887.0</v>
      </c>
      <c r="L1075" s="4">
        <v>1377.7209</v>
      </c>
    </row>
    <row r="1076">
      <c r="A1076" s="3">
        <v>41890.0</v>
      </c>
      <c r="B1076" s="4">
        <v>124.24</v>
      </c>
      <c r="C1076" s="3">
        <v>41803.0</v>
      </c>
      <c r="D1076" s="4">
        <v>24.33</v>
      </c>
      <c r="E1076" s="3">
        <v>41901.0</v>
      </c>
      <c r="F1076" s="4">
        <v>113.31</v>
      </c>
      <c r="G1076" s="3">
        <v>41898.0</v>
      </c>
      <c r="H1076" s="4">
        <v>122.83</v>
      </c>
      <c r="I1076" s="3">
        <v>41898.0</v>
      </c>
      <c r="J1076" s="4">
        <v>129.28</v>
      </c>
      <c r="K1076" s="3">
        <v>41886.0</v>
      </c>
      <c r="L1076" s="4">
        <v>1376.1835</v>
      </c>
    </row>
    <row r="1077">
      <c r="A1077" s="3">
        <v>41887.0</v>
      </c>
      <c r="B1077" s="4">
        <v>124.44</v>
      </c>
      <c r="C1077" s="3">
        <v>41802.0</v>
      </c>
      <c r="D1077" s="4">
        <v>24.32</v>
      </c>
      <c r="E1077" s="3">
        <v>41900.0</v>
      </c>
      <c r="F1077" s="4">
        <v>113.31</v>
      </c>
      <c r="G1077" s="3">
        <v>41897.0</v>
      </c>
      <c r="H1077" s="4">
        <v>122.72</v>
      </c>
      <c r="I1077" s="3">
        <v>41897.0</v>
      </c>
      <c r="J1077" s="4">
        <v>129.32</v>
      </c>
      <c r="K1077" s="3">
        <v>41885.0</v>
      </c>
      <c r="L1077" s="4">
        <v>1375.8949</v>
      </c>
    </row>
    <row r="1078">
      <c r="A1078" s="3">
        <v>41886.0</v>
      </c>
      <c r="B1078" s="4">
        <v>124.48</v>
      </c>
      <c r="C1078" s="3">
        <v>41801.0</v>
      </c>
      <c r="D1078" s="4">
        <v>24.31</v>
      </c>
      <c r="E1078" s="3">
        <v>41899.0</v>
      </c>
      <c r="F1078" s="4">
        <v>113.33</v>
      </c>
      <c r="G1078" s="3">
        <v>41894.0</v>
      </c>
      <c r="H1078" s="4">
        <v>123.02</v>
      </c>
      <c r="I1078" s="3">
        <v>41894.0</v>
      </c>
      <c r="J1078" s="4">
        <v>129.56</v>
      </c>
      <c r="K1078" s="3">
        <v>41884.0</v>
      </c>
      <c r="L1078" s="4">
        <v>1375.1998</v>
      </c>
    </row>
    <row r="1079">
      <c r="A1079" s="3">
        <v>41885.0</v>
      </c>
      <c r="B1079" s="4">
        <v>124.05</v>
      </c>
      <c r="C1079" s="3">
        <v>41800.0</v>
      </c>
      <c r="D1079" s="4">
        <v>24.31</v>
      </c>
      <c r="E1079" s="3">
        <v>41898.0</v>
      </c>
      <c r="F1079" s="4">
        <v>113.33</v>
      </c>
      <c r="G1079" s="3">
        <v>41893.0</v>
      </c>
      <c r="H1079" s="4">
        <v>123.06</v>
      </c>
      <c r="I1079" s="3">
        <v>41893.0</v>
      </c>
      <c r="J1079" s="4">
        <v>129.73</v>
      </c>
      <c r="K1079" s="3">
        <v>41883.0</v>
      </c>
      <c r="L1079" s="4">
        <v>1374.0905</v>
      </c>
    </row>
    <row r="1080">
      <c r="A1080" s="3">
        <v>41884.0</v>
      </c>
      <c r="B1080" s="4">
        <v>123.85</v>
      </c>
      <c r="C1080" s="3">
        <v>41796.0</v>
      </c>
      <c r="D1080" s="4">
        <v>24.28</v>
      </c>
      <c r="E1080" s="3">
        <v>41897.0</v>
      </c>
      <c r="F1080" s="4">
        <v>113.35</v>
      </c>
      <c r="G1080" s="3">
        <v>41892.0</v>
      </c>
      <c r="H1080" s="4">
        <v>123.18</v>
      </c>
      <c r="I1080" s="3">
        <v>41892.0</v>
      </c>
      <c r="J1080" s="4">
        <v>129.75</v>
      </c>
      <c r="K1080" s="3">
        <v>41880.0</v>
      </c>
      <c r="L1080" s="4">
        <v>1372.4544</v>
      </c>
    </row>
    <row r="1081">
      <c r="A1081" s="3">
        <v>41883.0</v>
      </c>
      <c r="B1081" s="4">
        <v>123.96</v>
      </c>
      <c r="C1081" s="3">
        <v>41795.0</v>
      </c>
      <c r="D1081" s="4">
        <v>24.27</v>
      </c>
      <c r="E1081" s="3">
        <v>41894.0</v>
      </c>
      <c r="F1081" s="4">
        <v>113.37</v>
      </c>
      <c r="G1081" s="3">
        <v>41891.0</v>
      </c>
      <c r="H1081" s="4">
        <v>123.56</v>
      </c>
      <c r="I1081" s="3">
        <v>41891.0</v>
      </c>
      <c r="J1081" s="4">
        <v>130.11</v>
      </c>
      <c r="K1081" s="3">
        <v>41879.0</v>
      </c>
      <c r="L1081" s="4">
        <v>1375.4233</v>
      </c>
    </row>
    <row r="1082">
      <c r="A1082" s="3">
        <v>41880.0</v>
      </c>
      <c r="B1082" s="4">
        <v>123.91</v>
      </c>
      <c r="C1082" s="3">
        <v>41794.0</v>
      </c>
      <c r="D1082" s="4">
        <v>24.25</v>
      </c>
      <c r="E1082" s="3">
        <v>41893.0</v>
      </c>
      <c r="F1082" s="4">
        <v>113.4</v>
      </c>
      <c r="G1082" s="3">
        <v>41890.0</v>
      </c>
      <c r="H1082" s="4">
        <v>123.6</v>
      </c>
      <c r="I1082" s="3">
        <v>41890.0</v>
      </c>
      <c r="J1082" s="4">
        <v>130.21</v>
      </c>
      <c r="K1082" s="3">
        <v>41878.0</v>
      </c>
      <c r="L1082" s="4">
        <v>1376.1186</v>
      </c>
    </row>
    <row r="1083">
      <c r="A1083" s="3">
        <v>41879.0</v>
      </c>
      <c r="B1083" s="4">
        <v>123.93</v>
      </c>
      <c r="C1083" s="3">
        <v>41793.0</v>
      </c>
      <c r="D1083" s="4">
        <v>24.25</v>
      </c>
      <c r="E1083" s="3">
        <v>41892.0</v>
      </c>
      <c r="F1083" s="4">
        <v>113.37</v>
      </c>
      <c r="G1083" s="3">
        <v>41887.0</v>
      </c>
      <c r="H1083" s="4">
        <v>123.38</v>
      </c>
      <c r="I1083" s="3">
        <v>41887.0</v>
      </c>
      <c r="J1083" s="4">
        <v>130.3</v>
      </c>
      <c r="K1083" s="3">
        <v>41877.0</v>
      </c>
      <c r="L1083" s="4">
        <v>1372.6979</v>
      </c>
    </row>
    <row r="1084">
      <c r="A1084" s="3">
        <v>41878.0</v>
      </c>
      <c r="B1084" s="4">
        <v>124.21</v>
      </c>
      <c r="C1084" s="3">
        <v>41792.0</v>
      </c>
      <c r="D1084" s="4">
        <v>24.26</v>
      </c>
      <c r="E1084" s="3">
        <v>41891.0</v>
      </c>
      <c r="F1084" s="4">
        <v>113.36</v>
      </c>
      <c r="G1084" s="3">
        <v>41886.0</v>
      </c>
      <c r="H1084" s="4">
        <v>123.32</v>
      </c>
      <c r="I1084" s="3">
        <v>41886.0</v>
      </c>
      <c r="J1084" s="4">
        <v>129.77</v>
      </c>
      <c r="K1084" s="3">
        <v>41876.0</v>
      </c>
      <c r="L1084" s="4">
        <v>1371.2902</v>
      </c>
    </row>
    <row r="1085">
      <c r="A1085" s="3">
        <v>41877.0</v>
      </c>
      <c r="B1085" s="4">
        <v>124.15</v>
      </c>
      <c r="C1085" s="3">
        <v>41789.0</v>
      </c>
      <c r="D1085" s="4">
        <v>24.26</v>
      </c>
      <c r="E1085" s="3">
        <v>41890.0</v>
      </c>
      <c r="F1085" s="4">
        <v>113.39</v>
      </c>
      <c r="G1085" s="3">
        <v>41885.0</v>
      </c>
      <c r="H1085" s="4">
        <v>123.46</v>
      </c>
      <c r="I1085" s="3">
        <v>41885.0</v>
      </c>
      <c r="J1085" s="4">
        <v>129.81</v>
      </c>
      <c r="K1085" s="3">
        <v>41873.0</v>
      </c>
      <c r="L1085" s="4">
        <v>1370.1332</v>
      </c>
    </row>
    <row r="1086">
      <c r="A1086" s="3">
        <v>41876.0</v>
      </c>
      <c r="B1086" s="4">
        <v>123.8</v>
      </c>
      <c r="C1086" s="3">
        <v>41787.0</v>
      </c>
      <c r="D1086" s="4">
        <v>24.26</v>
      </c>
      <c r="E1086" s="3">
        <v>41887.0</v>
      </c>
      <c r="F1086" s="4">
        <v>113.37</v>
      </c>
      <c r="G1086" s="3">
        <v>41884.0</v>
      </c>
      <c r="H1086" s="4">
        <v>123.67</v>
      </c>
      <c r="I1086" s="3">
        <v>41884.0</v>
      </c>
      <c r="J1086" s="4">
        <v>129.86</v>
      </c>
      <c r="K1086" s="3">
        <v>41872.0</v>
      </c>
      <c r="L1086" s="4">
        <v>1368.4146</v>
      </c>
    </row>
    <row r="1087">
      <c r="A1087" s="3">
        <v>41873.0</v>
      </c>
      <c r="B1087" s="4">
        <v>123.46</v>
      </c>
      <c r="C1087" s="3">
        <v>41786.0</v>
      </c>
      <c r="D1087" s="4">
        <v>24.26</v>
      </c>
      <c r="E1087" s="3">
        <v>41886.0</v>
      </c>
      <c r="F1087" s="4">
        <v>113.37</v>
      </c>
      <c r="G1087" s="3">
        <v>41883.0</v>
      </c>
      <c r="H1087" s="4">
        <v>123.61</v>
      </c>
      <c r="I1087" s="3">
        <v>41883.0</v>
      </c>
      <c r="J1087" s="4">
        <v>129.76</v>
      </c>
      <c r="K1087" s="3">
        <v>41871.0</v>
      </c>
      <c r="L1087" s="4">
        <v>1367.5587</v>
      </c>
    </row>
    <row r="1088">
      <c r="A1088" s="3">
        <v>41872.0</v>
      </c>
      <c r="B1088" s="4">
        <v>123.56</v>
      </c>
      <c r="C1088" s="3">
        <v>41785.0</v>
      </c>
      <c r="D1088" s="4">
        <v>24.24</v>
      </c>
      <c r="E1088" s="3">
        <v>41885.0</v>
      </c>
      <c r="F1088" s="4">
        <v>113.3</v>
      </c>
      <c r="G1088" s="3">
        <v>41880.0</v>
      </c>
      <c r="H1088" s="4">
        <v>123.68</v>
      </c>
      <c r="I1088" s="3">
        <v>41880.0</v>
      </c>
      <c r="J1088" s="4">
        <v>129.65</v>
      </c>
      <c r="K1088" s="3">
        <v>41870.0</v>
      </c>
      <c r="L1088" s="4">
        <v>1364.4824</v>
      </c>
    </row>
    <row r="1089">
      <c r="A1089" s="3">
        <v>41871.0</v>
      </c>
      <c r="B1089" s="4">
        <v>123.22</v>
      </c>
      <c r="C1089" s="3">
        <v>41782.0</v>
      </c>
      <c r="D1089" s="4">
        <v>24.24</v>
      </c>
      <c r="E1089" s="3">
        <v>41884.0</v>
      </c>
      <c r="F1089" s="4">
        <v>113.31</v>
      </c>
      <c r="G1089" s="3">
        <v>41879.0</v>
      </c>
      <c r="H1089" s="4">
        <v>123.57</v>
      </c>
      <c r="I1089" s="3">
        <v>41879.0</v>
      </c>
      <c r="J1089" s="4">
        <v>129.67</v>
      </c>
      <c r="K1089" s="3">
        <v>41869.0</v>
      </c>
      <c r="L1089" s="4">
        <v>1359.7821</v>
      </c>
    </row>
    <row r="1090">
      <c r="A1090" s="3">
        <v>41870.0</v>
      </c>
      <c r="B1090" s="4">
        <v>123.17</v>
      </c>
      <c r="C1090" s="3">
        <v>41781.0</v>
      </c>
      <c r="D1090" s="4">
        <v>24.23</v>
      </c>
      <c r="E1090" s="3">
        <v>41883.0</v>
      </c>
      <c r="F1090" s="4">
        <v>113.32</v>
      </c>
      <c r="G1090" s="3">
        <v>41878.0</v>
      </c>
      <c r="H1090" s="4">
        <v>123.38</v>
      </c>
      <c r="I1090" s="3">
        <v>41878.0</v>
      </c>
      <c r="J1090" s="4">
        <v>129.69</v>
      </c>
      <c r="K1090" s="3">
        <v>41865.0</v>
      </c>
      <c r="L1090" s="4">
        <v>1358.3947</v>
      </c>
    </row>
    <row r="1091">
      <c r="A1091" s="3">
        <v>41869.0</v>
      </c>
      <c r="B1091" s="4">
        <v>122.98</v>
      </c>
      <c r="C1091" s="3">
        <v>41780.0</v>
      </c>
      <c r="D1091" s="4">
        <v>24.23</v>
      </c>
      <c r="E1091" s="3">
        <v>41880.0</v>
      </c>
      <c r="F1091" s="4">
        <v>113.27</v>
      </c>
      <c r="G1091" s="3">
        <v>41877.0</v>
      </c>
      <c r="H1091" s="4">
        <v>123.32</v>
      </c>
      <c r="I1091" s="3">
        <v>41877.0</v>
      </c>
      <c r="J1091" s="4">
        <v>129.59</v>
      </c>
      <c r="K1091" s="3">
        <v>41864.0</v>
      </c>
      <c r="L1091" s="4">
        <v>1354.9992</v>
      </c>
    </row>
    <row r="1092">
      <c r="A1092" s="3">
        <v>41865.0</v>
      </c>
      <c r="B1092" s="4">
        <v>122.92</v>
      </c>
      <c r="C1092" s="3">
        <v>41779.0</v>
      </c>
      <c r="D1092" s="4">
        <v>24.23</v>
      </c>
      <c r="E1092" s="3">
        <v>41879.0</v>
      </c>
      <c r="F1092" s="4">
        <v>113.26</v>
      </c>
      <c r="G1092" s="3">
        <v>41876.0</v>
      </c>
      <c r="H1092" s="4">
        <v>123.08</v>
      </c>
      <c r="I1092" s="3">
        <v>41876.0</v>
      </c>
      <c r="J1092" s="4">
        <v>129.15</v>
      </c>
      <c r="K1092" s="3">
        <v>41863.0</v>
      </c>
      <c r="L1092" s="4">
        <v>1357.7607</v>
      </c>
    </row>
    <row r="1093">
      <c r="A1093" s="3">
        <v>41864.0</v>
      </c>
      <c r="B1093" s="4">
        <v>122.9</v>
      </c>
      <c r="C1093" s="3">
        <v>41778.0</v>
      </c>
      <c r="D1093" s="4">
        <v>24.23</v>
      </c>
      <c r="E1093" s="3">
        <v>41878.0</v>
      </c>
      <c r="F1093" s="4">
        <v>113.29</v>
      </c>
      <c r="G1093" s="3">
        <v>41873.0</v>
      </c>
      <c r="H1093" s="4">
        <v>123.08</v>
      </c>
      <c r="I1093" s="3">
        <v>41873.0</v>
      </c>
      <c r="J1093" s="4">
        <v>128.99</v>
      </c>
      <c r="K1093" s="3">
        <v>41862.0</v>
      </c>
      <c r="L1093" s="4">
        <v>1350.903</v>
      </c>
    </row>
    <row r="1094">
      <c r="A1094" s="3">
        <v>41863.0</v>
      </c>
      <c r="B1094" s="4">
        <v>122.72</v>
      </c>
      <c r="C1094" s="3">
        <v>41775.0</v>
      </c>
      <c r="D1094" s="4">
        <v>24.23</v>
      </c>
      <c r="E1094" s="3">
        <v>41877.0</v>
      </c>
      <c r="F1094" s="4">
        <v>113.29</v>
      </c>
      <c r="G1094" s="3">
        <v>41872.0</v>
      </c>
      <c r="H1094" s="4">
        <v>123.11</v>
      </c>
      <c r="I1094" s="3">
        <v>41872.0</v>
      </c>
      <c r="J1094" s="4">
        <v>128.76</v>
      </c>
      <c r="K1094" s="3">
        <v>41859.0</v>
      </c>
      <c r="L1094" s="4">
        <v>1346.8514</v>
      </c>
    </row>
    <row r="1095">
      <c r="A1095" s="3">
        <v>41862.0</v>
      </c>
      <c r="B1095" s="4">
        <v>122.74</v>
      </c>
      <c r="C1095" s="3">
        <v>41774.0</v>
      </c>
      <c r="D1095" s="4">
        <v>24.23</v>
      </c>
      <c r="E1095" s="3">
        <v>41876.0</v>
      </c>
      <c r="F1095" s="4">
        <v>113.27</v>
      </c>
      <c r="G1095" s="3">
        <v>41871.0</v>
      </c>
      <c r="H1095" s="4">
        <v>123.09</v>
      </c>
      <c r="I1095" s="3">
        <v>41871.0</v>
      </c>
      <c r="J1095" s="4">
        <v>128.8</v>
      </c>
      <c r="K1095" s="3">
        <v>41858.0</v>
      </c>
      <c r="L1095" s="4">
        <v>1351.3541</v>
      </c>
    </row>
    <row r="1096">
      <c r="A1096" s="3">
        <v>41859.0</v>
      </c>
      <c r="B1096" s="4">
        <v>122.41</v>
      </c>
      <c r="C1096" s="3">
        <v>41773.0</v>
      </c>
      <c r="D1096" s="4">
        <v>24.24</v>
      </c>
      <c r="E1096" s="3">
        <v>41873.0</v>
      </c>
      <c r="F1096" s="4">
        <v>113.17</v>
      </c>
      <c r="G1096" s="3">
        <v>41870.0</v>
      </c>
      <c r="H1096" s="4">
        <v>122.98</v>
      </c>
      <c r="I1096" s="3">
        <v>41870.0</v>
      </c>
      <c r="J1096" s="4">
        <v>128.55</v>
      </c>
      <c r="K1096" s="3">
        <v>41857.0</v>
      </c>
      <c r="L1096" s="4">
        <v>1355.0519</v>
      </c>
    </row>
    <row r="1097">
      <c r="A1097" s="3">
        <v>41858.0</v>
      </c>
      <c r="B1097" s="4">
        <v>122.62</v>
      </c>
      <c r="C1097" s="3">
        <v>41772.0</v>
      </c>
      <c r="D1097" s="4">
        <v>24.23</v>
      </c>
      <c r="E1097" s="3">
        <v>41872.0</v>
      </c>
      <c r="F1097" s="4">
        <v>113.16</v>
      </c>
      <c r="G1097" s="3">
        <v>41869.0</v>
      </c>
      <c r="H1097" s="4">
        <v>122.99</v>
      </c>
      <c r="I1097" s="3">
        <v>41869.0</v>
      </c>
      <c r="J1097" s="4">
        <v>128.3</v>
      </c>
      <c r="K1097" s="3">
        <v>41856.0</v>
      </c>
      <c r="L1097" s="4">
        <v>1357.9462</v>
      </c>
    </row>
    <row r="1098">
      <c r="A1098" s="3">
        <v>41857.0</v>
      </c>
      <c r="B1098" s="4">
        <v>122.89</v>
      </c>
      <c r="C1098" s="3">
        <v>41771.0</v>
      </c>
      <c r="D1098" s="4">
        <v>24.21</v>
      </c>
      <c r="E1098" s="3">
        <v>41871.0</v>
      </c>
      <c r="F1098" s="4">
        <v>113.19</v>
      </c>
      <c r="G1098" s="3">
        <v>41865.0</v>
      </c>
      <c r="H1098" s="4">
        <v>122.94</v>
      </c>
      <c r="I1098" s="3">
        <v>41865.0</v>
      </c>
      <c r="J1098" s="4">
        <v>128.11</v>
      </c>
      <c r="K1098" s="3">
        <v>41855.0</v>
      </c>
      <c r="L1098" s="4">
        <v>1357.4399</v>
      </c>
    </row>
    <row r="1099">
      <c r="A1099" s="3">
        <v>41856.0</v>
      </c>
      <c r="B1099" s="4">
        <v>123.1</v>
      </c>
      <c r="C1099" s="3">
        <v>41768.0</v>
      </c>
      <c r="D1099" s="4">
        <v>24.21</v>
      </c>
      <c r="E1099" s="3">
        <v>41870.0</v>
      </c>
      <c r="F1099" s="4">
        <v>113.18</v>
      </c>
      <c r="G1099" s="3">
        <v>41864.0</v>
      </c>
      <c r="H1099" s="4">
        <v>122.83</v>
      </c>
      <c r="I1099" s="3">
        <v>41864.0</v>
      </c>
      <c r="J1099" s="4">
        <v>127.88</v>
      </c>
      <c r="K1099" s="3">
        <v>41852.0</v>
      </c>
      <c r="L1099" s="4">
        <v>1361.6811</v>
      </c>
    </row>
    <row r="1100">
      <c r="A1100" s="3">
        <v>41855.0</v>
      </c>
      <c r="B1100" s="4">
        <v>123.3</v>
      </c>
      <c r="C1100" s="3">
        <v>41767.0</v>
      </c>
      <c r="D1100" s="4">
        <v>24.19</v>
      </c>
      <c r="E1100" s="3">
        <v>41869.0</v>
      </c>
      <c r="F1100" s="4">
        <v>113.14</v>
      </c>
      <c r="G1100" s="3">
        <v>41863.0</v>
      </c>
      <c r="H1100" s="4">
        <v>122.79</v>
      </c>
      <c r="I1100" s="3">
        <v>41863.0</v>
      </c>
      <c r="J1100" s="4">
        <v>127.98</v>
      </c>
      <c r="K1100" s="3">
        <v>41851.0</v>
      </c>
      <c r="L1100" s="4">
        <v>1362.5416</v>
      </c>
    </row>
    <row r="1101">
      <c r="A1101" s="3">
        <v>41852.0</v>
      </c>
      <c r="B1101" s="4">
        <v>123.34</v>
      </c>
      <c r="C1101" s="3">
        <v>41766.0</v>
      </c>
      <c r="D1101" s="4">
        <v>24.16</v>
      </c>
      <c r="E1101" s="3">
        <v>41865.0</v>
      </c>
      <c r="F1101" s="4">
        <v>113.09</v>
      </c>
      <c r="G1101" s="3">
        <v>41862.0</v>
      </c>
      <c r="H1101" s="4">
        <v>122.89</v>
      </c>
      <c r="I1101" s="3">
        <v>41862.0</v>
      </c>
      <c r="J1101" s="4">
        <v>127.52</v>
      </c>
      <c r="K1101" s="3">
        <v>41850.0</v>
      </c>
      <c r="L1101" s="4">
        <v>1369.419</v>
      </c>
    </row>
    <row r="1102">
      <c r="A1102" s="3">
        <v>41851.0</v>
      </c>
      <c r="B1102" s="4">
        <v>123.78</v>
      </c>
      <c r="C1102" s="3">
        <v>41765.0</v>
      </c>
      <c r="D1102" s="4">
        <v>24.16</v>
      </c>
      <c r="E1102" s="3">
        <v>41864.0</v>
      </c>
      <c r="F1102" s="4">
        <v>113.06</v>
      </c>
      <c r="G1102" s="3">
        <v>41859.0</v>
      </c>
      <c r="H1102" s="4">
        <v>122.82</v>
      </c>
      <c r="I1102" s="3">
        <v>41859.0</v>
      </c>
      <c r="J1102" s="4">
        <v>127.85</v>
      </c>
      <c r="K1102" s="3">
        <v>41849.0</v>
      </c>
      <c r="L1102" s="4">
        <v>1369.2542</v>
      </c>
    </row>
    <row r="1103">
      <c r="A1103" s="3">
        <v>41850.0</v>
      </c>
      <c r="B1103" s="4">
        <v>124.14</v>
      </c>
      <c r="C1103" s="3">
        <v>41764.0</v>
      </c>
      <c r="D1103" s="4">
        <v>24.15</v>
      </c>
      <c r="E1103" s="3">
        <v>41863.0</v>
      </c>
      <c r="F1103" s="4">
        <v>113.05</v>
      </c>
      <c r="G1103" s="3">
        <v>41858.0</v>
      </c>
      <c r="H1103" s="4">
        <v>122.63</v>
      </c>
      <c r="I1103" s="3">
        <v>41858.0</v>
      </c>
      <c r="J1103" s="4">
        <v>127.87</v>
      </c>
      <c r="K1103" s="3">
        <v>41848.0</v>
      </c>
      <c r="L1103" s="4">
        <v>1370.1823</v>
      </c>
    </row>
    <row r="1104">
      <c r="A1104" s="3">
        <v>41849.0</v>
      </c>
      <c r="B1104" s="4">
        <v>124.42</v>
      </c>
      <c r="C1104" s="3">
        <v>41761.0</v>
      </c>
      <c r="D1104" s="4">
        <v>24.15</v>
      </c>
      <c r="E1104" s="3">
        <v>41862.0</v>
      </c>
      <c r="F1104" s="4">
        <v>112.99</v>
      </c>
      <c r="G1104" s="3">
        <v>41857.0</v>
      </c>
      <c r="H1104" s="4">
        <v>121.98</v>
      </c>
      <c r="I1104" s="3">
        <v>41857.0</v>
      </c>
      <c r="J1104" s="4">
        <v>127.99</v>
      </c>
      <c r="K1104" s="3">
        <v>41845.0</v>
      </c>
      <c r="L1104" s="4">
        <v>1371.7426</v>
      </c>
    </row>
    <row r="1105">
      <c r="A1105" s="3">
        <v>41848.0</v>
      </c>
      <c r="B1105" s="4">
        <v>124.37</v>
      </c>
      <c r="C1105" s="3">
        <v>41759.0</v>
      </c>
      <c r="D1105" s="4">
        <v>24.15</v>
      </c>
      <c r="E1105" s="3">
        <v>41859.0</v>
      </c>
      <c r="F1105" s="4">
        <v>112.88</v>
      </c>
      <c r="G1105" s="3">
        <v>41856.0</v>
      </c>
      <c r="H1105" s="4">
        <v>122.23</v>
      </c>
      <c r="I1105" s="3">
        <v>41856.0</v>
      </c>
      <c r="J1105" s="4">
        <v>127.97</v>
      </c>
      <c r="K1105" s="3">
        <v>41844.0</v>
      </c>
      <c r="L1105" s="4">
        <v>1370.006</v>
      </c>
    </row>
    <row r="1106">
      <c r="A1106" s="3">
        <v>41845.0</v>
      </c>
      <c r="B1106" s="4">
        <v>124.41</v>
      </c>
      <c r="C1106" s="3">
        <v>41758.0</v>
      </c>
      <c r="D1106" s="4">
        <v>24.16</v>
      </c>
      <c r="E1106" s="3">
        <v>41858.0</v>
      </c>
      <c r="F1106" s="4">
        <v>112.95</v>
      </c>
      <c r="G1106" s="3">
        <v>41855.0</v>
      </c>
      <c r="H1106" s="4">
        <v>122.22</v>
      </c>
      <c r="I1106" s="3">
        <v>41855.0</v>
      </c>
      <c r="J1106" s="4">
        <v>127.7</v>
      </c>
      <c r="K1106" s="3">
        <v>41843.0</v>
      </c>
      <c r="L1106" s="4">
        <v>1370.4861</v>
      </c>
    </row>
    <row r="1107">
      <c r="A1107" s="3">
        <v>41844.0</v>
      </c>
      <c r="B1107" s="4">
        <v>124.56</v>
      </c>
      <c r="C1107" s="3">
        <v>41757.0</v>
      </c>
      <c r="D1107" s="4">
        <v>24.15</v>
      </c>
      <c r="E1107" s="3">
        <v>41857.0</v>
      </c>
      <c r="F1107" s="4">
        <v>112.99</v>
      </c>
      <c r="G1107" s="3">
        <v>41852.0</v>
      </c>
      <c r="H1107" s="4">
        <v>122.99</v>
      </c>
      <c r="I1107" s="3">
        <v>41852.0</v>
      </c>
      <c r="J1107" s="4">
        <v>127.92</v>
      </c>
      <c r="K1107" s="3">
        <v>41842.0</v>
      </c>
      <c r="L1107" s="4">
        <v>1364.6544</v>
      </c>
    </row>
    <row r="1108">
      <c r="A1108" s="3">
        <v>41843.0</v>
      </c>
      <c r="B1108" s="4">
        <v>124.49</v>
      </c>
      <c r="C1108" s="3">
        <v>41754.0</v>
      </c>
      <c r="D1108" s="4">
        <v>24.15</v>
      </c>
      <c r="E1108" s="3">
        <v>41856.0</v>
      </c>
      <c r="F1108" s="4">
        <v>113.02</v>
      </c>
      <c r="G1108" s="3">
        <v>41851.0</v>
      </c>
      <c r="H1108" s="4">
        <v>124.04</v>
      </c>
      <c r="I1108" s="3">
        <v>41851.0</v>
      </c>
      <c r="J1108" s="4">
        <v>128.7</v>
      </c>
      <c r="K1108" s="3">
        <v>41841.0</v>
      </c>
      <c r="L1108" s="4">
        <v>1364.548</v>
      </c>
    </row>
    <row r="1109">
      <c r="A1109" s="3">
        <v>41842.0</v>
      </c>
      <c r="B1109" s="4">
        <v>124.47</v>
      </c>
      <c r="C1109" s="3">
        <v>41753.0</v>
      </c>
      <c r="D1109" s="4">
        <v>24.15</v>
      </c>
      <c r="E1109" s="3">
        <v>41855.0</v>
      </c>
      <c r="F1109" s="4">
        <v>113.05</v>
      </c>
      <c r="G1109" s="3">
        <v>41850.0</v>
      </c>
      <c r="H1109" s="4">
        <v>124.8</v>
      </c>
      <c r="I1109" s="3">
        <v>41850.0</v>
      </c>
      <c r="J1109" s="4">
        <v>128.71</v>
      </c>
      <c r="K1109" s="3">
        <v>41838.0</v>
      </c>
      <c r="L1109" s="4">
        <v>1363.9293</v>
      </c>
    </row>
    <row r="1110">
      <c r="A1110" s="3">
        <v>41841.0</v>
      </c>
      <c r="B1110" s="4">
        <v>124.21</v>
      </c>
      <c r="C1110" s="3">
        <v>41752.0</v>
      </c>
      <c r="D1110" s="4">
        <v>24.14</v>
      </c>
      <c r="E1110" s="3">
        <v>41852.0</v>
      </c>
      <c r="F1110" s="4">
        <v>112.99</v>
      </c>
      <c r="G1110" s="3">
        <v>41849.0</v>
      </c>
      <c r="H1110" s="4">
        <v>124.17</v>
      </c>
      <c r="I1110" s="3">
        <v>41849.0</v>
      </c>
      <c r="J1110" s="4">
        <v>128.6</v>
      </c>
      <c r="K1110" s="3">
        <v>41837.0</v>
      </c>
      <c r="L1110" s="4">
        <v>1370.2278</v>
      </c>
    </row>
    <row r="1111">
      <c r="A1111" s="3">
        <v>41838.0</v>
      </c>
      <c r="B1111" s="4">
        <v>124.34</v>
      </c>
      <c r="C1111" s="3">
        <v>41751.0</v>
      </c>
      <c r="D1111" s="4">
        <v>24.16</v>
      </c>
      <c r="E1111" s="3">
        <v>41851.0</v>
      </c>
      <c r="F1111" s="4">
        <v>113.08</v>
      </c>
      <c r="G1111" s="3">
        <v>41848.0</v>
      </c>
      <c r="H1111" s="4">
        <v>124.42</v>
      </c>
      <c r="I1111" s="3">
        <v>41848.0</v>
      </c>
      <c r="J1111" s="4">
        <v>128.66</v>
      </c>
      <c r="K1111" s="3">
        <v>41836.0</v>
      </c>
      <c r="L1111" s="4">
        <v>1364.7133</v>
      </c>
    </row>
    <row r="1112">
      <c r="A1112" s="3">
        <v>41837.0</v>
      </c>
      <c r="B1112" s="4">
        <v>124.45</v>
      </c>
      <c r="C1112" s="3">
        <v>41746.0</v>
      </c>
      <c r="D1112" s="4">
        <v>24.15</v>
      </c>
      <c r="E1112" s="3">
        <v>41850.0</v>
      </c>
      <c r="F1112" s="4">
        <v>113.14</v>
      </c>
      <c r="G1112" s="3">
        <v>41845.0</v>
      </c>
      <c r="H1112" s="4">
        <v>124.89</v>
      </c>
      <c r="I1112" s="3">
        <v>41845.0</v>
      </c>
      <c r="J1112" s="4">
        <v>128.58</v>
      </c>
      <c r="K1112" s="3">
        <v>41835.0</v>
      </c>
      <c r="L1112" s="4">
        <v>1366.6824</v>
      </c>
    </row>
    <row r="1113">
      <c r="A1113" s="3">
        <v>41836.0</v>
      </c>
      <c r="B1113" s="4">
        <v>124.63</v>
      </c>
      <c r="C1113" s="3">
        <v>41745.0</v>
      </c>
      <c r="D1113" s="4">
        <v>24.16</v>
      </c>
      <c r="E1113" s="3">
        <v>41849.0</v>
      </c>
      <c r="F1113" s="4">
        <v>113.13</v>
      </c>
      <c r="G1113" s="3">
        <v>41844.0</v>
      </c>
      <c r="H1113" s="4">
        <v>125.06</v>
      </c>
      <c r="I1113" s="3">
        <v>41844.0</v>
      </c>
      <c r="J1113" s="4">
        <v>128.77</v>
      </c>
      <c r="K1113" s="3">
        <v>41834.0</v>
      </c>
      <c r="L1113" s="4">
        <v>1363.9124</v>
      </c>
    </row>
    <row r="1114">
      <c r="A1114" s="3">
        <v>41835.0</v>
      </c>
      <c r="B1114" s="4">
        <v>124.22</v>
      </c>
      <c r="C1114" s="3">
        <v>41744.0</v>
      </c>
      <c r="D1114" s="4">
        <v>24.15</v>
      </c>
      <c r="E1114" s="3">
        <v>41848.0</v>
      </c>
      <c r="F1114" s="4">
        <v>113.15</v>
      </c>
      <c r="G1114" s="3">
        <v>41843.0</v>
      </c>
      <c r="H1114" s="4">
        <v>124.67</v>
      </c>
      <c r="I1114" s="3">
        <v>41843.0</v>
      </c>
      <c r="J1114" s="4">
        <v>128.67</v>
      </c>
      <c r="K1114" s="3">
        <v>41831.0</v>
      </c>
      <c r="L1114" s="4">
        <v>1363.1432</v>
      </c>
    </row>
    <row r="1115">
      <c r="A1115" s="3">
        <v>41831.0</v>
      </c>
      <c r="B1115" s="4">
        <v>124.24</v>
      </c>
      <c r="C1115" s="3">
        <v>41743.0</v>
      </c>
      <c r="D1115" s="4">
        <v>24.16</v>
      </c>
      <c r="E1115" s="3">
        <v>41845.0</v>
      </c>
      <c r="F1115" s="4">
        <v>113.15</v>
      </c>
      <c r="G1115" s="3">
        <v>41842.0</v>
      </c>
      <c r="H1115" s="4">
        <v>124.43</v>
      </c>
      <c r="I1115" s="3">
        <v>41842.0</v>
      </c>
      <c r="J1115" s="4">
        <v>128.36</v>
      </c>
      <c r="K1115" s="3">
        <v>41830.0</v>
      </c>
      <c r="L1115" s="4">
        <v>1367.4002</v>
      </c>
    </row>
    <row r="1116">
      <c r="A1116" s="3">
        <v>41830.0</v>
      </c>
      <c r="B1116" s="4">
        <v>124.34</v>
      </c>
      <c r="C1116" s="3">
        <v>41740.0</v>
      </c>
      <c r="D1116" s="4">
        <v>24.14</v>
      </c>
      <c r="E1116" s="3">
        <v>41844.0</v>
      </c>
      <c r="F1116" s="4">
        <v>113.11</v>
      </c>
      <c r="G1116" s="3">
        <v>41841.0</v>
      </c>
      <c r="H1116" s="4">
        <v>124.7</v>
      </c>
      <c r="I1116" s="3">
        <v>41841.0</v>
      </c>
      <c r="J1116" s="4">
        <v>128.61</v>
      </c>
      <c r="K1116" s="3">
        <v>41829.0</v>
      </c>
      <c r="L1116" s="4">
        <v>1365.8644</v>
      </c>
    </row>
    <row r="1117">
      <c r="A1117" s="3">
        <v>41829.0</v>
      </c>
      <c r="B1117" s="4">
        <v>124.74</v>
      </c>
      <c r="C1117" s="3">
        <v>41739.0</v>
      </c>
      <c r="D1117" s="4">
        <v>24.14</v>
      </c>
      <c r="E1117" s="3">
        <v>41843.0</v>
      </c>
      <c r="F1117" s="4">
        <v>113.1</v>
      </c>
      <c r="G1117" s="3">
        <v>41838.0</v>
      </c>
      <c r="H1117" s="4">
        <v>124.9</v>
      </c>
      <c r="I1117" s="3">
        <v>41838.0</v>
      </c>
      <c r="J1117" s="4">
        <v>128.25</v>
      </c>
      <c r="K1117" s="3">
        <v>41828.0</v>
      </c>
      <c r="L1117" s="4">
        <v>1375.0642</v>
      </c>
    </row>
    <row r="1118">
      <c r="A1118" s="3">
        <v>41828.0</v>
      </c>
      <c r="B1118" s="4">
        <v>124.72</v>
      </c>
      <c r="C1118" s="3">
        <v>41738.0</v>
      </c>
      <c r="D1118" s="4">
        <v>24.15</v>
      </c>
      <c r="E1118" s="3">
        <v>41842.0</v>
      </c>
      <c r="F1118" s="4">
        <v>113.1</v>
      </c>
      <c r="G1118" s="3">
        <v>41837.0</v>
      </c>
      <c r="H1118" s="4">
        <v>125.09</v>
      </c>
      <c r="I1118" s="3">
        <v>41837.0</v>
      </c>
      <c r="J1118" s="4">
        <v>128.5</v>
      </c>
      <c r="K1118" s="3">
        <v>41827.0</v>
      </c>
      <c r="L1118" s="4">
        <v>1380.1121</v>
      </c>
    </row>
    <row r="1119">
      <c r="A1119" s="3">
        <v>41827.0</v>
      </c>
      <c r="B1119" s="4">
        <v>125.17</v>
      </c>
      <c r="C1119" s="3">
        <v>41737.0</v>
      </c>
      <c r="D1119" s="4">
        <v>24.15</v>
      </c>
      <c r="E1119" s="3">
        <v>41841.0</v>
      </c>
      <c r="F1119" s="4">
        <v>113.08</v>
      </c>
      <c r="G1119" s="3">
        <v>41836.0</v>
      </c>
      <c r="H1119" s="4">
        <v>124.34</v>
      </c>
      <c r="I1119" s="3">
        <v>41836.0</v>
      </c>
      <c r="J1119" s="4">
        <v>128.31</v>
      </c>
      <c r="K1119" s="3">
        <v>41824.0</v>
      </c>
      <c r="L1119" s="4">
        <v>1380.3125</v>
      </c>
    </row>
    <row r="1120">
      <c r="A1120" s="3">
        <v>41824.0</v>
      </c>
      <c r="B1120" s="4">
        <v>125.51</v>
      </c>
      <c r="C1120" s="3">
        <v>41736.0</v>
      </c>
      <c r="D1120" s="4">
        <v>24.16</v>
      </c>
      <c r="E1120" s="3">
        <v>41838.0</v>
      </c>
      <c r="F1120" s="4">
        <v>113.07</v>
      </c>
      <c r="G1120" s="3">
        <v>41835.0</v>
      </c>
      <c r="H1120" s="4">
        <v>124.59</v>
      </c>
      <c r="I1120" s="3">
        <v>41835.0</v>
      </c>
      <c r="J1120" s="4">
        <v>128.31</v>
      </c>
      <c r="K1120" s="3">
        <v>41823.0</v>
      </c>
      <c r="L1120" s="4">
        <v>1379.3488</v>
      </c>
    </row>
    <row r="1121">
      <c r="A1121" s="3">
        <v>41823.0</v>
      </c>
      <c r="B1121" s="4">
        <v>125.66</v>
      </c>
      <c r="C1121" s="3">
        <v>41733.0</v>
      </c>
      <c r="D1121" s="4">
        <v>24.17</v>
      </c>
      <c r="E1121" s="3">
        <v>41837.0</v>
      </c>
      <c r="F1121" s="4">
        <v>113.16</v>
      </c>
      <c r="G1121" s="3">
        <v>41834.0</v>
      </c>
      <c r="H1121" s="4">
        <v>123.97</v>
      </c>
      <c r="I1121" s="3">
        <v>41834.0</v>
      </c>
      <c r="J1121" s="4">
        <v>128.2</v>
      </c>
      <c r="K1121" s="3">
        <v>41822.0</v>
      </c>
      <c r="L1121" s="4">
        <v>1377.1649</v>
      </c>
    </row>
    <row r="1122">
      <c r="A1122" s="3">
        <v>41822.0</v>
      </c>
      <c r="B1122" s="4">
        <v>125.54</v>
      </c>
      <c r="C1122" s="3">
        <v>41732.0</v>
      </c>
      <c r="D1122" s="4">
        <v>24.14</v>
      </c>
      <c r="E1122" s="3">
        <v>41836.0</v>
      </c>
      <c r="F1122" s="4">
        <v>113.22</v>
      </c>
      <c r="G1122" s="3">
        <v>41831.0</v>
      </c>
      <c r="H1122" s="4">
        <v>124.1</v>
      </c>
      <c r="I1122" s="3">
        <v>41831.0</v>
      </c>
      <c r="J1122" s="4">
        <v>128.05</v>
      </c>
      <c r="K1122" s="3">
        <v>41821.0</v>
      </c>
      <c r="L1122" s="4">
        <v>1373.6166</v>
      </c>
    </row>
    <row r="1123">
      <c r="A1123" s="3">
        <v>41821.0</v>
      </c>
      <c r="B1123" s="4">
        <v>125.41</v>
      </c>
      <c r="C1123" s="3">
        <v>41731.0</v>
      </c>
      <c r="D1123" s="4">
        <v>24.13</v>
      </c>
      <c r="E1123" s="3">
        <v>41835.0</v>
      </c>
      <c r="F1123" s="4">
        <v>113.17</v>
      </c>
      <c r="G1123" s="3">
        <v>41830.0</v>
      </c>
      <c r="H1123" s="4">
        <v>124.56</v>
      </c>
      <c r="I1123" s="3">
        <v>41830.0</v>
      </c>
      <c r="J1123" s="4">
        <v>128.29</v>
      </c>
      <c r="K1123" s="3">
        <v>41820.0</v>
      </c>
      <c r="L1123" s="4">
        <v>1372.424</v>
      </c>
    </row>
    <row r="1124">
      <c r="A1124" s="3">
        <v>41820.0</v>
      </c>
      <c r="B1124" s="4">
        <v>125.26</v>
      </c>
      <c r="C1124" s="3">
        <v>41730.0</v>
      </c>
      <c r="D1124" s="4">
        <v>24.13</v>
      </c>
      <c r="E1124" s="3">
        <v>41834.0</v>
      </c>
      <c r="F1124" s="4">
        <v>113.17</v>
      </c>
      <c r="G1124" s="3">
        <v>41829.0</v>
      </c>
      <c r="H1124" s="4">
        <v>124.41</v>
      </c>
      <c r="I1124" s="3">
        <v>41829.0</v>
      </c>
      <c r="J1124" s="4">
        <v>128.16</v>
      </c>
      <c r="K1124" s="3">
        <v>41817.0</v>
      </c>
      <c r="L1124" s="4">
        <v>1370.6856</v>
      </c>
    </row>
    <row r="1125">
      <c r="A1125" s="3">
        <v>41817.0</v>
      </c>
      <c r="B1125" s="4">
        <v>125.36</v>
      </c>
      <c r="C1125" s="3">
        <v>41729.0</v>
      </c>
      <c r="D1125" s="4">
        <v>24.13</v>
      </c>
      <c r="E1125" s="3">
        <v>41831.0</v>
      </c>
      <c r="F1125" s="4">
        <v>113.17</v>
      </c>
      <c r="G1125" s="3">
        <v>41828.0</v>
      </c>
      <c r="H1125" s="4">
        <v>124.72</v>
      </c>
      <c r="I1125" s="3">
        <v>41828.0</v>
      </c>
      <c r="J1125" s="4">
        <v>128.58</v>
      </c>
      <c r="K1125" s="3">
        <v>41816.0</v>
      </c>
      <c r="L1125" s="4">
        <v>1364.3383</v>
      </c>
    </row>
    <row r="1126">
      <c r="A1126" s="3">
        <v>41816.0</v>
      </c>
      <c r="B1126" s="4">
        <v>125.34</v>
      </c>
      <c r="C1126" s="3">
        <v>41726.0</v>
      </c>
      <c r="D1126" s="4">
        <v>24.13</v>
      </c>
      <c r="E1126" s="3">
        <v>41830.0</v>
      </c>
      <c r="F1126" s="4">
        <v>113.24</v>
      </c>
      <c r="G1126" s="3">
        <v>41827.0</v>
      </c>
      <c r="H1126" s="4">
        <v>125.2</v>
      </c>
      <c r="I1126" s="3">
        <v>41827.0</v>
      </c>
      <c r="J1126" s="4">
        <v>128.79</v>
      </c>
      <c r="K1126" s="3">
        <v>41815.0</v>
      </c>
      <c r="L1126" s="4">
        <v>1364.4117</v>
      </c>
    </row>
    <row r="1127">
      <c r="A1127" s="3">
        <v>41815.0</v>
      </c>
      <c r="B1127" s="4">
        <v>125.32</v>
      </c>
      <c r="C1127" s="3">
        <v>41725.0</v>
      </c>
      <c r="D1127" s="4">
        <v>24.14</v>
      </c>
      <c r="E1127" s="3">
        <v>41829.0</v>
      </c>
      <c r="F1127" s="4">
        <v>113.29</v>
      </c>
      <c r="G1127" s="3">
        <v>41824.0</v>
      </c>
      <c r="H1127" s="4">
        <v>124.92</v>
      </c>
      <c r="I1127" s="3">
        <v>41824.0</v>
      </c>
      <c r="J1127" s="4">
        <v>128.75</v>
      </c>
      <c r="K1127" s="3">
        <v>41814.0</v>
      </c>
      <c r="L1127" s="4">
        <v>1372.898</v>
      </c>
    </row>
    <row r="1128">
      <c r="A1128" s="3">
        <v>41814.0</v>
      </c>
      <c r="B1128" s="4">
        <v>125.54</v>
      </c>
      <c r="C1128" s="3">
        <v>41724.0</v>
      </c>
      <c r="D1128" s="4">
        <v>24.11</v>
      </c>
      <c r="E1128" s="3">
        <v>41828.0</v>
      </c>
      <c r="F1128" s="4">
        <v>113.33</v>
      </c>
      <c r="G1128" s="3">
        <v>41823.0</v>
      </c>
      <c r="H1128" s="4">
        <v>124.49</v>
      </c>
      <c r="I1128" s="3">
        <v>41823.0</v>
      </c>
      <c r="J1128" s="4">
        <v>128.57</v>
      </c>
      <c r="K1128" s="3">
        <v>41810.0</v>
      </c>
      <c r="L1128" s="4">
        <v>1374.1379</v>
      </c>
    </row>
    <row r="1129">
      <c r="A1129" s="3">
        <v>41810.0</v>
      </c>
      <c r="B1129" s="4">
        <v>125.74</v>
      </c>
      <c r="C1129" s="3">
        <v>41723.0</v>
      </c>
      <c r="D1129" s="4">
        <v>24.1</v>
      </c>
      <c r="E1129" s="3">
        <v>41827.0</v>
      </c>
      <c r="F1129" s="4">
        <v>113.33</v>
      </c>
      <c r="G1129" s="3">
        <v>41822.0</v>
      </c>
      <c r="H1129" s="4">
        <v>124.72</v>
      </c>
      <c r="I1129" s="3">
        <v>41822.0</v>
      </c>
      <c r="J1129" s="4">
        <v>128.66</v>
      </c>
      <c r="K1129" s="3">
        <v>41809.0</v>
      </c>
      <c r="L1129" s="4">
        <v>1371.9008</v>
      </c>
    </row>
    <row r="1130">
      <c r="A1130" s="3">
        <v>41809.0</v>
      </c>
      <c r="B1130" s="4">
        <v>125.68</v>
      </c>
      <c r="C1130" s="3">
        <v>41722.0</v>
      </c>
      <c r="D1130" s="4">
        <v>24.09</v>
      </c>
      <c r="E1130" s="3">
        <v>41824.0</v>
      </c>
      <c r="F1130" s="4">
        <v>113.3</v>
      </c>
      <c r="G1130" s="3">
        <v>41821.0</v>
      </c>
      <c r="H1130" s="4">
        <v>124.48</v>
      </c>
      <c r="I1130" s="3">
        <v>41821.0</v>
      </c>
      <c r="J1130" s="4">
        <v>128.17</v>
      </c>
      <c r="K1130" s="3">
        <v>41808.0</v>
      </c>
      <c r="L1130" s="4">
        <v>1369.7599</v>
      </c>
    </row>
    <row r="1131">
      <c r="A1131" s="3">
        <v>41808.0</v>
      </c>
      <c r="B1131" s="4">
        <v>125.41</v>
      </c>
      <c r="C1131" s="3">
        <v>41719.0</v>
      </c>
      <c r="D1131" s="4">
        <v>24.08</v>
      </c>
      <c r="E1131" s="3">
        <v>41823.0</v>
      </c>
      <c r="F1131" s="4">
        <v>113.35</v>
      </c>
      <c r="G1131" s="3">
        <v>41820.0</v>
      </c>
      <c r="H1131" s="4">
        <v>124.2</v>
      </c>
      <c r="I1131" s="3">
        <v>41820.0</v>
      </c>
      <c r="J1131" s="4">
        <v>128.27</v>
      </c>
      <c r="K1131" s="3">
        <v>41807.0</v>
      </c>
      <c r="L1131" s="4">
        <v>1367.907</v>
      </c>
    </row>
    <row r="1132">
      <c r="A1132" s="3">
        <v>41807.0</v>
      </c>
      <c r="B1132" s="4">
        <v>125.38</v>
      </c>
      <c r="C1132" s="3">
        <v>41718.0</v>
      </c>
      <c r="D1132" s="4">
        <v>24.08</v>
      </c>
      <c r="E1132" s="3">
        <v>41822.0</v>
      </c>
      <c r="F1132" s="4">
        <v>113.32</v>
      </c>
      <c r="G1132" s="3">
        <v>41817.0</v>
      </c>
      <c r="H1132" s="4">
        <v>124.3</v>
      </c>
      <c r="I1132" s="3">
        <v>41817.0</v>
      </c>
      <c r="J1132" s="4">
        <v>128.41</v>
      </c>
      <c r="K1132" s="3">
        <v>41806.0</v>
      </c>
      <c r="L1132" s="4">
        <v>1367.9768</v>
      </c>
    </row>
    <row r="1133">
      <c r="A1133" s="3">
        <v>41806.0</v>
      </c>
      <c r="B1133" s="4">
        <v>125.44</v>
      </c>
      <c r="C1133" s="3">
        <v>41717.0</v>
      </c>
      <c r="D1133" s="4">
        <v>24.06</v>
      </c>
      <c r="E1133" s="3">
        <v>41821.0</v>
      </c>
      <c r="F1133" s="4">
        <v>113.29</v>
      </c>
      <c r="G1133" s="3">
        <v>41816.0</v>
      </c>
      <c r="H1133" s="4">
        <v>124.46</v>
      </c>
      <c r="I1133" s="3">
        <v>41816.0</v>
      </c>
      <c r="J1133" s="4">
        <v>128.28</v>
      </c>
      <c r="K1133" s="3">
        <v>41803.0</v>
      </c>
      <c r="L1133" s="4">
        <v>1369.8057</v>
      </c>
    </row>
    <row r="1134">
      <c r="A1134" s="3">
        <v>41803.0</v>
      </c>
      <c r="B1134" s="4">
        <v>125.66</v>
      </c>
      <c r="C1134" s="3">
        <v>41716.0</v>
      </c>
      <c r="D1134" s="4">
        <v>24.06</v>
      </c>
      <c r="E1134" s="3">
        <v>41820.0</v>
      </c>
      <c r="F1134" s="4">
        <v>113.25</v>
      </c>
      <c r="G1134" s="3">
        <v>41815.0</v>
      </c>
      <c r="H1134" s="4">
        <v>124.22</v>
      </c>
      <c r="I1134" s="3">
        <v>41815.0</v>
      </c>
      <c r="J1134" s="4">
        <v>128.43</v>
      </c>
      <c r="K1134" s="3">
        <v>41802.0</v>
      </c>
      <c r="L1134" s="4">
        <v>1372.3231</v>
      </c>
    </row>
    <row r="1135">
      <c r="A1135" s="3">
        <v>41802.0</v>
      </c>
      <c r="B1135" s="4">
        <v>125.9</v>
      </c>
      <c r="C1135" s="3">
        <v>41715.0</v>
      </c>
      <c r="D1135" s="4">
        <v>24.05</v>
      </c>
      <c r="E1135" s="3">
        <v>41817.0</v>
      </c>
      <c r="F1135" s="4">
        <v>113.26</v>
      </c>
      <c r="G1135" s="3">
        <v>41814.0</v>
      </c>
      <c r="H1135" s="4">
        <v>124.24</v>
      </c>
      <c r="I1135" s="3">
        <v>41814.0</v>
      </c>
      <c r="J1135" s="4">
        <v>128.65</v>
      </c>
      <c r="K1135" s="3">
        <v>41801.0</v>
      </c>
      <c r="L1135" s="4">
        <v>1375.0469</v>
      </c>
    </row>
    <row r="1136">
      <c r="A1136" s="3">
        <v>41801.0</v>
      </c>
      <c r="B1136" s="4">
        <v>125.85</v>
      </c>
      <c r="C1136" s="3">
        <v>41712.0</v>
      </c>
      <c r="D1136" s="4">
        <v>24.04</v>
      </c>
      <c r="E1136" s="3">
        <v>41816.0</v>
      </c>
      <c r="F1136" s="4">
        <v>113.26</v>
      </c>
      <c r="G1136" s="3">
        <v>41810.0</v>
      </c>
      <c r="H1136" s="4">
        <v>124.55</v>
      </c>
      <c r="I1136" s="3">
        <v>41810.0</v>
      </c>
      <c r="J1136" s="4">
        <v>128.68</v>
      </c>
      <c r="K1136" s="3">
        <v>41800.0</v>
      </c>
      <c r="L1136" s="4">
        <v>1374.2749</v>
      </c>
    </row>
    <row r="1137">
      <c r="A1137" s="3">
        <v>41800.0</v>
      </c>
      <c r="B1137" s="4">
        <v>126.14</v>
      </c>
      <c r="C1137" s="3">
        <v>41711.0</v>
      </c>
      <c r="D1137" s="4">
        <v>24.05</v>
      </c>
      <c r="E1137" s="3">
        <v>41815.0</v>
      </c>
      <c r="F1137" s="4">
        <v>113.27</v>
      </c>
      <c r="G1137" s="3">
        <v>41809.0</v>
      </c>
      <c r="H1137" s="4">
        <v>123.61</v>
      </c>
      <c r="I1137" s="3">
        <v>41809.0</v>
      </c>
      <c r="J1137" s="4">
        <v>128.53</v>
      </c>
      <c r="K1137" s="3">
        <v>41796.0</v>
      </c>
      <c r="L1137" s="4">
        <v>1370.3061</v>
      </c>
    </row>
    <row r="1138">
      <c r="A1138" s="3">
        <v>41796.0</v>
      </c>
      <c r="B1138" s="4">
        <v>126.04</v>
      </c>
      <c r="C1138" s="3">
        <v>41710.0</v>
      </c>
      <c r="D1138" s="4">
        <v>24.04</v>
      </c>
      <c r="E1138" s="3">
        <v>41814.0</v>
      </c>
      <c r="F1138" s="4">
        <v>113.26</v>
      </c>
      <c r="G1138" s="3">
        <v>41808.0</v>
      </c>
      <c r="H1138" s="4">
        <v>123.22</v>
      </c>
      <c r="I1138" s="3">
        <v>41808.0</v>
      </c>
      <c r="J1138" s="4">
        <v>128.47</v>
      </c>
      <c r="K1138" s="3">
        <v>41795.0</v>
      </c>
      <c r="L1138" s="4">
        <v>1367.7891</v>
      </c>
    </row>
    <row r="1139">
      <c r="A1139" s="3">
        <v>41795.0</v>
      </c>
      <c r="B1139" s="4">
        <v>125.47</v>
      </c>
      <c r="C1139" s="3">
        <v>41709.0</v>
      </c>
      <c r="D1139" s="4">
        <v>24.06</v>
      </c>
      <c r="E1139" s="3">
        <v>41810.0</v>
      </c>
      <c r="F1139" s="4">
        <v>113.53</v>
      </c>
      <c r="G1139" s="3">
        <v>41807.0</v>
      </c>
      <c r="H1139" s="4">
        <v>123.65</v>
      </c>
      <c r="I1139" s="3">
        <v>41807.0</v>
      </c>
      <c r="J1139" s="4">
        <v>128.27</v>
      </c>
      <c r="K1139" s="3">
        <v>41794.0</v>
      </c>
      <c r="L1139" s="4">
        <v>1367.5316</v>
      </c>
    </row>
    <row r="1140">
      <c r="A1140" s="3">
        <v>41794.0</v>
      </c>
      <c r="B1140" s="4">
        <v>125.17</v>
      </c>
      <c r="C1140" s="3">
        <v>41708.0</v>
      </c>
      <c r="D1140" s="4">
        <v>24.05</v>
      </c>
      <c r="E1140" s="3">
        <v>41809.0</v>
      </c>
      <c r="F1140" s="4">
        <v>113.5</v>
      </c>
      <c r="G1140" s="3">
        <v>41806.0</v>
      </c>
      <c r="H1140" s="4">
        <v>123.59</v>
      </c>
      <c r="I1140" s="3">
        <v>41806.0</v>
      </c>
      <c r="J1140" s="4">
        <v>128.52</v>
      </c>
      <c r="K1140" s="3">
        <v>41793.0</v>
      </c>
      <c r="L1140" s="4">
        <v>1369.6202</v>
      </c>
    </row>
    <row r="1141">
      <c r="A1141" s="3">
        <v>41793.0</v>
      </c>
      <c r="B1141" s="4">
        <v>125.22</v>
      </c>
      <c r="C1141" s="3">
        <v>41705.0</v>
      </c>
      <c r="D1141" s="4">
        <v>24.06</v>
      </c>
      <c r="E1141" s="3">
        <v>41808.0</v>
      </c>
      <c r="F1141" s="4">
        <v>113.46</v>
      </c>
      <c r="G1141" s="3">
        <v>41803.0</v>
      </c>
      <c r="H1141" s="4">
        <v>123.54</v>
      </c>
      <c r="I1141" s="3">
        <v>41803.0</v>
      </c>
      <c r="J1141" s="4">
        <v>128.11</v>
      </c>
      <c r="K1141" s="3">
        <v>41792.0</v>
      </c>
      <c r="L1141" s="4">
        <v>1368.6277</v>
      </c>
    </row>
    <row r="1142">
      <c r="A1142" s="3">
        <v>41792.0</v>
      </c>
      <c r="B1142" s="4">
        <v>125.45</v>
      </c>
      <c r="C1142" s="3">
        <v>41704.0</v>
      </c>
      <c r="D1142" s="4">
        <v>24.07</v>
      </c>
      <c r="E1142" s="3">
        <v>41807.0</v>
      </c>
      <c r="F1142" s="4">
        <v>113.47</v>
      </c>
      <c r="G1142" s="3">
        <v>41802.0</v>
      </c>
      <c r="H1142" s="4">
        <v>123.44</v>
      </c>
      <c r="I1142" s="3">
        <v>41802.0</v>
      </c>
      <c r="J1142" s="4">
        <v>128.16</v>
      </c>
      <c r="K1142" s="3">
        <v>41789.0</v>
      </c>
      <c r="L1142" s="4">
        <v>1368.9015</v>
      </c>
    </row>
    <row r="1143">
      <c r="A1143" s="3">
        <v>41789.0</v>
      </c>
      <c r="B1143" s="4">
        <v>125.29</v>
      </c>
      <c r="C1143" s="3">
        <v>41703.0</v>
      </c>
      <c r="D1143" s="4">
        <v>24.08</v>
      </c>
      <c r="E1143" s="3">
        <v>41806.0</v>
      </c>
      <c r="F1143" s="4">
        <v>113.48</v>
      </c>
      <c r="G1143" s="3">
        <v>41801.0</v>
      </c>
      <c r="H1143" s="4">
        <v>123.72</v>
      </c>
      <c r="I1143" s="3">
        <v>41801.0</v>
      </c>
      <c r="J1143" s="4">
        <v>128.51</v>
      </c>
      <c r="K1143" s="3">
        <v>41787.0</v>
      </c>
      <c r="L1143" s="4">
        <v>1366.8575</v>
      </c>
    </row>
    <row r="1144">
      <c r="A1144" s="3">
        <v>41787.0</v>
      </c>
      <c r="B1144" s="4">
        <v>125.17</v>
      </c>
      <c r="C1144" s="3">
        <v>41702.0</v>
      </c>
      <c r="D1144" s="4">
        <v>24.07</v>
      </c>
      <c r="E1144" s="3">
        <v>41803.0</v>
      </c>
      <c r="F1144" s="4">
        <v>113.5</v>
      </c>
      <c r="G1144" s="3">
        <v>41800.0</v>
      </c>
      <c r="H1144" s="4">
        <v>124.05</v>
      </c>
      <c r="I1144" s="3">
        <v>41800.0</v>
      </c>
      <c r="J1144" s="4">
        <v>128.31</v>
      </c>
      <c r="K1144" s="3">
        <v>41786.0</v>
      </c>
      <c r="L1144" s="4">
        <v>1362.8768</v>
      </c>
    </row>
    <row r="1145">
      <c r="A1145" s="3">
        <v>41786.0</v>
      </c>
      <c r="B1145" s="4">
        <v>125.11</v>
      </c>
      <c r="C1145" s="3">
        <v>41701.0</v>
      </c>
      <c r="D1145" s="4">
        <v>24.06</v>
      </c>
      <c r="E1145" s="3">
        <v>41802.0</v>
      </c>
      <c r="F1145" s="4">
        <v>113.47</v>
      </c>
      <c r="G1145" s="3">
        <v>41796.0</v>
      </c>
      <c r="H1145" s="4">
        <v>123.24</v>
      </c>
      <c r="I1145" s="3">
        <v>41796.0</v>
      </c>
      <c r="J1145" s="4">
        <v>127.71</v>
      </c>
      <c r="K1145" s="3">
        <v>41785.0</v>
      </c>
      <c r="L1145" s="4">
        <v>1360.5593</v>
      </c>
    </row>
    <row r="1146">
      <c r="A1146" s="3">
        <v>41785.0</v>
      </c>
      <c r="B1146" s="4">
        <v>125.01</v>
      </c>
      <c r="C1146" s="3">
        <v>41698.0</v>
      </c>
      <c r="D1146" s="4">
        <v>24.06</v>
      </c>
      <c r="E1146" s="3">
        <v>41801.0</v>
      </c>
      <c r="F1146" s="4">
        <v>113.46</v>
      </c>
      <c r="G1146" s="3">
        <v>41795.0</v>
      </c>
      <c r="H1146" s="4">
        <v>122.83</v>
      </c>
      <c r="I1146" s="3">
        <v>41795.0</v>
      </c>
      <c r="J1146" s="4">
        <v>127.39</v>
      </c>
      <c r="K1146" s="3">
        <v>41782.0</v>
      </c>
      <c r="L1146" s="4">
        <v>1357.1563</v>
      </c>
    </row>
    <row r="1147">
      <c r="A1147" s="3">
        <v>41782.0</v>
      </c>
      <c r="B1147" s="4">
        <v>124.72</v>
      </c>
      <c r="C1147" s="3">
        <v>41697.0</v>
      </c>
      <c r="D1147" s="4">
        <v>24.08</v>
      </c>
      <c r="E1147" s="3">
        <v>41800.0</v>
      </c>
      <c r="F1147" s="4">
        <v>113.45</v>
      </c>
      <c r="G1147" s="3">
        <v>41794.0</v>
      </c>
      <c r="H1147" s="4">
        <v>123.05</v>
      </c>
      <c r="I1147" s="3">
        <v>41794.0</v>
      </c>
      <c r="J1147" s="4">
        <v>127.38</v>
      </c>
      <c r="K1147" s="3">
        <v>41781.0</v>
      </c>
      <c r="L1147" s="4">
        <v>1353.8273</v>
      </c>
    </row>
    <row r="1148">
      <c r="A1148" s="3">
        <v>41781.0</v>
      </c>
      <c r="B1148" s="4">
        <v>124.51</v>
      </c>
      <c r="C1148" s="3">
        <v>41696.0</v>
      </c>
      <c r="D1148" s="4">
        <v>24.08</v>
      </c>
      <c r="E1148" s="3">
        <v>41796.0</v>
      </c>
      <c r="F1148" s="4">
        <v>113.36</v>
      </c>
      <c r="G1148" s="3">
        <v>41793.0</v>
      </c>
      <c r="H1148" s="4">
        <v>123.78</v>
      </c>
      <c r="I1148" s="3">
        <v>41793.0</v>
      </c>
      <c r="J1148" s="4">
        <v>127.63</v>
      </c>
      <c r="K1148" s="3">
        <v>41780.0</v>
      </c>
      <c r="L1148" s="4">
        <v>1351.072</v>
      </c>
    </row>
    <row r="1149">
      <c r="A1149" s="3">
        <v>41780.0</v>
      </c>
      <c r="B1149" s="4">
        <v>124.37</v>
      </c>
      <c r="C1149" s="3">
        <v>41695.0</v>
      </c>
      <c r="D1149" s="4">
        <v>24.07</v>
      </c>
      <c r="E1149" s="3">
        <v>41795.0</v>
      </c>
      <c r="F1149" s="4">
        <v>113.31</v>
      </c>
      <c r="G1149" s="3">
        <v>41792.0</v>
      </c>
      <c r="H1149" s="4">
        <v>123.68</v>
      </c>
      <c r="I1149" s="3">
        <v>41792.0</v>
      </c>
      <c r="J1149" s="4">
        <v>127.54</v>
      </c>
      <c r="K1149" s="3">
        <v>41779.0</v>
      </c>
      <c r="L1149" s="4">
        <v>1353.4537</v>
      </c>
    </row>
    <row r="1150">
      <c r="A1150" s="3">
        <v>41779.0</v>
      </c>
      <c r="B1150" s="4">
        <v>124.3</v>
      </c>
      <c r="C1150" s="3">
        <v>41694.0</v>
      </c>
      <c r="D1150" s="4">
        <v>24.07</v>
      </c>
      <c r="E1150" s="3">
        <v>41794.0</v>
      </c>
      <c r="F1150" s="4">
        <v>113.26</v>
      </c>
      <c r="G1150" s="3">
        <v>41789.0</v>
      </c>
      <c r="H1150" s="4">
        <v>123.84</v>
      </c>
      <c r="I1150" s="3">
        <v>41789.0</v>
      </c>
      <c r="J1150" s="4">
        <v>127.78</v>
      </c>
      <c r="K1150" s="3">
        <v>41778.0</v>
      </c>
      <c r="L1150" s="4">
        <v>1349.7965</v>
      </c>
    </row>
    <row r="1151">
      <c r="A1151" s="3">
        <v>41778.0</v>
      </c>
      <c r="B1151" s="4">
        <v>124.32</v>
      </c>
      <c r="C1151" s="3">
        <v>41691.0</v>
      </c>
      <c r="D1151" s="4">
        <v>24.05</v>
      </c>
      <c r="E1151" s="3">
        <v>41793.0</v>
      </c>
      <c r="F1151" s="4">
        <v>113.21</v>
      </c>
      <c r="G1151" s="3">
        <v>41787.0</v>
      </c>
      <c r="H1151" s="4">
        <v>123.4</v>
      </c>
      <c r="I1151" s="3">
        <v>41787.0</v>
      </c>
      <c r="J1151" s="4">
        <v>127.53</v>
      </c>
      <c r="K1151" s="3">
        <v>41775.0</v>
      </c>
      <c r="L1151" s="4">
        <v>1351.2753</v>
      </c>
    </row>
    <row r="1152">
      <c r="A1152" s="3">
        <v>41775.0</v>
      </c>
      <c r="B1152" s="4">
        <v>124.2</v>
      </c>
      <c r="C1152" s="3">
        <v>41690.0</v>
      </c>
      <c r="D1152" s="4">
        <v>24.06</v>
      </c>
      <c r="E1152" s="3">
        <v>41792.0</v>
      </c>
      <c r="F1152" s="4">
        <v>113.2</v>
      </c>
      <c r="G1152" s="3">
        <v>41786.0</v>
      </c>
      <c r="H1152" s="4">
        <v>122.91</v>
      </c>
      <c r="I1152" s="3">
        <v>41786.0</v>
      </c>
      <c r="J1152" s="4">
        <v>127.22</v>
      </c>
      <c r="K1152" s="3">
        <v>41774.0</v>
      </c>
      <c r="L1152" s="4">
        <v>1358.2247</v>
      </c>
    </row>
    <row r="1153">
      <c r="A1153" s="3">
        <v>41774.0</v>
      </c>
      <c r="B1153" s="4">
        <v>124.42</v>
      </c>
      <c r="C1153" s="3">
        <v>41689.0</v>
      </c>
      <c r="D1153" s="4">
        <v>24.07</v>
      </c>
      <c r="E1153" s="3">
        <v>41789.0</v>
      </c>
      <c r="F1153" s="4">
        <v>113.12</v>
      </c>
      <c r="G1153" s="3">
        <v>41785.0</v>
      </c>
      <c r="H1153" s="4">
        <v>122.27</v>
      </c>
      <c r="I1153" s="3">
        <v>41785.0</v>
      </c>
      <c r="J1153" s="4">
        <v>127.23</v>
      </c>
      <c r="K1153" s="3">
        <v>41773.0</v>
      </c>
      <c r="L1153" s="4">
        <v>1360.9043</v>
      </c>
    </row>
    <row r="1154">
      <c r="A1154" s="3">
        <v>41773.0</v>
      </c>
      <c r="B1154" s="4">
        <v>125.06</v>
      </c>
      <c r="C1154" s="3">
        <v>41688.0</v>
      </c>
      <c r="D1154" s="4">
        <v>24.07</v>
      </c>
      <c r="E1154" s="3">
        <v>41787.0</v>
      </c>
      <c r="F1154" s="4">
        <v>113.11</v>
      </c>
      <c r="G1154" s="3">
        <v>41782.0</v>
      </c>
      <c r="H1154" s="4">
        <v>122.13</v>
      </c>
      <c r="I1154" s="3">
        <v>41782.0</v>
      </c>
      <c r="J1154" s="4">
        <v>126.93</v>
      </c>
      <c r="K1154" s="3">
        <v>41772.0</v>
      </c>
      <c r="L1154" s="4">
        <v>1360.2299</v>
      </c>
    </row>
    <row r="1155">
      <c r="A1155" s="3">
        <v>41772.0</v>
      </c>
      <c r="B1155" s="4">
        <v>124.96</v>
      </c>
      <c r="C1155" s="3">
        <v>41687.0</v>
      </c>
      <c r="D1155" s="4">
        <v>24.08</v>
      </c>
      <c r="E1155" s="3">
        <v>41786.0</v>
      </c>
      <c r="F1155" s="4">
        <v>113.1</v>
      </c>
      <c r="G1155" s="3">
        <v>41781.0</v>
      </c>
      <c r="H1155" s="4">
        <v>121.72</v>
      </c>
      <c r="I1155" s="3">
        <v>41781.0</v>
      </c>
      <c r="J1155" s="4">
        <v>126.81</v>
      </c>
      <c r="K1155" s="3">
        <v>41771.0</v>
      </c>
      <c r="L1155" s="4">
        <v>1352.7116</v>
      </c>
    </row>
    <row r="1156">
      <c r="A1156" s="3">
        <v>41771.0</v>
      </c>
      <c r="B1156" s="4">
        <v>124.83</v>
      </c>
      <c r="C1156" s="3">
        <v>41684.0</v>
      </c>
      <c r="D1156" s="4">
        <v>24.09</v>
      </c>
      <c r="E1156" s="3">
        <v>41785.0</v>
      </c>
      <c r="F1156" s="4">
        <v>113.03</v>
      </c>
      <c r="G1156" s="3">
        <v>41780.0</v>
      </c>
      <c r="H1156" s="4">
        <v>121.7</v>
      </c>
      <c r="I1156" s="3">
        <v>41780.0</v>
      </c>
      <c r="J1156" s="4">
        <v>126.55</v>
      </c>
      <c r="K1156" s="3">
        <v>41768.0</v>
      </c>
      <c r="L1156" s="4">
        <v>1353.9108</v>
      </c>
    </row>
    <row r="1157">
      <c r="A1157" s="3">
        <v>41768.0</v>
      </c>
      <c r="B1157" s="4">
        <v>124.53</v>
      </c>
      <c r="C1157" s="3">
        <v>41683.0</v>
      </c>
      <c r="D1157" s="4">
        <v>24.08</v>
      </c>
      <c r="E1157" s="3">
        <v>41782.0</v>
      </c>
      <c r="F1157" s="4">
        <v>113.0</v>
      </c>
      <c r="G1157" s="3">
        <v>41779.0</v>
      </c>
      <c r="H1157" s="4">
        <v>121.98</v>
      </c>
      <c r="I1157" s="3">
        <v>41779.0</v>
      </c>
      <c r="J1157" s="4">
        <v>126.69</v>
      </c>
      <c r="K1157" s="3">
        <v>41767.0</v>
      </c>
      <c r="L1157" s="4">
        <v>1351.6692</v>
      </c>
    </row>
    <row r="1158">
      <c r="A1158" s="3">
        <v>41766.0</v>
      </c>
      <c r="B1158" s="4">
        <v>124.27</v>
      </c>
      <c r="C1158" s="3">
        <v>41682.0</v>
      </c>
      <c r="D1158" s="4">
        <v>24.11</v>
      </c>
      <c r="E1158" s="3">
        <v>41781.0</v>
      </c>
      <c r="F1158" s="4">
        <v>112.97</v>
      </c>
      <c r="G1158" s="3">
        <v>41778.0</v>
      </c>
      <c r="H1158" s="4">
        <v>121.83</v>
      </c>
      <c r="I1158" s="3">
        <v>41778.0</v>
      </c>
      <c r="J1158" s="4">
        <v>126.64</v>
      </c>
      <c r="K1158" s="3">
        <v>41766.0</v>
      </c>
      <c r="L1158" s="4">
        <v>1350.6503</v>
      </c>
    </row>
    <row r="1159">
      <c r="A1159" s="3">
        <v>41765.0</v>
      </c>
      <c r="B1159" s="4">
        <v>124.18</v>
      </c>
      <c r="C1159" s="3">
        <v>41681.0</v>
      </c>
      <c r="D1159" s="4">
        <v>24.08</v>
      </c>
      <c r="E1159" s="3">
        <v>41780.0</v>
      </c>
      <c r="F1159" s="4">
        <v>112.9</v>
      </c>
      <c r="G1159" s="3">
        <v>41775.0</v>
      </c>
      <c r="H1159" s="4">
        <v>122.29</v>
      </c>
      <c r="I1159" s="3">
        <v>41775.0</v>
      </c>
      <c r="J1159" s="4">
        <v>126.44</v>
      </c>
      <c r="K1159" s="3">
        <v>41765.0</v>
      </c>
      <c r="L1159" s="4">
        <v>1354.6078</v>
      </c>
    </row>
    <row r="1160">
      <c r="A1160" s="3">
        <v>41764.0</v>
      </c>
      <c r="B1160" s="4">
        <v>124.26</v>
      </c>
      <c r="C1160" s="3">
        <v>41680.0</v>
      </c>
      <c r="D1160" s="4">
        <v>24.07</v>
      </c>
      <c r="E1160" s="3">
        <v>41779.0</v>
      </c>
      <c r="F1160" s="4">
        <v>112.91</v>
      </c>
      <c r="G1160" s="3">
        <v>41774.0</v>
      </c>
      <c r="H1160" s="4">
        <v>122.14</v>
      </c>
      <c r="I1160" s="3">
        <v>41774.0</v>
      </c>
      <c r="J1160" s="4">
        <v>126.79</v>
      </c>
      <c r="K1160" s="3">
        <v>41764.0</v>
      </c>
      <c r="L1160" s="4">
        <v>1354.604</v>
      </c>
    </row>
    <row r="1161">
      <c r="A1161" s="3">
        <v>41761.0</v>
      </c>
      <c r="B1161" s="4">
        <v>124.25</v>
      </c>
      <c r="C1161" s="3">
        <v>41677.0</v>
      </c>
      <c r="D1161" s="4">
        <v>24.07</v>
      </c>
      <c r="E1161" s="3">
        <v>41778.0</v>
      </c>
      <c r="F1161" s="4">
        <v>112.92</v>
      </c>
      <c r="G1161" s="3">
        <v>41773.0</v>
      </c>
      <c r="H1161" s="4">
        <v>121.65</v>
      </c>
      <c r="I1161" s="3">
        <v>41773.0</v>
      </c>
      <c r="J1161" s="4">
        <v>126.56</v>
      </c>
      <c r="K1161" s="3">
        <v>41761.0</v>
      </c>
      <c r="L1161" s="4">
        <v>1353.2495</v>
      </c>
    </row>
    <row r="1162">
      <c r="A1162" s="3">
        <v>41759.0</v>
      </c>
      <c r="B1162" s="4">
        <v>124.25</v>
      </c>
      <c r="C1162" s="3">
        <v>41676.0</v>
      </c>
      <c r="D1162" s="4">
        <v>24.07</v>
      </c>
      <c r="E1162" s="3">
        <v>41775.0</v>
      </c>
      <c r="F1162" s="4">
        <v>112.87</v>
      </c>
      <c r="G1162" s="3">
        <v>41772.0</v>
      </c>
      <c r="H1162" s="4">
        <v>120.86</v>
      </c>
      <c r="I1162" s="3">
        <v>41772.0</v>
      </c>
      <c r="J1162" s="4">
        <v>126.39</v>
      </c>
      <c r="K1162" s="3">
        <v>41759.0</v>
      </c>
      <c r="L1162" s="4">
        <v>1349.9078</v>
      </c>
    </row>
    <row r="1163">
      <c r="A1163" s="3">
        <v>41758.0</v>
      </c>
      <c r="B1163" s="4">
        <v>124.27</v>
      </c>
      <c r="C1163" s="3">
        <v>41675.0</v>
      </c>
      <c r="D1163" s="4">
        <v>24.08</v>
      </c>
      <c r="E1163" s="3">
        <v>41774.0</v>
      </c>
      <c r="F1163" s="4">
        <v>112.87</v>
      </c>
      <c r="G1163" s="3">
        <v>41771.0</v>
      </c>
      <c r="H1163" s="4">
        <v>120.41</v>
      </c>
      <c r="I1163" s="3">
        <v>41771.0</v>
      </c>
      <c r="J1163" s="4">
        <v>126.13</v>
      </c>
      <c r="K1163" s="3">
        <v>41758.0</v>
      </c>
      <c r="L1163" s="4">
        <v>1344.6801</v>
      </c>
    </row>
    <row r="1164">
      <c r="A1164" s="3">
        <v>41757.0</v>
      </c>
      <c r="B1164" s="4">
        <v>123.87</v>
      </c>
      <c r="C1164" s="3">
        <v>41674.0</v>
      </c>
      <c r="D1164" s="4">
        <v>24.09</v>
      </c>
      <c r="E1164" s="3">
        <v>41773.0</v>
      </c>
      <c r="F1164" s="4">
        <v>112.92</v>
      </c>
      <c r="G1164" s="3">
        <v>41768.0</v>
      </c>
      <c r="H1164" s="4">
        <v>120.54</v>
      </c>
      <c r="I1164" s="3">
        <v>41768.0</v>
      </c>
      <c r="J1164" s="4">
        <v>126.02</v>
      </c>
      <c r="K1164" s="3">
        <v>41757.0</v>
      </c>
      <c r="L1164" s="4">
        <v>1348.2083</v>
      </c>
    </row>
    <row r="1165">
      <c r="A1165" s="3">
        <v>41754.0</v>
      </c>
      <c r="B1165" s="4">
        <v>124.03</v>
      </c>
      <c r="C1165" s="3">
        <v>41673.0</v>
      </c>
      <c r="D1165" s="4">
        <v>24.08</v>
      </c>
      <c r="E1165" s="3">
        <v>41772.0</v>
      </c>
      <c r="F1165" s="4">
        <v>112.91</v>
      </c>
      <c r="G1165" s="3">
        <v>41767.0</v>
      </c>
      <c r="H1165" s="4">
        <v>119.74</v>
      </c>
      <c r="I1165" s="3">
        <v>41767.0</v>
      </c>
      <c r="J1165" s="4">
        <v>125.63</v>
      </c>
      <c r="K1165" s="3">
        <v>41754.0</v>
      </c>
      <c r="L1165" s="4">
        <v>1357.1112</v>
      </c>
    </row>
    <row r="1166">
      <c r="A1166" s="3">
        <v>41753.0</v>
      </c>
      <c r="B1166" s="4">
        <v>124.31</v>
      </c>
      <c r="C1166" s="3">
        <v>41670.0</v>
      </c>
      <c r="D1166" s="4">
        <v>24.07</v>
      </c>
      <c r="E1166" s="3">
        <v>41771.0</v>
      </c>
      <c r="F1166" s="4">
        <v>112.84</v>
      </c>
      <c r="G1166" s="3">
        <v>41766.0</v>
      </c>
      <c r="H1166" s="4">
        <v>119.66</v>
      </c>
      <c r="I1166" s="3">
        <v>41766.0</v>
      </c>
      <c r="J1166" s="4">
        <v>125.45</v>
      </c>
      <c r="K1166" s="3">
        <v>41753.0</v>
      </c>
      <c r="L1166" s="4">
        <v>1356.5453</v>
      </c>
    </row>
    <row r="1167">
      <c r="A1167" s="3">
        <v>41752.0</v>
      </c>
      <c r="B1167" s="4">
        <v>124.3</v>
      </c>
      <c r="C1167" s="3">
        <v>41669.0</v>
      </c>
      <c r="D1167" s="4">
        <v>24.06</v>
      </c>
      <c r="E1167" s="3">
        <v>41768.0</v>
      </c>
      <c r="F1167" s="4">
        <v>112.79</v>
      </c>
      <c r="G1167" s="3">
        <v>41765.0</v>
      </c>
      <c r="H1167" s="4">
        <v>119.99</v>
      </c>
      <c r="I1167" s="3">
        <v>41765.0</v>
      </c>
      <c r="J1167" s="4">
        <v>125.66</v>
      </c>
      <c r="K1167" s="3">
        <v>41752.0</v>
      </c>
      <c r="L1167" s="4">
        <v>1357.9768</v>
      </c>
    </row>
    <row r="1168">
      <c r="A1168" s="3">
        <v>41751.0</v>
      </c>
      <c r="B1168" s="4">
        <v>124.39</v>
      </c>
      <c r="C1168" s="3">
        <v>41668.0</v>
      </c>
      <c r="D1168" s="4">
        <v>24.04</v>
      </c>
      <c r="E1168" s="3">
        <v>41767.0</v>
      </c>
      <c r="F1168" s="4">
        <v>112.73</v>
      </c>
      <c r="G1168" s="3">
        <v>41764.0</v>
      </c>
      <c r="H1168" s="4">
        <v>120.14</v>
      </c>
      <c r="I1168" s="3">
        <v>41764.0</v>
      </c>
      <c r="J1168" s="4">
        <v>125.74</v>
      </c>
      <c r="K1168" s="3">
        <v>41751.0</v>
      </c>
      <c r="L1168" s="4">
        <v>1351.2213</v>
      </c>
    </row>
    <row r="1169">
      <c r="A1169" s="3">
        <v>41746.0</v>
      </c>
      <c r="B1169" s="4">
        <v>123.9</v>
      </c>
      <c r="C1169" s="3">
        <v>41667.0</v>
      </c>
      <c r="D1169" s="4">
        <v>24.03</v>
      </c>
      <c r="E1169" s="3">
        <v>41766.0</v>
      </c>
      <c r="F1169" s="4">
        <v>112.67</v>
      </c>
      <c r="G1169" s="3">
        <v>41761.0</v>
      </c>
      <c r="H1169" s="4">
        <v>120.23</v>
      </c>
      <c r="I1169" s="3">
        <v>41761.0</v>
      </c>
      <c r="J1169" s="4">
        <v>125.59</v>
      </c>
      <c r="K1169" s="3">
        <v>41746.0</v>
      </c>
      <c r="L1169" s="4">
        <v>1345.9034</v>
      </c>
    </row>
    <row r="1170">
      <c r="A1170" s="3">
        <v>41745.0</v>
      </c>
      <c r="B1170" s="4">
        <v>123.69</v>
      </c>
      <c r="C1170" s="3">
        <v>41666.0</v>
      </c>
      <c r="D1170" s="4">
        <v>24.03</v>
      </c>
      <c r="E1170" s="3">
        <v>41765.0</v>
      </c>
      <c r="F1170" s="4">
        <v>112.68</v>
      </c>
      <c r="G1170" s="3">
        <v>41759.0</v>
      </c>
      <c r="H1170" s="4">
        <v>119.87</v>
      </c>
      <c r="I1170" s="3">
        <v>41759.0</v>
      </c>
      <c r="J1170" s="4">
        <v>125.59</v>
      </c>
      <c r="K1170" s="3">
        <v>41745.0</v>
      </c>
      <c r="L1170" s="4">
        <v>1338.6974</v>
      </c>
    </row>
    <row r="1171">
      <c r="A1171" s="3">
        <v>41744.0</v>
      </c>
      <c r="B1171" s="4">
        <v>123.31</v>
      </c>
      <c r="C1171" s="3">
        <v>41663.0</v>
      </c>
      <c r="D1171" s="4">
        <v>24.02</v>
      </c>
      <c r="E1171" s="3">
        <v>41764.0</v>
      </c>
      <c r="F1171" s="4">
        <v>112.67</v>
      </c>
      <c r="G1171" s="3">
        <v>41758.0</v>
      </c>
      <c r="H1171" s="4">
        <v>119.15</v>
      </c>
      <c r="I1171" s="3">
        <v>41758.0</v>
      </c>
      <c r="J1171" s="4">
        <v>125.27</v>
      </c>
      <c r="K1171" s="3">
        <v>41744.0</v>
      </c>
      <c r="L1171" s="4">
        <v>1338.9128</v>
      </c>
    </row>
    <row r="1172">
      <c r="A1172" s="3">
        <v>41743.0</v>
      </c>
      <c r="B1172" s="4">
        <v>123.62</v>
      </c>
      <c r="C1172" s="3">
        <v>41662.0</v>
      </c>
      <c r="D1172" s="4">
        <v>24.03</v>
      </c>
      <c r="E1172" s="3">
        <v>41761.0</v>
      </c>
      <c r="F1172" s="4">
        <v>112.66</v>
      </c>
      <c r="G1172" s="3">
        <v>41757.0</v>
      </c>
      <c r="H1172" s="4">
        <v>119.2</v>
      </c>
      <c r="I1172" s="3">
        <v>41757.0</v>
      </c>
      <c r="J1172" s="4">
        <v>125.2</v>
      </c>
      <c r="K1172" s="3">
        <v>41743.0</v>
      </c>
      <c r="L1172" s="4">
        <v>1338.6179</v>
      </c>
    </row>
    <row r="1173">
      <c r="A1173" s="3">
        <v>41740.0</v>
      </c>
      <c r="B1173" s="4">
        <v>123.78</v>
      </c>
      <c r="C1173" s="3">
        <v>41661.0</v>
      </c>
      <c r="D1173" s="4">
        <v>24.07</v>
      </c>
      <c r="E1173" s="3">
        <v>41759.0</v>
      </c>
      <c r="F1173" s="4">
        <v>112.65</v>
      </c>
      <c r="G1173" s="3">
        <v>41754.0</v>
      </c>
      <c r="H1173" s="4">
        <v>119.37</v>
      </c>
      <c r="I1173" s="3">
        <v>41754.0</v>
      </c>
      <c r="J1173" s="4">
        <v>125.36</v>
      </c>
      <c r="K1173" s="3">
        <v>41740.0</v>
      </c>
      <c r="L1173" s="4">
        <v>1346.1964</v>
      </c>
    </row>
    <row r="1174">
      <c r="A1174" s="3">
        <v>41739.0</v>
      </c>
      <c r="B1174" s="4">
        <v>124.19</v>
      </c>
      <c r="C1174" s="3">
        <v>41660.0</v>
      </c>
      <c r="D1174" s="4">
        <v>24.06</v>
      </c>
      <c r="E1174" s="3">
        <v>41758.0</v>
      </c>
      <c r="F1174" s="4">
        <v>112.64</v>
      </c>
      <c r="G1174" s="3">
        <v>41753.0</v>
      </c>
      <c r="H1174" s="4">
        <v>119.48</v>
      </c>
      <c r="I1174" s="3">
        <v>41753.0</v>
      </c>
      <c r="J1174" s="4">
        <v>125.23</v>
      </c>
      <c r="K1174" s="3">
        <v>41739.0</v>
      </c>
      <c r="L1174" s="4">
        <v>1354.7371</v>
      </c>
    </row>
    <row r="1175">
      <c r="A1175" s="3">
        <v>41738.0</v>
      </c>
      <c r="B1175" s="4">
        <v>124.32</v>
      </c>
      <c r="C1175" s="3">
        <v>41659.0</v>
      </c>
      <c r="D1175" s="4">
        <v>24.06</v>
      </c>
      <c r="E1175" s="3">
        <v>41757.0</v>
      </c>
      <c r="F1175" s="4">
        <v>112.58</v>
      </c>
      <c r="G1175" s="3">
        <v>41752.0</v>
      </c>
      <c r="H1175" s="4">
        <v>119.6</v>
      </c>
      <c r="I1175" s="3">
        <v>41752.0</v>
      </c>
      <c r="J1175" s="4">
        <v>125.35</v>
      </c>
      <c r="K1175" s="3">
        <v>41738.0</v>
      </c>
      <c r="L1175" s="4">
        <v>1350.5424</v>
      </c>
    </row>
    <row r="1176">
      <c r="A1176" s="3">
        <v>41737.0</v>
      </c>
      <c r="B1176" s="4">
        <v>124.13</v>
      </c>
      <c r="C1176" s="3">
        <v>41656.0</v>
      </c>
      <c r="D1176" s="4">
        <v>24.06</v>
      </c>
      <c r="E1176" s="3">
        <v>41754.0</v>
      </c>
      <c r="F1176" s="4">
        <v>112.57</v>
      </c>
      <c r="G1176" s="3">
        <v>41751.0</v>
      </c>
      <c r="H1176" s="4">
        <v>118.98</v>
      </c>
      <c r="I1176" s="3">
        <v>41751.0</v>
      </c>
      <c r="J1176" s="4">
        <v>125.05</v>
      </c>
      <c r="K1176" s="3">
        <v>41737.0</v>
      </c>
      <c r="L1176" s="4">
        <v>1349.2852</v>
      </c>
    </row>
    <row r="1177">
      <c r="A1177" s="3">
        <v>41736.0</v>
      </c>
      <c r="B1177" s="4">
        <v>124.45</v>
      </c>
      <c r="C1177" s="3">
        <v>41655.0</v>
      </c>
      <c r="D1177" s="4">
        <v>24.05</v>
      </c>
      <c r="E1177" s="3">
        <v>41753.0</v>
      </c>
      <c r="F1177" s="4">
        <v>112.67</v>
      </c>
      <c r="G1177" s="3">
        <v>41746.0</v>
      </c>
      <c r="H1177" s="4">
        <v>118.76</v>
      </c>
      <c r="I1177" s="3">
        <v>41746.0</v>
      </c>
      <c r="J1177" s="4">
        <v>125.07</v>
      </c>
      <c r="K1177" s="3">
        <v>41736.0</v>
      </c>
      <c r="L1177" s="4">
        <v>1358.4637</v>
      </c>
    </row>
    <row r="1178">
      <c r="A1178" s="3">
        <v>41733.0</v>
      </c>
      <c r="B1178" s="4">
        <v>124.8</v>
      </c>
      <c r="C1178" s="3">
        <v>41654.0</v>
      </c>
      <c r="D1178" s="4">
        <v>24.05</v>
      </c>
      <c r="E1178" s="3">
        <v>41752.0</v>
      </c>
      <c r="F1178" s="4">
        <v>112.68</v>
      </c>
      <c r="G1178" s="3">
        <v>41745.0</v>
      </c>
      <c r="H1178" s="4">
        <v>118.17</v>
      </c>
      <c r="I1178" s="3">
        <v>41745.0</v>
      </c>
      <c r="J1178" s="4">
        <v>124.75</v>
      </c>
      <c r="K1178" s="3">
        <v>41733.0</v>
      </c>
      <c r="L1178" s="4">
        <v>1362.6572</v>
      </c>
    </row>
    <row r="1179">
      <c r="A1179" s="3">
        <v>41732.0</v>
      </c>
      <c r="B1179" s="4">
        <v>124.57</v>
      </c>
      <c r="C1179" s="3">
        <v>41653.0</v>
      </c>
      <c r="D1179" s="4">
        <v>24.05</v>
      </c>
      <c r="E1179" s="3">
        <v>41751.0</v>
      </c>
      <c r="F1179" s="4">
        <v>112.71</v>
      </c>
      <c r="G1179" s="3">
        <v>41744.0</v>
      </c>
      <c r="H1179" s="4">
        <v>118.43</v>
      </c>
      <c r="I1179" s="3">
        <v>41744.0</v>
      </c>
      <c r="J1179" s="4">
        <v>124.79</v>
      </c>
      <c r="K1179" s="3">
        <v>41732.0</v>
      </c>
      <c r="L1179" s="4">
        <v>1365.8854</v>
      </c>
    </row>
    <row r="1180">
      <c r="A1180" s="3">
        <v>41731.0</v>
      </c>
      <c r="B1180" s="4">
        <v>124.29</v>
      </c>
      <c r="C1180" s="3">
        <v>41652.0</v>
      </c>
      <c r="D1180" s="4">
        <v>24.06</v>
      </c>
      <c r="E1180" s="3">
        <v>41746.0</v>
      </c>
      <c r="F1180" s="4">
        <v>112.62</v>
      </c>
      <c r="G1180" s="3">
        <v>41743.0</v>
      </c>
      <c r="H1180" s="4">
        <v>118.44</v>
      </c>
      <c r="I1180" s="3">
        <v>41743.0</v>
      </c>
      <c r="J1180" s="4">
        <v>124.51</v>
      </c>
      <c r="K1180" s="3">
        <v>41731.0</v>
      </c>
      <c r="L1180" s="4">
        <v>1363.3962</v>
      </c>
    </row>
    <row r="1181">
      <c r="A1181" s="3">
        <v>41730.0</v>
      </c>
      <c r="B1181" s="4">
        <v>123.97</v>
      </c>
      <c r="C1181" s="3">
        <v>41649.0</v>
      </c>
      <c r="D1181" s="4">
        <v>24.04</v>
      </c>
      <c r="E1181" s="3">
        <v>41745.0</v>
      </c>
      <c r="F1181" s="4">
        <v>112.57</v>
      </c>
      <c r="G1181" s="3">
        <v>41740.0</v>
      </c>
      <c r="H1181" s="4">
        <v>119.01</v>
      </c>
      <c r="I1181" s="3">
        <v>41740.0</v>
      </c>
      <c r="J1181" s="4">
        <v>124.89</v>
      </c>
      <c r="K1181" s="3">
        <v>41730.0</v>
      </c>
      <c r="L1181" s="4">
        <v>1355.4878</v>
      </c>
    </row>
    <row r="1182">
      <c r="A1182" s="3">
        <v>41729.0</v>
      </c>
      <c r="B1182" s="4">
        <v>123.6</v>
      </c>
      <c r="C1182" s="3">
        <v>41648.0</v>
      </c>
      <c r="D1182" s="4">
        <v>24.04</v>
      </c>
      <c r="E1182" s="3">
        <v>41744.0</v>
      </c>
      <c r="F1182" s="4">
        <v>112.52</v>
      </c>
      <c r="G1182" s="3">
        <v>41739.0</v>
      </c>
      <c r="H1182" s="4">
        <v>118.73</v>
      </c>
      <c r="I1182" s="3">
        <v>41739.0</v>
      </c>
      <c r="J1182" s="4">
        <v>125.06</v>
      </c>
      <c r="K1182" s="3">
        <v>41729.0</v>
      </c>
      <c r="L1182" s="4">
        <v>1350.203</v>
      </c>
    </row>
    <row r="1183">
      <c r="A1183" s="3">
        <v>41726.0</v>
      </c>
      <c r="B1183" s="4">
        <v>123.54</v>
      </c>
      <c r="C1183" s="3">
        <v>41647.0</v>
      </c>
      <c r="D1183" s="4">
        <v>24.04</v>
      </c>
      <c r="E1183" s="3">
        <v>41743.0</v>
      </c>
      <c r="F1183" s="4">
        <v>112.56</v>
      </c>
      <c r="G1183" s="3">
        <v>41738.0</v>
      </c>
      <c r="H1183" s="4">
        <v>118.8</v>
      </c>
      <c r="I1183" s="3">
        <v>41738.0</v>
      </c>
      <c r="J1183" s="4">
        <v>124.93</v>
      </c>
      <c r="K1183" s="3">
        <v>41726.0</v>
      </c>
      <c r="L1183" s="4">
        <v>1345.476</v>
      </c>
    </row>
    <row r="1184">
      <c r="A1184" s="3">
        <v>41725.0</v>
      </c>
      <c r="B1184" s="4">
        <v>122.98</v>
      </c>
      <c r="C1184" s="3">
        <v>41646.0</v>
      </c>
      <c r="D1184" s="4">
        <v>24.04</v>
      </c>
      <c r="E1184" s="3">
        <v>41740.0</v>
      </c>
      <c r="F1184" s="4">
        <v>112.55</v>
      </c>
      <c r="G1184" s="3">
        <v>41737.0</v>
      </c>
      <c r="H1184" s="4">
        <v>119.11</v>
      </c>
      <c r="I1184" s="3">
        <v>41737.0</v>
      </c>
      <c r="J1184" s="4">
        <v>124.9</v>
      </c>
      <c r="K1184" s="3">
        <v>41725.0</v>
      </c>
      <c r="L1184" s="4">
        <v>1346.6311</v>
      </c>
    </row>
    <row r="1185">
      <c r="A1185" s="3">
        <v>41724.0</v>
      </c>
      <c r="B1185" s="4">
        <v>122.84</v>
      </c>
      <c r="C1185" s="3">
        <v>41645.0</v>
      </c>
      <c r="D1185" s="4">
        <v>24.03</v>
      </c>
      <c r="E1185" s="3">
        <v>41739.0</v>
      </c>
      <c r="F1185" s="4">
        <v>112.56</v>
      </c>
      <c r="G1185" s="3">
        <v>41736.0</v>
      </c>
      <c r="H1185" s="4">
        <v>119.78</v>
      </c>
      <c r="I1185" s="3">
        <v>41736.0</v>
      </c>
      <c r="J1185" s="4">
        <v>125.21</v>
      </c>
      <c r="K1185" s="3">
        <v>41724.0</v>
      </c>
      <c r="L1185" s="4">
        <v>1348.3263</v>
      </c>
    </row>
    <row r="1186">
      <c r="A1186" s="3">
        <v>41723.0</v>
      </c>
      <c r="B1186" s="4">
        <v>122.35</v>
      </c>
      <c r="C1186" s="3">
        <v>41642.0</v>
      </c>
      <c r="D1186" s="4">
        <v>24.04</v>
      </c>
      <c r="E1186" s="3">
        <v>41738.0</v>
      </c>
      <c r="F1186" s="4">
        <v>112.58</v>
      </c>
      <c r="G1186" s="3">
        <v>41733.0</v>
      </c>
      <c r="H1186" s="4">
        <v>119.09</v>
      </c>
      <c r="I1186" s="3">
        <v>41733.0</v>
      </c>
      <c r="J1186" s="4">
        <v>125.14</v>
      </c>
      <c r="K1186" s="3">
        <v>41723.0</v>
      </c>
      <c r="L1186" s="4">
        <v>1344.8619</v>
      </c>
    </row>
    <row r="1187">
      <c r="A1187" s="3">
        <v>41722.0</v>
      </c>
      <c r="B1187" s="4">
        <v>121.99</v>
      </c>
      <c r="C1187" s="3">
        <v>41641.0</v>
      </c>
      <c r="D1187" s="4">
        <v>24.02</v>
      </c>
      <c r="E1187" s="3">
        <v>41737.0</v>
      </c>
      <c r="F1187" s="4">
        <v>112.64</v>
      </c>
      <c r="G1187" s="3">
        <v>41732.0</v>
      </c>
      <c r="H1187" s="4">
        <v>118.98</v>
      </c>
      <c r="I1187" s="3">
        <v>41732.0</v>
      </c>
      <c r="J1187" s="4">
        <v>125.15</v>
      </c>
      <c r="K1187" s="3">
        <v>41722.0</v>
      </c>
      <c r="L1187" s="4">
        <v>1350.5324</v>
      </c>
    </row>
    <row r="1188">
      <c r="A1188" s="3">
        <v>41719.0</v>
      </c>
      <c r="B1188" s="4">
        <v>122.41</v>
      </c>
      <c r="C1188" s="3">
        <v>41639.0</v>
      </c>
      <c r="D1188" s="4">
        <v>24.0</v>
      </c>
      <c r="E1188" s="3">
        <v>41736.0</v>
      </c>
      <c r="F1188" s="4">
        <v>112.65</v>
      </c>
      <c r="G1188" s="3">
        <v>41731.0</v>
      </c>
      <c r="H1188" s="4">
        <v>119.13</v>
      </c>
      <c r="I1188" s="3">
        <v>41731.0</v>
      </c>
      <c r="J1188" s="4">
        <v>125.04</v>
      </c>
      <c r="K1188" s="3">
        <v>41719.0</v>
      </c>
      <c r="L1188" s="4">
        <v>1351.2667</v>
      </c>
    </row>
    <row r="1189">
      <c r="A1189" s="3">
        <v>41718.0</v>
      </c>
      <c r="B1189" s="4">
        <v>122.32</v>
      </c>
      <c r="E1189" s="3">
        <v>41733.0</v>
      </c>
      <c r="F1189" s="4">
        <v>112.67</v>
      </c>
      <c r="G1189" s="3">
        <v>41730.0</v>
      </c>
      <c r="H1189" s="4">
        <v>119.16</v>
      </c>
      <c r="I1189" s="3">
        <v>41730.0</v>
      </c>
      <c r="J1189" s="4">
        <v>125.17</v>
      </c>
      <c r="K1189" s="3">
        <v>41718.0</v>
      </c>
      <c r="L1189" s="4">
        <v>1351.1322</v>
      </c>
    </row>
    <row r="1190">
      <c r="A1190" s="3">
        <v>41717.0</v>
      </c>
      <c r="B1190" s="4">
        <v>122.48</v>
      </c>
      <c r="E1190" s="3">
        <v>41732.0</v>
      </c>
      <c r="F1190" s="4">
        <v>112.62</v>
      </c>
      <c r="G1190" s="3">
        <v>41729.0</v>
      </c>
      <c r="H1190" s="4">
        <v>119.32</v>
      </c>
      <c r="I1190" s="3">
        <v>41729.0</v>
      </c>
      <c r="J1190" s="4">
        <v>125.07</v>
      </c>
      <c r="K1190" s="3">
        <v>41717.0</v>
      </c>
      <c r="L1190" s="4">
        <v>1353.1835</v>
      </c>
    </row>
    <row r="1191">
      <c r="A1191" s="3">
        <v>41716.0</v>
      </c>
      <c r="B1191" s="4">
        <v>122.26</v>
      </c>
      <c r="E1191" s="3">
        <v>41731.0</v>
      </c>
      <c r="F1191" s="4">
        <v>112.57</v>
      </c>
      <c r="G1191" s="3">
        <v>41726.0</v>
      </c>
      <c r="H1191" s="4">
        <v>119.25</v>
      </c>
      <c r="I1191" s="3">
        <v>41726.0</v>
      </c>
      <c r="J1191" s="4">
        <v>124.95</v>
      </c>
      <c r="K1191" s="3">
        <v>41716.0</v>
      </c>
      <c r="L1191" s="4">
        <v>1346.7214</v>
      </c>
    </row>
    <row r="1192">
      <c r="A1192" s="3">
        <v>41715.0</v>
      </c>
      <c r="B1192" s="4">
        <v>121.85</v>
      </c>
      <c r="E1192" s="3">
        <v>41730.0</v>
      </c>
      <c r="F1192" s="4">
        <v>112.5</v>
      </c>
      <c r="G1192" s="3">
        <v>41725.0</v>
      </c>
      <c r="H1192" s="4">
        <v>119.09</v>
      </c>
      <c r="I1192" s="3">
        <v>41725.0</v>
      </c>
      <c r="J1192" s="4">
        <v>124.82</v>
      </c>
      <c r="K1192" s="3">
        <v>41715.0</v>
      </c>
      <c r="L1192" s="4">
        <v>1339.6116</v>
      </c>
    </row>
    <row r="1193">
      <c r="A1193" s="3">
        <v>41712.0</v>
      </c>
      <c r="B1193" s="4">
        <v>121.28</v>
      </c>
      <c r="E1193" s="3">
        <v>41729.0</v>
      </c>
      <c r="F1193" s="4">
        <v>112.44</v>
      </c>
      <c r="G1193" s="3">
        <v>41724.0</v>
      </c>
      <c r="H1193" s="4">
        <v>118.72</v>
      </c>
      <c r="I1193" s="3">
        <v>41724.0</v>
      </c>
      <c r="J1193" s="4">
        <v>124.85</v>
      </c>
      <c r="K1193" s="3">
        <v>41712.0</v>
      </c>
      <c r="L1193" s="4">
        <v>1342.7042</v>
      </c>
    </row>
    <row r="1194">
      <c r="A1194" s="3">
        <v>41711.0</v>
      </c>
      <c r="B1194" s="4">
        <v>121.64</v>
      </c>
      <c r="E1194" s="3">
        <v>41726.0</v>
      </c>
      <c r="F1194" s="4">
        <v>112.39</v>
      </c>
      <c r="G1194" s="3">
        <v>41723.0</v>
      </c>
      <c r="H1194" s="4">
        <v>118.28</v>
      </c>
      <c r="I1194" s="3">
        <v>41723.0</v>
      </c>
      <c r="J1194" s="4">
        <v>124.74</v>
      </c>
      <c r="K1194" s="3">
        <v>41711.0</v>
      </c>
      <c r="L1194" s="4">
        <v>1351.4203</v>
      </c>
    </row>
    <row r="1195">
      <c r="A1195" s="3">
        <v>41710.0</v>
      </c>
      <c r="B1195" s="4">
        <v>121.99</v>
      </c>
      <c r="E1195" s="3">
        <v>41725.0</v>
      </c>
      <c r="F1195" s="4">
        <v>112.34</v>
      </c>
      <c r="G1195" s="3">
        <v>41722.0</v>
      </c>
      <c r="H1195" s="4">
        <v>118.53</v>
      </c>
      <c r="I1195" s="3">
        <v>41722.0</v>
      </c>
      <c r="J1195" s="4">
        <v>124.74</v>
      </c>
      <c r="K1195" s="3">
        <v>41710.0</v>
      </c>
      <c r="L1195" s="4">
        <v>1354.0624</v>
      </c>
    </row>
    <row r="1196">
      <c r="A1196" s="3">
        <v>41709.0</v>
      </c>
      <c r="B1196" s="4">
        <v>122.45</v>
      </c>
      <c r="E1196" s="3">
        <v>41724.0</v>
      </c>
      <c r="F1196" s="4">
        <v>112.32</v>
      </c>
      <c r="G1196" s="3">
        <v>41719.0</v>
      </c>
      <c r="H1196" s="4">
        <v>118.37</v>
      </c>
      <c r="I1196" s="3">
        <v>41719.0</v>
      </c>
      <c r="J1196" s="4">
        <v>124.71</v>
      </c>
      <c r="K1196" s="3">
        <v>41709.0</v>
      </c>
      <c r="L1196" s="4">
        <v>1356.5109</v>
      </c>
    </row>
    <row r="1197">
      <c r="A1197" s="3">
        <v>41708.0</v>
      </c>
      <c r="B1197" s="4">
        <v>122.43</v>
      </c>
      <c r="E1197" s="3">
        <v>41723.0</v>
      </c>
      <c r="F1197" s="4">
        <v>112.25</v>
      </c>
      <c r="G1197" s="3">
        <v>41718.0</v>
      </c>
      <c r="H1197" s="4">
        <v>118.63</v>
      </c>
      <c r="I1197" s="3">
        <v>41718.0</v>
      </c>
      <c r="J1197" s="4">
        <v>124.81</v>
      </c>
      <c r="K1197" s="3">
        <v>41708.0</v>
      </c>
      <c r="L1197" s="4">
        <v>1360.7041</v>
      </c>
    </row>
    <row r="1198">
      <c r="A1198" s="3">
        <v>41705.0</v>
      </c>
      <c r="B1198" s="4">
        <v>122.54</v>
      </c>
      <c r="E1198" s="3">
        <v>41722.0</v>
      </c>
      <c r="F1198" s="4">
        <v>112.21</v>
      </c>
      <c r="G1198" s="3">
        <v>41717.0</v>
      </c>
      <c r="H1198" s="4">
        <v>118.75</v>
      </c>
      <c r="I1198" s="3">
        <v>41717.0</v>
      </c>
      <c r="J1198" s="4">
        <v>124.91</v>
      </c>
      <c r="K1198" s="3">
        <v>41705.0</v>
      </c>
      <c r="L1198" s="4">
        <v>1364.042</v>
      </c>
    </row>
    <row r="1199">
      <c r="A1199" s="3">
        <v>41704.0</v>
      </c>
      <c r="B1199" s="4">
        <v>122.74</v>
      </c>
      <c r="E1199" s="3">
        <v>41719.0</v>
      </c>
      <c r="F1199" s="4">
        <v>112.17</v>
      </c>
      <c r="G1199" s="3">
        <v>41716.0</v>
      </c>
      <c r="H1199" s="4">
        <v>118.78</v>
      </c>
      <c r="I1199" s="3">
        <v>41716.0</v>
      </c>
      <c r="J1199" s="4">
        <v>124.76</v>
      </c>
      <c r="K1199" s="3">
        <v>41704.0</v>
      </c>
      <c r="L1199" s="4">
        <v>1361.6333</v>
      </c>
    </row>
    <row r="1200">
      <c r="A1200" s="3">
        <v>41703.0</v>
      </c>
      <c r="B1200" s="4">
        <v>122.57</v>
      </c>
      <c r="E1200" s="3">
        <v>41718.0</v>
      </c>
      <c r="F1200" s="4">
        <v>112.13</v>
      </c>
      <c r="G1200" s="3">
        <v>41715.0</v>
      </c>
      <c r="H1200" s="4">
        <v>118.89</v>
      </c>
      <c r="I1200" s="3">
        <v>41715.0</v>
      </c>
      <c r="J1200" s="4">
        <v>124.72</v>
      </c>
      <c r="K1200" s="3">
        <v>41703.0</v>
      </c>
      <c r="L1200" s="4">
        <v>1359.6813</v>
      </c>
    </row>
    <row r="1201">
      <c r="A1201" s="3">
        <v>41702.0</v>
      </c>
      <c r="B1201" s="4">
        <v>122.5</v>
      </c>
      <c r="E1201" s="3">
        <v>41717.0</v>
      </c>
      <c r="F1201" s="4">
        <v>112.11</v>
      </c>
      <c r="G1201" s="3">
        <v>41712.0</v>
      </c>
      <c r="H1201" s="4">
        <v>118.46</v>
      </c>
      <c r="I1201" s="3">
        <v>41712.0</v>
      </c>
      <c r="J1201" s="4">
        <v>125.1</v>
      </c>
      <c r="K1201" s="3">
        <v>41702.0</v>
      </c>
      <c r="L1201" s="4">
        <v>1349.2191</v>
      </c>
    </row>
    <row r="1202">
      <c r="A1202" s="3">
        <v>41701.0</v>
      </c>
      <c r="B1202" s="4">
        <v>121.68</v>
      </c>
      <c r="E1202" s="3">
        <v>41716.0</v>
      </c>
      <c r="F1202" s="4">
        <v>112.04</v>
      </c>
      <c r="G1202" s="3">
        <v>41711.0</v>
      </c>
      <c r="H1202" s="4">
        <v>118.68</v>
      </c>
      <c r="I1202" s="3">
        <v>41711.0</v>
      </c>
      <c r="J1202" s="4">
        <v>125.31</v>
      </c>
      <c r="K1202" s="3">
        <v>41701.0</v>
      </c>
      <c r="L1202" s="4">
        <v>1357.1137</v>
      </c>
    </row>
    <row r="1203">
      <c r="A1203" s="3">
        <v>41698.0</v>
      </c>
      <c r="B1203" s="4">
        <v>122.59</v>
      </c>
      <c r="E1203" s="3">
        <v>41715.0</v>
      </c>
      <c r="F1203" s="4">
        <v>111.97</v>
      </c>
      <c r="G1203" s="3">
        <v>41710.0</v>
      </c>
      <c r="H1203" s="4">
        <v>119.04</v>
      </c>
      <c r="I1203" s="3">
        <v>41710.0</v>
      </c>
      <c r="J1203" s="4">
        <v>125.49</v>
      </c>
      <c r="K1203" s="3">
        <v>41698.0</v>
      </c>
      <c r="L1203" s="4">
        <v>1364.759</v>
      </c>
    </row>
    <row r="1204">
      <c r="A1204" s="3">
        <v>41697.0</v>
      </c>
      <c r="B1204" s="4">
        <v>122.41</v>
      </c>
      <c r="E1204" s="3">
        <v>41712.0</v>
      </c>
      <c r="F1204" s="4">
        <v>111.93</v>
      </c>
      <c r="G1204" s="3">
        <v>41709.0</v>
      </c>
      <c r="H1204" s="4">
        <v>118.94</v>
      </c>
      <c r="I1204" s="3">
        <v>41709.0</v>
      </c>
      <c r="J1204" s="4">
        <v>125.48</v>
      </c>
      <c r="K1204" s="3">
        <v>41697.0</v>
      </c>
      <c r="L1204" s="4">
        <v>1355.9033</v>
      </c>
    </row>
    <row r="1205">
      <c r="A1205" s="3">
        <v>41696.0</v>
      </c>
      <c r="B1205" s="4">
        <v>122.36</v>
      </c>
      <c r="E1205" s="3">
        <v>41711.0</v>
      </c>
      <c r="F1205" s="4">
        <v>111.96</v>
      </c>
      <c r="G1205" s="3">
        <v>41708.0</v>
      </c>
      <c r="H1205" s="4">
        <v>119.33</v>
      </c>
      <c r="I1205" s="3">
        <v>41708.0</v>
      </c>
      <c r="J1205" s="4">
        <v>125.64</v>
      </c>
      <c r="K1205" s="3">
        <v>41696.0</v>
      </c>
      <c r="L1205" s="4">
        <v>1353.2382</v>
      </c>
    </row>
    <row r="1206">
      <c r="A1206" s="3">
        <v>41695.0</v>
      </c>
      <c r="B1206" s="4">
        <v>122.3</v>
      </c>
      <c r="E1206" s="3">
        <v>41710.0</v>
      </c>
      <c r="F1206" s="4">
        <v>112.06</v>
      </c>
      <c r="G1206" s="3">
        <v>41705.0</v>
      </c>
      <c r="H1206" s="4">
        <v>120.3</v>
      </c>
      <c r="I1206" s="3">
        <v>41705.0</v>
      </c>
      <c r="J1206" s="4">
        <v>126.03</v>
      </c>
      <c r="K1206" s="3">
        <v>41695.0</v>
      </c>
      <c r="L1206" s="4">
        <v>1352.7133</v>
      </c>
    </row>
    <row r="1207">
      <c r="A1207" s="3">
        <v>41694.0</v>
      </c>
      <c r="B1207" s="4">
        <v>122.09</v>
      </c>
      <c r="E1207" s="3">
        <v>41709.0</v>
      </c>
      <c r="F1207" s="4">
        <v>112.15</v>
      </c>
      <c r="G1207" s="3">
        <v>41704.0</v>
      </c>
      <c r="H1207" s="4">
        <v>120.38</v>
      </c>
      <c r="I1207" s="3">
        <v>41704.0</v>
      </c>
      <c r="J1207" s="4">
        <v>125.98</v>
      </c>
      <c r="K1207" s="3">
        <v>41694.0</v>
      </c>
      <c r="L1207" s="4">
        <v>1349.1462</v>
      </c>
    </row>
    <row r="1208">
      <c r="A1208" s="3">
        <v>41691.0</v>
      </c>
      <c r="B1208" s="4">
        <v>121.78</v>
      </c>
      <c r="E1208" s="3">
        <v>41708.0</v>
      </c>
      <c r="F1208" s="4">
        <v>112.15</v>
      </c>
      <c r="G1208" s="3">
        <v>41703.0</v>
      </c>
      <c r="H1208" s="4">
        <v>120.66</v>
      </c>
      <c r="I1208" s="3">
        <v>41703.0</v>
      </c>
      <c r="J1208" s="4">
        <v>126.07</v>
      </c>
      <c r="K1208" s="3">
        <v>41691.0</v>
      </c>
      <c r="L1208" s="4">
        <v>1347.5759</v>
      </c>
    </row>
    <row r="1209">
      <c r="A1209" s="3">
        <v>41690.0</v>
      </c>
      <c r="B1209" s="4">
        <v>121.49</v>
      </c>
      <c r="E1209" s="3">
        <v>41705.0</v>
      </c>
      <c r="F1209" s="4">
        <v>112.19</v>
      </c>
      <c r="G1209" s="3">
        <v>41702.0</v>
      </c>
      <c r="H1209" s="4">
        <v>119.65</v>
      </c>
      <c r="I1209" s="3">
        <v>41702.0</v>
      </c>
      <c r="J1209" s="4">
        <v>125.47</v>
      </c>
      <c r="K1209" s="3">
        <v>41690.0</v>
      </c>
      <c r="L1209" s="4">
        <v>1344.3285</v>
      </c>
    </row>
    <row r="1210">
      <c r="A1210" s="3">
        <v>41689.0</v>
      </c>
      <c r="B1210" s="4">
        <v>121.47</v>
      </c>
      <c r="E1210" s="3">
        <v>41704.0</v>
      </c>
      <c r="F1210" s="4">
        <v>112.21</v>
      </c>
      <c r="G1210" s="3">
        <v>41701.0</v>
      </c>
      <c r="H1210" s="4">
        <v>120.99</v>
      </c>
      <c r="I1210" s="3">
        <v>41701.0</v>
      </c>
      <c r="J1210" s="4">
        <v>125.9</v>
      </c>
      <c r="K1210" s="3">
        <v>41689.0</v>
      </c>
      <c r="L1210" s="4">
        <v>1346.6799</v>
      </c>
    </row>
    <row r="1211">
      <c r="A1211" s="3">
        <v>41688.0</v>
      </c>
      <c r="B1211" s="4">
        <v>121.34</v>
      </c>
      <c r="E1211" s="3">
        <v>41703.0</v>
      </c>
      <c r="F1211" s="4">
        <v>112.22</v>
      </c>
      <c r="G1211" s="3">
        <v>41698.0</v>
      </c>
      <c r="H1211" s="4">
        <v>120.86</v>
      </c>
      <c r="I1211" s="3">
        <v>41698.0</v>
      </c>
      <c r="J1211" s="4">
        <v>126.02</v>
      </c>
      <c r="K1211" s="3">
        <v>41688.0</v>
      </c>
      <c r="L1211" s="4">
        <v>1343.233</v>
      </c>
    </row>
    <row r="1212">
      <c r="A1212" s="3">
        <v>41687.0</v>
      </c>
      <c r="B1212" s="4">
        <v>121.29</v>
      </c>
      <c r="E1212" s="3">
        <v>41702.0</v>
      </c>
      <c r="F1212" s="4">
        <v>112.22</v>
      </c>
      <c r="G1212" s="3">
        <v>41697.0</v>
      </c>
      <c r="H1212" s="4">
        <v>121.06</v>
      </c>
      <c r="I1212" s="3">
        <v>41697.0</v>
      </c>
      <c r="J1212" s="4">
        <v>125.9</v>
      </c>
      <c r="K1212" s="3">
        <v>41687.0</v>
      </c>
      <c r="L1212" s="4">
        <v>1341.0316</v>
      </c>
    </row>
    <row r="1213">
      <c r="A1213" s="3">
        <v>41684.0</v>
      </c>
      <c r="B1213" s="4">
        <v>120.99</v>
      </c>
      <c r="E1213" s="3">
        <v>41701.0</v>
      </c>
      <c r="F1213" s="4">
        <v>112.12</v>
      </c>
      <c r="G1213" s="3">
        <v>41696.0</v>
      </c>
      <c r="H1213" s="4">
        <v>121.26</v>
      </c>
      <c r="I1213" s="3">
        <v>41696.0</v>
      </c>
      <c r="J1213" s="4">
        <v>125.92</v>
      </c>
      <c r="K1213" s="3">
        <v>41684.0</v>
      </c>
      <c r="L1213" s="4">
        <v>1337.2798</v>
      </c>
    </row>
    <row r="1214">
      <c r="A1214" s="3">
        <v>41683.0</v>
      </c>
      <c r="B1214" s="4">
        <v>120.69</v>
      </c>
      <c r="E1214" s="3">
        <v>41698.0</v>
      </c>
      <c r="F1214" s="4">
        <v>112.25</v>
      </c>
      <c r="G1214" s="3">
        <v>41695.0</v>
      </c>
      <c r="H1214" s="4">
        <v>121.16</v>
      </c>
      <c r="I1214" s="3">
        <v>41695.0</v>
      </c>
      <c r="J1214" s="4">
        <v>125.92</v>
      </c>
      <c r="K1214" s="3">
        <v>41683.0</v>
      </c>
      <c r="L1214" s="4">
        <v>1334.195</v>
      </c>
    </row>
    <row r="1215">
      <c r="A1215" s="3">
        <v>41682.0</v>
      </c>
      <c r="B1215" s="4">
        <v>120.69</v>
      </c>
      <c r="E1215" s="3">
        <v>41697.0</v>
      </c>
      <c r="F1215" s="4">
        <v>112.2</v>
      </c>
      <c r="G1215" s="3">
        <v>41694.0</v>
      </c>
      <c r="H1215" s="4">
        <v>121.01</v>
      </c>
      <c r="I1215" s="3">
        <v>41694.0</v>
      </c>
      <c r="J1215" s="4">
        <v>125.57</v>
      </c>
      <c r="K1215" s="3">
        <v>41682.0</v>
      </c>
      <c r="L1215" s="4">
        <v>1332.4847</v>
      </c>
    </row>
    <row r="1216">
      <c r="A1216" s="3">
        <v>41681.0</v>
      </c>
      <c r="B1216" s="4">
        <v>120.42</v>
      </c>
      <c r="E1216" s="3">
        <v>41696.0</v>
      </c>
      <c r="F1216" s="4">
        <v>112.19</v>
      </c>
      <c r="G1216" s="3">
        <v>41691.0</v>
      </c>
      <c r="H1216" s="4">
        <v>120.76</v>
      </c>
      <c r="I1216" s="3">
        <v>41691.0</v>
      </c>
      <c r="J1216" s="4">
        <v>125.43</v>
      </c>
      <c r="K1216" s="3">
        <v>41681.0</v>
      </c>
      <c r="L1216" s="4">
        <v>1325.7616</v>
      </c>
    </row>
    <row r="1217">
      <c r="A1217" s="3">
        <v>41680.0</v>
      </c>
      <c r="B1217" s="4">
        <v>119.97</v>
      </c>
      <c r="E1217" s="3">
        <v>41695.0</v>
      </c>
      <c r="F1217" s="4">
        <v>112.2</v>
      </c>
      <c r="G1217" s="3">
        <v>41690.0</v>
      </c>
      <c r="H1217" s="4">
        <v>121.02</v>
      </c>
      <c r="I1217" s="3">
        <v>41690.0</v>
      </c>
      <c r="J1217" s="4">
        <v>125.44</v>
      </c>
      <c r="K1217" s="3">
        <v>41680.0</v>
      </c>
      <c r="L1217" s="4">
        <v>1324.1587</v>
      </c>
    </row>
    <row r="1218">
      <c r="A1218" s="3">
        <v>41677.0</v>
      </c>
      <c r="B1218" s="4">
        <v>120.0</v>
      </c>
      <c r="E1218" s="3">
        <v>41694.0</v>
      </c>
      <c r="F1218" s="4">
        <v>112.18</v>
      </c>
      <c r="G1218" s="3">
        <v>41689.0</v>
      </c>
      <c r="H1218" s="4">
        <v>121.12</v>
      </c>
      <c r="I1218" s="3">
        <v>41689.0</v>
      </c>
      <c r="J1218" s="4">
        <v>125.43</v>
      </c>
      <c r="K1218" s="3">
        <v>41677.0</v>
      </c>
      <c r="L1218" s="4">
        <v>1317.5326</v>
      </c>
    </row>
    <row r="1219">
      <c r="A1219" s="3">
        <v>41676.0</v>
      </c>
      <c r="B1219" s="4">
        <v>119.7</v>
      </c>
      <c r="E1219" s="3">
        <v>41691.0</v>
      </c>
      <c r="F1219" s="4">
        <v>112.13</v>
      </c>
      <c r="G1219" s="3">
        <v>41688.0</v>
      </c>
      <c r="H1219" s="4">
        <v>121.06</v>
      </c>
      <c r="I1219" s="3">
        <v>41688.0</v>
      </c>
      <c r="J1219" s="4">
        <v>125.38</v>
      </c>
      <c r="K1219" s="3">
        <v>41676.0</v>
      </c>
      <c r="L1219" s="4">
        <v>1308.2034</v>
      </c>
    </row>
    <row r="1220">
      <c r="A1220" s="3">
        <v>41675.0</v>
      </c>
      <c r="B1220" s="4">
        <v>119.32</v>
      </c>
      <c r="E1220" s="3">
        <v>41690.0</v>
      </c>
      <c r="F1220" s="4">
        <v>112.14</v>
      </c>
      <c r="G1220" s="3">
        <v>41687.0</v>
      </c>
      <c r="H1220" s="4">
        <v>121.0</v>
      </c>
      <c r="I1220" s="3">
        <v>41687.0</v>
      </c>
      <c r="J1220" s="4">
        <v>125.23</v>
      </c>
      <c r="K1220" s="3">
        <v>41675.0</v>
      </c>
      <c r="L1220" s="4">
        <v>1306.6079</v>
      </c>
    </row>
    <row r="1221">
      <c r="A1221" s="3">
        <v>41674.0</v>
      </c>
      <c r="B1221" s="4">
        <v>119.25</v>
      </c>
      <c r="E1221" s="3">
        <v>41689.0</v>
      </c>
      <c r="F1221" s="4">
        <v>112.12</v>
      </c>
      <c r="G1221" s="3">
        <v>41684.0</v>
      </c>
      <c r="H1221" s="4">
        <v>120.73</v>
      </c>
      <c r="I1221" s="3">
        <v>41684.0</v>
      </c>
      <c r="J1221" s="4">
        <v>125.03</v>
      </c>
      <c r="K1221" s="3">
        <v>41674.0</v>
      </c>
      <c r="L1221" s="4">
        <v>1305.0507</v>
      </c>
    </row>
    <row r="1222">
      <c r="A1222" s="3">
        <v>41673.0</v>
      </c>
      <c r="B1222" s="4">
        <v>119.38</v>
      </c>
      <c r="E1222" s="3">
        <v>41688.0</v>
      </c>
      <c r="F1222" s="4">
        <v>112.11</v>
      </c>
      <c r="G1222" s="3">
        <v>41683.0</v>
      </c>
      <c r="H1222" s="4">
        <v>120.54</v>
      </c>
      <c r="I1222" s="3">
        <v>41683.0</v>
      </c>
      <c r="J1222" s="4">
        <v>124.94</v>
      </c>
      <c r="K1222" s="3">
        <v>41673.0</v>
      </c>
      <c r="L1222" s="4">
        <v>1317.761</v>
      </c>
    </row>
    <row r="1223">
      <c r="A1223" s="3">
        <v>41670.0</v>
      </c>
      <c r="B1223" s="4">
        <v>119.68</v>
      </c>
      <c r="E1223" s="3">
        <v>41687.0</v>
      </c>
      <c r="F1223" s="4">
        <v>112.13</v>
      </c>
      <c r="G1223" s="3">
        <v>41682.0</v>
      </c>
      <c r="H1223" s="4">
        <v>120.23</v>
      </c>
      <c r="I1223" s="3">
        <v>41682.0</v>
      </c>
      <c r="J1223" s="4">
        <v>124.81</v>
      </c>
      <c r="K1223" s="3">
        <v>41670.0</v>
      </c>
      <c r="L1223" s="4">
        <v>1319.4934</v>
      </c>
    </row>
    <row r="1224">
      <c r="A1224" s="3">
        <v>41669.0</v>
      </c>
      <c r="B1224" s="4">
        <v>119.77</v>
      </c>
      <c r="E1224" s="3">
        <v>41684.0</v>
      </c>
      <c r="F1224" s="4">
        <v>112.1</v>
      </c>
      <c r="G1224" s="3">
        <v>41681.0</v>
      </c>
      <c r="H1224" s="4">
        <v>120.17</v>
      </c>
      <c r="I1224" s="3">
        <v>41681.0</v>
      </c>
      <c r="J1224" s="4">
        <v>124.35</v>
      </c>
      <c r="K1224" s="3">
        <v>41669.0</v>
      </c>
      <c r="L1224" s="4">
        <v>1314.6516</v>
      </c>
    </row>
    <row r="1225">
      <c r="A1225" s="3">
        <v>41668.0</v>
      </c>
      <c r="B1225" s="4">
        <v>119.82</v>
      </c>
      <c r="E1225" s="3">
        <v>41683.0</v>
      </c>
      <c r="F1225" s="4">
        <v>112.05</v>
      </c>
      <c r="G1225" s="3">
        <v>41680.0</v>
      </c>
      <c r="H1225" s="4">
        <v>120.18</v>
      </c>
      <c r="I1225" s="3">
        <v>41680.0</v>
      </c>
      <c r="J1225" s="4">
        <v>124.24</v>
      </c>
      <c r="K1225" s="3">
        <v>41668.0</v>
      </c>
      <c r="L1225" s="4">
        <v>1319.2861</v>
      </c>
    </row>
    <row r="1226">
      <c r="A1226" s="3">
        <v>41667.0</v>
      </c>
      <c r="B1226" s="4">
        <v>119.96</v>
      </c>
      <c r="E1226" s="3">
        <v>41682.0</v>
      </c>
      <c r="F1226" s="4">
        <v>112.07</v>
      </c>
      <c r="G1226" s="3">
        <v>41677.0</v>
      </c>
      <c r="H1226" s="4">
        <v>120.22</v>
      </c>
      <c r="I1226" s="3">
        <v>41677.0</v>
      </c>
      <c r="J1226" s="4">
        <v>123.95</v>
      </c>
      <c r="K1226" s="3">
        <v>41667.0</v>
      </c>
      <c r="L1226" s="4">
        <v>1311.3099</v>
      </c>
    </row>
    <row r="1227">
      <c r="A1227" s="3">
        <v>41666.0</v>
      </c>
      <c r="B1227" s="4">
        <v>119.61</v>
      </c>
      <c r="E1227" s="3">
        <v>41681.0</v>
      </c>
      <c r="F1227" s="4">
        <v>112.05</v>
      </c>
      <c r="G1227" s="3">
        <v>41676.0</v>
      </c>
      <c r="H1227" s="4">
        <v>120.19</v>
      </c>
      <c r="I1227" s="3">
        <v>41676.0</v>
      </c>
      <c r="J1227" s="4">
        <v>123.43</v>
      </c>
      <c r="K1227" s="3">
        <v>41666.0</v>
      </c>
      <c r="L1227" s="4">
        <v>1316.1885</v>
      </c>
    </row>
    <row r="1228">
      <c r="A1228" s="3">
        <v>41663.0</v>
      </c>
      <c r="B1228" s="4">
        <v>119.86</v>
      </c>
      <c r="E1228" s="3">
        <v>41680.0</v>
      </c>
      <c r="F1228" s="4">
        <v>112.0</v>
      </c>
      <c r="G1228" s="3">
        <v>41675.0</v>
      </c>
      <c r="H1228" s="4">
        <v>120.2</v>
      </c>
      <c r="I1228" s="3">
        <v>41675.0</v>
      </c>
      <c r="J1228" s="4">
        <v>123.29</v>
      </c>
      <c r="K1228" s="3">
        <v>41663.0</v>
      </c>
      <c r="L1228" s="4">
        <v>1331.6304</v>
      </c>
    </row>
    <row r="1229">
      <c r="A1229" s="3">
        <v>41662.0</v>
      </c>
      <c r="B1229" s="4">
        <v>120.61</v>
      </c>
      <c r="E1229" s="3">
        <v>41677.0</v>
      </c>
      <c r="F1229" s="4">
        <v>111.97</v>
      </c>
      <c r="G1229" s="3">
        <v>41674.0</v>
      </c>
      <c r="H1229" s="4">
        <v>120.5</v>
      </c>
      <c r="I1229" s="3">
        <v>41674.0</v>
      </c>
      <c r="J1229" s="4">
        <v>123.54</v>
      </c>
      <c r="K1229" s="3">
        <v>41662.0</v>
      </c>
      <c r="L1229" s="4">
        <v>1338.3064</v>
      </c>
    </row>
    <row r="1230">
      <c r="A1230" s="3">
        <v>41661.0</v>
      </c>
      <c r="B1230" s="4">
        <v>120.95</v>
      </c>
      <c r="E1230" s="3">
        <v>41676.0</v>
      </c>
      <c r="F1230" s="4">
        <v>111.98</v>
      </c>
      <c r="G1230" s="3">
        <v>41673.0</v>
      </c>
      <c r="H1230" s="4">
        <v>121.2</v>
      </c>
      <c r="I1230" s="3">
        <v>41673.0</v>
      </c>
      <c r="J1230" s="4">
        <v>123.84</v>
      </c>
      <c r="K1230" s="3">
        <v>41661.0</v>
      </c>
      <c r="L1230" s="4">
        <v>1335.6941</v>
      </c>
    </row>
    <row r="1231">
      <c r="A1231" s="3">
        <v>41660.0</v>
      </c>
      <c r="B1231" s="4">
        <v>120.97</v>
      </c>
      <c r="E1231" s="3">
        <v>41675.0</v>
      </c>
      <c r="F1231" s="4">
        <v>111.94</v>
      </c>
      <c r="G1231" s="3">
        <v>41670.0</v>
      </c>
      <c r="H1231" s="4">
        <v>121.4</v>
      </c>
      <c r="I1231" s="3">
        <v>41670.0</v>
      </c>
      <c r="J1231" s="4">
        <v>123.79</v>
      </c>
      <c r="K1231" s="3">
        <v>41660.0</v>
      </c>
      <c r="L1231" s="4">
        <v>1334.2199</v>
      </c>
    </row>
    <row r="1232">
      <c r="A1232" s="3">
        <v>41659.0</v>
      </c>
      <c r="B1232" s="4">
        <v>121.06</v>
      </c>
      <c r="E1232" s="3">
        <v>41674.0</v>
      </c>
      <c r="F1232" s="4">
        <v>111.93</v>
      </c>
      <c r="G1232" s="3">
        <v>41669.0</v>
      </c>
      <c r="H1232" s="4">
        <v>121.29</v>
      </c>
      <c r="I1232" s="3">
        <v>41669.0</v>
      </c>
      <c r="J1232" s="4">
        <v>123.78</v>
      </c>
      <c r="K1232" s="3">
        <v>41659.0</v>
      </c>
      <c r="L1232" s="4">
        <v>1334.5886</v>
      </c>
    </row>
    <row r="1233">
      <c r="A1233" s="3">
        <v>41656.0</v>
      </c>
      <c r="B1233" s="4">
        <v>121.04</v>
      </c>
      <c r="E1233" s="3">
        <v>41673.0</v>
      </c>
      <c r="F1233" s="4">
        <v>111.92</v>
      </c>
      <c r="G1233" s="3">
        <v>41668.0</v>
      </c>
      <c r="H1233" s="4">
        <v>121.67</v>
      </c>
      <c r="I1233" s="3">
        <v>41668.0</v>
      </c>
      <c r="J1233" s="4">
        <v>123.81</v>
      </c>
      <c r="K1233" s="3">
        <v>41656.0</v>
      </c>
      <c r="L1233" s="4">
        <v>1332.5754</v>
      </c>
    </row>
    <row r="1234">
      <c r="A1234" s="3">
        <v>41655.0</v>
      </c>
      <c r="B1234" s="4">
        <v>120.84</v>
      </c>
      <c r="E1234" s="3">
        <v>41670.0</v>
      </c>
      <c r="F1234" s="4">
        <v>111.91</v>
      </c>
      <c r="G1234" s="3">
        <v>41667.0</v>
      </c>
      <c r="H1234" s="4">
        <v>121.5</v>
      </c>
      <c r="I1234" s="3">
        <v>41667.0</v>
      </c>
      <c r="J1234" s="4">
        <v>123.6</v>
      </c>
      <c r="K1234" s="3">
        <v>41655.0</v>
      </c>
      <c r="L1234" s="4">
        <v>1332.4553</v>
      </c>
    </row>
    <row r="1235">
      <c r="A1235" s="3">
        <v>41654.0</v>
      </c>
      <c r="B1235" s="4">
        <v>120.89</v>
      </c>
      <c r="E1235" s="3">
        <v>41669.0</v>
      </c>
      <c r="F1235" s="4">
        <v>111.94</v>
      </c>
      <c r="G1235" s="3">
        <v>41666.0</v>
      </c>
      <c r="H1235" s="4">
        <v>121.53</v>
      </c>
      <c r="I1235" s="3">
        <v>41666.0</v>
      </c>
      <c r="J1235" s="4">
        <v>123.96</v>
      </c>
      <c r="K1235" s="3">
        <v>41654.0</v>
      </c>
      <c r="L1235" s="4">
        <v>1328.9166</v>
      </c>
    </row>
    <row r="1236">
      <c r="A1236" s="3">
        <v>41653.0</v>
      </c>
      <c r="B1236" s="4">
        <v>120.39</v>
      </c>
      <c r="E1236" s="3">
        <v>41668.0</v>
      </c>
      <c r="F1236" s="4">
        <v>111.93</v>
      </c>
      <c r="G1236" s="3">
        <v>41663.0</v>
      </c>
      <c r="H1236" s="4">
        <v>122.86</v>
      </c>
      <c r="I1236" s="3">
        <v>41663.0</v>
      </c>
      <c r="J1236" s="4">
        <v>124.49</v>
      </c>
      <c r="K1236" s="3">
        <v>41653.0</v>
      </c>
      <c r="L1236" s="4">
        <v>1322.5665</v>
      </c>
    </row>
    <row r="1237">
      <c r="A1237" s="3">
        <v>41652.0</v>
      </c>
      <c r="B1237" s="4">
        <v>120.3</v>
      </c>
      <c r="E1237" s="3">
        <v>41667.0</v>
      </c>
      <c r="F1237" s="4">
        <v>111.98</v>
      </c>
      <c r="G1237" s="3">
        <v>41662.0</v>
      </c>
      <c r="H1237" s="4">
        <v>123.32</v>
      </c>
      <c r="I1237" s="3">
        <v>41662.0</v>
      </c>
      <c r="J1237" s="4">
        <v>124.77</v>
      </c>
      <c r="K1237" s="3">
        <v>41652.0</v>
      </c>
      <c r="L1237" s="4">
        <v>1326.4695</v>
      </c>
    </row>
    <row r="1238">
      <c r="A1238" s="3">
        <v>41649.0</v>
      </c>
      <c r="B1238" s="4">
        <v>120.08</v>
      </c>
      <c r="E1238" s="3">
        <v>41666.0</v>
      </c>
      <c r="F1238" s="4">
        <v>111.94</v>
      </c>
      <c r="G1238" s="3">
        <v>41661.0</v>
      </c>
      <c r="H1238" s="4">
        <v>123.38</v>
      </c>
      <c r="I1238" s="3">
        <v>41661.0</v>
      </c>
      <c r="J1238" s="4">
        <v>124.8</v>
      </c>
      <c r="K1238" s="3">
        <v>41649.0</v>
      </c>
      <c r="L1238" s="4">
        <v>1322.6834</v>
      </c>
    </row>
    <row r="1239">
      <c r="A1239" s="3">
        <v>41648.0</v>
      </c>
      <c r="B1239" s="4">
        <v>119.81</v>
      </c>
      <c r="E1239" s="3">
        <v>41663.0</v>
      </c>
      <c r="F1239" s="4">
        <v>111.9</v>
      </c>
      <c r="G1239" s="3">
        <v>41660.0</v>
      </c>
      <c r="H1239" s="4">
        <v>123.41</v>
      </c>
      <c r="I1239" s="3">
        <v>41660.0</v>
      </c>
      <c r="J1239" s="4">
        <v>124.74</v>
      </c>
      <c r="K1239" s="3">
        <v>41648.0</v>
      </c>
      <c r="L1239" s="4">
        <v>1324.9264</v>
      </c>
    </row>
    <row r="1240">
      <c r="A1240" s="3">
        <v>41647.0</v>
      </c>
      <c r="B1240" s="4">
        <v>119.88</v>
      </c>
      <c r="E1240" s="3">
        <v>41662.0</v>
      </c>
      <c r="F1240" s="4">
        <v>111.99</v>
      </c>
      <c r="G1240" s="3">
        <v>41659.0</v>
      </c>
      <c r="H1240" s="4">
        <v>123.51</v>
      </c>
      <c r="I1240" s="3">
        <v>41659.0</v>
      </c>
      <c r="J1240" s="4">
        <v>124.83</v>
      </c>
      <c r="K1240" s="3">
        <v>41647.0</v>
      </c>
      <c r="L1240" s="4">
        <v>1322.2889</v>
      </c>
    </row>
    <row r="1241">
      <c r="A1241" s="3">
        <v>41646.0</v>
      </c>
      <c r="B1241" s="4">
        <v>119.73</v>
      </c>
      <c r="E1241" s="3">
        <v>41661.0</v>
      </c>
      <c r="F1241" s="4">
        <v>112.02</v>
      </c>
      <c r="G1241" s="3">
        <v>41656.0</v>
      </c>
      <c r="H1241" s="4">
        <v>123.34</v>
      </c>
      <c r="I1241" s="3">
        <v>41656.0</v>
      </c>
      <c r="J1241" s="4">
        <v>124.68</v>
      </c>
      <c r="K1241" s="3">
        <v>41646.0</v>
      </c>
      <c r="L1241" s="4">
        <v>1314.9367</v>
      </c>
    </row>
    <row r="1242">
      <c r="A1242" s="3">
        <v>41645.0</v>
      </c>
      <c r="B1242" s="4">
        <v>119.31</v>
      </c>
      <c r="E1242" s="3">
        <v>41660.0</v>
      </c>
      <c r="F1242" s="4">
        <v>112.0</v>
      </c>
      <c r="G1242" s="3">
        <v>41655.0</v>
      </c>
      <c r="H1242" s="4">
        <v>123.05</v>
      </c>
      <c r="I1242" s="3">
        <v>41655.0</v>
      </c>
      <c r="J1242" s="4">
        <v>124.78</v>
      </c>
      <c r="K1242" s="3">
        <v>41645.0</v>
      </c>
      <c r="L1242" s="4">
        <v>1315.5184</v>
      </c>
    </row>
    <row r="1243">
      <c r="A1243" s="3">
        <v>41642.0</v>
      </c>
      <c r="B1243" s="4">
        <v>119.26</v>
      </c>
      <c r="E1243" s="3">
        <v>41659.0</v>
      </c>
      <c r="F1243" s="4">
        <v>112.0</v>
      </c>
      <c r="G1243" s="3">
        <v>41654.0</v>
      </c>
      <c r="H1243" s="4">
        <v>123.15</v>
      </c>
      <c r="I1243" s="3">
        <v>41654.0</v>
      </c>
      <c r="J1243" s="4">
        <v>124.37</v>
      </c>
      <c r="K1243" s="3">
        <v>41642.0</v>
      </c>
      <c r="L1243" s="4">
        <v>1316.1038</v>
      </c>
    </row>
    <row r="1244">
      <c r="A1244" s="3">
        <v>41641.0</v>
      </c>
      <c r="B1244" s="4">
        <v>119.04</v>
      </c>
      <c r="E1244" s="3">
        <v>41656.0</v>
      </c>
      <c r="F1244" s="4">
        <v>111.96</v>
      </c>
      <c r="G1244" s="3">
        <v>41653.0</v>
      </c>
      <c r="H1244" s="4">
        <v>123.09</v>
      </c>
      <c r="I1244" s="3">
        <v>41653.0</v>
      </c>
      <c r="J1244" s="4">
        <v>124.2</v>
      </c>
      <c r="K1244" s="3">
        <v>41641.0</v>
      </c>
      <c r="L1244" s="4">
        <v>1320.0796</v>
      </c>
    </row>
    <row r="1245">
      <c r="A1245" s="3">
        <v>41639.0</v>
      </c>
      <c r="B1245" s="4">
        <v>119.49</v>
      </c>
      <c r="E1245" s="3">
        <v>41655.0</v>
      </c>
      <c r="F1245" s="4">
        <v>111.9</v>
      </c>
      <c r="G1245" s="3">
        <v>41652.0</v>
      </c>
      <c r="H1245" s="4">
        <v>123.09</v>
      </c>
      <c r="I1245" s="3">
        <v>41652.0</v>
      </c>
      <c r="J1245" s="4">
        <v>123.99</v>
      </c>
      <c r="K1245" s="3">
        <v>41639.0</v>
      </c>
      <c r="L1245" s="4">
        <v>1317.5613</v>
      </c>
    </row>
    <row r="1246">
      <c r="A1246" s="6"/>
      <c r="B1246" s="7"/>
      <c r="E1246" s="3">
        <v>41654.0</v>
      </c>
      <c r="F1246" s="4">
        <v>111.89</v>
      </c>
      <c r="G1246" s="3">
        <v>41649.0</v>
      </c>
      <c r="H1246" s="4">
        <v>123.16</v>
      </c>
      <c r="I1246" s="3">
        <v>41649.0</v>
      </c>
      <c r="J1246" s="4">
        <v>123.88</v>
      </c>
    </row>
    <row r="1247">
      <c r="A1247" s="6"/>
      <c r="B1247" s="7"/>
      <c r="E1247" s="3">
        <v>41653.0</v>
      </c>
      <c r="F1247" s="4">
        <v>111.86</v>
      </c>
      <c r="G1247" s="3">
        <v>41648.0</v>
      </c>
      <c r="H1247" s="4">
        <v>123.35</v>
      </c>
      <c r="I1247" s="3">
        <v>41648.0</v>
      </c>
      <c r="J1247" s="4">
        <v>123.96</v>
      </c>
    </row>
    <row r="1248">
      <c r="A1248" s="6"/>
      <c r="B1248" s="7"/>
      <c r="E1248" s="3">
        <v>41652.0</v>
      </c>
      <c r="F1248" s="4">
        <v>111.84</v>
      </c>
      <c r="G1248" s="3">
        <v>41647.0</v>
      </c>
      <c r="H1248" s="4">
        <v>123.26</v>
      </c>
      <c r="I1248" s="3">
        <v>41647.0</v>
      </c>
      <c r="J1248" s="4">
        <v>123.98</v>
      </c>
    </row>
    <row r="1249">
      <c r="A1249" s="6"/>
      <c r="B1249" s="7"/>
      <c r="E1249" s="3">
        <v>41649.0</v>
      </c>
      <c r="F1249" s="4">
        <v>111.82</v>
      </c>
      <c r="G1249" s="3">
        <v>41646.0</v>
      </c>
      <c r="H1249" s="4">
        <v>123.28</v>
      </c>
      <c r="I1249" s="3">
        <v>41646.0</v>
      </c>
      <c r="J1249" s="4">
        <v>123.59</v>
      </c>
    </row>
    <row r="1250">
      <c r="A1250" s="6"/>
      <c r="B1250" s="7"/>
      <c r="E1250" s="3">
        <v>41648.0</v>
      </c>
      <c r="F1250" s="4">
        <v>111.83</v>
      </c>
      <c r="G1250" s="3">
        <v>41645.0</v>
      </c>
      <c r="H1250" s="4">
        <v>123.32</v>
      </c>
      <c r="I1250" s="3">
        <v>41645.0</v>
      </c>
      <c r="J1250" s="4">
        <v>123.64</v>
      </c>
    </row>
    <row r="1251">
      <c r="A1251" s="6"/>
      <c r="B1251" s="7"/>
      <c r="E1251" s="3">
        <v>41647.0</v>
      </c>
      <c r="F1251" s="4">
        <v>111.82</v>
      </c>
      <c r="G1251" s="3">
        <v>41642.0</v>
      </c>
      <c r="H1251" s="4">
        <v>123.32</v>
      </c>
      <c r="I1251" s="3">
        <v>41642.0</v>
      </c>
      <c r="J1251" s="4">
        <v>123.47</v>
      </c>
    </row>
    <row r="1252">
      <c r="A1252" s="6"/>
      <c r="B1252" s="7"/>
      <c r="E1252" s="3">
        <v>41646.0</v>
      </c>
      <c r="F1252" s="4">
        <v>111.78</v>
      </c>
      <c r="G1252" s="3">
        <v>41641.0</v>
      </c>
      <c r="H1252" s="4">
        <v>123.23</v>
      </c>
      <c r="I1252" s="3">
        <v>41641.0</v>
      </c>
      <c r="J1252" s="4">
        <v>123.86</v>
      </c>
    </row>
    <row r="1253">
      <c r="A1253" s="6"/>
      <c r="B1253" s="7"/>
      <c r="E1253" s="3">
        <v>41645.0</v>
      </c>
      <c r="F1253" s="4">
        <v>111.76</v>
      </c>
    </row>
    <row r="1254">
      <c r="A1254" s="6"/>
      <c r="B1254" s="7"/>
      <c r="E1254" s="3">
        <v>41642.0</v>
      </c>
      <c r="F1254" s="4">
        <v>111.75</v>
      </c>
    </row>
    <row r="1255">
      <c r="A1255" s="6"/>
      <c r="B1255" s="7"/>
      <c r="E1255" s="3">
        <v>41641.0</v>
      </c>
      <c r="F1255" s="4">
        <v>111.72</v>
      </c>
    </row>
    <row r="1256">
      <c r="A1256" s="6"/>
      <c r="B1256" s="7"/>
      <c r="E1256" s="3">
        <v>41639.0</v>
      </c>
      <c r="F1256" s="4">
        <v>111.71</v>
      </c>
    </row>
    <row r="1257">
      <c r="A1257" s="6"/>
      <c r="B1257" s="7"/>
    </row>
    <row r="1258">
      <c r="A1258" s="6"/>
      <c r="B1258" s="7"/>
    </row>
    <row r="1259">
      <c r="A1259" s="6"/>
      <c r="B1259" s="7"/>
    </row>
    <row r="1260">
      <c r="A1260" s="6"/>
      <c r="B1260" s="7"/>
    </row>
    <row r="1261">
      <c r="A1261" s="6"/>
      <c r="B1261" s="7"/>
    </row>
    <row r="1262">
      <c r="A1262" s="6"/>
      <c r="B1262" s="7"/>
    </row>
    <row r="1263">
      <c r="A1263" s="6"/>
      <c r="B1263" s="7"/>
    </row>
    <row r="1264">
      <c r="A1264" s="6"/>
      <c r="B1264" s="7"/>
    </row>
    <row r="1265">
      <c r="A1265" s="6"/>
      <c r="B1265" s="7"/>
    </row>
    <row r="1266">
      <c r="A1266" s="6"/>
      <c r="B1266" s="7"/>
    </row>
    <row r="1267">
      <c r="A1267" s="6"/>
      <c r="B1267" s="7"/>
    </row>
    <row r="1268">
      <c r="A1268" s="6"/>
      <c r="B1268" s="7"/>
    </row>
    <row r="1269">
      <c r="A1269" s="6"/>
      <c r="B1269" s="7"/>
    </row>
    <row r="1270">
      <c r="A1270" s="6"/>
      <c r="B1270" s="7"/>
    </row>
    <row r="1271">
      <c r="A1271" s="6"/>
      <c r="B1271" s="7"/>
    </row>
    <row r="1272">
      <c r="A1272" s="6"/>
      <c r="B1272" s="7"/>
    </row>
    <row r="1273">
      <c r="A1273" s="6"/>
      <c r="B1273" s="7"/>
    </row>
    <row r="1274">
      <c r="A1274" s="6"/>
      <c r="B1274" s="7"/>
    </row>
    <row r="1275">
      <c r="A1275" s="6"/>
      <c r="B1275" s="7"/>
    </row>
    <row r="1276">
      <c r="A1276" s="6"/>
      <c r="B1276" s="7"/>
    </row>
    <row r="1277">
      <c r="A1277" s="6"/>
      <c r="B1277" s="7"/>
    </row>
    <row r="1278">
      <c r="A1278" s="6"/>
      <c r="B1278" s="7"/>
    </row>
    <row r="1279">
      <c r="A1279" s="6"/>
      <c r="B1279" s="7"/>
    </row>
    <row r="1280">
      <c r="A1280" s="6"/>
      <c r="B1280" s="7"/>
    </row>
    <row r="1281">
      <c r="A1281" s="6"/>
      <c r="B1281" s="7"/>
    </row>
    <row r="1282">
      <c r="A1282" s="6"/>
      <c r="B1282" s="7"/>
    </row>
    <row r="1283">
      <c r="A1283" s="6"/>
      <c r="B1283" s="7"/>
    </row>
    <row r="1284">
      <c r="A1284" s="6"/>
      <c r="B1284" s="7"/>
    </row>
    <row r="1285">
      <c r="A1285" s="6"/>
      <c r="B1285" s="7"/>
    </row>
    <row r="1286">
      <c r="A1286" s="6"/>
      <c r="B1286" s="7"/>
    </row>
    <row r="1287">
      <c r="A1287" s="6"/>
      <c r="B1287" s="7"/>
    </row>
    <row r="1288">
      <c r="A1288" s="6"/>
      <c r="B1288" s="7"/>
    </row>
    <row r="1289">
      <c r="A1289" s="6"/>
      <c r="B1289" s="7"/>
    </row>
    <row r="1290">
      <c r="A1290" s="6"/>
      <c r="B1290" s="7"/>
    </row>
    <row r="1291">
      <c r="A1291" s="6"/>
      <c r="B1291" s="7"/>
    </row>
    <row r="1292">
      <c r="A1292" s="6"/>
      <c r="B1292" s="7"/>
    </row>
    <row r="1293">
      <c r="A1293" s="6"/>
      <c r="B1293" s="7"/>
    </row>
    <row r="1294">
      <c r="A1294" s="6"/>
      <c r="B1294" s="7"/>
    </row>
    <row r="1295">
      <c r="A1295" s="6"/>
      <c r="B1295" s="7"/>
    </row>
    <row r="1296">
      <c r="A1296" s="6"/>
      <c r="B1296" s="7"/>
    </row>
    <row r="1297">
      <c r="A1297" s="6"/>
      <c r="B1297" s="7"/>
    </row>
    <row r="1298">
      <c r="A1298" s="6"/>
      <c r="B1298" s="7"/>
    </row>
    <row r="1299">
      <c r="A1299" s="6"/>
      <c r="B1299" s="7"/>
    </row>
    <row r="1300">
      <c r="A1300" s="6"/>
      <c r="B1300" s="7"/>
    </row>
    <row r="1301">
      <c r="A1301" s="6"/>
      <c r="B1301" s="7"/>
    </row>
    <row r="1302">
      <c r="A1302" s="6"/>
      <c r="B1302" s="7"/>
    </row>
    <row r="1303">
      <c r="A1303" s="6"/>
      <c r="B1303" s="7"/>
    </row>
    <row r="1304">
      <c r="A1304" s="6"/>
      <c r="B1304" s="7"/>
    </row>
    <row r="1305">
      <c r="A1305" s="6"/>
      <c r="B1305" s="7"/>
    </row>
    <row r="1306">
      <c r="A1306" s="6"/>
      <c r="B1306" s="7"/>
    </row>
    <row r="1307">
      <c r="A1307" s="6"/>
      <c r="B1307" s="7"/>
    </row>
    <row r="1308">
      <c r="A1308" s="6"/>
      <c r="B1308" s="7"/>
    </row>
    <row r="1309">
      <c r="A1309" s="6"/>
      <c r="B1309" s="7"/>
    </row>
    <row r="1310">
      <c r="A1310" s="6"/>
      <c r="B1310" s="7"/>
    </row>
    <row r="1311">
      <c r="A1311" s="6"/>
      <c r="B1311" s="7"/>
    </row>
    <row r="1312">
      <c r="A1312" s="6"/>
      <c r="B1312" s="7"/>
    </row>
    <row r="1313">
      <c r="A1313" s="6"/>
      <c r="B1313" s="7"/>
    </row>
    <row r="1314">
      <c r="A1314" s="6"/>
      <c r="B1314" s="7"/>
    </row>
    <row r="1315">
      <c r="A1315" s="6"/>
      <c r="B1315" s="7"/>
    </row>
    <row r="1316">
      <c r="A1316" s="6"/>
      <c r="B1316" s="7"/>
    </row>
    <row r="1317">
      <c r="A1317" s="6"/>
      <c r="B1317" s="7"/>
    </row>
    <row r="1318">
      <c r="A1318" s="6"/>
      <c r="B1318" s="7"/>
    </row>
    <row r="1319">
      <c r="A1319" s="6"/>
      <c r="B1319" s="7"/>
    </row>
    <row r="1320">
      <c r="A1320" s="6"/>
      <c r="B1320" s="7"/>
    </row>
    <row r="1321">
      <c r="A1321" s="6"/>
      <c r="B1321" s="7"/>
    </row>
    <row r="1322">
      <c r="A1322" s="6"/>
      <c r="B1322" s="7"/>
    </row>
    <row r="1323">
      <c r="A1323" s="6"/>
      <c r="B1323" s="7"/>
    </row>
    <row r="1324">
      <c r="A1324" s="6"/>
      <c r="B1324" s="7"/>
    </row>
    <row r="1325">
      <c r="A1325" s="6"/>
      <c r="B1325" s="7"/>
    </row>
    <row r="1326">
      <c r="A1326" s="6"/>
      <c r="B1326" s="7"/>
    </row>
    <row r="1327">
      <c r="A1327" s="6"/>
      <c r="B1327" s="7"/>
    </row>
    <row r="1328">
      <c r="A1328" s="6"/>
      <c r="B1328" s="7"/>
    </row>
    <row r="1329">
      <c r="A1329" s="6"/>
      <c r="B1329" s="7"/>
    </row>
    <row r="1330">
      <c r="A1330" s="6"/>
      <c r="B1330" s="7"/>
    </row>
    <row r="1331">
      <c r="A1331" s="6"/>
      <c r="B1331" s="7"/>
    </row>
    <row r="1332">
      <c r="A1332" s="6"/>
      <c r="B1332" s="7"/>
    </row>
    <row r="1333">
      <c r="A1333" s="6"/>
      <c r="B1333" s="7"/>
    </row>
    <row r="1334">
      <c r="A1334" s="6"/>
      <c r="B1334" s="7"/>
    </row>
    <row r="1335">
      <c r="A1335" s="6"/>
      <c r="B1335" s="7"/>
    </row>
    <row r="1336">
      <c r="A1336" s="6"/>
      <c r="B1336" s="7"/>
    </row>
    <row r="1337">
      <c r="A1337" s="6"/>
      <c r="B1337" s="7"/>
    </row>
    <row r="1338">
      <c r="A1338" s="6"/>
      <c r="B1338" s="7"/>
    </row>
    <row r="1339">
      <c r="A1339" s="6"/>
      <c r="B1339" s="7"/>
    </row>
    <row r="1340">
      <c r="A1340" s="6"/>
      <c r="B1340" s="7"/>
    </row>
    <row r="1341">
      <c r="A1341" s="6"/>
      <c r="B1341" s="7"/>
    </row>
    <row r="1342">
      <c r="A1342" s="6"/>
      <c r="B1342" s="7"/>
    </row>
    <row r="1343">
      <c r="A1343" s="6"/>
      <c r="B1343" s="7"/>
    </row>
    <row r="1344">
      <c r="A1344" s="6"/>
      <c r="B1344" s="7"/>
    </row>
    <row r="1345">
      <c r="A1345" s="6"/>
      <c r="B1345" s="7"/>
    </row>
    <row r="1346">
      <c r="A1346" s="6"/>
      <c r="B1346" s="7"/>
    </row>
    <row r="1347">
      <c r="A1347" s="6"/>
      <c r="B1347" s="7"/>
    </row>
    <row r="1348">
      <c r="A1348" s="6"/>
      <c r="B1348" s="7"/>
    </row>
    <row r="1349">
      <c r="A1349" s="6"/>
      <c r="B1349" s="7"/>
    </row>
    <row r="1350">
      <c r="A1350" s="6"/>
      <c r="B1350" s="7"/>
    </row>
    <row r="1351">
      <c r="A1351" s="6"/>
      <c r="B1351" s="7"/>
    </row>
    <row r="1352">
      <c r="A1352" s="6"/>
      <c r="B1352" s="7"/>
    </row>
    <row r="1353">
      <c r="A1353" s="6"/>
      <c r="B1353" s="7"/>
    </row>
    <row r="1354">
      <c r="A1354" s="6"/>
      <c r="B1354" s="7"/>
    </row>
    <row r="1355">
      <c r="A1355" s="6"/>
      <c r="B1355" s="7"/>
    </row>
    <row r="1356">
      <c r="A1356" s="6"/>
      <c r="B1356" s="7"/>
    </row>
    <row r="1357">
      <c r="A1357" s="6"/>
      <c r="B1357" s="7"/>
    </row>
    <row r="1358">
      <c r="A1358" s="6"/>
      <c r="B1358" s="7"/>
    </row>
    <row r="1359">
      <c r="A1359" s="6"/>
      <c r="B1359" s="7"/>
    </row>
    <row r="1360">
      <c r="A1360" s="6"/>
      <c r="B1360" s="7"/>
    </row>
    <row r="1361">
      <c r="A1361" s="6"/>
      <c r="B1361" s="7"/>
    </row>
    <row r="1362">
      <c r="A1362" s="6"/>
      <c r="B1362" s="7"/>
    </row>
    <row r="1363">
      <c r="A1363" s="6"/>
      <c r="B1363" s="7"/>
    </row>
    <row r="1364">
      <c r="A1364" s="6"/>
      <c r="B1364" s="7"/>
    </row>
    <row r="1365">
      <c r="A1365" s="6"/>
      <c r="B1365" s="7"/>
    </row>
    <row r="1366">
      <c r="A1366" s="6"/>
      <c r="B1366" s="7"/>
    </row>
    <row r="1367">
      <c r="A1367" s="6"/>
      <c r="B1367" s="7"/>
    </row>
    <row r="1368">
      <c r="A1368" s="6"/>
      <c r="B1368" s="7"/>
    </row>
    <row r="1369">
      <c r="A1369" s="6"/>
      <c r="B1369" s="7"/>
    </row>
    <row r="1370">
      <c r="A1370" s="6"/>
      <c r="B1370" s="7"/>
    </row>
    <row r="1371">
      <c r="A1371" s="6"/>
      <c r="B1371" s="7"/>
    </row>
    <row r="1372">
      <c r="A1372" s="6"/>
      <c r="B1372" s="7"/>
    </row>
    <row r="1373">
      <c r="A1373" s="6"/>
      <c r="B1373" s="7"/>
    </row>
    <row r="1374">
      <c r="A1374" s="6"/>
      <c r="B1374" s="7"/>
    </row>
    <row r="1375">
      <c r="A1375" s="6"/>
      <c r="B1375" s="7"/>
    </row>
    <row r="1376">
      <c r="A1376" s="6"/>
      <c r="B1376" s="7"/>
    </row>
    <row r="1377">
      <c r="A1377" s="6"/>
      <c r="B1377" s="7"/>
    </row>
    <row r="1378">
      <c r="A1378" s="6"/>
      <c r="B1378" s="7"/>
    </row>
    <row r="1379">
      <c r="A1379" s="6"/>
      <c r="B1379" s="7"/>
    </row>
    <row r="1380">
      <c r="A1380" s="6"/>
      <c r="B1380" s="7"/>
    </row>
    <row r="1381">
      <c r="A1381" s="6"/>
      <c r="B1381" s="7"/>
    </row>
    <row r="1382">
      <c r="A1382" s="6"/>
      <c r="B1382" s="7"/>
    </row>
    <row r="1383">
      <c r="A1383" s="6"/>
      <c r="B1383" s="7"/>
    </row>
    <row r="1384">
      <c r="A1384" s="6"/>
      <c r="B1384" s="7"/>
    </row>
    <row r="1385">
      <c r="A1385" s="6"/>
      <c r="B1385" s="7"/>
    </row>
    <row r="1386">
      <c r="A1386" s="6"/>
      <c r="B1386" s="7"/>
    </row>
    <row r="1387">
      <c r="A1387" s="6"/>
      <c r="B1387" s="7"/>
    </row>
    <row r="1388">
      <c r="A1388" s="6"/>
      <c r="B1388" s="7"/>
    </row>
    <row r="1389">
      <c r="A1389" s="6"/>
      <c r="B1389" s="7"/>
    </row>
    <row r="1390">
      <c r="A1390" s="6"/>
      <c r="B1390" s="7"/>
    </row>
    <row r="1391">
      <c r="A1391" s="6"/>
      <c r="B1391" s="7"/>
    </row>
    <row r="1392">
      <c r="A1392" s="6"/>
      <c r="B1392" s="7"/>
    </row>
    <row r="1393">
      <c r="A1393" s="6"/>
      <c r="B1393" s="7"/>
    </row>
    <row r="1394">
      <c r="A1394" s="6"/>
      <c r="B1394" s="7"/>
    </row>
    <row r="1395">
      <c r="A1395" s="6"/>
      <c r="B1395" s="7"/>
    </row>
    <row r="1396">
      <c r="A1396" s="6"/>
      <c r="B1396" s="7"/>
    </row>
    <row r="1397">
      <c r="A1397" s="6"/>
      <c r="B1397" s="7"/>
    </row>
    <row r="1398">
      <c r="A1398" s="6"/>
      <c r="B1398" s="7"/>
    </row>
    <row r="1399">
      <c r="A1399" s="6"/>
      <c r="B1399" s="7"/>
    </row>
    <row r="1400">
      <c r="A1400" s="6"/>
      <c r="B1400" s="7"/>
    </row>
    <row r="1401">
      <c r="A1401" s="6"/>
      <c r="B1401" s="7"/>
    </row>
    <row r="1402">
      <c r="A1402" s="6"/>
      <c r="B1402" s="7"/>
    </row>
    <row r="1403">
      <c r="A1403" s="6"/>
      <c r="B1403" s="7"/>
    </row>
    <row r="1404">
      <c r="A1404" s="6"/>
      <c r="B1404" s="7"/>
    </row>
    <row r="1405">
      <c r="A1405" s="6"/>
      <c r="B1405" s="7"/>
    </row>
    <row r="1406">
      <c r="A1406" s="6"/>
      <c r="B1406" s="7"/>
    </row>
    <row r="1407">
      <c r="A1407" s="6"/>
      <c r="B1407" s="7"/>
    </row>
    <row r="1408">
      <c r="A1408" s="6"/>
      <c r="B1408" s="7"/>
    </row>
    <row r="1409">
      <c r="A1409" s="6"/>
      <c r="B1409" s="7"/>
    </row>
    <row r="1410">
      <c r="A1410" s="6"/>
      <c r="B1410" s="7"/>
    </row>
    <row r="1411">
      <c r="A1411" s="6"/>
      <c r="B1411" s="7"/>
    </row>
    <row r="1412">
      <c r="A1412" s="6"/>
      <c r="B1412" s="7"/>
    </row>
    <row r="1413">
      <c r="A1413" s="6"/>
      <c r="B1413" s="7"/>
    </row>
    <row r="1414">
      <c r="A1414" s="6"/>
      <c r="B1414" s="7"/>
    </row>
    <row r="1415">
      <c r="A1415" s="6"/>
      <c r="B1415" s="7"/>
    </row>
    <row r="1416">
      <c r="A1416" s="6"/>
      <c r="B1416" s="7"/>
    </row>
    <row r="1417">
      <c r="A1417" s="6"/>
      <c r="B1417" s="7"/>
    </row>
    <row r="1418">
      <c r="A1418" s="6"/>
      <c r="B1418" s="7"/>
    </row>
    <row r="1419">
      <c r="A1419" s="6"/>
      <c r="B1419" s="7"/>
    </row>
    <row r="1420">
      <c r="A1420" s="6"/>
      <c r="B1420" s="7"/>
    </row>
    <row r="1421">
      <c r="A1421" s="6"/>
      <c r="B1421" s="7"/>
    </row>
    <row r="1422">
      <c r="A1422" s="6"/>
      <c r="B1422" s="7"/>
    </row>
    <row r="1423">
      <c r="A1423" s="6"/>
      <c r="B1423" s="7"/>
    </row>
    <row r="1424">
      <c r="A1424" s="6"/>
      <c r="B1424" s="7"/>
    </row>
    <row r="1425">
      <c r="A1425" s="6"/>
      <c r="B1425" s="7"/>
    </row>
    <row r="1426">
      <c r="A1426" s="6"/>
      <c r="B1426" s="7"/>
    </row>
    <row r="1427">
      <c r="A1427" s="6"/>
      <c r="B1427" s="7"/>
    </row>
    <row r="1428">
      <c r="A1428" s="6"/>
      <c r="B1428" s="7"/>
    </row>
    <row r="1429">
      <c r="A1429" s="6"/>
      <c r="B1429" s="7"/>
    </row>
    <row r="1430">
      <c r="A1430" s="6"/>
      <c r="B1430" s="7"/>
    </row>
    <row r="1431">
      <c r="A1431" s="6"/>
      <c r="B1431" s="7"/>
    </row>
    <row r="1432">
      <c r="A1432" s="6"/>
      <c r="B1432" s="7"/>
    </row>
    <row r="1433">
      <c r="A1433" s="6"/>
      <c r="B1433" s="7"/>
    </row>
    <row r="1434">
      <c r="A1434" s="6"/>
      <c r="B1434" s="7"/>
    </row>
    <row r="1435">
      <c r="A1435" s="6"/>
      <c r="B1435" s="7"/>
    </row>
    <row r="1436">
      <c r="A1436" s="6"/>
      <c r="B1436" s="7"/>
    </row>
    <row r="1437">
      <c r="A1437" s="6"/>
      <c r="B1437" s="7"/>
    </row>
    <row r="1438">
      <c r="A1438" s="6"/>
      <c r="B1438" s="7"/>
    </row>
    <row r="1439">
      <c r="A1439" s="6"/>
      <c r="B1439" s="7"/>
    </row>
    <row r="1440">
      <c r="A1440" s="6"/>
      <c r="B1440" s="7"/>
    </row>
    <row r="1441">
      <c r="A1441" s="6"/>
      <c r="B1441" s="7"/>
    </row>
    <row r="1442">
      <c r="A1442" s="6"/>
      <c r="B1442" s="7"/>
    </row>
    <row r="1443">
      <c r="A1443" s="6"/>
      <c r="B1443" s="7"/>
    </row>
    <row r="1444">
      <c r="A1444" s="6"/>
      <c r="B1444" s="7"/>
    </row>
    <row r="1445">
      <c r="A1445" s="6"/>
      <c r="B1445" s="7"/>
    </row>
    <row r="1446">
      <c r="A1446" s="6"/>
      <c r="B1446" s="7"/>
    </row>
    <row r="1447">
      <c r="A1447" s="6"/>
      <c r="B1447" s="7"/>
    </row>
    <row r="1448">
      <c r="A1448" s="6"/>
      <c r="B1448" s="7"/>
    </row>
    <row r="1449">
      <c r="A1449" s="6"/>
      <c r="B1449" s="7"/>
    </row>
    <row r="1450">
      <c r="A1450" s="6"/>
      <c r="B1450" s="7"/>
    </row>
    <row r="1451">
      <c r="A1451" s="6"/>
      <c r="B1451" s="7"/>
    </row>
    <row r="1452">
      <c r="A1452" s="6"/>
      <c r="B1452" s="7"/>
    </row>
    <row r="1453">
      <c r="A1453" s="6"/>
      <c r="B1453" s="7"/>
    </row>
    <row r="1454">
      <c r="A1454" s="6"/>
      <c r="B1454" s="7"/>
    </row>
    <row r="1455">
      <c r="A1455" s="6"/>
      <c r="B1455" s="7"/>
    </row>
    <row r="1456">
      <c r="A1456" s="6"/>
      <c r="B1456" s="7"/>
    </row>
    <row r="1457">
      <c r="A1457" s="6"/>
      <c r="B1457" s="7"/>
    </row>
    <row r="1458">
      <c r="A1458" s="6"/>
      <c r="B1458" s="7"/>
    </row>
    <row r="1459">
      <c r="A1459" s="6"/>
      <c r="B1459" s="7"/>
    </row>
    <row r="1460">
      <c r="A1460" s="6"/>
      <c r="B1460" s="7"/>
    </row>
    <row r="1461">
      <c r="A1461" s="6"/>
      <c r="B1461" s="7"/>
    </row>
    <row r="1462">
      <c r="A1462" s="6"/>
      <c r="B1462" s="7"/>
    </row>
    <row r="1463">
      <c r="A1463" s="6"/>
      <c r="B1463" s="7"/>
    </row>
    <row r="1464">
      <c r="A1464" s="6"/>
      <c r="B1464" s="7"/>
    </row>
    <row r="1465">
      <c r="A1465" s="6"/>
      <c r="B1465" s="7"/>
    </row>
    <row r="1466">
      <c r="A1466" s="6"/>
      <c r="B1466" s="7"/>
    </row>
    <row r="1467">
      <c r="A1467" s="6"/>
      <c r="B1467" s="7"/>
    </row>
    <row r="1468">
      <c r="A1468" s="6"/>
      <c r="B1468" s="7"/>
    </row>
    <row r="1469">
      <c r="A1469" s="6"/>
      <c r="B1469" s="7"/>
    </row>
    <row r="1470">
      <c r="A1470" s="6"/>
      <c r="B1470" s="7"/>
    </row>
    <row r="1471">
      <c r="A1471" s="6"/>
      <c r="B1471" s="7"/>
    </row>
    <row r="1472">
      <c r="A1472" s="6"/>
      <c r="B1472" s="7"/>
    </row>
    <row r="1473">
      <c r="A1473" s="6"/>
      <c r="B1473" s="7"/>
    </row>
    <row r="1474">
      <c r="A1474" s="6"/>
      <c r="B1474" s="7"/>
    </row>
    <row r="1475">
      <c r="A1475" s="6"/>
      <c r="B1475" s="7"/>
    </row>
    <row r="1476">
      <c r="A1476" s="6"/>
      <c r="B1476" s="7"/>
    </row>
    <row r="1477">
      <c r="A1477" s="6"/>
      <c r="B1477" s="7"/>
    </row>
    <row r="1478">
      <c r="A1478" s="6"/>
      <c r="B1478" s="7"/>
    </row>
    <row r="1479">
      <c r="A1479" s="6"/>
      <c r="B1479" s="7"/>
    </row>
    <row r="1480">
      <c r="A1480" s="6"/>
      <c r="B1480" s="7"/>
    </row>
    <row r="1481">
      <c r="A1481" s="6"/>
      <c r="B1481" s="7"/>
    </row>
    <row r="1482">
      <c r="A1482" s="6"/>
      <c r="B1482" s="7"/>
    </row>
    <row r="1483">
      <c r="A1483" s="6"/>
      <c r="B1483" s="7"/>
    </row>
    <row r="1484">
      <c r="A1484" s="6"/>
      <c r="B1484" s="7"/>
    </row>
    <row r="1485">
      <c r="A1485" s="6"/>
      <c r="B1485" s="7"/>
    </row>
    <row r="1486">
      <c r="A1486" s="6"/>
      <c r="B1486" s="7"/>
    </row>
    <row r="1487">
      <c r="A1487" s="6"/>
      <c r="B1487" s="7"/>
    </row>
    <row r="1488">
      <c r="A1488" s="6"/>
      <c r="B1488" s="7"/>
    </row>
    <row r="1489">
      <c r="A1489" s="6"/>
      <c r="B1489" s="7"/>
    </row>
    <row r="1490">
      <c r="A1490" s="6"/>
      <c r="B1490" s="7"/>
    </row>
    <row r="1491">
      <c r="A1491" s="6"/>
      <c r="B1491" s="7"/>
    </row>
    <row r="1492">
      <c r="A1492" s="6"/>
      <c r="B1492" s="7"/>
    </row>
    <row r="1493">
      <c r="A1493" s="6"/>
      <c r="B1493" s="7"/>
    </row>
    <row r="1494">
      <c r="A1494" s="6"/>
      <c r="B1494" s="7"/>
    </row>
    <row r="1495">
      <c r="A1495" s="6"/>
      <c r="B1495" s="7"/>
    </row>
    <row r="1496">
      <c r="A1496" s="6"/>
      <c r="B1496" s="7"/>
    </row>
    <row r="1497">
      <c r="A1497" s="6"/>
      <c r="B1497" s="7"/>
    </row>
    <row r="1498">
      <c r="A1498" s="6"/>
      <c r="B1498" s="7"/>
    </row>
    <row r="1499">
      <c r="A1499" s="6"/>
      <c r="B1499" s="7"/>
    </row>
    <row r="1500">
      <c r="A1500" s="6"/>
      <c r="B1500" s="7"/>
    </row>
    <row r="1501">
      <c r="A1501" s="6"/>
      <c r="B1501" s="7"/>
    </row>
    <row r="1502">
      <c r="A1502" s="6"/>
      <c r="B1502" s="7"/>
    </row>
    <row r="1503">
      <c r="A1503" s="6"/>
      <c r="B1503" s="7"/>
    </row>
    <row r="1504">
      <c r="A1504" s="6"/>
      <c r="B1504" s="7"/>
    </row>
    <row r="1505">
      <c r="A1505" s="6"/>
      <c r="B1505" s="7"/>
    </row>
    <row r="1506">
      <c r="A1506" s="6"/>
      <c r="B1506" s="7"/>
    </row>
    <row r="1507">
      <c r="A1507" s="6"/>
      <c r="B1507" s="7"/>
    </row>
    <row r="1508">
      <c r="A1508" s="6"/>
      <c r="B1508" s="7"/>
    </row>
    <row r="1509">
      <c r="A1509" s="6"/>
      <c r="B1509" s="7"/>
    </row>
    <row r="1510">
      <c r="A1510" s="6"/>
      <c r="B1510" s="7"/>
    </row>
    <row r="1511">
      <c r="A1511" s="6"/>
      <c r="B1511" s="7"/>
    </row>
    <row r="1512">
      <c r="A1512" s="6"/>
      <c r="B1512" s="7"/>
    </row>
    <row r="1513">
      <c r="A1513" s="6"/>
      <c r="B1513" s="7"/>
    </row>
    <row r="1514">
      <c r="A1514" s="6"/>
      <c r="B1514" s="7"/>
    </row>
    <row r="1515">
      <c r="A1515" s="6"/>
      <c r="B1515" s="7"/>
    </row>
    <row r="1516">
      <c r="A1516" s="6"/>
      <c r="B1516" s="7"/>
    </row>
    <row r="1517">
      <c r="A1517" s="6"/>
      <c r="B1517" s="7"/>
    </row>
    <row r="1518">
      <c r="A1518" s="6"/>
      <c r="B1518" s="7"/>
    </row>
    <row r="1519">
      <c r="A1519" s="6"/>
      <c r="B1519" s="7"/>
    </row>
    <row r="1520">
      <c r="A1520" s="6"/>
      <c r="B1520" s="7"/>
    </row>
    <row r="1521">
      <c r="A1521" s="6"/>
      <c r="B1521" s="7"/>
    </row>
    <row r="1522">
      <c r="A1522" s="6"/>
      <c r="B1522" s="7"/>
    </row>
    <row r="1523">
      <c r="A1523" s="6"/>
      <c r="B1523" s="7"/>
    </row>
    <row r="1524">
      <c r="A1524" s="6"/>
      <c r="B1524" s="7"/>
    </row>
    <row r="1525">
      <c r="A1525" s="6"/>
      <c r="B1525" s="7"/>
    </row>
    <row r="1526">
      <c r="A1526" s="6"/>
      <c r="B1526" s="7"/>
    </row>
    <row r="1527">
      <c r="A1527" s="6"/>
      <c r="B1527" s="7"/>
    </row>
    <row r="1528">
      <c r="A1528" s="6"/>
      <c r="B1528" s="7"/>
    </row>
    <row r="1529">
      <c r="A1529" s="6"/>
      <c r="B1529" s="7"/>
    </row>
    <row r="1530">
      <c r="A1530" s="6"/>
      <c r="B1530" s="7"/>
    </row>
    <row r="1531">
      <c r="A1531" s="6"/>
      <c r="B1531" s="7"/>
    </row>
    <row r="1532">
      <c r="A1532" s="6"/>
      <c r="B1532" s="7"/>
    </row>
    <row r="1533">
      <c r="A1533" s="6"/>
      <c r="B1533" s="7"/>
    </row>
    <row r="1534">
      <c r="A1534" s="6"/>
      <c r="B1534" s="7"/>
    </row>
    <row r="1535">
      <c r="A1535" s="6"/>
      <c r="B1535" s="7"/>
    </row>
    <row r="1536">
      <c r="A1536" s="6"/>
      <c r="B1536" s="7"/>
    </row>
    <row r="1537">
      <c r="A1537" s="6"/>
      <c r="B1537" s="7"/>
    </row>
    <row r="1538">
      <c r="A1538" s="6"/>
      <c r="B1538" s="7"/>
    </row>
    <row r="1539">
      <c r="A1539" s="6"/>
      <c r="B1539" s="7"/>
    </row>
    <row r="1540">
      <c r="A1540" s="6"/>
      <c r="B1540" s="7"/>
    </row>
    <row r="1541">
      <c r="A1541" s="6"/>
      <c r="B1541" s="7"/>
    </row>
    <row r="1542">
      <c r="A1542" s="6"/>
      <c r="B1542" s="7"/>
    </row>
    <row r="1543">
      <c r="A1543" s="6"/>
      <c r="B1543" s="7"/>
    </row>
    <row r="1544">
      <c r="A1544" s="6"/>
      <c r="B1544" s="7"/>
    </row>
    <row r="1545">
      <c r="A1545" s="6"/>
      <c r="B1545" s="7"/>
    </row>
    <row r="1546">
      <c r="A1546" s="6"/>
      <c r="B1546" s="7"/>
    </row>
    <row r="1547">
      <c r="A1547" s="6"/>
      <c r="B1547" s="7"/>
    </row>
    <row r="1548">
      <c r="A1548" s="6"/>
      <c r="B1548" s="7"/>
    </row>
    <row r="1549">
      <c r="A1549" s="6"/>
      <c r="B1549" s="7"/>
    </row>
    <row r="1550">
      <c r="A1550" s="6"/>
      <c r="B1550" s="7"/>
    </row>
    <row r="1551">
      <c r="A1551" s="6"/>
      <c r="B1551" s="7"/>
    </row>
    <row r="1552">
      <c r="A1552" s="6"/>
      <c r="B1552" s="7"/>
    </row>
    <row r="1553">
      <c r="A1553" s="6"/>
      <c r="B1553" s="7"/>
    </row>
    <row r="1554">
      <c r="A1554" s="6"/>
      <c r="B1554" s="7"/>
    </row>
    <row r="1555">
      <c r="A1555" s="6"/>
      <c r="B1555" s="7"/>
    </row>
    <row r="1556">
      <c r="A1556" s="6"/>
      <c r="B1556" s="7"/>
    </row>
    <row r="1557">
      <c r="A1557" s="6"/>
      <c r="B1557" s="7"/>
    </row>
    <row r="1558">
      <c r="A1558" s="6"/>
      <c r="B1558" s="7"/>
    </row>
    <row r="1559">
      <c r="A1559" s="6"/>
      <c r="B1559" s="7"/>
    </row>
    <row r="1560">
      <c r="A1560" s="6"/>
      <c r="B1560" s="7"/>
    </row>
    <row r="1561">
      <c r="A1561" s="6"/>
      <c r="B1561" s="7"/>
    </row>
    <row r="1562">
      <c r="A1562" s="6"/>
      <c r="B1562" s="7"/>
    </row>
    <row r="1563">
      <c r="A1563" s="6"/>
      <c r="B1563" s="7"/>
    </row>
    <row r="1564">
      <c r="A1564" s="6"/>
      <c r="B1564" s="7"/>
    </row>
    <row r="1565">
      <c r="A1565" s="6"/>
      <c r="B1565" s="7"/>
    </row>
    <row r="1566">
      <c r="A1566" s="6"/>
      <c r="B1566" s="7"/>
    </row>
    <row r="1567">
      <c r="A1567" s="6"/>
      <c r="B1567" s="7"/>
    </row>
    <row r="1568">
      <c r="A1568" s="6"/>
      <c r="B1568" s="7"/>
    </row>
    <row r="1569">
      <c r="A1569" s="6"/>
      <c r="B1569" s="7"/>
    </row>
    <row r="1570">
      <c r="A1570" s="6"/>
      <c r="B1570" s="7"/>
    </row>
    <row r="1571">
      <c r="A1571" s="6"/>
      <c r="B1571" s="7"/>
    </row>
    <row r="1572">
      <c r="A1572" s="6"/>
      <c r="B1572" s="7"/>
    </row>
    <row r="1573">
      <c r="A1573" s="6"/>
      <c r="B1573" s="7"/>
    </row>
    <row r="1574">
      <c r="A1574" s="6"/>
      <c r="B1574" s="7"/>
    </row>
    <row r="1575">
      <c r="A1575" s="6"/>
      <c r="B1575" s="7"/>
    </row>
    <row r="1576">
      <c r="A1576" s="6"/>
      <c r="B1576" s="7"/>
    </row>
    <row r="1577">
      <c r="A1577" s="6"/>
      <c r="B1577" s="7"/>
    </row>
    <row r="1578">
      <c r="A1578" s="6"/>
      <c r="B1578" s="7"/>
    </row>
    <row r="1579">
      <c r="A1579" s="6"/>
      <c r="B1579" s="7"/>
    </row>
    <row r="1580">
      <c r="A1580" s="6"/>
      <c r="B1580" s="7"/>
    </row>
    <row r="1581">
      <c r="A1581" s="6"/>
      <c r="B1581" s="7"/>
    </row>
    <row r="1582">
      <c r="A1582" s="6"/>
      <c r="B1582" s="7"/>
    </row>
    <row r="1583">
      <c r="A1583" s="6"/>
      <c r="B1583" s="7"/>
    </row>
    <row r="1584">
      <c r="A1584" s="6"/>
      <c r="B1584" s="7"/>
    </row>
    <row r="1585">
      <c r="A1585" s="6"/>
      <c r="B1585" s="7"/>
    </row>
    <row r="1586">
      <c r="A1586" s="6"/>
      <c r="B1586" s="7"/>
    </row>
    <row r="1587">
      <c r="A1587" s="6"/>
      <c r="B1587" s="7"/>
    </row>
    <row r="1588">
      <c r="A1588" s="6"/>
      <c r="B1588" s="7"/>
    </row>
    <row r="1589">
      <c r="A1589" s="6"/>
      <c r="B1589" s="7"/>
    </row>
    <row r="1590">
      <c r="A1590" s="6"/>
      <c r="B1590" s="7"/>
    </row>
    <row r="1591">
      <c r="A1591" s="6"/>
      <c r="B1591" s="7"/>
    </row>
    <row r="1592">
      <c r="A1592" s="6"/>
      <c r="B1592" s="7"/>
    </row>
    <row r="1593">
      <c r="A1593" s="6"/>
      <c r="B1593" s="7"/>
    </row>
    <row r="1594">
      <c r="A1594" s="6"/>
      <c r="B1594" s="7"/>
    </row>
    <row r="1595">
      <c r="A1595" s="6"/>
      <c r="B1595" s="7"/>
    </row>
    <row r="1596">
      <c r="A1596" s="6"/>
      <c r="B1596" s="7"/>
    </row>
    <row r="1597">
      <c r="A1597" s="6"/>
      <c r="B1597" s="7"/>
    </row>
    <row r="1598">
      <c r="A1598" s="6"/>
      <c r="B1598" s="7"/>
    </row>
    <row r="1599">
      <c r="A1599" s="6"/>
      <c r="B1599" s="7"/>
    </row>
    <row r="1600">
      <c r="A1600" s="6"/>
      <c r="B1600" s="7"/>
    </row>
    <row r="1601">
      <c r="A1601" s="6"/>
      <c r="B1601" s="7"/>
    </row>
    <row r="1602">
      <c r="A1602" s="6"/>
      <c r="B1602" s="7"/>
    </row>
    <row r="1603">
      <c r="A1603" s="6"/>
      <c r="B1603" s="7"/>
    </row>
    <row r="1604">
      <c r="A1604" s="6"/>
      <c r="B1604" s="7"/>
    </row>
    <row r="1605">
      <c r="A1605" s="6"/>
      <c r="B1605" s="7"/>
    </row>
    <row r="1606">
      <c r="A1606" s="6"/>
      <c r="B1606" s="7"/>
    </row>
    <row r="1607">
      <c r="A1607" s="6"/>
      <c r="B1607" s="7"/>
    </row>
    <row r="1608">
      <c r="A1608" s="6"/>
      <c r="B1608" s="7"/>
    </row>
    <row r="1609">
      <c r="A1609" s="6"/>
      <c r="B1609" s="7"/>
    </row>
    <row r="1610">
      <c r="A1610" s="6"/>
      <c r="B1610" s="7"/>
    </row>
    <row r="1611">
      <c r="A1611" s="6"/>
      <c r="B1611" s="7"/>
    </row>
    <row r="1612">
      <c r="A1612" s="6"/>
      <c r="B1612" s="7"/>
    </row>
    <row r="1613">
      <c r="A1613" s="6"/>
      <c r="B1613" s="7"/>
    </row>
    <row r="1614">
      <c r="A1614" s="6"/>
      <c r="B1614" s="7"/>
    </row>
    <row r="1615">
      <c r="A1615" s="6"/>
      <c r="B1615" s="7"/>
    </row>
    <row r="1616">
      <c r="A1616" s="6"/>
      <c r="B1616" s="7"/>
    </row>
    <row r="1617">
      <c r="A1617" s="6"/>
      <c r="B1617" s="7"/>
    </row>
    <row r="1618">
      <c r="A1618" s="6"/>
      <c r="B1618" s="7"/>
    </row>
    <row r="1619">
      <c r="A1619" s="6"/>
      <c r="B1619" s="7"/>
    </row>
    <row r="1620">
      <c r="A1620" s="6"/>
      <c r="B1620" s="7"/>
    </row>
    <row r="1621">
      <c r="A1621" s="6"/>
      <c r="B1621" s="7"/>
    </row>
    <row r="1622">
      <c r="A1622" s="6"/>
      <c r="B1622" s="7"/>
    </row>
    <row r="1623">
      <c r="A1623" s="6"/>
      <c r="B1623" s="7"/>
    </row>
    <row r="1624">
      <c r="A1624" s="6"/>
      <c r="B1624" s="7"/>
    </row>
    <row r="1625">
      <c r="A1625" s="6"/>
      <c r="B1625" s="7"/>
    </row>
    <row r="1626">
      <c r="A1626" s="6"/>
      <c r="B1626" s="7"/>
    </row>
    <row r="1627">
      <c r="A1627" s="6"/>
      <c r="B1627" s="7"/>
    </row>
    <row r="1628">
      <c r="A1628" s="6"/>
      <c r="B1628" s="7"/>
    </row>
    <row r="1629">
      <c r="A1629" s="6"/>
      <c r="B1629" s="7"/>
    </row>
    <row r="1630">
      <c r="A1630" s="6"/>
      <c r="B1630" s="7"/>
    </row>
    <row r="1631">
      <c r="A1631" s="6"/>
      <c r="B1631" s="7"/>
    </row>
    <row r="1632">
      <c r="A1632" s="6"/>
      <c r="B1632" s="7"/>
    </row>
    <row r="1633">
      <c r="A1633" s="6"/>
      <c r="B1633" s="7"/>
    </row>
    <row r="1634">
      <c r="A1634" s="6"/>
      <c r="B1634" s="7"/>
    </row>
    <row r="1635">
      <c r="A1635" s="6"/>
      <c r="B1635" s="7"/>
    </row>
    <row r="1636">
      <c r="A1636" s="6"/>
      <c r="B1636" s="7"/>
    </row>
    <row r="1637">
      <c r="A1637" s="6"/>
      <c r="B1637" s="7"/>
    </row>
    <row r="1638">
      <c r="A1638" s="6"/>
      <c r="B1638" s="7"/>
    </row>
    <row r="1639">
      <c r="A1639" s="6"/>
      <c r="B1639" s="7"/>
    </row>
    <row r="1640">
      <c r="A1640" s="6"/>
      <c r="B1640" s="7"/>
    </row>
    <row r="1641">
      <c r="A1641" s="6"/>
      <c r="B1641" s="7"/>
    </row>
    <row r="1642">
      <c r="A1642" s="6"/>
      <c r="B1642" s="7"/>
    </row>
    <row r="1643">
      <c r="A1643" s="6"/>
      <c r="B1643" s="7"/>
    </row>
    <row r="1644">
      <c r="A1644" s="6"/>
      <c r="B1644" s="7"/>
    </row>
    <row r="1645">
      <c r="A1645" s="6"/>
      <c r="B1645" s="7"/>
    </row>
    <row r="1646">
      <c r="A1646" s="6"/>
      <c r="B1646" s="7"/>
    </row>
    <row r="1647">
      <c r="A1647" s="6"/>
      <c r="B1647" s="7"/>
    </row>
    <row r="1648">
      <c r="A1648" s="6"/>
      <c r="B1648" s="7"/>
    </row>
    <row r="1649">
      <c r="A1649" s="6"/>
      <c r="B1649" s="7"/>
    </row>
    <row r="1650">
      <c r="A1650" s="6"/>
      <c r="B1650" s="7"/>
    </row>
    <row r="1651">
      <c r="A1651" s="6"/>
      <c r="B1651" s="7"/>
    </row>
    <row r="1652">
      <c r="A1652" s="6"/>
      <c r="B1652" s="7"/>
    </row>
    <row r="1653">
      <c r="A1653" s="6"/>
      <c r="B1653" s="7"/>
    </row>
    <row r="1654">
      <c r="A1654" s="6"/>
      <c r="B1654" s="7"/>
    </row>
    <row r="1655">
      <c r="A1655" s="6"/>
      <c r="B1655" s="7"/>
    </row>
    <row r="1656">
      <c r="A1656" s="6"/>
      <c r="B1656" s="7"/>
    </row>
    <row r="1657">
      <c r="A1657" s="6"/>
      <c r="B1657" s="7"/>
    </row>
    <row r="1658">
      <c r="A1658" s="6"/>
      <c r="B1658" s="7"/>
    </row>
    <row r="1659">
      <c r="A1659" s="6"/>
      <c r="B1659" s="7"/>
    </row>
    <row r="1660">
      <c r="A1660" s="6"/>
      <c r="B1660" s="7"/>
    </row>
    <row r="1661">
      <c r="A1661" s="6"/>
      <c r="B1661" s="7"/>
    </row>
    <row r="1662">
      <c r="A1662" s="6"/>
      <c r="B1662" s="7"/>
    </row>
    <row r="1663">
      <c r="A1663" s="6"/>
      <c r="B1663" s="7"/>
    </row>
    <row r="1664">
      <c r="A1664" s="6"/>
      <c r="B1664" s="7"/>
    </row>
    <row r="1665">
      <c r="A1665" s="6"/>
      <c r="B1665" s="7"/>
    </row>
    <row r="1666">
      <c r="A1666" s="6"/>
      <c r="B1666" s="7"/>
    </row>
    <row r="1667">
      <c r="A1667" s="6"/>
      <c r="B1667" s="7"/>
    </row>
    <row r="1668">
      <c r="A1668" s="6"/>
      <c r="B1668" s="7"/>
    </row>
    <row r="1669">
      <c r="A1669" s="6"/>
      <c r="B1669" s="7"/>
    </row>
    <row r="1670">
      <c r="A1670" s="6"/>
      <c r="B1670" s="7"/>
    </row>
    <row r="1671">
      <c r="A1671" s="6"/>
      <c r="B1671" s="7"/>
    </row>
    <row r="1672">
      <c r="A1672" s="6"/>
      <c r="B1672" s="7"/>
    </row>
    <row r="1673">
      <c r="A1673" s="6"/>
      <c r="B1673" s="7"/>
    </row>
    <row r="1674">
      <c r="A1674" s="6"/>
      <c r="B1674" s="7"/>
    </row>
    <row r="1675">
      <c r="A1675" s="6"/>
      <c r="B1675" s="7"/>
    </row>
    <row r="1676">
      <c r="A1676" s="6"/>
      <c r="B1676" s="7"/>
    </row>
    <row r="1677">
      <c r="A1677" s="6"/>
      <c r="B1677" s="7"/>
    </row>
    <row r="1678">
      <c r="A1678" s="6"/>
      <c r="B1678" s="7"/>
    </row>
    <row r="1679">
      <c r="A1679" s="6"/>
      <c r="B1679" s="7"/>
    </row>
    <row r="1680">
      <c r="A1680" s="6"/>
      <c r="B1680" s="7"/>
    </row>
    <row r="1681">
      <c r="A1681" s="6"/>
      <c r="B1681" s="7"/>
    </row>
    <row r="1682">
      <c r="A1682" s="6"/>
      <c r="B1682" s="7"/>
    </row>
    <row r="1683">
      <c r="A1683" s="6"/>
      <c r="B1683" s="7"/>
    </row>
    <row r="1684">
      <c r="A1684" s="6"/>
      <c r="B1684" s="7"/>
    </row>
    <row r="1685">
      <c r="A1685" s="6"/>
      <c r="B1685" s="7"/>
    </row>
    <row r="1686">
      <c r="A1686" s="6"/>
      <c r="B1686" s="7"/>
    </row>
    <row r="1687">
      <c r="A1687" s="6"/>
      <c r="B1687" s="7"/>
    </row>
    <row r="1688">
      <c r="A1688" s="6"/>
      <c r="B1688" s="7"/>
    </row>
    <row r="1689">
      <c r="A1689" s="6"/>
      <c r="B1689" s="7"/>
    </row>
    <row r="1690">
      <c r="A1690" s="6"/>
      <c r="B1690" s="7"/>
    </row>
    <row r="1691">
      <c r="A1691" s="6"/>
      <c r="B1691" s="7"/>
    </row>
    <row r="1692">
      <c r="A1692" s="6"/>
      <c r="B1692" s="7"/>
    </row>
    <row r="1693">
      <c r="A1693" s="6"/>
      <c r="B1693" s="7"/>
    </row>
    <row r="1694">
      <c r="A1694" s="6"/>
      <c r="B1694" s="7"/>
    </row>
    <row r="1695">
      <c r="A1695" s="6"/>
      <c r="B1695" s="7"/>
    </row>
    <row r="1696">
      <c r="A1696" s="6"/>
      <c r="B1696" s="7"/>
    </row>
    <row r="1697">
      <c r="A1697" s="6"/>
      <c r="B1697" s="7"/>
    </row>
    <row r="1698">
      <c r="A1698" s="6"/>
      <c r="B1698" s="7"/>
    </row>
    <row r="1699">
      <c r="A1699" s="6"/>
      <c r="B1699" s="7"/>
    </row>
    <row r="1700">
      <c r="A1700" s="6"/>
      <c r="B1700" s="7"/>
    </row>
    <row r="1701">
      <c r="A1701" s="6"/>
      <c r="B1701" s="7"/>
    </row>
    <row r="1702">
      <c r="A1702" s="6"/>
      <c r="B1702" s="7"/>
    </row>
    <row r="1703">
      <c r="A1703" s="6"/>
      <c r="B1703" s="7"/>
    </row>
    <row r="1704">
      <c r="A1704" s="6"/>
      <c r="B1704" s="7"/>
    </row>
    <row r="1705">
      <c r="A1705" s="6"/>
      <c r="B1705" s="7"/>
    </row>
    <row r="1706">
      <c r="A1706" s="6"/>
      <c r="B1706" s="7"/>
    </row>
    <row r="1707">
      <c r="A1707" s="6"/>
      <c r="B1707" s="7"/>
    </row>
    <row r="1708">
      <c r="A1708" s="6"/>
      <c r="B1708" s="7"/>
    </row>
    <row r="1709">
      <c r="A1709" s="6"/>
      <c r="B1709" s="7"/>
    </row>
    <row r="1710">
      <c r="A1710" s="6"/>
      <c r="B1710" s="7"/>
    </row>
    <row r="1711">
      <c r="A1711" s="6"/>
      <c r="B1711" s="7"/>
    </row>
    <row r="1712">
      <c r="A1712" s="6"/>
      <c r="B1712" s="7"/>
    </row>
    <row r="1713">
      <c r="A1713" s="6"/>
      <c r="B1713" s="7"/>
    </row>
    <row r="1714">
      <c r="A1714" s="6"/>
      <c r="B1714" s="7"/>
    </row>
    <row r="1715">
      <c r="A1715" s="6"/>
      <c r="B1715" s="7"/>
    </row>
    <row r="1716">
      <c r="A1716" s="6"/>
      <c r="B1716" s="7"/>
    </row>
    <row r="1717">
      <c r="A1717" s="6"/>
      <c r="B1717" s="7"/>
    </row>
    <row r="1718">
      <c r="A1718" s="6"/>
      <c r="B1718" s="7"/>
    </row>
    <row r="1719">
      <c r="A1719" s="6"/>
      <c r="B1719" s="7"/>
    </row>
    <row r="1720">
      <c r="A1720" s="6"/>
      <c r="B1720" s="7"/>
    </row>
    <row r="1721">
      <c r="A1721" s="6"/>
      <c r="B1721" s="7"/>
    </row>
    <row r="1722">
      <c r="A1722" s="6"/>
      <c r="B1722" s="7"/>
    </row>
    <row r="1723">
      <c r="A1723" s="6"/>
      <c r="B1723" s="7"/>
    </row>
    <row r="1724">
      <c r="A1724" s="6"/>
      <c r="B1724" s="7"/>
    </row>
    <row r="1725">
      <c r="A1725" s="6"/>
      <c r="B1725" s="7"/>
    </row>
    <row r="1726">
      <c r="A1726" s="6"/>
      <c r="B1726" s="7"/>
    </row>
    <row r="1727">
      <c r="A1727" s="6"/>
      <c r="B1727" s="7"/>
    </row>
    <row r="1728">
      <c r="A1728" s="6"/>
      <c r="B1728" s="7"/>
    </row>
    <row r="1729">
      <c r="A1729" s="6"/>
      <c r="B1729" s="7"/>
    </row>
    <row r="1730">
      <c r="A1730" s="6"/>
      <c r="B1730" s="7"/>
    </row>
    <row r="1731">
      <c r="A1731" s="6"/>
      <c r="B1731" s="7"/>
    </row>
    <row r="1732">
      <c r="A1732" s="6"/>
      <c r="B1732" s="7"/>
    </row>
    <row r="1733">
      <c r="A1733" s="6"/>
      <c r="B1733" s="7"/>
    </row>
    <row r="1734">
      <c r="A1734" s="6"/>
      <c r="B1734" s="7"/>
    </row>
    <row r="1735">
      <c r="A1735" s="6"/>
      <c r="B1735" s="7"/>
    </row>
    <row r="1736">
      <c r="A1736" s="6"/>
      <c r="B1736" s="7"/>
    </row>
    <row r="1737">
      <c r="A1737" s="6"/>
      <c r="B1737" s="7"/>
    </row>
    <row r="1738">
      <c r="A1738" s="6"/>
      <c r="B1738" s="7"/>
    </row>
    <row r="1739">
      <c r="A1739" s="6"/>
      <c r="B1739" s="7"/>
    </row>
    <row r="1740">
      <c r="A1740" s="6"/>
      <c r="B1740" s="7"/>
    </row>
    <row r="1741">
      <c r="A1741" s="6"/>
      <c r="B1741" s="7"/>
    </row>
    <row r="1742">
      <c r="A1742" s="6"/>
      <c r="B1742" s="7"/>
    </row>
    <row r="1743">
      <c r="A1743" s="6"/>
      <c r="B1743" s="7"/>
    </row>
    <row r="1744">
      <c r="A1744" s="6"/>
      <c r="B1744" s="7"/>
    </row>
    <row r="1745">
      <c r="A1745" s="6"/>
      <c r="B1745" s="7"/>
    </row>
    <row r="1746">
      <c r="A1746" s="6"/>
      <c r="B1746" s="7"/>
    </row>
    <row r="1747">
      <c r="A1747" s="6"/>
      <c r="B1747" s="7"/>
    </row>
    <row r="1748">
      <c r="A1748" s="6"/>
      <c r="B1748" s="7"/>
    </row>
    <row r="1749">
      <c r="A1749" s="6"/>
      <c r="B1749" s="7"/>
    </row>
    <row r="1750">
      <c r="A1750" s="6"/>
      <c r="B1750" s="7"/>
    </row>
    <row r="1751">
      <c r="A1751" s="6"/>
      <c r="B1751" s="7"/>
    </row>
    <row r="1752">
      <c r="A1752" s="6"/>
      <c r="B1752" s="7"/>
    </row>
    <row r="1753">
      <c r="A1753" s="6"/>
      <c r="B1753" s="7"/>
    </row>
    <row r="1754">
      <c r="A1754" s="6"/>
      <c r="B1754" s="7"/>
    </row>
    <row r="1755">
      <c r="A1755" s="6"/>
      <c r="B1755" s="7"/>
    </row>
    <row r="1756">
      <c r="A1756" s="6"/>
      <c r="B1756" s="7"/>
    </row>
    <row r="1757">
      <c r="A1757" s="6"/>
      <c r="B1757" s="7"/>
    </row>
    <row r="1758">
      <c r="A1758" s="6"/>
      <c r="B1758" s="7"/>
    </row>
    <row r="1759">
      <c r="A1759" s="6"/>
      <c r="B1759" s="7"/>
    </row>
    <row r="1760">
      <c r="A1760" s="6"/>
      <c r="B1760" s="7"/>
    </row>
    <row r="1761">
      <c r="A1761" s="6"/>
      <c r="B1761" s="7"/>
    </row>
    <row r="1762">
      <c r="A1762" s="6"/>
      <c r="B1762" s="7"/>
    </row>
    <row r="1763">
      <c r="A1763" s="6"/>
      <c r="B1763" s="7"/>
    </row>
    <row r="1764">
      <c r="A1764" s="6"/>
      <c r="B1764" s="7"/>
    </row>
    <row r="1765">
      <c r="A1765" s="6"/>
      <c r="B1765" s="7"/>
    </row>
    <row r="1766">
      <c r="A1766" s="6"/>
      <c r="B1766" s="7"/>
    </row>
    <row r="1767">
      <c r="A1767" s="6"/>
      <c r="B1767" s="7"/>
    </row>
    <row r="1768">
      <c r="A1768" s="6"/>
      <c r="B1768" s="7"/>
    </row>
    <row r="1769">
      <c r="A1769" s="6"/>
      <c r="B1769" s="7"/>
    </row>
    <row r="1770">
      <c r="A1770" s="6"/>
      <c r="B1770" s="7"/>
    </row>
    <row r="1771">
      <c r="A1771" s="6"/>
      <c r="B1771" s="7"/>
    </row>
    <row r="1772">
      <c r="A1772" s="6"/>
      <c r="B1772" s="7"/>
    </row>
    <row r="1773">
      <c r="A1773" s="6"/>
      <c r="B1773" s="7"/>
    </row>
    <row r="1774">
      <c r="A1774" s="6"/>
      <c r="B1774" s="7"/>
    </row>
    <row r="1775">
      <c r="A1775" s="6"/>
      <c r="B1775" s="7"/>
    </row>
    <row r="1776">
      <c r="A1776" s="6"/>
      <c r="B1776" s="7"/>
    </row>
    <row r="1777">
      <c r="A1777" s="6"/>
      <c r="B1777" s="7"/>
    </row>
    <row r="1778">
      <c r="A1778" s="6"/>
      <c r="B1778" s="7"/>
    </row>
    <row r="1779">
      <c r="A1779" s="6"/>
      <c r="B1779" s="7"/>
    </row>
    <row r="1780">
      <c r="A1780" s="6"/>
      <c r="B1780" s="7"/>
    </row>
    <row r="1781">
      <c r="A1781" s="6"/>
      <c r="B1781" s="7"/>
    </row>
    <row r="1782">
      <c r="A1782" s="6"/>
      <c r="B1782" s="7"/>
    </row>
    <row r="1783">
      <c r="A1783" s="6"/>
      <c r="B1783" s="7"/>
    </row>
    <row r="1784">
      <c r="A1784" s="6"/>
      <c r="B1784" s="7"/>
    </row>
    <row r="1785">
      <c r="A1785" s="6"/>
      <c r="B1785" s="7"/>
    </row>
    <row r="1786">
      <c r="A1786" s="6"/>
      <c r="B1786" s="7"/>
    </row>
    <row r="1787">
      <c r="A1787" s="6"/>
      <c r="B1787" s="7"/>
    </row>
    <row r="1788">
      <c r="A1788" s="6"/>
      <c r="B1788" s="7"/>
    </row>
    <row r="1789">
      <c r="A1789" s="6"/>
      <c r="B1789" s="7"/>
    </row>
    <row r="1790">
      <c r="A1790" s="6"/>
      <c r="B1790" s="7"/>
    </row>
    <row r="1791">
      <c r="A1791" s="6"/>
      <c r="B1791" s="7"/>
    </row>
    <row r="1792">
      <c r="A1792" s="6"/>
      <c r="B1792" s="7"/>
    </row>
    <row r="1793">
      <c r="A1793" s="6"/>
      <c r="B1793" s="7"/>
    </row>
    <row r="1794">
      <c r="A1794" s="6"/>
      <c r="B1794" s="7"/>
    </row>
    <row r="1795">
      <c r="A1795" s="6"/>
      <c r="B1795" s="7"/>
    </row>
    <row r="1796">
      <c r="A1796" s="6"/>
      <c r="B1796" s="7"/>
    </row>
    <row r="1797">
      <c r="A1797" s="6"/>
      <c r="B1797" s="7"/>
    </row>
    <row r="1798">
      <c r="A1798" s="6"/>
      <c r="B1798" s="7"/>
    </row>
    <row r="1799">
      <c r="A1799" s="6"/>
      <c r="B1799" s="7"/>
    </row>
    <row r="1800">
      <c r="A1800" s="6"/>
      <c r="B1800" s="7"/>
    </row>
    <row r="1801">
      <c r="A1801" s="6"/>
      <c r="B1801" s="7"/>
    </row>
    <row r="1802">
      <c r="A1802" s="6"/>
      <c r="B1802" s="7"/>
    </row>
    <row r="1803">
      <c r="A1803" s="6"/>
      <c r="B1803" s="7"/>
    </row>
    <row r="1804">
      <c r="A1804" s="6"/>
      <c r="B1804" s="7"/>
    </row>
    <row r="1805">
      <c r="A1805" s="6"/>
      <c r="B1805" s="7"/>
    </row>
    <row r="1806">
      <c r="A1806" s="6"/>
      <c r="B1806" s="7"/>
    </row>
    <row r="1807">
      <c r="A1807" s="6"/>
      <c r="B1807" s="7"/>
    </row>
    <row r="1808">
      <c r="A1808" s="6"/>
      <c r="B1808" s="7"/>
    </row>
    <row r="1809">
      <c r="A1809" s="6"/>
      <c r="B1809" s="7"/>
    </row>
    <row r="1810">
      <c r="A1810" s="6"/>
      <c r="B1810" s="7"/>
    </row>
    <row r="1811">
      <c r="A1811" s="6"/>
      <c r="B1811" s="7"/>
    </row>
    <row r="1812">
      <c r="A1812" s="6"/>
      <c r="B1812" s="7"/>
    </row>
    <row r="1813">
      <c r="A1813" s="6"/>
      <c r="B1813" s="7"/>
    </row>
    <row r="1814">
      <c r="A1814" s="6"/>
      <c r="B1814" s="7"/>
    </row>
    <row r="1815">
      <c r="A1815" s="6"/>
      <c r="B1815" s="7"/>
    </row>
    <row r="1816">
      <c r="A1816" s="6"/>
      <c r="B1816" s="7"/>
    </row>
    <row r="1817">
      <c r="A1817" s="6"/>
      <c r="B1817" s="7"/>
    </row>
    <row r="1818">
      <c r="A1818" s="6"/>
      <c r="B1818" s="7"/>
    </row>
    <row r="1819">
      <c r="A1819" s="6"/>
      <c r="B1819" s="7"/>
    </row>
    <row r="1820">
      <c r="A1820" s="6"/>
      <c r="B1820" s="7"/>
    </row>
    <row r="1821">
      <c r="A1821" s="6"/>
      <c r="B1821" s="7"/>
    </row>
    <row r="1822">
      <c r="A1822" s="6"/>
      <c r="B1822" s="7"/>
    </row>
    <row r="1823">
      <c r="A1823" s="6"/>
      <c r="B1823" s="7"/>
    </row>
    <row r="1824">
      <c r="A1824" s="6"/>
      <c r="B1824" s="7"/>
    </row>
    <row r="1825">
      <c r="A1825" s="6"/>
      <c r="B1825" s="7"/>
    </row>
    <row r="1826">
      <c r="A1826" s="6"/>
      <c r="B1826" s="7"/>
    </row>
    <row r="1827">
      <c r="A1827" s="6"/>
      <c r="B1827" s="7"/>
    </row>
    <row r="1828">
      <c r="A1828" s="6"/>
      <c r="B1828" s="7"/>
    </row>
    <row r="1829">
      <c r="A1829" s="6"/>
      <c r="B1829" s="7"/>
    </row>
    <row r="1830">
      <c r="A1830" s="6"/>
      <c r="B1830" s="7"/>
    </row>
    <row r="1831">
      <c r="A1831" s="6"/>
      <c r="B1831" s="7"/>
    </row>
    <row r="1832">
      <c r="A1832" s="6"/>
      <c r="B1832" s="7"/>
    </row>
    <row r="1833">
      <c r="A1833" s="6"/>
      <c r="B1833" s="7"/>
    </row>
    <row r="1834">
      <c r="A1834" s="6"/>
      <c r="B1834" s="7"/>
    </row>
    <row r="1835">
      <c r="A1835" s="6"/>
      <c r="B1835" s="7"/>
    </row>
    <row r="1836">
      <c r="A1836" s="6"/>
      <c r="B1836" s="7"/>
    </row>
    <row r="1837">
      <c r="A1837" s="6"/>
      <c r="B1837" s="7"/>
    </row>
    <row r="1838">
      <c r="A1838" s="6"/>
      <c r="B1838" s="7"/>
    </row>
    <row r="1839">
      <c r="A1839" s="6"/>
      <c r="B1839" s="7"/>
    </row>
    <row r="1840">
      <c r="A1840" s="6"/>
      <c r="B1840" s="7"/>
    </row>
    <row r="1841">
      <c r="A1841" s="6"/>
      <c r="B1841" s="7"/>
    </row>
    <row r="1842">
      <c r="A1842" s="6"/>
      <c r="B1842" s="7"/>
    </row>
    <row r="1843">
      <c r="A1843" s="6"/>
      <c r="B1843" s="7"/>
    </row>
    <row r="1844">
      <c r="A1844" s="6"/>
      <c r="B1844" s="7"/>
    </row>
    <row r="1845">
      <c r="A1845" s="6"/>
      <c r="B1845" s="7"/>
    </row>
    <row r="1846">
      <c r="A1846" s="6"/>
      <c r="B1846" s="7"/>
    </row>
    <row r="1847">
      <c r="A1847" s="6"/>
      <c r="B1847" s="7"/>
    </row>
    <row r="1848">
      <c r="A1848" s="6"/>
      <c r="B1848" s="7"/>
    </row>
    <row r="1849">
      <c r="A1849" s="6"/>
      <c r="B1849" s="7"/>
    </row>
    <row r="1850">
      <c r="A1850" s="6"/>
      <c r="B1850" s="7"/>
    </row>
    <row r="1851">
      <c r="A1851" s="6"/>
      <c r="B1851" s="7"/>
    </row>
    <row r="1852">
      <c r="A1852" s="6"/>
      <c r="B1852" s="7"/>
    </row>
    <row r="1853">
      <c r="A1853" s="6"/>
      <c r="B1853" s="7"/>
    </row>
    <row r="1854">
      <c r="A1854" s="6"/>
      <c r="B1854" s="7"/>
    </row>
    <row r="1855">
      <c r="A1855" s="6"/>
      <c r="B1855" s="7"/>
    </row>
    <row r="1856">
      <c r="A1856" s="6"/>
      <c r="B1856" s="7"/>
    </row>
    <row r="1857">
      <c r="A1857" s="6"/>
      <c r="B1857" s="7"/>
    </row>
    <row r="1858">
      <c r="A1858" s="6"/>
      <c r="B1858" s="7"/>
    </row>
    <row r="1859">
      <c r="A1859" s="6"/>
      <c r="B1859" s="7"/>
    </row>
    <row r="1860">
      <c r="A1860" s="6"/>
      <c r="B1860" s="7"/>
    </row>
    <row r="1861">
      <c r="A1861" s="6"/>
      <c r="B1861" s="7"/>
    </row>
    <row r="1862">
      <c r="A1862" s="6"/>
      <c r="B1862" s="7"/>
    </row>
    <row r="1863">
      <c r="A1863" s="6"/>
      <c r="B1863" s="7"/>
    </row>
    <row r="1864">
      <c r="A1864" s="6"/>
      <c r="B1864" s="7"/>
    </row>
    <row r="1865">
      <c r="A1865" s="6"/>
      <c r="B1865" s="7"/>
    </row>
    <row r="1866">
      <c r="A1866" s="6"/>
      <c r="B1866" s="7"/>
    </row>
    <row r="1867">
      <c r="A1867" s="6"/>
      <c r="B1867" s="7"/>
    </row>
    <row r="1868">
      <c r="A1868" s="6"/>
      <c r="B1868" s="7"/>
    </row>
    <row r="1869">
      <c r="A1869" s="6"/>
      <c r="B1869" s="7"/>
    </row>
    <row r="1870">
      <c r="A1870" s="6"/>
      <c r="B1870" s="7"/>
    </row>
    <row r="1871">
      <c r="A1871" s="6"/>
      <c r="B1871" s="7"/>
    </row>
    <row r="1872">
      <c r="A1872" s="6"/>
      <c r="B1872" s="7"/>
    </row>
    <row r="1873">
      <c r="A1873" s="6"/>
      <c r="B1873" s="7"/>
    </row>
    <row r="1874">
      <c r="A1874" s="6"/>
      <c r="B1874" s="7"/>
    </row>
    <row r="1875">
      <c r="A1875" s="6"/>
      <c r="B1875" s="7"/>
    </row>
    <row r="1876">
      <c r="A1876" s="6"/>
      <c r="B1876" s="7"/>
    </row>
    <row r="1877">
      <c r="A1877" s="6"/>
      <c r="B1877" s="7"/>
    </row>
    <row r="1878">
      <c r="A1878" s="6"/>
      <c r="B1878" s="7"/>
    </row>
    <row r="1879">
      <c r="A1879" s="6"/>
      <c r="B1879" s="7"/>
    </row>
    <row r="1880">
      <c r="A1880" s="6"/>
      <c r="B1880" s="7"/>
    </row>
    <row r="1881">
      <c r="A1881" s="6"/>
      <c r="B1881" s="7"/>
    </row>
    <row r="1882">
      <c r="A1882" s="6"/>
      <c r="B1882" s="7"/>
    </row>
    <row r="1883">
      <c r="A1883" s="6"/>
      <c r="B1883" s="7"/>
    </row>
    <row r="1884">
      <c r="A1884" s="6"/>
      <c r="B1884" s="7"/>
    </row>
    <row r="1885">
      <c r="A1885" s="6"/>
      <c r="B1885" s="7"/>
    </row>
    <row r="1886">
      <c r="A1886" s="6"/>
      <c r="B1886" s="7"/>
    </row>
    <row r="1887">
      <c r="A1887" s="6"/>
      <c r="B1887" s="7"/>
    </row>
    <row r="1888">
      <c r="A1888" s="6"/>
      <c r="B1888" s="7"/>
    </row>
    <row r="1889">
      <c r="A1889" s="6"/>
      <c r="B1889" s="7"/>
    </row>
    <row r="1890">
      <c r="A1890" s="6"/>
      <c r="B1890" s="7"/>
    </row>
    <row r="1891">
      <c r="A1891" s="6"/>
      <c r="B1891" s="7"/>
    </row>
    <row r="1892">
      <c r="A1892" s="6"/>
      <c r="B1892" s="7"/>
    </row>
    <row r="1893">
      <c r="A1893" s="6"/>
      <c r="B1893" s="7"/>
    </row>
    <row r="1894">
      <c r="A1894" s="6"/>
      <c r="B1894" s="7"/>
    </row>
    <row r="1895">
      <c r="A1895" s="6"/>
      <c r="B1895" s="7"/>
    </row>
    <row r="1896">
      <c r="A1896" s="6"/>
      <c r="B1896" s="7"/>
    </row>
    <row r="1897">
      <c r="A1897" s="6"/>
      <c r="B1897" s="7"/>
    </row>
    <row r="1898">
      <c r="A1898" s="6"/>
      <c r="B1898" s="7"/>
    </row>
    <row r="1899">
      <c r="A1899" s="6"/>
      <c r="B1899" s="7"/>
    </row>
    <row r="1900">
      <c r="A1900" s="6"/>
      <c r="B1900" s="7"/>
    </row>
    <row r="1901">
      <c r="A1901" s="6"/>
      <c r="B1901" s="7"/>
    </row>
    <row r="1902">
      <c r="A1902" s="6"/>
      <c r="B1902" s="7"/>
    </row>
    <row r="1903">
      <c r="A1903" s="6"/>
      <c r="B1903" s="7"/>
    </row>
    <row r="1904">
      <c r="A1904" s="6"/>
      <c r="B1904" s="7"/>
    </row>
    <row r="1905">
      <c r="A1905" s="6"/>
      <c r="B1905" s="7"/>
    </row>
    <row r="1906">
      <c r="A1906" s="6"/>
      <c r="B1906" s="7"/>
    </row>
    <row r="1907">
      <c r="A1907" s="6"/>
      <c r="B1907" s="7"/>
    </row>
    <row r="1908">
      <c r="A1908" s="6"/>
      <c r="B1908" s="7"/>
    </row>
    <row r="1909">
      <c r="A1909" s="6"/>
      <c r="B1909" s="7"/>
    </row>
    <row r="1910">
      <c r="A1910" s="6"/>
      <c r="B1910" s="7"/>
    </row>
    <row r="1911">
      <c r="A1911" s="6"/>
      <c r="B1911" s="7"/>
    </row>
    <row r="1912">
      <c r="A1912" s="6"/>
      <c r="B1912" s="7"/>
    </row>
    <row r="1913">
      <c r="A1913" s="6"/>
      <c r="B1913" s="7"/>
    </row>
    <row r="1914">
      <c r="A1914" s="6"/>
      <c r="B1914" s="7"/>
    </row>
    <row r="1915">
      <c r="A1915" s="6"/>
      <c r="B1915" s="7"/>
    </row>
    <row r="1916">
      <c r="A1916" s="6"/>
      <c r="B1916" s="7"/>
    </row>
    <row r="1917">
      <c r="A1917" s="6"/>
      <c r="B1917" s="7"/>
    </row>
    <row r="1918">
      <c r="A1918" s="6"/>
      <c r="B1918" s="7"/>
    </row>
    <row r="1919">
      <c r="A1919" s="6"/>
      <c r="B1919" s="7"/>
    </row>
    <row r="1920">
      <c r="A1920" s="6"/>
      <c r="B1920" s="7"/>
    </row>
    <row r="1921">
      <c r="A1921" s="6"/>
      <c r="B1921" s="7"/>
    </row>
    <row r="1922">
      <c r="A1922" s="6"/>
      <c r="B1922" s="7"/>
    </row>
    <row r="1923">
      <c r="A1923" s="6"/>
      <c r="B1923" s="7"/>
    </row>
    <row r="1924">
      <c r="A1924" s="6"/>
      <c r="B1924" s="7"/>
    </row>
    <row r="1925">
      <c r="A1925" s="6"/>
      <c r="B1925" s="7"/>
    </row>
    <row r="1926">
      <c r="A1926" s="6"/>
      <c r="B1926" s="7"/>
    </row>
    <row r="1927">
      <c r="A1927" s="6"/>
      <c r="B1927" s="7"/>
    </row>
    <row r="1928">
      <c r="A1928" s="6"/>
      <c r="B1928" s="7"/>
    </row>
    <row r="1929">
      <c r="A1929" s="6"/>
      <c r="B1929" s="7"/>
    </row>
    <row r="1930">
      <c r="A1930" s="6"/>
      <c r="B1930" s="7"/>
    </row>
    <row r="1931">
      <c r="A1931" s="6"/>
      <c r="B1931" s="7"/>
    </row>
    <row r="1932">
      <c r="A1932" s="6"/>
      <c r="B1932" s="7"/>
    </row>
    <row r="1933">
      <c r="A1933" s="6"/>
      <c r="B1933" s="7"/>
    </row>
    <row r="1934">
      <c r="A1934" s="6"/>
      <c r="B1934" s="7"/>
    </row>
    <row r="1935">
      <c r="A1935" s="6"/>
      <c r="B1935" s="7"/>
    </row>
    <row r="1936">
      <c r="A1936" s="6"/>
      <c r="B1936" s="7"/>
    </row>
    <row r="1937">
      <c r="A1937" s="6"/>
      <c r="B1937" s="7"/>
    </row>
    <row r="1938">
      <c r="A1938" s="6"/>
      <c r="B1938" s="7"/>
    </row>
    <row r="1939">
      <c r="A1939" s="6"/>
      <c r="B1939" s="7"/>
    </row>
    <row r="1940">
      <c r="A1940" s="6"/>
      <c r="B1940" s="7"/>
    </row>
    <row r="1941">
      <c r="A1941" s="6"/>
      <c r="B1941" s="7"/>
    </row>
    <row r="1942">
      <c r="A1942" s="6"/>
      <c r="B1942" s="7"/>
    </row>
    <row r="1943">
      <c r="A1943" s="6"/>
      <c r="B1943" s="7"/>
    </row>
    <row r="1944">
      <c r="A1944" s="6"/>
      <c r="B1944" s="7"/>
    </row>
    <row r="1945">
      <c r="A1945" s="6"/>
      <c r="B1945" s="7"/>
    </row>
    <row r="1946">
      <c r="A1946" s="6"/>
      <c r="B1946" s="7"/>
    </row>
    <row r="1947">
      <c r="A1947" s="6"/>
      <c r="B1947" s="7"/>
    </row>
    <row r="1948">
      <c r="A1948" s="6"/>
      <c r="B1948" s="7"/>
    </row>
    <row r="1949">
      <c r="A1949" s="6"/>
      <c r="B1949" s="7"/>
    </row>
    <row r="1950">
      <c r="A1950" s="6"/>
      <c r="B1950" s="7"/>
    </row>
    <row r="1951">
      <c r="A1951" s="6"/>
      <c r="B1951" s="7"/>
    </row>
    <row r="1952">
      <c r="A1952" s="6"/>
      <c r="B1952" s="7"/>
    </row>
    <row r="1953">
      <c r="A1953" s="6"/>
      <c r="B1953" s="7"/>
    </row>
    <row r="1954">
      <c r="A1954" s="6"/>
      <c r="B1954" s="7"/>
    </row>
    <row r="1955">
      <c r="A1955" s="6"/>
      <c r="B1955" s="7"/>
    </row>
    <row r="1956">
      <c r="A1956" s="6"/>
      <c r="B1956" s="7"/>
    </row>
    <row r="1957">
      <c r="A1957" s="6"/>
      <c r="B1957" s="7"/>
    </row>
    <row r="1958">
      <c r="A1958" s="6"/>
      <c r="B1958" s="7"/>
    </row>
    <row r="1959">
      <c r="A1959" s="6"/>
      <c r="B1959" s="7"/>
    </row>
    <row r="1960">
      <c r="A1960" s="6"/>
      <c r="B1960" s="7"/>
    </row>
    <row r="1961">
      <c r="A1961" s="6"/>
      <c r="B1961" s="7"/>
    </row>
    <row r="1962">
      <c r="A1962" s="6"/>
      <c r="B1962" s="7"/>
    </row>
    <row r="1963">
      <c r="A1963" s="6"/>
      <c r="B1963" s="7"/>
    </row>
    <row r="1964">
      <c r="A1964" s="6"/>
      <c r="B1964" s="7"/>
    </row>
    <row r="1965">
      <c r="A1965" s="6"/>
      <c r="B1965" s="7"/>
    </row>
    <row r="1966">
      <c r="A1966" s="6"/>
      <c r="B1966" s="7"/>
    </row>
    <row r="1967">
      <c r="A1967" s="6"/>
      <c r="B1967" s="7"/>
    </row>
    <row r="1968">
      <c r="A1968" s="6"/>
      <c r="B1968" s="7"/>
    </row>
    <row r="1969">
      <c r="A1969" s="6"/>
      <c r="B1969" s="7"/>
    </row>
    <row r="1970">
      <c r="A1970" s="6"/>
      <c r="B1970" s="7"/>
    </row>
    <row r="1971">
      <c r="A1971" s="6"/>
      <c r="B1971" s="7"/>
    </row>
    <row r="1972">
      <c r="A1972" s="6"/>
      <c r="B1972" s="7"/>
    </row>
    <row r="1973">
      <c r="A1973" s="6"/>
      <c r="B1973" s="7"/>
    </row>
    <row r="1974">
      <c r="A1974" s="6"/>
      <c r="B1974" s="7"/>
    </row>
    <row r="1975">
      <c r="A1975" s="6"/>
      <c r="B1975" s="7"/>
    </row>
    <row r="1976">
      <c r="A1976" s="6"/>
      <c r="B1976" s="7"/>
    </row>
    <row r="1977">
      <c r="A1977" s="6"/>
      <c r="B1977" s="7"/>
    </row>
    <row r="1978">
      <c r="A1978" s="6"/>
      <c r="B1978" s="7"/>
    </row>
    <row r="1979">
      <c r="A1979" s="6"/>
      <c r="B1979" s="7"/>
    </row>
    <row r="1980">
      <c r="A1980" s="6"/>
      <c r="B1980" s="7"/>
    </row>
    <row r="1981">
      <c r="A1981" s="6"/>
      <c r="B1981" s="7"/>
    </row>
    <row r="1982">
      <c r="A1982" s="6"/>
      <c r="B1982" s="7"/>
    </row>
    <row r="1983">
      <c r="A1983" s="6"/>
      <c r="B1983" s="7"/>
    </row>
    <row r="1984">
      <c r="A1984" s="6"/>
      <c r="B1984" s="7"/>
    </row>
    <row r="1985">
      <c r="A1985" s="6"/>
      <c r="B1985" s="7"/>
    </row>
    <row r="1986">
      <c r="A1986" s="6"/>
      <c r="B1986" s="7"/>
    </row>
    <row r="1987">
      <c r="A1987" s="6"/>
      <c r="B1987" s="7"/>
    </row>
    <row r="1988">
      <c r="A1988" s="6"/>
      <c r="B1988" s="7"/>
    </row>
    <row r="1989">
      <c r="A1989" s="6"/>
      <c r="B1989" s="7"/>
    </row>
    <row r="1990">
      <c r="A1990" s="6"/>
      <c r="B1990" s="7"/>
    </row>
    <row r="1991">
      <c r="A1991" s="6"/>
      <c r="B1991" s="7"/>
    </row>
    <row r="1992">
      <c r="A1992" s="6"/>
      <c r="B1992" s="7"/>
    </row>
    <row r="1993">
      <c r="A1993" s="6"/>
      <c r="B1993" s="7"/>
    </row>
    <row r="1994">
      <c r="A1994" s="6"/>
      <c r="B1994" s="7"/>
    </row>
    <row r="1995">
      <c r="A1995" s="6"/>
      <c r="B1995" s="7"/>
    </row>
    <row r="1996">
      <c r="A1996" s="6"/>
      <c r="B1996" s="7"/>
    </row>
    <row r="1997">
      <c r="A1997" s="6"/>
      <c r="B1997" s="7"/>
    </row>
    <row r="1998">
      <c r="A1998" s="6"/>
      <c r="B1998" s="7"/>
    </row>
    <row r="1999">
      <c r="A1999" s="6"/>
      <c r="B1999" s="7"/>
    </row>
    <row r="2000">
      <c r="A2000" s="6"/>
      <c r="B2000" s="7"/>
    </row>
    <row r="2001">
      <c r="A2001" s="6"/>
      <c r="B2001" s="7"/>
    </row>
    <row r="2002">
      <c r="A2002" s="6"/>
      <c r="B2002" s="7"/>
    </row>
    <row r="2003">
      <c r="A2003" s="6"/>
      <c r="B2003" s="7"/>
    </row>
    <row r="2004">
      <c r="A2004" s="6"/>
      <c r="B2004" s="7"/>
    </row>
    <row r="2005">
      <c r="A2005" s="6"/>
      <c r="B2005" s="7"/>
    </row>
    <row r="2006">
      <c r="A2006" s="6"/>
      <c r="B2006" s="7"/>
    </row>
    <row r="2007">
      <c r="A2007" s="6"/>
      <c r="B2007" s="7"/>
    </row>
    <row r="2008">
      <c r="A2008" s="6"/>
      <c r="B2008" s="7"/>
    </row>
    <row r="2009">
      <c r="A2009" s="6"/>
      <c r="B2009" s="7"/>
    </row>
    <row r="2010">
      <c r="A2010" s="6"/>
      <c r="B2010" s="7"/>
    </row>
    <row r="2011">
      <c r="A2011" s="6"/>
      <c r="B2011" s="7"/>
    </row>
    <row r="2012">
      <c r="A2012" s="6"/>
      <c r="B2012" s="7"/>
    </row>
    <row r="2013">
      <c r="A2013" s="6"/>
      <c r="B2013" s="7"/>
    </row>
    <row r="2014">
      <c r="A2014" s="6"/>
      <c r="B2014" s="7"/>
    </row>
    <row r="2015">
      <c r="A2015" s="6"/>
      <c r="B2015" s="7"/>
    </row>
    <row r="2016">
      <c r="A2016" s="6"/>
      <c r="B2016" s="7"/>
    </row>
    <row r="2017">
      <c r="A2017" s="6"/>
      <c r="B2017" s="7"/>
    </row>
    <row r="2018">
      <c r="A2018" s="6"/>
      <c r="B2018" s="7"/>
    </row>
    <row r="2019">
      <c r="A2019" s="6"/>
      <c r="B2019" s="7"/>
    </row>
    <row r="2020">
      <c r="A2020" s="6"/>
      <c r="B2020" s="7"/>
    </row>
    <row r="2021">
      <c r="A2021" s="6"/>
      <c r="B2021" s="7"/>
    </row>
    <row r="2022">
      <c r="A2022" s="6"/>
      <c r="B2022" s="7"/>
    </row>
    <row r="2023">
      <c r="A2023" s="6"/>
      <c r="B2023" s="7"/>
    </row>
    <row r="2024">
      <c r="A2024" s="6"/>
      <c r="B2024" s="7"/>
    </row>
    <row r="2025">
      <c r="A2025" s="6"/>
      <c r="B2025" s="7"/>
    </row>
    <row r="2026">
      <c r="A2026" s="6"/>
      <c r="B2026" s="7"/>
    </row>
    <row r="2027">
      <c r="A2027" s="6"/>
      <c r="B2027" s="7"/>
    </row>
    <row r="2028">
      <c r="A2028" s="6"/>
      <c r="B2028" s="7"/>
    </row>
    <row r="2029">
      <c r="A2029" s="6"/>
      <c r="B2029" s="7"/>
    </row>
    <row r="2030">
      <c r="A2030" s="6"/>
      <c r="B2030" s="7"/>
    </row>
    <row r="2031">
      <c r="A2031" s="6"/>
      <c r="B2031" s="7"/>
    </row>
    <row r="2032">
      <c r="A2032" s="6"/>
      <c r="B2032" s="7"/>
    </row>
    <row r="2033">
      <c r="A2033" s="6"/>
      <c r="B2033" s="7"/>
    </row>
    <row r="2034">
      <c r="A2034" s="6"/>
      <c r="B2034" s="7"/>
    </row>
    <row r="2035">
      <c r="A2035" s="6"/>
      <c r="B2035" s="7"/>
    </row>
    <row r="2036">
      <c r="A2036" s="6"/>
      <c r="B2036" s="7"/>
    </row>
    <row r="2037">
      <c r="A2037" s="6"/>
      <c r="B2037" s="7"/>
    </row>
    <row r="2038">
      <c r="A2038" s="6"/>
      <c r="B2038" s="7"/>
    </row>
    <row r="2039">
      <c r="A2039" s="6"/>
      <c r="B2039" s="7"/>
    </row>
    <row r="2040">
      <c r="A2040" s="6"/>
      <c r="B2040" s="7"/>
    </row>
    <row r="2041">
      <c r="A2041" s="6"/>
      <c r="B2041" s="7"/>
    </row>
    <row r="2042">
      <c r="A2042" s="6"/>
      <c r="B2042" s="7"/>
    </row>
    <row r="2043">
      <c r="A2043" s="6"/>
      <c r="B2043" s="7"/>
    </row>
    <row r="2044">
      <c r="A2044" s="6"/>
      <c r="B2044" s="7"/>
    </row>
    <row r="2045">
      <c r="A2045" s="6"/>
      <c r="B2045" s="7"/>
    </row>
    <row r="2046">
      <c r="A2046" s="6"/>
      <c r="B2046" s="7"/>
    </row>
    <row r="2047">
      <c r="A2047" s="6"/>
      <c r="B2047" s="7"/>
    </row>
    <row r="2048">
      <c r="A2048" s="6"/>
      <c r="B2048" s="7"/>
    </row>
    <row r="2049">
      <c r="A2049" s="6"/>
      <c r="B2049" s="7"/>
    </row>
    <row r="2050">
      <c r="A2050" s="6"/>
      <c r="B2050" s="7"/>
    </row>
    <row r="2051">
      <c r="A2051" s="6"/>
      <c r="B2051" s="7"/>
    </row>
    <row r="2052">
      <c r="A2052" s="6"/>
      <c r="B2052" s="7"/>
    </row>
    <row r="2053">
      <c r="A2053" s="6"/>
      <c r="B2053" s="7"/>
    </row>
    <row r="2054">
      <c r="A2054" s="6"/>
      <c r="B2054" s="7"/>
    </row>
    <row r="2055">
      <c r="A2055" s="6"/>
      <c r="B2055" s="7"/>
    </row>
    <row r="2056">
      <c r="A2056" s="6"/>
      <c r="B2056" s="7"/>
    </row>
    <row r="2057">
      <c r="A2057" s="6"/>
      <c r="B2057" s="7"/>
    </row>
    <row r="2058">
      <c r="A2058" s="6"/>
      <c r="B2058" s="7"/>
    </row>
    <row r="2059">
      <c r="A2059" s="6"/>
      <c r="B2059" s="7"/>
    </row>
    <row r="2060">
      <c r="A2060" s="6"/>
      <c r="B2060" s="7"/>
    </row>
    <row r="2061">
      <c r="A2061" s="6"/>
      <c r="B2061" s="7"/>
    </row>
    <row r="2062">
      <c r="A2062" s="6"/>
      <c r="B2062" s="7"/>
    </row>
    <row r="2063">
      <c r="A2063" s="6"/>
      <c r="B2063" s="7"/>
    </row>
    <row r="2064">
      <c r="A2064" s="6"/>
      <c r="B2064" s="7"/>
    </row>
    <row r="2065">
      <c r="A2065" s="6"/>
      <c r="B2065" s="7"/>
    </row>
    <row r="2066">
      <c r="A2066" s="6"/>
      <c r="B2066" s="7"/>
    </row>
    <row r="2067">
      <c r="A2067" s="6"/>
      <c r="B2067" s="7"/>
    </row>
    <row r="2068">
      <c r="A2068" s="6"/>
      <c r="B2068" s="7"/>
    </row>
    <row r="2069">
      <c r="A2069" s="6"/>
      <c r="B2069" s="7"/>
    </row>
    <row r="2070">
      <c r="A2070" s="6"/>
      <c r="B2070" s="7"/>
    </row>
    <row r="2071">
      <c r="A2071" s="6"/>
      <c r="B2071" s="7"/>
    </row>
    <row r="2072">
      <c r="A2072" s="6"/>
      <c r="B2072" s="7"/>
    </row>
    <row r="2073">
      <c r="A2073" s="6"/>
      <c r="B2073" s="7"/>
    </row>
    <row r="2074">
      <c r="A2074" s="6"/>
      <c r="B2074" s="7"/>
    </row>
    <row r="2075">
      <c r="A2075" s="6"/>
      <c r="B2075" s="7"/>
    </row>
    <row r="2076">
      <c r="A2076" s="6"/>
      <c r="B2076" s="7"/>
    </row>
    <row r="2077">
      <c r="A2077" s="6"/>
      <c r="B2077" s="7"/>
    </row>
    <row r="2078">
      <c r="A2078" s="6"/>
      <c r="B2078" s="7"/>
    </row>
    <row r="2079">
      <c r="A2079" s="6"/>
      <c r="B2079" s="7"/>
    </row>
    <row r="2080">
      <c r="A2080" s="6"/>
      <c r="B2080" s="7"/>
    </row>
    <row r="2081">
      <c r="A2081" s="6"/>
      <c r="B2081" s="7"/>
    </row>
    <row r="2082">
      <c r="A2082" s="6"/>
      <c r="B2082" s="7"/>
    </row>
    <row r="2083">
      <c r="A2083" s="6"/>
      <c r="B2083" s="7"/>
    </row>
    <row r="2084">
      <c r="A2084" s="6"/>
      <c r="B2084" s="7"/>
    </row>
    <row r="2085">
      <c r="A2085" s="6"/>
      <c r="B2085" s="7"/>
    </row>
    <row r="2086">
      <c r="A2086" s="6"/>
      <c r="B2086" s="7"/>
    </row>
    <row r="2087">
      <c r="A2087" s="6"/>
      <c r="B2087" s="7"/>
    </row>
    <row r="2088">
      <c r="A2088" s="6"/>
      <c r="B2088" s="7"/>
    </row>
    <row r="2089">
      <c r="A2089" s="6"/>
      <c r="B2089" s="7"/>
    </row>
    <row r="2090">
      <c r="A2090" s="6"/>
      <c r="B2090" s="7"/>
    </row>
    <row r="2091">
      <c r="A2091" s="6"/>
      <c r="B2091" s="7"/>
    </row>
    <row r="2092">
      <c r="A2092" s="6"/>
      <c r="B2092" s="7"/>
    </row>
    <row r="2093">
      <c r="A2093" s="6"/>
      <c r="B2093" s="7"/>
    </row>
    <row r="2094">
      <c r="A2094" s="6"/>
      <c r="B2094" s="7"/>
    </row>
    <row r="2095">
      <c r="A2095" s="6"/>
      <c r="B2095" s="7"/>
    </row>
    <row r="2096">
      <c r="A2096" s="6"/>
      <c r="B2096" s="7"/>
    </row>
    <row r="2097">
      <c r="A2097" s="6"/>
      <c r="B2097" s="7"/>
    </row>
    <row r="2098">
      <c r="A2098" s="6"/>
      <c r="B2098" s="7"/>
    </row>
    <row r="2099">
      <c r="A2099" s="6"/>
      <c r="B2099" s="7"/>
    </row>
    <row r="2100">
      <c r="A2100" s="6"/>
      <c r="B2100" s="7"/>
    </row>
    <row r="2101">
      <c r="A2101" s="6"/>
      <c r="B2101" s="7"/>
    </row>
    <row r="2102">
      <c r="A2102" s="6"/>
      <c r="B2102" s="7"/>
    </row>
    <row r="2103">
      <c r="A2103" s="6"/>
      <c r="B2103" s="7"/>
    </row>
    <row r="2104">
      <c r="A2104" s="6"/>
      <c r="B2104" s="7"/>
    </row>
    <row r="2105">
      <c r="A2105" s="6"/>
      <c r="B2105" s="7"/>
    </row>
    <row r="2106">
      <c r="A2106" s="6"/>
      <c r="B2106" s="7"/>
    </row>
    <row r="2107">
      <c r="A2107" s="6"/>
      <c r="B2107" s="7"/>
    </row>
    <row r="2108">
      <c r="A2108" s="6"/>
      <c r="B2108" s="7"/>
    </row>
    <row r="2109">
      <c r="A2109" s="6"/>
      <c r="B2109" s="7"/>
    </row>
    <row r="2110">
      <c r="A2110" s="6"/>
      <c r="B2110" s="7"/>
    </row>
    <row r="2111">
      <c r="A2111" s="6"/>
      <c r="B2111" s="7"/>
    </row>
    <row r="2112">
      <c r="A2112" s="6"/>
      <c r="B2112" s="7"/>
    </row>
    <row r="2113">
      <c r="A2113" s="6"/>
      <c r="B2113" s="7"/>
    </row>
    <row r="2114">
      <c r="A2114" s="6"/>
      <c r="B2114" s="7"/>
    </row>
    <row r="2115">
      <c r="A2115" s="6"/>
      <c r="B2115" s="7"/>
    </row>
    <row r="2116">
      <c r="A2116" s="6"/>
      <c r="B2116" s="7"/>
    </row>
    <row r="2117">
      <c r="A2117" s="6"/>
      <c r="B2117" s="7"/>
    </row>
    <row r="2118">
      <c r="A2118" s="6"/>
      <c r="B2118" s="7"/>
    </row>
    <row r="2119">
      <c r="A2119" s="6"/>
      <c r="B2119" s="7"/>
    </row>
    <row r="2120">
      <c r="A2120" s="6"/>
      <c r="B2120" s="7"/>
    </row>
    <row r="2121">
      <c r="A2121" s="6"/>
      <c r="B2121" s="7"/>
    </row>
    <row r="2122">
      <c r="A2122" s="6"/>
      <c r="B2122" s="7"/>
    </row>
    <row r="2123">
      <c r="A2123" s="6"/>
      <c r="B2123" s="7"/>
    </row>
    <row r="2124">
      <c r="A2124" s="6"/>
      <c r="B2124" s="7"/>
    </row>
    <row r="2125">
      <c r="A2125" s="6"/>
      <c r="B2125" s="7"/>
    </row>
    <row r="2126">
      <c r="A2126" s="6"/>
      <c r="B2126" s="7"/>
    </row>
    <row r="2127">
      <c r="A2127" s="6"/>
      <c r="B2127" s="7"/>
    </row>
    <row r="2128">
      <c r="A2128" s="6"/>
      <c r="B2128" s="7"/>
    </row>
    <row r="2129">
      <c r="A2129" s="6"/>
      <c r="B2129" s="7"/>
    </row>
    <row r="2130">
      <c r="A2130" s="6"/>
      <c r="B2130" s="7"/>
    </row>
    <row r="2131">
      <c r="A2131" s="6"/>
      <c r="B2131" s="7"/>
    </row>
    <row r="2132">
      <c r="A2132" s="6"/>
      <c r="B2132" s="7"/>
    </row>
    <row r="2133">
      <c r="A2133" s="6"/>
      <c r="B2133" s="7"/>
    </row>
    <row r="2134">
      <c r="A2134" s="6"/>
      <c r="B2134" s="7"/>
    </row>
    <row r="2135">
      <c r="A2135" s="6"/>
      <c r="B2135" s="7"/>
    </row>
    <row r="2136">
      <c r="A2136" s="6"/>
      <c r="B2136" s="7"/>
    </row>
    <row r="2137">
      <c r="A2137" s="6"/>
      <c r="B2137" s="7"/>
    </row>
    <row r="2138">
      <c r="A2138" s="6"/>
      <c r="B2138" s="7"/>
    </row>
    <row r="2139">
      <c r="A2139" s="6"/>
      <c r="B2139" s="7"/>
    </row>
    <row r="2140">
      <c r="A2140" s="6"/>
      <c r="B2140" s="7"/>
    </row>
    <row r="2141">
      <c r="A2141" s="6"/>
      <c r="B2141" s="7"/>
    </row>
    <row r="2142">
      <c r="A2142" s="6"/>
      <c r="B2142" s="7"/>
    </row>
    <row r="2143">
      <c r="A2143" s="6"/>
      <c r="B2143" s="7"/>
    </row>
    <row r="2144">
      <c r="A2144" s="6"/>
      <c r="B2144" s="7"/>
    </row>
    <row r="2145">
      <c r="A2145" s="6"/>
      <c r="B2145" s="7"/>
    </row>
    <row r="2146">
      <c r="A2146" s="6"/>
      <c r="B2146" s="7"/>
    </row>
    <row r="2147">
      <c r="A2147" s="6"/>
      <c r="B2147" s="7"/>
    </row>
    <row r="2148">
      <c r="A2148" s="6"/>
      <c r="B2148" s="7"/>
    </row>
    <row r="2149">
      <c r="A2149" s="6"/>
      <c r="B2149" s="7"/>
    </row>
    <row r="2150">
      <c r="A2150" s="6"/>
      <c r="B2150" s="7"/>
    </row>
    <row r="2151">
      <c r="A2151" s="6"/>
      <c r="B2151" s="7"/>
    </row>
    <row r="2152">
      <c r="A2152" s="6"/>
      <c r="B2152" s="7"/>
    </row>
    <row r="2153">
      <c r="A2153" s="6"/>
      <c r="B2153" s="7"/>
    </row>
    <row r="2154">
      <c r="A2154" s="6"/>
      <c r="B2154" s="7"/>
    </row>
    <row r="2155">
      <c r="A2155" s="6"/>
      <c r="B2155" s="7"/>
    </row>
    <row r="2156">
      <c r="A2156" s="6"/>
      <c r="B2156" s="7"/>
    </row>
    <row r="2157">
      <c r="A2157" s="6"/>
      <c r="B2157" s="7"/>
    </row>
    <row r="2158">
      <c r="A2158" s="6"/>
      <c r="B2158" s="7"/>
    </row>
    <row r="2159">
      <c r="A2159" s="6"/>
      <c r="B2159" s="7"/>
    </row>
    <row r="2160">
      <c r="A2160" s="6"/>
      <c r="B2160" s="7"/>
    </row>
    <row r="2161">
      <c r="A2161" s="6"/>
      <c r="B2161" s="7"/>
    </row>
    <row r="2162">
      <c r="A2162" s="6"/>
      <c r="B2162" s="7"/>
    </row>
    <row r="2163">
      <c r="A2163" s="6"/>
      <c r="B2163" s="7"/>
    </row>
    <row r="2164">
      <c r="A2164" s="6"/>
      <c r="B2164" s="7"/>
    </row>
    <row r="2165">
      <c r="A2165" s="6"/>
      <c r="B2165" s="7"/>
    </row>
    <row r="2166">
      <c r="A2166" s="6"/>
      <c r="B2166" s="7"/>
    </row>
    <row r="2167">
      <c r="A2167" s="6"/>
      <c r="B2167" s="7"/>
    </row>
    <row r="2168">
      <c r="A2168" s="6"/>
      <c r="B2168" s="7"/>
    </row>
    <row r="2169">
      <c r="A2169" s="6"/>
      <c r="B2169" s="7"/>
    </row>
    <row r="2170">
      <c r="A2170" s="6"/>
      <c r="B2170" s="7"/>
    </row>
    <row r="2171">
      <c r="A2171" s="6"/>
      <c r="B2171" s="7"/>
    </row>
    <row r="2172">
      <c r="A2172" s="6"/>
      <c r="B2172" s="7"/>
    </row>
    <row r="2173">
      <c r="A2173" s="6"/>
      <c r="B2173" s="7"/>
    </row>
    <row r="2174">
      <c r="A2174" s="6"/>
      <c r="B2174" s="7"/>
    </row>
    <row r="2175">
      <c r="A2175" s="6"/>
      <c r="B2175" s="7"/>
    </row>
    <row r="2176">
      <c r="A2176" s="6"/>
      <c r="B2176" s="7"/>
    </row>
    <row r="2177">
      <c r="A2177" s="6"/>
      <c r="B2177" s="7"/>
    </row>
    <row r="2178">
      <c r="A2178" s="6"/>
      <c r="B2178" s="7"/>
    </row>
    <row r="2179">
      <c r="A2179" s="6"/>
      <c r="B2179" s="7"/>
    </row>
    <row r="2180">
      <c r="A2180" s="6"/>
      <c r="B2180" s="7"/>
    </row>
    <row r="2181">
      <c r="A2181" s="6"/>
      <c r="B2181" s="7"/>
    </row>
    <row r="2182">
      <c r="A2182" s="6"/>
      <c r="B2182" s="7"/>
    </row>
    <row r="2183">
      <c r="A2183" s="6"/>
      <c r="B2183" s="7"/>
    </row>
    <row r="2184">
      <c r="A2184" s="6"/>
      <c r="B2184" s="7"/>
    </row>
    <row r="2185">
      <c r="A2185" s="6"/>
      <c r="B2185" s="7"/>
    </row>
    <row r="2186">
      <c r="A2186" s="6"/>
      <c r="B2186" s="7"/>
    </row>
    <row r="2187">
      <c r="A2187" s="6"/>
      <c r="B2187" s="7"/>
    </row>
    <row r="2188">
      <c r="A2188" s="6"/>
      <c r="B2188" s="7"/>
    </row>
    <row r="2189">
      <c r="A2189" s="6"/>
      <c r="B2189" s="7"/>
    </row>
    <row r="2190">
      <c r="A2190" s="6"/>
      <c r="B2190" s="7"/>
    </row>
    <row r="2191">
      <c r="A2191" s="6"/>
      <c r="B2191" s="7"/>
    </row>
    <row r="2192">
      <c r="A2192" s="6"/>
      <c r="B2192" s="7"/>
    </row>
    <row r="2193">
      <c r="A2193" s="6"/>
      <c r="B2193" s="7"/>
    </row>
    <row r="2194">
      <c r="A2194" s="6"/>
      <c r="B2194" s="7"/>
    </row>
    <row r="2195">
      <c r="A2195" s="6"/>
      <c r="B2195" s="7"/>
    </row>
    <row r="2196">
      <c r="A2196" s="6"/>
      <c r="B2196" s="7"/>
    </row>
    <row r="2197">
      <c r="A2197" s="6"/>
      <c r="B2197" s="7"/>
    </row>
    <row r="2198">
      <c r="A2198" s="6"/>
      <c r="B2198" s="7"/>
    </row>
    <row r="2199">
      <c r="A2199" s="6"/>
      <c r="B2199" s="7"/>
    </row>
    <row r="2200">
      <c r="A2200" s="6"/>
      <c r="B2200" s="7"/>
    </row>
    <row r="2201">
      <c r="A2201" s="6"/>
      <c r="B2201" s="7"/>
    </row>
    <row r="2202">
      <c r="A2202" s="6"/>
      <c r="B2202" s="7"/>
    </row>
    <row r="2203">
      <c r="A2203" s="6"/>
      <c r="B2203" s="7"/>
    </row>
    <row r="2204">
      <c r="A2204" s="6"/>
      <c r="B2204" s="7"/>
    </row>
    <row r="2205">
      <c r="A2205" s="6"/>
      <c r="B2205" s="7"/>
    </row>
    <row r="2206">
      <c r="A2206" s="6"/>
      <c r="B2206" s="7"/>
    </row>
    <row r="2207">
      <c r="A2207" s="6"/>
      <c r="B2207" s="7"/>
    </row>
    <row r="2208">
      <c r="A2208" s="6"/>
      <c r="B2208" s="7"/>
    </row>
    <row r="2209">
      <c r="A2209" s="6"/>
      <c r="B2209" s="7"/>
    </row>
    <row r="2210">
      <c r="A2210" s="6"/>
      <c r="B2210" s="7"/>
    </row>
    <row r="2211">
      <c r="A2211" s="6"/>
      <c r="B2211" s="7"/>
    </row>
    <row r="2212">
      <c r="A2212" s="6"/>
      <c r="B2212" s="7"/>
    </row>
    <row r="2213">
      <c r="A2213" s="6"/>
      <c r="B2213" s="7"/>
    </row>
    <row r="2214">
      <c r="A2214" s="6"/>
      <c r="B2214" s="7"/>
    </row>
    <row r="2215">
      <c r="A2215" s="6"/>
      <c r="B2215" s="7"/>
    </row>
    <row r="2216">
      <c r="A2216" s="6"/>
      <c r="B2216" s="7"/>
    </row>
    <row r="2217">
      <c r="A2217" s="6"/>
      <c r="B2217" s="7"/>
    </row>
    <row r="2218">
      <c r="A2218" s="6"/>
      <c r="B2218" s="7"/>
    </row>
    <row r="2219">
      <c r="A2219" s="6"/>
      <c r="B2219" s="7"/>
    </row>
    <row r="2220">
      <c r="A2220" s="6"/>
      <c r="B2220" s="7"/>
    </row>
    <row r="2221">
      <c r="A2221" s="6"/>
      <c r="B2221" s="7"/>
    </row>
    <row r="2222">
      <c r="A2222" s="6"/>
      <c r="B2222" s="7"/>
    </row>
    <row r="2223">
      <c r="A2223" s="6"/>
      <c r="B2223" s="7"/>
    </row>
    <row r="2224">
      <c r="A2224" s="6"/>
      <c r="B2224" s="7"/>
    </row>
    <row r="2225">
      <c r="A2225" s="6"/>
      <c r="B2225" s="7"/>
    </row>
    <row r="2226">
      <c r="A2226" s="6"/>
      <c r="B2226" s="7"/>
    </row>
    <row r="2227">
      <c r="A2227" s="6"/>
      <c r="B2227" s="7"/>
    </row>
    <row r="2228">
      <c r="A2228" s="6"/>
      <c r="B2228" s="7"/>
    </row>
    <row r="2229">
      <c r="A2229" s="6"/>
      <c r="B2229" s="7"/>
    </row>
    <row r="2230">
      <c r="A2230" s="6"/>
      <c r="B2230" s="7"/>
    </row>
    <row r="2231">
      <c r="A2231" s="6"/>
      <c r="B2231" s="7"/>
    </row>
    <row r="2232">
      <c r="A2232" s="6"/>
      <c r="B2232" s="7"/>
    </row>
    <row r="2233">
      <c r="A2233" s="6"/>
      <c r="B2233" s="7"/>
    </row>
    <row r="2234">
      <c r="A2234" s="6"/>
      <c r="B2234" s="7"/>
    </row>
    <row r="2235">
      <c r="A2235" s="6"/>
      <c r="B2235" s="7"/>
    </row>
    <row r="2236">
      <c r="A2236" s="6"/>
      <c r="B2236" s="7"/>
    </row>
    <row r="2237">
      <c r="A2237" s="6"/>
      <c r="B2237" s="7"/>
    </row>
    <row r="2238">
      <c r="A2238" s="6"/>
      <c r="B2238" s="7"/>
    </row>
    <row r="2239">
      <c r="A2239" s="6"/>
      <c r="B2239" s="7"/>
    </row>
    <row r="2240">
      <c r="A2240" s="6"/>
      <c r="B2240" s="7"/>
    </row>
    <row r="2241">
      <c r="A2241" s="6"/>
      <c r="B2241" s="7"/>
    </row>
    <row r="2242">
      <c r="A2242" s="6"/>
      <c r="B2242" s="7"/>
    </row>
    <row r="2243">
      <c r="A2243" s="6"/>
      <c r="B2243" s="7"/>
    </row>
    <row r="2244">
      <c r="A2244" s="6"/>
      <c r="B2244" s="7"/>
    </row>
    <row r="2245">
      <c r="A2245" s="6"/>
      <c r="B2245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8">
        <f t="array" ref="A2:A1257">UNIQUE(
  SORT({
    Quotations!A2:A1756;
    Quotations!C2:C1756;
    Quotations!E2:E1756;
    Quotations!G2:G1756;
    Quotations!I2:I1756;
    Quotations!K2:K1756 
  })
)
</f>
        <v>41639</v>
      </c>
      <c r="B2" s="9">
        <f t="array" ref="B2">XLOOKUP($A2, Quotations!$A$2:A1756, Quotations!$B$2:B1756, "")
</f>
        <v>119.49</v>
      </c>
      <c r="C2" s="9">
        <f t="array" ref="C2">XLOOKUP($A2, Quotations!$C$2:C1756, Quotations!$D$2:D1756, "")</f>
        <v>24</v>
      </c>
      <c r="D2" s="9">
        <f t="array" ref="D2">XLOOKUP($A2, Quotations!$E$2:E1756, Quotations!$F$2:F1756, "")
</f>
        <v>111.71</v>
      </c>
      <c r="E2" s="9" t="str">
        <f t="array" ref="E2">XLOOKUP($A2, Quotations!$G$2:G1756, Quotations!$H$2:H1756, "")
</f>
        <v/>
      </c>
      <c r="F2" s="9" t="str">
        <f t="array" ref="F2">XLOOKUP($A2, Quotations!$I$2:I1756, Quotations!$J$2:J1756, "")
</f>
        <v/>
      </c>
      <c r="G2" s="9">
        <f t="array" ref="G2">XLOOKUP($A2, Quotations!$K$2:K1756, Quotations!$L$2:L1756, "")
</f>
        <v>1317.5613</v>
      </c>
    </row>
    <row r="3">
      <c r="A3" s="8">
        <v>41641.0</v>
      </c>
      <c r="B3" s="9">
        <f t="array" ref="B3">XLOOKUP($A3, Quotations!$A$2:A1756, Quotations!$B$2:B1756, "")
</f>
        <v>119.04</v>
      </c>
      <c r="C3" s="9">
        <f t="array" ref="C3">XLOOKUP($A3, Quotations!$C$2:C1756, Quotations!$D$2:D1756, "")</f>
        <v>24.02</v>
      </c>
      <c r="D3" s="9">
        <f t="array" ref="D3">XLOOKUP($A3, Quotations!$E$2:E1756, Quotations!$F$2:F1756, "")
</f>
        <v>111.72</v>
      </c>
      <c r="E3" s="9">
        <f t="array" ref="E3">XLOOKUP($A3, Quotations!$G$2:G1756, Quotations!$H$2:H1756, "")
</f>
        <v>123.23</v>
      </c>
      <c r="F3" s="9">
        <f t="array" ref="F3">XLOOKUP($A3, Quotations!$I$2:I1756, Quotations!$J$2:J1756, "")
</f>
        <v>123.86</v>
      </c>
      <c r="G3" s="9">
        <f t="array" ref="G3">XLOOKUP($A3, Quotations!$K$2:K1756, Quotations!$L$2:L1756, "")
</f>
        <v>1320.0796</v>
      </c>
    </row>
    <row r="4">
      <c r="A4" s="8">
        <v>41642.0</v>
      </c>
      <c r="B4" s="9">
        <f t="array" ref="B4">XLOOKUP($A4, Quotations!$A$2:A1756, Quotations!$B$2:B1756, "")
</f>
        <v>119.26</v>
      </c>
      <c r="C4" s="9">
        <f t="array" ref="C4">XLOOKUP($A4, Quotations!$C$2:C1756, Quotations!$D$2:D1756, "")</f>
        <v>24.04</v>
      </c>
      <c r="D4" s="9">
        <f t="array" ref="D4">XLOOKUP($A4, Quotations!$E$2:E1756, Quotations!$F$2:F1756, "")
</f>
        <v>111.75</v>
      </c>
      <c r="E4" s="9">
        <f t="array" ref="E4">XLOOKUP($A4, Quotations!$G$2:G1756, Quotations!$H$2:H1756, "")
</f>
        <v>123.32</v>
      </c>
      <c r="F4" s="9">
        <f t="array" ref="F4">XLOOKUP($A4, Quotations!$I$2:I1756, Quotations!$J$2:J1756, "")
</f>
        <v>123.47</v>
      </c>
      <c r="G4" s="9">
        <f t="array" ref="G4">XLOOKUP($A4, Quotations!$K$2:K1756, Quotations!$L$2:L1756, "")
</f>
        <v>1316.1038</v>
      </c>
    </row>
    <row r="5">
      <c r="A5" s="8">
        <v>41645.0</v>
      </c>
      <c r="B5" s="9">
        <f t="array" ref="B5">XLOOKUP($A5, Quotations!$A$2:A1756, Quotations!$B$2:B1756, "")
</f>
        <v>119.31</v>
      </c>
      <c r="C5" s="9">
        <f t="array" ref="C5">XLOOKUP($A5, Quotations!$C$2:C1756, Quotations!$D$2:D1756, "")</f>
        <v>24.03</v>
      </c>
      <c r="D5" s="9">
        <f t="array" ref="D5">XLOOKUP($A5, Quotations!$E$2:E1756, Quotations!$F$2:F1756, "")
</f>
        <v>111.76</v>
      </c>
      <c r="E5" s="9">
        <f t="array" ref="E5">XLOOKUP($A5, Quotations!$G$2:G1756, Quotations!$H$2:H1756, "")
</f>
        <v>123.32</v>
      </c>
      <c r="F5" s="9">
        <f t="array" ref="F5">XLOOKUP($A5, Quotations!$I$2:I1756, Quotations!$J$2:J1756, "")
</f>
        <v>123.64</v>
      </c>
      <c r="G5" s="9">
        <f t="array" ref="G5">XLOOKUP($A5, Quotations!$K$2:K1756, Quotations!$L$2:L1756, "")
</f>
        <v>1315.5184</v>
      </c>
    </row>
    <row r="6">
      <c r="A6" s="8">
        <v>41646.0</v>
      </c>
      <c r="B6" s="9">
        <f t="array" ref="B6">XLOOKUP($A6, Quotations!$A$2:A1756, Quotations!$B$2:B1756, "")
</f>
        <v>119.73</v>
      </c>
      <c r="C6" s="9">
        <f t="array" ref="C6">XLOOKUP($A6, Quotations!$C$2:C1756, Quotations!$D$2:D1756, "")</f>
        <v>24.04</v>
      </c>
      <c r="D6" s="9">
        <f t="array" ref="D6">XLOOKUP($A6, Quotations!$E$2:E1756, Quotations!$F$2:F1756, "")
</f>
        <v>111.78</v>
      </c>
      <c r="E6" s="9">
        <f t="array" ref="E6">XLOOKUP($A6, Quotations!$G$2:G1756, Quotations!$H$2:H1756, "")
</f>
        <v>123.28</v>
      </c>
      <c r="F6" s="9">
        <f t="array" ref="F6">XLOOKUP($A6, Quotations!$I$2:I1756, Quotations!$J$2:J1756, "")
</f>
        <v>123.59</v>
      </c>
      <c r="G6" s="9">
        <f t="array" ref="G6">XLOOKUP($A6, Quotations!$K$2:K1756, Quotations!$L$2:L1756, "")
</f>
        <v>1314.9367</v>
      </c>
    </row>
    <row r="7">
      <c r="A7" s="8">
        <v>41647.0</v>
      </c>
      <c r="B7" s="9">
        <f t="array" ref="B7">XLOOKUP($A7, Quotations!$A$2:A1756, Quotations!$B$2:B1756, "")
</f>
        <v>119.88</v>
      </c>
      <c r="C7" s="9">
        <f t="array" ref="C7">XLOOKUP($A7, Quotations!$C$2:C1756, Quotations!$D$2:D1756, "")</f>
        <v>24.04</v>
      </c>
      <c r="D7" s="9">
        <f t="array" ref="D7">XLOOKUP($A7, Quotations!$E$2:E1756, Quotations!$F$2:F1756, "")
</f>
        <v>111.82</v>
      </c>
      <c r="E7" s="9">
        <f t="array" ref="E7">XLOOKUP($A7, Quotations!$G$2:G1756, Quotations!$H$2:H1756, "")
</f>
        <v>123.26</v>
      </c>
      <c r="F7" s="9">
        <f t="array" ref="F7">XLOOKUP($A7, Quotations!$I$2:I1756, Quotations!$J$2:J1756, "")
</f>
        <v>123.98</v>
      </c>
      <c r="G7" s="9">
        <f t="array" ref="G7">XLOOKUP($A7, Quotations!$K$2:K1756, Quotations!$L$2:L1756, "")
</f>
        <v>1322.2889</v>
      </c>
    </row>
    <row r="8">
      <c r="A8" s="8">
        <v>41648.0</v>
      </c>
      <c r="B8" s="9">
        <f t="array" ref="B8">XLOOKUP($A8, Quotations!$A$2:A1756, Quotations!$B$2:B1756, "")
</f>
        <v>119.81</v>
      </c>
      <c r="C8" s="9">
        <f t="array" ref="C8">XLOOKUP($A8, Quotations!$C$2:C1756, Quotations!$D$2:D1756, "")</f>
        <v>24.04</v>
      </c>
      <c r="D8" s="9">
        <f t="array" ref="D8">XLOOKUP($A8, Quotations!$E$2:E1756, Quotations!$F$2:F1756, "")
</f>
        <v>111.83</v>
      </c>
      <c r="E8" s="9">
        <f t="array" ref="E8">XLOOKUP($A8, Quotations!$G$2:G1756, Quotations!$H$2:H1756, "")
</f>
        <v>123.35</v>
      </c>
      <c r="F8" s="9">
        <f t="array" ref="F8">XLOOKUP($A8, Quotations!$I$2:I1756, Quotations!$J$2:J1756, "")
</f>
        <v>123.96</v>
      </c>
      <c r="G8" s="9">
        <f t="array" ref="G8">XLOOKUP($A8, Quotations!$K$2:K1756, Quotations!$L$2:L1756, "")
</f>
        <v>1324.9264</v>
      </c>
    </row>
    <row r="9">
      <c r="A9" s="8">
        <v>41649.0</v>
      </c>
      <c r="B9" s="9">
        <f t="array" ref="B9">XLOOKUP($A9, Quotations!$A$2:A1756, Quotations!$B$2:B1756, "")
</f>
        <v>120.08</v>
      </c>
      <c r="C9" s="9">
        <f t="array" ref="C9">XLOOKUP($A9, Quotations!$C$2:C1756, Quotations!$D$2:D1756, "")</f>
        <v>24.04</v>
      </c>
      <c r="D9" s="9">
        <f t="array" ref="D9">XLOOKUP($A9, Quotations!$E$2:E1756, Quotations!$F$2:F1756, "")
</f>
        <v>111.82</v>
      </c>
      <c r="E9" s="9">
        <f t="array" ref="E9">XLOOKUP($A9, Quotations!$G$2:G1756, Quotations!$H$2:H1756, "")
</f>
        <v>123.16</v>
      </c>
      <c r="F9" s="9">
        <f t="array" ref="F9">XLOOKUP($A9, Quotations!$I$2:I1756, Quotations!$J$2:J1756, "")
</f>
        <v>123.88</v>
      </c>
      <c r="G9" s="9">
        <f t="array" ref="G9">XLOOKUP($A9, Quotations!$K$2:K1756, Quotations!$L$2:L1756, "")
</f>
        <v>1322.6834</v>
      </c>
    </row>
    <row r="10">
      <c r="A10" s="8">
        <v>41652.0</v>
      </c>
      <c r="B10" s="9">
        <f t="array" ref="B10">XLOOKUP($A10, Quotations!$A$2:A1756, Quotations!$B$2:B1756, "")
</f>
        <v>120.3</v>
      </c>
      <c r="C10" s="9">
        <f t="array" ref="C10">XLOOKUP($A10, Quotations!$C$2:C1756, Quotations!$D$2:D1756, "")</f>
        <v>24.06</v>
      </c>
      <c r="D10" s="9">
        <f t="array" ref="D10">XLOOKUP($A10, Quotations!$E$2:E1756, Quotations!$F$2:F1756, "")
</f>
        <v>111.84</v>
      </c>
      <c r="E10" s="9">
        <f t="array" ref="E10">XLOOKUP($A10, Quotations!$G$2:G1756, Quotations!$H$2:H1756, "")
</f>
        <v>123.09</v>
      </c>
      <c r="F10" s="9">
        <f t="array" ref="F10">XLOOKUP($A10, Quotations!$I$2:I1756, Quotations!$J$2:J1756, "")
</f>
        <v>123.99</v>
      </c>
      <c r="G10" s="9">
        <f t="array" ref="G10">XLOOKUP($A10, Quotations!$K$2:K1756, Quotations!$L$2:L1756, "")
</f>
        <v>1326.4695</v>
      </c>
    </row>
    <row r="11">
      <c r="A11" s="8">
        <v>41653.0</v>
      </c>
      <c r="B11" s="9">
        <f t="array" ref="B11">XLOOKUP($A11, Quotations!$A$2:A1756, Quotations!$B$2:B1756, "")
</f>
        <v>120.39</v>
      </c>
      <c r="C11" s="9">
        <f t="array" ref="C11">XLOOKUP($A11, Quotations!$C$2:C1756, Quotations!$D$2:D1756, "")</f>
        <v>24.05</v>
      </c>
      <c r="D11" s="9">
        <f t="array" ref="D11">XLOOKUP($A11, Quotations!$E$2:E1756, Quotations!$F$2:F1756, "")
</f>
        <v>111.86</v>
      </c>
      <c r="E11" s="9">
        <f t="array" ref="E11">XLOOKUP($A11, Quotations!$G$2:G1756, Quotations!$H$2:H1756, "")
</f>
        <v>123.09</v>
      </c>
      <c r="F11" s="9">
        <f t="array" ref="F11">XLOOKUP($A11, Quotations!$I$2:I1756, Quotations!$J$2:J1756, "")
</f>
        <v>124.2</v>
      </c>
      <c r="G11" s="9">
        <f t="array" ref="G11">XLOOKUP($A11, Quotations!$K$2:K1756, Quotations!$L$2:L1756, "")
</f>
        <v>1322.5665</v>
      </c>
    </row>
    <row r="12">
      <c r="A12" s="8">
        <v>41654.0</v>
      </c>
      <c r="B12" s="9">
        <f t="array" ref="B12">XLOOKUP($A12, Quotations!$A$2:A1756, Quotations!$B$2:B1756, "")
</f>
        <v>120.89</v>
      </c>
      <c r="C12" s="9">
        <f t="array" ref="C12">XLOOKUP($A12, Quotations!$C$2:C1756, Quotations!$D$2:D1756, "")</f>
        <v>24.05</v>
      </c>
      <c r="D12" s="9">
        <f t="array" ref="D12">XLOOKUP($A12, Quotations!$E$2:E1756, Quotations!$F$2:F1756, "")
</f>
        <v>111.89</v>
      </c>
      <c r="E12" s="9">
        <f t="array" ref="E12">XLOOKUP($A12, Quotations!$G$2:G1756, Quotations!$H$2:H1756, "")
</f>
        <v>123.15</v>
      </c>
      <c r="F12" s="9">
        <f t="array" ref="F12">XLOOKUP($A12, Quotations!$I$2:I1756, Quotations!$J$2:J1756, "")
</f>
        <v>124.37</v>
      </c>
      <c r="G12" s="9">
        <f t="array" ref="G12">XLOOKUP($A12, Quotations!$K$2:K1756, Quotations!$L$2:L1756, "")
</f>
        <v>1328.9166</v>
      </c>
    </row>
    <row r="13">
      <c r="A13" s="8">
        <v>41655.0</v>
      </c>
      <c r="B13" s="9">
        <f t="array" ref="B13">XLOOKUP($A13, Quotations!$A$2:A1756, Quotations!$B$2:B1756, "")
</f>
        <v>120.84</v>
      </c>
      <c r="C13" s="9">
        <f t="array" ref="C13">XLOOKUP($A13, Quotations!$C$2:C1756, Quotations!$D$2:D1756, "")</f>
        <v>24.05</v>
      </c>
      <c r="D13" s="9">
        <f t="array" ref="D13">XLOOKUP($A13, Quotations!$E$2:E1756, Quotations!$F$2:F1756, "")
</f>
        <v>111.9</v>
      </c>
      <c r="E13" s="9">
        <f t="array" ref="E13">XLOOKUP($A13, Quotations!$G$2:G1756, Quotations!$H$2:H1756, "")
</f>
        <v>123.05</v>
      </c>
      <c r="F13" s="9">
        <f t="array" ref="F13">XLOOKUP($A13, Quotations!$I$2:I1756, Quotations!$J$2:J1756, "")
</f>
        <v>124.78</v>
      </c>
      <c r="G13" s="9">
        <f t="array" ref="G13">XLOOKUP($A13, Quotations!$K$2:K1756, Quotations!$L$2:L1756, "")
</f>
        <v>1332.4553</v>
      </c>
    </row>
    <row r="14">
      <c r="A14" s="8">
        <v>41656.0</v>
      </c>
      <c r="B14" s="9">
        <f t="array" ref="B14">XLOOKUP($A14, Quotations!$A$2:A1756, Quotations!$B$2:B1756, "")
</f>
        <v>121.04</v>
      </c>
      <c r="C14" s="9">
        <f t="array" ref="C14">XLOOKUP($A14, Quotations!$C$2:C1756, Quotations!$D$2:D1756, "")</f>
        <v>24.06</v>
      </c>
      <c r="D14" s="9">
        <f t="array" ref="D14">XLOOKUP($A14, Quotations!$E$2:E1756, Quotations!$F$2:F1756, "")
</f>
        <v>111.96</v>
      </c>
      <c r="E14" s="9">
        <f t="array" ref="E14">XLOOKUP($A14, Quotations!$G$2:G1756, Quotations!$H$2:H1756, "")
</f>
        <v>123.34</v>
      </c>
      <c r="F14" s="9">
        <f t="array" ref="F14">XLOOKUP($A14, Quotations!$I$2:I1756, Quotations!$J$2:J1756, "")
</f>
        <v>124.68</v>
      </c>
      <c r="G14" s="9">
        <f t="array" ref="G14">XLOOKUP($A14, Quotations!$K$2:K1756, Quotations!$L$2:L1756, "")
</f>
        <v>1332.5754</v>
      </c>
    </row>
    <row r="15">
      <c r="A15" s="8">
        <v>41659.0</v>
      </c>
      <c r="B15" s="9">
        <f t="array" ref="B15">XLOOKUP($A15, Quotations!$A$2:A1756, Quotations!$B$2:B1756, "")
</f>
        <v>121.06</v>
      </c>
      <c r="C15" s="9">
        <f t="array" ref="C15">XLOOKUP($A15, Quotations!$C$2:C1756, Quotations!$D$2:D1756, "")</f>
        <v>24.06</v>
      </c>
      <c r="D15" s="9">
        <f t="array" ref="D15">XLOOKUP($A15, Quotations!$E$2:E1756, Quotations!$F$2:F1756, "")
</f>
        <v>112</v>
      </c>
      <c r="E15" s="9">
        <f t="array" ref="E15">XLOOKUP($A15, Quotations!$G$2:G1756, Quotations!$H$2:H1756, "")
</f>
        <v>123.51</v>
      </c>
      <c r="F15" s="9">
        <f t="array" ref="F15">XLOOKUP($A15, Quotations!$I$2:I1756, Quotations!$J$2:J1756, "")
</f>
        <v>124.83</v>
      </c>
      <c r="G15" s="9">
        <f t="array" ref="G15">XLOOKUP($A15, Quotations!$K$2:K1756, Quotations!$L$2:L1756, "")
</f>
        <v>1334.5886</v>
      </c>
    </row>
    <row r="16">
      <c r="A16" s="8">
        <v>41660.0</v>
      </c>
      <c r="B16" s="9">
        <f t="array" ref="B16">XLOOKUP($A16, Quotations!$A$2:A1756, Quotations!$B$2:B1756, "")
</f>
        <v>120.97</v>
      </c>
      <c r="C16" s="9">
        <f t="array" ref="C16">XLOOKUP($A16, Quotations!$C$2:C1756, Quotations!$D$2:D1756, "")</f>
        <v>24.06</v>
      </c>
      <c r="D16" s="9">
        <f t="array" ref="D16">XLOOKUP($A16, Quotations!$E$2:E1756, Quotations!$F$2:F1756, "")
</f>
        <v>112</v>
      </c>
      <c r="E16" s="9">
        <f t="array" ref="E16">XLOOKUP($A16, Quotations!$G$2:G1756, Quotations!$H$2:H1756, "")
</f>
        <v>123.41</v>
      </c>
      <c r="F16" s="9">
        <f t="array" ref="F16">XLOOKUP($A16, Quotations!$I$2:I1756, Quotations!$J$2:J1756, "")
</f>
        <v>124.74</v>
      </c>
      <c r="G16" s="9">
        <f t="array" ref="G16">XLOOKUP($A16, Quotations!$K$2:K1756, Quotations!$L$2:L1756, "")
</f>
        <v>1334.2199</v>
      </c>
    </row>
    <row r="17">
      <c r="A17" s="8">
        <v>41661.0</v>
      </c>
      <c r="B17" s="9">
        <f t="array" ref="B17">XLOOKUP($A17, Quotations!$A$2:A1756, Quotations!$B$2:B1756, "")
</f>
        <v>120.95</v>
      </c>
      <c r="C17" s="9">
        <f t="array" ref="C17">XLOOKUP($A17, Quotations!$C$2:C1756, Quotations!$D$2:D1756, "")</f>
        <v>24.07</v>
      </c>
      <c r="D17" s="9">
        <f t="array" ref="D17">XLOOKUP($A17, Quotations!$E$2:E1756, Quotations!$F$2:F1756, "")
</f>
        <v>112.02</v>
      </c>
      <c r="E17" s="9">
        <f t="array" ref="E17">XLOOKUP($A17, Quotations!$G$2:G1756, Quotations!$H$2:H1756, "")
</f>
        <v>123.38</v>
      </c>
      <c r="F17" s="9">
        <f t="array" ref="F17">XLOOKUP($A17, Quotations!$I$2:I1756, Quotations!$J$2:J1756, "")
</f>
        <v>124.8</v>
      </c>
      <c r="G17" s="9">
        <f t="array" ref="G17">XLOOKUP($A17, Quotations!$K$2:K1756, Quotations!$L$2:L1756, "")
</f>
        <v>1335.6941</v>
      </c>
    </row>
    <row r="18">
      <c r="A18" s="8">
        <v>41662.0</v>
      </c>
      <c r="B18" s="9">
        <f t="array" ref="B18">XLOOKUP($A18, Quotations!$A$2:A1756, Quotations!$B$2:B1756, "")
</f>
        <v>120.61</v>
      </c>
      <c r="C18" s="9">
        <f t="array" ref="C18">XLOOKUP($A18, Quotations!$C$2:C1756, Quotations!$D$2:D1756, "")</f>
        <v>24.03</v>
      </c>
      <c r="D18" s="9">
        <f t="array" ref="D18">XLOOKUP($A18, Quotations!$E$2:E1756, Quotations!$F$2:F1756, "")
</f>
        <v>111.99</v>
      </c>
      <c r="E18" s="9">
        <f t="array" ref="E18">XLOOKUP($A18, Quotations!$G$2:G1756, Quotations!$H$2:H1756, "")
</f>
        <v>123.32</v>
      </c>
      <c r="F18" s="9">
        <f t="array" ref="F18">XLOOKUP($A18, Quotations!$I$2:I1756, Quotations!$J$2:J1756, "")
</f>
        <v>124.77</v>
      </c>
      <c r="G18" s="9">
        <f t="array" ref="G18">XLOOKUP($A18, Quotations!$K$2:K1756, Quotations!$L$2:L1756, "")
</f>
        <v>1338.3064</v>
      </c>
    </row>
    <row r="19">
      <c r="A19" s="8">
        <v>41663.0</v>
      </c>
      <c r="B19" s="9">
        <f t="array" ref="B19">XLOOKUP($A19, Quotations!$A$2:A1756, Quotations!$B$2:B1756, "")
</f>
        <v>119.86</v>
      </c>
      <c r="C19" s="9">
        <f t="array" ref="C19">XLOOKUP($A19, Quotations!$C$2:C1756, Quotations!$D$2:D1756, "")</f>
        <v>24.02</v>
      </c>
      <c r="D19" s="9">
        <f t="array" ref="D19">XLOOKUP($A19, Quotations!$E$2:E1756, Quotations!$F$2:F1756, "")
</f>
        <v>111.9</v>
      </c>
      <c r="E19" s="9">
        <f t="array" ref="E19">XLOOKUP($A19, Quotations!$G$2:G1756, Quotations!$H$2:H1756, "")
</f>
        <v>122.86</v>
      </c>
      <c r="F19" s="9">
        <f t="array" ref="F19">XLOOKUP($A19, Quotations!$I$2:I1756, Quotations!$J$2:J1756, "")
</f>
        <v>124.49</v>
      </c>
      <c r="G19" s="9">
        <f t="array" ref="G19">XLOOKUP($A19, Quotations!$K$2:K1756, Quotations!$L$2:L1756, "")
</f>
        <v>1331.6304</v>
      </c>
    </row>
    <row r="20">
      <c r="A20" s="8">
        <v>41666.0</v>
      </c>
      <c r="B20" s="9">
        <f t="array" ref="B20">XLOOKUP($A20, Quotations!$A$2:A1756, Quotations!$B$2:B1756, "")
</f>
        <v>119.61</v>
      </c>
      <c r="C20" s="9">
        <f t="array" ref="C20">XLOOKUP($A20, Quotations!$C$2:C1756, Quotations!$D$2:D1756, "")</f>
        <v>24.03</v>
      </c>
      <c r="D20" s="9">
        <f t="array" ref="D20">XLOOKUP($A20, Quotations!$E$2:E1756, Quotations!$F$2:F1756, "")
</f>
        <v>111.94</v>
      </c>
      <c r="E20" s="9">
        <f t="array" ref="E20">XLOOKUP($A20, Quotations!$G$2:G1756, Quotations!$H$2:H1756, "")
</f>
        <v>121.53</v>
      </c>
      <c r="F20" s="9">
        <f t="array" ref="F20">XLOOKUP($A20, Quotations!$I$2:I1756, Quotations!$J$2:J1756, "")
</f>
        <v>123.96</v>
      </c>
      <c r="G20" s="9">
        <f t="array" ref="G20">XLOOKUP($A20, Quotations!$K$2:K1756, Quotations!$L$2:L1756, "")
</f>
        <v>1316.1885</v>
      </c>
    </row>
    <row r="21">
      <c r="A21" s="8">
        <v>41667.0</v>
      </c>
      <c r="B21" s="9">
        <f t="array" ref="B21">XLOOKUP($A21, Quotations!$A$2:A1756, Quotations!$B$2:B1756, "")
</f>
        <v>119.96</v>
      </c>
      <c r="C21" s="9">
        <f t="array" ref="C21">XLOOKUP($A21, Quotations!$C$2:C1756, Quotations!$D$2:D1756, "")</f>
        <v>24.03</v>
      </c>
      <c r="D21" s="9">
        <f t="array" ref="D21">XLOOKUP($A21, Quotations!$E$2:E1756, Quotations!$F$2:F1756, "")
</f>
        <v>111.98</v>
      </c>
      <c r="E21" s="9">
        <f t="array" ref="E21">XLOOKUP($A21, Quotations!$G$2:G1756, Quotations!$H$2:H1756, "")
</f>
        <v>121.5</v>
      </c>
      <c r="F21" s="9">
        <f t="array" ref="F21">XLOOKUP($A21, Quotations!$I$2:I1756, Quotations!$J$2:J1756, "")
</f>
        <v>123.6</v>
      </c>
      <c r="G21" s="9">
        <f t="array" ref="G21">XLOOKUP($A21, Quotations!$K$2:K1756, Quotations!$L$2:L1756, "")
</f>
        <v>1311.3099</v>
      </c>
    </row>
    <row r="22">
      <c r="A22" s="8">
        <v>41668.0</v>
      </c>
      <c r="B22" s="9">
        <f t="array" ref="B22">XLOOKUP($A22, Quotations!$A$2:A1756, Quotations!$B$2:B1756, "")
</f>
        <v>119.82</v>
      </c>
      <c r="C22" s="9">
        <f t="array" ref="C22">XLOOKUP($A22, Quotations!$C$2:C1756, Quotations!$D$2:D1756, "")</f>
        <v>24.04</v>
      </c>
      <c r="D22" s="9">
        <f t="array" ref="D22">XLOOKUP($A22, Quotations!$E$2:E1756, Quotations!$F$2:F1756, "")
</f>
        <v>111.93</v>
      </c>
      <c r="E22" s="9">
        <f t="array" ref="E22">XLOOKUP($A22, Quotations!$G$2:G1756, Quotations!$H$2:H1756, "")
</f>
        <v>121.67</v>
      </c>
      <c r="F22" s="9">
        <f t="array" ref="F22">XLOOKUP($A22, Quotations!$I$2:I1756, Quotations!$J$2:J1756, "")
</f>
        <v>123.81</v>
      </c>
      <c r="G22" s="9">
        <f t="array" ref="G22">XLOOKUP($A22, Quotations!$K$2:K1756, Quotations!$L$2:L1756, "")
</f>
        <v>1319.2861</v>
      </c>
    </row>
    <row r="23">
      <c r="A23" s="8">
        <v>41669.0</v>
      </c>
      <c r="B23" s="9">
        <f t="array" ref="B23">XLOOKUP($A23, Quotations!$A$2:A1756, Quotations!$B$2:B1756, "")
</f>
        <v>119.77</v>
      </c>
      <c r="C23" s="9">
        <f t="array" ref="C23">XLOOKUP($A23, Quotations!$C$2:C1756, Quotations!$D$2:D1756, "")</f>
        <v>24.06</v>
      </c>
      <c r="D23" s="9">
        <f t="array" ref="D23">XLOOKUP($A23, Quotations!$E$2:E1756, Quotations!$F$2:F1756, "")
</f>
        <v>111.94</v>
      </c>
      <c r="E23" s="9">
        <f t="array" ref="E23">XLOOKUP($A23, Quotations!$G$2:G1756, Quotations!$H$2:H1756, "")
</f>
        <v>121.29</v>
      </c>
      <c r="F23" s="9">
        <f t="array" ref="F23">XLOOKUP($A23, Quotations!$I$2:I1756, Quotations!$J$2:J1756, "")
</f>
        <v>123.78</v>
      </c>
      <c r="G23" s="9">
        <f t="array" ref="G23">XLOOKUP($A23, Quotations!$K$2:K1756, Quotations!$L$2:L1756, "")
</f>
        <v>1314.6516</v>
      </c>
    </row>
    <row r="24">
      <c r="A24" s="8">
        <v>41670.0</v>
      </c>
      <c r="B24" s="9">
        <f t="array" ref="B24">XLOOKUP($A24, Quotations!$A$2:A1756, Quotations!$B$2:B1756, "")
</f>
        <v>119.68</v>
      </c>
      <c r="C24" s="9">
        <f t="array" ref="C24">XLOOKUP($A24, Quotations!$C$2:C1756, Quotations!$D$2:D1756, "")</f>
        <v>24.07</v>
      </c>
      <c r="D24" s="9">
        <f t="array" ref="D24">XLOOKUP($A24, Quotations!$E$2:E1756, Quotations!$F$2:F1756, "")
</f>
        <v>111.91</v>
      </c>
      <c r="E24" s="9">
        <f t="array" ref="E24">XLOOKUP($A24, Quotations!$G$2:G1756, Quotations!$H$2:H1756, "")
</f>
        <v>121.4</v>
      </c>
      <c r="F24" s="9">
        <f t="array" ref="F24">XLOOKUP($A24, Quotations!$I$2:I1756, Quotations!$J$2:J1756, "")
</f>
        <v>123.79</v>
      </c>
      <c r="G24" s="9">
        <f t="array" ref="G24">XLOOKUP($A24, Quotations!$K$2:K1756, Quotations!$L$2:L1756, "")
</f>
        <v>1319.4934</v>
      </c>
    </row>
    <row r="25">
      <c r="A25" s="8">
        <v>41673.0</v>
      </c>
      <c r="B25" s="9">
        <f t="array" ref="B25">XLOOKUP($A25, Quotations!$A$2:A1756, Quotations!$B$2:B1756, "")
</f>
        <v>119.38</v>
      </c>
      <c r="C25" s="9">
        <f t="array" ref="C25">XLOOKUP($A25, Quotations!$C$2:C1756, Quotations!$D$2:D1756, "")</f>
        <v>24.08</v>
      </c>
      <c r="D25" s="9">
        <f t="array" ref="D25">XLOOKUP($A25, Quotations!$E$2:E1756, Quotations!$F$2:F1756, "")
</f>
        <v>111.92</v>
      </c>
      <c r="E25" s="9">
        <f t="array" ref="E25">XLOOKUP($A25, Quotations!$G$2:G1756, Quotations!$H$2:H1756, "")
</f>
        <v>121.2</v>
      </c>
      <c r="F25" s="9">
        <f t="array" ref="F25">XLOOKUP($A25, Quotations!$I$2:I1756, Quotations!$J$2:J1756, "")
</f>
        <v>123.84</v>
      </c>
      <c r="G25" s="9">
        <f t="array" ref="G25">XLOOKUP($A25, Quotations!$K$2:K1756, Quotations!$L$2:L1756, "")
</f>
        <v>1317.761</v>
      </c>
    </row>
    <row r="26">
      <c r="A26" s="8">
        <v>41674.0</v>
      </c>
      <c r="B26" s="9">
        <f t="array" ref="B26">XLOOKUP($A26, Quotations!$A$2:A1756, Quotations!$B$2:B1756, "")
</f>
        <v>119.25</v>
      </c>
      <c r="C26" s="9">
        <f t="array" ref="C26">XLOOKUP($A26, Quotations!$C$2:C1756, Quotations!$D$2:D1756, "")</f>
        <v>24.09</v>
      </c>
      <c r="D26" s="9">
        <f t="array" ref="D26">XLOOKUP($A26, Quotations!$E$2:E1756, Quotations!$F$2:F1756, "")
</f>
        <v>111.93</v>
      </c>
      <c r="E26" s="9">
        <f t="array" ref="E26">XLOOKUP($A26, Quotations!$G$2:G1756, Quotations!$H$2:H1756, "")
</f>
        <v>120.5</v>
      </c>
      <c r="F26" s="9">
        <f t="array" ref="F26">XLOOKUP($A26, Quotations!$I$2:I1756, Quotations!$J$2:J1756, "")
</f>
        <v>123.54</v>
      </c>
      <c r="G26" s="9">
        <f t="array" ref="G26">XLOOKUP($A26, Quotations!$K$2:K1756, Quotations!$L$2:L1756, "")
</f>
        <v>1305.0507</v>
      </c>
    </row>
    <row r="27">
      <c r="A27" s="8">
        <v>41675.0</v>
      </c>
      <c r="B27" s="9">
        <f t="array" ref="B27">XLOOKUP($A27, Quotations!$A$2:A1756, Quotations!$B$2:B1756, "")
</f>
        <v>119.32</v>
      </c>
      <c r="C27" s="9">
        <f t="array" ref="C27">XLOOKUP($A27, Quotations!$C$2:C1756, Quotations!$D$2:D1756, "")</f>
        <v>24.08</v>
      </c>
      <c r="D27" s="9">
        <f t="array" ref="D27">XLOOKUP($A27, Quotations!$E$2:E1756, Quotations!$F$2:F1756, "")
</f>
        <v>111.94</v>
      </c>
      <c r="E27" s="9">
        <f t="array" ref="E27">XLOOKUP($A27, Quotations!$G$2:G1756, Quotations!$H$2:H1756, "")
</f>
        <v>120.2</v>
      </c>
      <c r="F27" s="9">
        <f t="array" ref="F27">XLOOKUP($A27, Quotations!$I$2:I1756, Quotations!$J$2:J1756, "")
</f>
        <v>123.29</v>
      </c>
      <c r="G27" s="9">
        <f t="array" ref="G27">XLOOKUP($A27, Quotations!$K$2:K1756, Quotations!$L$2:L1756, "")
</f>
        <v>1306.6079</v>
      </c>
    </row>
    <row r="28">
      <c r="A28" s="8">
        <v>41676.0</v>
      </c>
      <c r="B28" s="9">
        <f t="array" ref="B28">XLOOKUP($A28, Quotations!$A$2:A1756, Quotations!$B$2:B1756, "")
</f>
        <v>119.7</v>
      </c>
      <c r="C28" s="9">
        <f t="array" ref="C28">XLOOKUP($A28, Quotations!$C$2:C1756, Quotations!$D$2:D1756, "")</f>
        <v>24.07</v>
      </c>
      <c r="D28" s="9">
        <f t="array" ref="D28">XLOOKUP($A28, Quotations!$E$2:E1756, Quotations!$F$2:F1756, "")
</f>
        <v>111.98</v>
      </c>
      <c r="E28" s="9">
        <f t="array" ref="E28">XLOOKUP($A28, Quotations!$G$2:G1756, Quotations!$H$2:H1756, "")
</f>
        <v>120.19</v>
      </c>
      <c r="F28" s="9">
        <f t="array" ref="F28">XLOOKUP($A28, Quotations!$I$2:I1756, Quotations!$J$2:J1756, "")
</f>
        <v>123.43</v>
      </c>
      <c r="G28" s="9">
        <f t="array" ref="G28">XLOOKUP($A28, Quotations!$K$2:K1756, Quotations!$L$2:L1756, "")
</f>
        <v>1308.2034</v>
      </c>
    </row>
    <row r="29">
      <c r="A29" s="8">
        <v>41677.0</v>
      </c>
      <c r="B29" s="9">
        <f t="array" ref="B29">XLOOKUP($A29, Quotations!$A$2:A1756, Quotations!$B$2:B1756, "")
</f>
        <v>120</v>
      </c>
      <c r="C29" s="9">
        <f t="array" ref="C29">XLOOKUP($A29, Quotations!$C$2:C1756, Quotations!$D$2:D1756, "")</f>
        <v>24.07</v>
      </c>
      <c r="D29" s="9">
        <f t="array" ref="D29">XLOOKUP($A29, Quotations!$E$2:E1756, Quotations!$F$2:F1756, "")
</f>
        <v>111.97</v>
      </c>
      <c r="E29" s="9">
        <f t="array" ref="E29">XLOOKUP($A29, Quotations!$G$2:G1756, Quotations!$H$2:H1756, "")
</f>
        <v>120.22</v>
      </c>
      <c r="F29" s="9">
        <f t="array" ref="F29">XLOOKUP($A29, Quotations!$I$2:I1756, Quotations!$J$2:J1756, "")
</f>
        <v>123.95</v>
      </c>
      <c r="G29" s="9">
        <f t="array" ref="G29">XLOOKUP($A29, Quotations!$K$2:K1756, Quotations!$L$2:L1756, "")
</f>
        <v>1317.5326</v>
      </c>
    </row>
    <row r="30">
      <c r="A30" s="8">
        <v>41680.0</v>
      </c>
      <c r="B30" s="9">
        <f t="array" ref="B30">XLOOKUP($A30, Quotations!$A$2:A1756, Quotations!$B$2:B1756, "")
</f>
        <v>119.97</v>
      </c>
      <c r="C30" s="9">
        <f t="array" ref="C30">XLOOKUP($A30, Quotations!$C$2:C1756, Quotations!$D$2:D1756, "")</f>
        <v>24.07</v>
      </c>
      <c r="D30" s="9">
        <f t="array" ref="D30">XLOOKUP($A30, Quotations!$E$2:E1756, Quotations!$F$2:F1756, "")
</f>
        <v>112</v>
      </c>
      <c r="E30" s="9">
        <f t="array" ref="E30">XLOOKUP($A30, Quotations!$G$2:G1756, Quotations!$H$2:H1756, "")
</f>
        <v>120.18</v>
      </c>
      <c r="F30" s="9">
        <f t="array" ref="F30">XLOOKUP($A30, Quotations!$I$2:I1756, Quotations!$J$2:J1756, "")
</f>
        <v>124.24</v>
      </c>
      <c r="G30" s="9">
        <f t="array" ref="G30">XLOOKUP($A30, Quotations!$K$2:K1756, Quotations!$L$2:L1756, "")
</f>
        <v>1324.1587</v>
      </c>
    </row>
    <row r="31">
      <c r="A31" s="8">
        <v>41681.0</v>
      </c>
      <c r="B31" s="9">
        <f t="array" ref="B31">XLOOKUP($A31, Quotations!$A$2:A1756, Quotations!$B$2:B1756, "")
</f>
        <v>120.42</v>
      </c>
      <c r="C31" s="9">
        <f t="array" ref="C31">XLOOKUP($A31, Quotations!$C$2:C1756, Quotations!$D$2:D1756, "")</f>
        <v>24.08</v>
      </c>
      <c r="D31" s="9">
        <f t="array" ref="D31">XLOOKUP($A31, Quotations!$E$2:E1756, Quotations!$F$2:F1756, "")
</f>
        <v>112.05</v>
      </c>
      <c r="E31" s="9">
        <f t="array" ref="E31">XLOOKUP($A31, Quotations!$G$2:G1756, Quotations!$H$2:H1756, "")
</f>
        <v>120.17</v>
      </c>
      <c r="F31" s="9">
        <f t="array" ref="F31">XLOOKUP($A31, Quotations!$I$2:I1756, Quotations!$J$2:J1756, "")
</f>
        <v>124.35</v>
      </c>
      <c r="G31" s="9">
        <f t="array" ref="G31">XLOOKUP($A31, Quotations!$K$2:K1756, Quotations!$L$2:L1756, "")
</f>
        <v>1325.7616</v>
      </c>
    </row>
    <row r="32">
      <c r="A32" s="8">
        <v>41682.0</v>
      </c>
      <c r="B32" s="9">
        <f t="array" ref="B32">XLOOKUP($A32, Quotations!$A$2:A1756, Quotations!$B$2:B1756, "")
</f>
        <v>120.69</v>
      </c>
      <c r="C32" s="9">
        <f t="array" ref="C32">XLOOKUP($A32, Quotations!$C$2:C1756, Quotations!$D$2:D1756, "")</f>
        <v>24.11</v>
      </c>
      <c r="D32" s="9">
        <f t="array" ref="D32">XLOOKUP($A32, Quotations!$E$2:E1756, Quotations!$F$2:F1756, "")
</f>
        <v>112.07</v>
      </c>
      <c r="E32" s="9">
        <f t="array" ref="E32">XLOOKUP($A32, Quotations!$G$2:G1756, Quotations!$H$2:H1756, "")
</f>
        <v>120.23</v>
      </c>
      <c r="F32" s="9">
        <f t="array" ref="F32">XLOOKUP($A32, Quotations!$I$2:I1756, Quotations!$J$2:J1756, "")
</f>
        <v>124.81</v>
      </c>
      <c r="G32" s="9">
        <f t="array" ref="G32">XLOOKUP($A32, Quotations!$K$2:K1756, Quotations!$L$2:L1756, "")
</f>
        <v>1332.4847</v>
      </c>
    </row>
    <row r="33">
      <c r="A33" s="8">
        <v>41683.0</v>
      </c>
      <c r="B33" s="9">
        <f t="array" ref="B33">XLOOKUP($A33, Quotations!$A$2:A1756, Quotations!$B$2:B1756, "")
</f>
        <v>120.69</v>
      </c>
      <c r="C33" s="9">
        <f t="array" ref="C33">XLOOKUP($A33, Quotations!$C$2:C1756, Quotations!$D$2:D1756, "")</f>
        <v>24.08</v>
      </c>
      <c r="D33" s="9">
        <f t="array" ref="D33">XLOOKUP($A33, Quotations!$E$2:E1756, Quotations!$F$2:F1756, "")
</f>
        <v>112.05</v>
      </c>
      <c r="E33" s="9">
        <f t="array" ref="E33">XLOOKUP($A33, Quotations!$G$2:G1756, Quotations!$H$2:H1756, "")
</f>
        <v>120.54</v>
      </c>
      <c r="F33" s="9">
        <f t="array" ref="F33">XLOOKUP($A33, Quotations!$I$2:I1756, Quotations!$J$2:J1756, "")
</f>
        <v>124.94</v>
      </c>
      <c r="G33" s="9">
        <f t="array" ref="G33">XLOOKUP($A33, Quotations!$K$2:K1756, Quotations!$L$2:L1756, "")
</f>
        <v>1334.195</v>
      </c>
    </row>
    <row r="34">
      <c r="A34" s="8">
        <v>41684.0</v>
      </c>
      <c r="B34" s="9">
        <f t="array" ref="B34">XLOOKUP($A34, Quotations!$A$2:A1756, Quotations!$B$2:B1756, "")
</f>
        <v>120.99</v>
      </c>
      <c r="C34" s="9">
        <f t="array" ref="C34">XLOOKUP($A34, Quotations!$C$2:C1756, Quotations!$D$2:D1756, "")</f>
        <v>24.09</v>
      </c>
      <c r="D34" s="9">
        <f t="array" ref="D34">XLOOKUP($A34, Quotations!$E$2:E1756, Quotations!$F$2:F1756, "")
</f>
        <v>112.1</v>
      </c>
      <c r="E34" s="9">
        <f t="array" ref="E34">XLOOKUP($A34, Quotations!$G$2:G1756, Quotations!$H$2:H1756, "")
</f>
        <v>120.73</v>
      </c>
      <c r="F34" s="9">
        <f t="array" ref="F34">XLOOKUP($A34, Quotations!$I$2:I1756, Quotations!$J$2:J1756, "")
</f>
        <v>125.03</v>
      </c>
      <c r="G34" s="9">
        <f t="array" ref="G34">XLOOKUP($A34, Quotations!$K$2:K1756, Quotations!$L$2:L1756, "")
</f>
        <v>1337.2798</v>
      </c>
    </row>
    <row r="35">
      <c r="A35" s="8">
        <v>41687.0</v>
      </c>
      <c r="B35" s="9">
        <f t="array" ref="B35">XLOOKUP($A35, Quotations!$A$2:A1756, Quotations!$B$2:B1756, "")
</f>
        <v>121.29</v>
      </c>
      <c r="C35" s="9">
        <f t="array" ref="C35">XLOOKUP($A35, Quotations!$C$2:C1756, Quotations!$D$2:D1756, "")</f>
        <v>24.08</v>
      </c>
      <c r="D35" s="9">
        <f t="array" ref="D35">XLOOKUP($A35, Quotations!$E$2:E1756, Quotations!$F$2:F1756, "")
</f>
        <v>112.13</v>
      </c>
      <c r="E35" s="9">
        <f t="array" ref="E35">XLOOKUP($A35, Quotations!$G$2:G1756, Quotations!$H$2:H1756, "")
</f>
        <v>121</v>
      </c>
      <c r="F35" s="9">
        <f t="array" ref="F35">XLOOKUP($A35, Quotations!$I$2:I1756, Quotations!$J$2:J1756, "")
</f>
        <v>125.23</v>
      </c>
      <c r="G35" s="9">
        <f t="array" ref="G35">XLOOKUP($A35, Quotations!$K$2:K1756, Quotations!$L$2:L1756, "")
</f>
        <v>1341.0316</v>
      </c>
    </row>
    <row r="36">
      <c r="A36" s="8">
        <v>41688.0</v>
      </c>
      <c r="B36" s="9">
        <f t="array" ref="B36">XLOOKUP($A36, Quotations!$A$2:A1756, Quotations!$B$2:B1756, "")
</f>
        <v>121.34</v>
      </c>
      <c r="C36" s="9">
        <f t="array" ref="C36">XLOOKUP($A36, Quotations!$C$2:C1756, Quotations!$D$2:D1756, "")</f>
        <v>24.07</v>
      </c>
      <c r="D36" s="9">
        <f t="array" ref="D36">XLOOKUP($A36, Quotations!$E$2:E1756, Quotations!$F$2:F1756, "")
</f>
        <v>112.11</v>
      </c>
      <c r="E36" s="9">
        <f t="array" ref="E36">XLOOKUP($A36, Quotations!$G$2:G1756, Quotations!$H$2:H1756, "")
</f>
        <v>121.06</v>
      </c>
      <c r="F36" s="9">
        <f t="array" ref="F36">XLOOKUP($A36, Quotations!$I$2:I1756, Quotations!$J$2:J1756, "")
</f>
        <v>125.38</v>
      </c>
      <c r="G36" s="9">
        <f t="array" ref="G36">XLOOKUP($A36, Quotations!$K$2:K1756, Quotations!$L$2:L1756, "")
</f>
        <v>1343.233</v>
      </c>
    </row>
    <row r="37">
      <c r="A37" s="8">
        <v>41689.0</v>
      </c>
      <c r="B37" s="9">
        <f t="array" ref="B37">XLOOKUP($A37, Quotations!$A$2:A1756, Quotations!$B$2:B1756, "")
</f>
        <v>121.47</v>
      </c>
      <c r="C37" s="9">
        <f t="array" ref="C37">XLOOKUP($A37, Quotations!$C$2:C1756, Quotations!$D$2:D1756, "")</f>
        <v>24.07</v>
      </c>
      <c r="D37" s="9">
        <f t="array" ref="D37">XLOOKUP($A37, Quotations!$E$2:E1756, Quotations!$F$2:F1756, "")
</f>
        <v>112.12</v>
      </c>
      <c r="E37" s="9">
        <f t="array" ref="E37">XLOOKUP($A37, Quotations!$G$2:G1756, Quotations!$H$2:H1756, "")
</f>
        <v>121.12</v>
      </c>
      <c r="F37" s="9">
        <f t="array" ref="F37">XLOOKUP($A37, Quotations!$I$2:I1756, Quotations!$J$2:J1756, "")
</f>
        <v>125.43</v>
      </c>
      <c r="G37" s="9">
        <f t="array" ref="G37">XLOOKUP($A37, Quotations!$K$2:K1756, Quotations!$L$2:L1756, "")
</f>
        <v>1346.6799</v>
      </c>
    </row>
    <row r="38">
      <c r="A38" s="8">
        <v>41690.0</v>
      </c>
      <c r="B38" s="9">
        <f t="array" ref="B38">XLOOKUP($A38, Quotations!$A$2:A1756, Quotations!$B$2:B1756, "")
</f>
        <v>121.49</v>
      </c>
      <c r="C38" s="9">
        <f t="array" ref="C38">XLOOKUP($A38, Quotations!$C$2:C1756, Quotations!$D$2:D1756, "")</f>
        <v>24.06</v>
      </c>
      <c r="D38" s="9">
        <f t="array" ref="D38">XLOOKUP($A38, Quotations!$E$2:E1756, Quotations!$F$2:F1756, "")
</f>
        <v>112.14</v>
      </c>
      <c r="E38" s="9">
        <f t="array" ref="E38">XLOOKUP($A38, Quotations!$G$2:G1756, Quotations!$H$2:H1756, "")
</f>
        <v>121.02</v>
      </c>
      <c r="F38" s="9">
        <f t="array" ref="F38">XLOOKUP($A38, Quotations!$I$2:I1756, Quotations!$J$2:J1756, "")
</f>
        <v>125.44</v>
      </c>
      <c r="G38" s="9">
        <f t="array" ref="G38">XLOOKUP($A38, Quotations!$K$2:K1756, Quotations!$L$2:L1756, "")
</f>
        <v>1344.3285</v>
      </c>
    </row>
    <row r="39">
      <c r="A39" s="8">
        <v>41691.0</v>
      </c>
      <c r="B39" s="9">
        <f t="array" ref="B39">XLOOKUP($A39, Quotations!$A$2:A1756, Quotations!$B$2:B1756, "")
</f>
        <v>121.78</v>
      </c>
      <c r="C39" s="9">
        <f t="array" ref="C39">XLOOKUP($A39, Quotations!$C$2:C1756, Quotations!$D$2:D1756, "")</f>
        <v>24.05</v>
      </c>
      <c r="D39" s="9">
        <f t="array" ref="D39">XLOOKUP($A39, Quotations!$E$2:E1756, Quotations!$F$2:F1756, "")
</f>
        <v>112.13</v>
      </c>
      <c r="E39" s="9">
        <f t="array" ref="E39">XLOOKUP($A39, Quotations!$G$2:G1756, Quotations!$H$2:H1756, "")
</f>
        <v>120.76</v>
      </c>
      <c r="F39" s="9">
        <f t="array" ref="F39">XLOOKUP($A39, Quotations!$I$2:I1756, Quotations!$J$2:J1756, "")
</f>
        <v>125.43</v>
      </c>
      <c r="G39" s="9">
        <f t="array" ref="G39">XLOOKUP($A39, Quotations!$K$2:K1756, Quotations!$L$2:L1756, "")
</f>
        <v>1347.5759</v>
      </c>
    </row>
    <row r="40">
      <c r="A40" s="8">
        <v>41694.0</v>
      </c>
      <c r="B40" s="9">
        <f t="array" ref="B40">XLOOKUP($A40, Quotations!$A$2:A1756, Quotations!$B$2:B1756, "")
</f>
        <v>122.09</v>
      </c>
      <c r="C40" s="9">
        <f t="array" ref="C40">XLOOKUP($A40, Quotations!$C$2:C1756, Quotations!$D$2:D1756, "")</f>
        <v>24.07</v>
      </c>
      <c r="D40" s="9">
        <f t="array" ref="D40">XLOOKUP($A40, Quotations!$E$2:E1756, Quotations!$F$2:F1756, "")
</f>
        <v>112.18</v>
      </c>
      <c r="E40" s="9">
        <f t="array" ref="E40">XLOOKUP($A40, Quotations!$G$2:G1756, Quotations!$H$2:H1756, "")
</f>
        <v>121.01</v>
      </c>
      <c r="F40" s="9">
        <f t="array" ref="F40">XLOOKUP($A40, Quotations!$I$2:I1756, Quotations!$J$2:J1756, "")
</f>
        <v>125.57</v>
      </c>
      <c r="G40" s="9">
        <f t="array" ref="G40">XLOOKUP($A40, Quotations!$K$2:K1756, Quotations!$L$2:L1756, "")
</f>
        <v>1349.1462</v>
      </c>
    </row>
    <row r="41">
      <c r="A41" s="8">
        <v>41695.0</v>
      </c>
      <c r="B41" s="9">
        <f t="array" ref="B41">XLOOKUP($A41, Quotations!$A$2:A1756, Quotations!$B$2:B1756, "")
</f>
        <v>122.3</v>
      </c>
      <c r="C41" s="9">
        <f t="array" ref="C41">XLOOKUP($A41, Quotations!$C$2:C1756, Quotations!$D$2:D1756, "")</f>
        <v>24.07</v>
      </c>
      <c r="D41" s="9">
        <f t="array" ref="D41">XLOOKUP($A41, Quotations!$E$2:E1756, Quotations!$F$2:F1756, "")
</f>
        <v>112.2</v>
      </c>
      <c r="E41" s="9">
        <f t="array" ref="E41">XLOOKUP($A41, Quotations!$G$2:G1756, Quotations!$H$2:H1756, "")
</f>
        <v>121.16</v>
      </c>
      <c r="F41" s="9">
        <f t="array" ref="F41">XLOOKUP($A41, Quotations!$I$2:I1756, Quotations!$J$2:J1756, "")
</f>
        <v>125.92</v>
      </c>
      <c r="G41" s="9">
        <f t="array" ref="G41">XLOOKUP($A41, Quotations!$K$2:K1756, Quotations!$L$2:L1756, "")
</f>
        <v>1352.7133</v>
      </c>
    </row>
    <row r="42">
      <c r="A42" s="8">
        <v>41696.0</v>
      </c>
      <c r="B42" s="9">
        <f t="array" ref="B42">XLOOKUP($A42, Quotations!$A$2:A1756, Quotations!$B$2:B1756, "")
</f>
        <v>122.36</v>
      </c>
      <c r="C42" s="9">
        <f t="array" ref="C42">XLOOKUP($A42, Quotations!$C$2:C1756, Quotations!$D$2:D1756, "")</f>
        <v>24.08</v>
      </c>
      <c r="D42" s="9">
        <f t="array" ref="D42">XLOOKUP($A42, Quotations!$E$2:E1756, Quotations!$F$2:F1756, "")
</f>
        <v>112.19</v>
      </c>
      <c r="E42" s="9">
        <f t="array" ref="E42">XLOOKUP($A42, Quotations!$G$2:G1756, Quotations!$H$2:H1756, "")
</f>
        <v>121.26</v>
      </c>
      <c r="F42" s="9">
        <f t="array" ref="F42">XLOOKUP($A42, Quotations!$I$2:I1756, Quotations!$J$2:J1756, "")
</f>
        <v>125.92</v>
      </c>
      <c r="G42" s="9">
        <f t="array" ref="G42">XLOOKUP($A42, Quotations!$K$2:K1756, Quotations!$L$2:L1756, "")
</f>
        <v>1353.2382</v>
      </c>
    </row>
    <row r="43">
      <c r="A43" s="8">
        <v>41697.0</v>
      </c>
      <c r="B43" s="9">
        <f t="array" ref="B43">XLOOKUP($A43, Quotations!$A$2:A1756, Quotations!$B$2:B1756, "")
</f>
        <v>122.41</v>
      </c>
      <c r="C43" s="9">
        <f t="array" ref="C43">XLOOKUP($A43, Quotations!$C$2:C1756, Quotations!$D$2:D1756, "")</f>
        <v>24.08</v>
      </c>
      <c r="D43" s="9">
        <f t="array" ref="D43">XLOOKUP($A43, Quotations!$E$2:E1756, Quotations!$F$2:F1756, "")
</f>
        <v>112.2</v>
      </c>
      <c r="E43" s="9">
        <f t="array" ref="E43">XLOOKUP($A43, Quotations!$G$2:G1756, Quotations!$H$2:H1756, "")
</f>
        <v>121.06</v>
      </c>
      <c r="F43" s="9">
        <f t="array" ref="F43">XLOOKUP($A43, Quotations!$I$2:I1756, Quotations!$J$2:J1756, "")
</f>
        <v>125.9</v>
      </c>
      <c r="G43" s="9">
        <f t="array" ref="G43">XLOOKUP($A43, Quotations!$K$2:K1756, Quotations!$L$2:L1756, "")
</f>
        <v>1355.9033</v>
      </c>
    </row>
    <row r="44">
      <c r="A44" s="8">
        <v>41698.0</v>
      </c>
      <c r="B44" s="9">
        <f t="array" ref="B44">XLOOKUP($A44, Quotations!$A$2:A1756, Quotations!$B$2:B1756, "")
</f>
        <v>122.59</v>
      </c>
      <c r="C44" s="9">
        <f t="array" ref="C44">XLOOKUP($A44, Quotations!$C$2:C1756, Quotations!$D$2:D1756, "")</f>
        <v>24.06</v>
      </c>
      <c r="D44" s="9">
        <f t="array" ref="D44">XLOOKUP($A44, Quotations!$E$2:E1756, Quotations!$F$2:F1756, "")
</f>
        <v>112.25</v>
      </c>
      <c r="E44" s="9">
        <f t="array" ref="E44">XLOOKUP($A44, Quotations!$G$2:G1756, Quotations!$H$2:H1756, "")
</f>
        <v>120.86</v>
      </c>
      <c r="F44" s="9">
        <f t="array" ref="F44">XLOOKUP($A44, Quotations!$I$2:I1756, Quotations!$J$2:J1756, "")
</f>
        <v>126.02</v>
      </c>
      <c r="G44" s="9">
        <f t="array" ref="G44">XLOOKUP($A44, Quotations!$K$2:K1756, Quotations!$L$2:L1756, "")
</f>
        <v>1364.759</v>
      </c>
    </row>
    <row r="45">
      <c r="A45" s="8">
        <v>41701.0</v>
      </c>
      <c r="B45" s="9">
        <f t="array" ref="B45">XLOOKUP($A45, Quotations!$A$2:A1756, Quotations!$B$2:B1756, "")
</f>
        <v>121.68</v>
      </c>
      <c r="C45" s="9">
        <f t="array" ref="C45">XLOOKUP($A45, Quotations!$C$2:C1756, Quotations!$D$2:D1756, "")</f>
        <v>24.06</v>
      </c>
      <c r="D45" s="9">
        <f t="array" ref="D45">XLOOKUP($A45, Quotations!$E$2:E1756, Quotations!$F$2:F1756, "")
</f>
        <v>112.12</v>
      </c>
      <c r="E45" s="9">
        <f t="array" ref="E45">XLOOKUP($A45, Quotations!$G$2:G1756, Quotations!$H$2:H1756, "")
</f>
        <v>120.99</v>
      </c>
      <c r="F45" s="9">
        <f t="array" ref="F45">XLOOKUP($A45, Quotations!$I$2:I1756, Quotations!$J$2:J1756, "")
</f>
        <v>125.9</v>
      </c>
      <c r="G45" s="9">
        <f t="array" ref="G45">XLOOKUP($A45, Quotations!$K$2:K1756, Quotations!$L$2:L1756, "")
</f>
        <v>1357.1137</v>
      </c>
    </row>
    <row r="46">
      <c r="A46" s="8">
        <v>41702.0</v>
      </c>
      <c r="B46" s="9">
        <f t="array" ref="B46">XLOOKUP($A46, Quotations!$A$2:A1756, Quotations!$B$2:B1756, "")
</f>
        <v>122.5</v>
      </c>
      <c r="C46" s="9">
        <f t="array" ref="C46">XLOOKUP($A46, Quotations!$C$2:C1756, Quotations!$D$2:D1756, "")</f>
        <v>24.07</v>
      </c>
      <c r="D46" s="9">
        <f t="array" ref="D46">XLOOKUP($A46, Quotations!$E$2:E1756, Quotations!$F$2:F1756, "")
</f>
        <v>112.22</v>
      </c>
      <c r="E46" s="9">
        <f t="array" ref="E46">XLOOKUP($A46, Quotations!$G$2:G1756, Quotations!$H$2:H1756, "")
</f>
        <v>119.65</v>
      </c>
      <c r="F46" s="9">
        <f t="array" ref="F46">XLOOKUP($A46, Quotations!$I$2:I1756, Quotations!$J$2:J1756, "")
</f>
        <v>125.47</v>
      </c>
      <c r="G46" s="9">
        <f t="array" ref="G46">XLOOKUP($A46, Quotations!$K$2:K1756, Quotations!$L$2:L1756, "")
</f>
        <v>1349.2191</v>
      </c>
    </row>
    <row r="47">
      <c r="A47" s="8">
        <v>41703.0</v>
      </c>
      <c r="B47" s="9">
        <f t="array" ref="B47">XLOOKUP($A47, Quotations!$A$2:A1756, Quotations!$B$2:B1756, "")
</f>
        <v>122.57</v>
      </c>
      <c r="C47" s="9">
        <f t="array" ref="C47">XLOOKUP($A47, Quotations!$C$2:C1756, Quotations!$D$2:D1756, "")</f>
        <v>24.08</v>
      </c>
      <c r="D47" s="9">
        <f t="array" ref="D47">XLOOKUP($A47, Quotations!$E$2:E1756, Quotations!$F$2:F1756, "")
</f>
        <v>112.22</v>
      </c>
      <c r="E47" s="9">
        <f t="array" ref="E47">XLOOKUP($A47, Quotations!$G$2:G1756, Quotations!$H$2:H1756, "")
</f>
        <v>120.66</v>
      </c>
      <c r="F47" s="9">
        <f t="array" ref="F47">XLOOKUP($A47, Quotations!$I$2:I1756, Quotations!$J$2:J1756, "")
</f>
        <v>126.07</v>
      </c>
      <c r="G47" s="9">
        <f t="array" ref="G47">XLOOKUP($A47, Quotations!$K$2:K1756, Quotations!$L$2:L1756, "")
</f>
        <v>1359.6813</v>
      </c>
    </row>
    <row r="48">
      <c r="A48" s="8">
        <v>41704.0</v>
      </c>
      <c r="B48" s="9">
        <f t="array" ref="B48">XLOOKUP($A48, Quotations!$A$2:A1756, Quotations!$B$2:B1756, "")
</f>
        <v>122.74</v>
      </c>
      <c r="C48" s="9">
        <f t="array" ref="C48">XLOOKUP($A48, Quotations!$C$2:C1756, Quotations!$D$2:D1756, "")</f>
        <v>24.07</v>
      </c>
      <c r="D48" s="9">
        <f t="array" ref="D48">XLOOKUP($A48, Quotations!$E$2:E1756, Quotations!$F$2:F1756, "")
</f>
        <v>112.21</v>
      </c>
      <c r="E48" s="9">
        <f t="array" ref="E48">XLOOKUP($A48, Quotations!$G$2:G1756, Quotations!$H$2:H1756, "")
</f>
        <v>120.38</v>
      </c>
      <c r="F48" s="9">
        <f t="array" ref="F48">XLOOKUP($A48, Quotations!$I$2:I1756, Quotations!$J$2:J1756, "")
</f>
        <v>125.98</v>
      </c>
      <c r="G48" s="9">
        <f t="array" ref="G48">XLOOKUP($A48, Quotations!$K$2:K1756, Quotations!$L$2:L1756, "")
</f>
        <v>1361.6333</v>
      </c>
    </row>
    <row r="49">
      <c r="A49" s="8">
        <v>41705.0</v>
      </c>
      <c r="B49" s="9">
        <f t="array" ref="B49">XLOOKUP($A49, Quotations!$A$2:A1756, Quotations!$B$2:B1756, "")
</f>
        <v>122.54</v>
      </c>
      <c r="C49" s="9">
        <f t="array" ref="C49">XLOOKUP($A49, Quotations!$C$2:C1756, Quotations!$D$2:D1756, "")</f>
        <v>24.06</v>
      </c>
      <c r="D49" s="9">
        <f t="array" ref="D49">XLOOKUP($A49, Quotations!$E$2:E1756, Quotations!$F$2:F1756, "")
</f>
        <v>112.19</v>
      </c>
      <c r="E49" s="9">
        <f t="array" ref="E49">XLOOKUP($A49, Quotations!$G$2:G1756, Quotations!$H$2:H1756, "")
</f>
        <v>120.3</v>
      </c>
      <c r="F49" s="9">
        <f t="array" ref="F49">XLOOKUP($A49, Quotations!$I$2:I1756, Quotations!$J$2:J1756, "")
</f>
        <v>126.03</v>
      </c>
      <c r="G49" s="9">
        <f t="array" ref="G49">XLOOKUP($A49, Quotations!$K$2:K1756, Quotations!$L$2:L1756, "")
</f>
        <v>1364.042</v>
      </c>
    </row>
    <row r="50">
      <c r="A50" s="8">
        <v>41708.0</v>
      </c>
      <c r="B50" s="9">
        <f t="array" ref="B50">XLOOKUP($A50, Quotations!$A$2:A1756, Quotations!$B$2:B1756, "")
</f>
        <v>122.43</v>
      </c>
      <c r="C50" s="9">
        <f t="array" ref="C50">XLOOKUP($A50, Quotations!$C$2:C1756, Quotations!$D$2:D1756, "")</f>
        <v>24.05</v>
      </c>
      <c r="D50" s="9">
        <f t="array" ref="D50">XLOOKUP($A50, Quotations!$E$2:E1756, Quotations!$F$2:F1756, "")
</f>
        <v>112.15</v>
      </c>
      <c r="E50" s="9">
        <f t="array" ref="E50">XLOOKUP($A50, Quotations!$G$2:G1756, Quotations!$H$2:H1756, "")
</f>
        <v>119.33</v>
      </c>
      <c r="F50" s="9">
        <f t="array" ref="F50">XLOOKUP($A50, Quotations!$I$2:I1756, Quotations!$J$2:J1756, "")
</f>
        <v>125.64</v>
      </c>
      <c r="G50" s="9">
        <f t="array" ref="G50">XLOOKUP($A50, Quotations!$K$2:K1756, Quotations!$L$2:L1756, "")
</f>
        <v>1360.7041</v>
      </c>
    </row>
    <row r="51">
      <c r="A51" s="8">
        <v>41709.0</v>
      </c>
      <c r="B51" s="9">
        <f t="array" ref="B51">XLOOKUP($A51, Quotations!$A$2:A1756, Quotations!$B$2:B1756, "")
</f>
        <v>122.45</v>
      </c>
      <c r="C51" s="9">
        <f t="array" ref="C51">XLOOKUP($A51, Quotations!$C$2:C1756, Quotations!$D$2:D1756, "")</f>
        <v>24.06</v>
      </c>
      <c r="D51" s="9">
        <f t="array" ref="D51">XLOOKUP($A51, Quotations!$E$2:E1756, Quotations!$F$2:F1756, "")
</f>
        <v>112.15</v>
      </c>
      <c r="E51" s="9">
        <f t="array" ref="E51">XLOOKUP($A51, Quotations!$G$2:G1756, Quotations!$H$2:H1756, "")
</f>
        <v>118.94</v>
      </c>
      <c r="F51" s="9">
        <f t="array" ref="F51">XLOOKUP($A51, Quotations!$I$2:I1756, Quotations!$J$2:J1756, "")
</f>
        <v>125.48</v>
      </c>
      <c r="G51" s="9">
        <f t="array" ref="G51">XLOOKUP($A51, Quotations!$K$2:K1756, Quotations!$L$2:L1756, "")
</f>
        <v>1356.5109</v>
      </c>
    </row>
    <row r="52">
      <c r="A52" s="8">
        <v>41710.0</v>
      </c>
      <c r="B52" s="9">
        <f t="array" ref="B52">XLOOKUP($A52, Quotations!$A$2:A1756, Quotations!$B$2:B1756, "")
</f>
        <v>121.99</v>
      </c>
      <c r="C52" s="9">
        <f t="array" ref="C52">XLOOKUP($A52, Quotations!$C$2:C1756, Quotations!$D$2:D1756, "")</f>
        <v>24.04</v>
      </c>
      <c r="D52" s="9">
        <f t="array" ref="D52">XLOOKUP($A52, Quotations!$E$2:E1756, Quotations!$F$2:F1756, "")
</f>
        <v>112.06</v>
      </c>
      <c r="E52" s="9">
        <f t="array" ref="E52">XLOOKUP($A52, Quotations!$G$2:G1756, Quotations!$H$2:H1756, "")
</f>
        <v>119.04</v>
      </c>
      <c r="F52" s="9">
        <f t="array" ref="F52">XLOOKUP($A52, Quotations!$I$2:I1756, Quotations!$J$2:J1756, "")
</f>
        <v>125.49</v>
      </c>
      <c r="G52" s="9">
        <f t="array" ref="G52">XLOOKUP($A52, Quotations!$K$2:K1756, Quotations!$L$2:L1756, "")
</f>
        <v>1354.0624</v>
      </c>
    </row>
    <row r="53">
      <c r="A53" s="8">
        <v>41711.0</v>
      </c>
      <c r="B53" s="9">
        <f t="array" ref="B53">XLOOKUP($A53, Quotations!$A$2:A1756, Quotations!$B$2:B1756, "")
</f>
        <v>121.64</v>
      </c>
      <c r="C53" s="9">
        <f t="array" ref="C53">XLOOKUP($A53, Quotations!$C$2:C1756, Quotations!$D$2:D1756, "")</f>
        <v>24.05</v>
      </c>
      <c r="D53" s="9">
        <f t="array" ref="D53">XLOOKUP($A53, Quotations!$E$2:E1756, Quotations!$F$2:F1756, "")
</f>
        <v>111.96</v>
      </c>
      <c r="E53" s="9">
        <f t="array" ref="E53">XLOOKUP($A53, Quotations!$G$2:G1756, Quotations!$H$2:H1756, "")
</f>
        <v>118.68</v>
      </c>
      <c r="F53" s="9">
        <f t="array" ref="F53">XLOOKUP($A53, Quotations!$I$2:I1756, Quotations!$J$2:J1756, "")
</f>
        <v>125.31</v>
      </c>
      <c r="G53" s="9">
        <f t="array" ref="G53">XLOOKUP($A53, Quotations!$K$2:K1756, Quotations!$L$2:L1756, "")
</f>
        <v>1351.4203</v>
      </c>
    </row>
    <row r="54">
      <c r="A54" s="8">
        <v>41712.0</v>
      </c>
      <c r="B54" s="9">
        <f t="array" ref="B54">XLOOKUP($A54, Quotations!$A$2:A1756, Quotations!$B$2:B1756, "")
</f>
        <v>121.28</v>
      </c>
      <c r="C54" s="9">
        <f t="array" ref="C54">XLOOKUP($A54, Quotations!$C$2:C1756, Quotations!$D$2:D1756, "")</f>
        <v>24.04</v>
      </c>
      <c r="D54" s="9">
        <f t="array" ref="D54">XLOOKUP($A54, Quotations!$E$2:E1756, Quotations!$F$2:F1756, "")
</f>
        <v>111.93</v>
      </c>
      <c r="E54" s="9">
        <f t="array" ref="E54">XLOOKUP($A54, Quotations!$G$2:G1756, Quotations!$H$2:H1756, "")
</f>
        <v>118.46</v>
      </c>
      <c r="F54" s="9">
        <f t="array" ref="F54">XLOOKUP($A54, Quotations!$I$2:I1756, Quotations!$J$2:J1756, "")
</f>
        <v>125.1</v>
      </c>
      <c r="G54" s="9">
        <f t="array" ref="G54">XLOOKUP($A54, Quotations!$K$2:K1756, Quotations!$L$2:L1756, "")
</f>
        <v>1342.7042</v>
      </c>
    </row>
    <row r="55">
      <c r="A55" s="8">
        <v>41715.0</v>
      </c>
      <c r="B55" s="9">
        <f t="array" ref="B55">XLOOKUP($A55, Quotations!$A$2:A1756, Quotations!$B$2:B1756, "")
</f>
        <v>121.85</v>
      </c>
      <c r="C55" s="9">
        <f t="array" ref="C55">XLOOKUP($A55, Quotations!$C$2:C1756, Quotations!$D$2:D1756, "")</f>
        <v>24.05</v>
      </c>
      <c r="D55" s="9">
        <f t="array" ref="D55">XLOOKUP($A55, Quotations!$E$2:E1756, Quotations!$F$2:F1756, "")
</f>
        <v>111.97</v>
      </c>
      <c r="E55" s="9">
        <f t="array" ref="E55">XLOOKUP($A55, Quotations!$G$2:G1756, Quotations!$H$2:H1756, "")
</f>
        <v>118.89</v>
      </c>
      <c r="F55" s="9">
        <f t="array" ref="F55">XLOOKUP($A55, Quotations!$I$2:I1756, Quotations!$J$2:J1756, "")
</f>
        <v>124.72</v>
      </c>
      <c r="G55" s="9">
        <f t="array" ref="G55">XLOOKUP($A55, Quotations!$K$2:K1756, Quotations!$L$2:L1756, "")
</f>
        <v>1339.6116</v>
      </c>
    </row>
    <row r="56">
      <c r="A56" s="8">
        <v>41716.0</v>
      </c>
      <c r="B56" s="9">
        <f t="array" ref="B56">XLOOKUP($A56, Quotations!$A$2:A1756, Quotations!$B$2:B1756, "")
</f>
        <v>122.26</v>
      </c>
      <c r="C56" s="9">
        <f t="array" ref="C56">XLOOKUP($A56, Quotations!$C$2:C1756, Quotations!$D$2:D1756, "")</f>
        <v>24.06</v>
      </c>
      <c r="D56" s="9">
        <f t="array" ref="D56">XLOOKUP($A56, Quotations!$E$2:E1756, Quotations!$F$2:F1756, "")
</f>
        <v>112.04</v>
      </c>
      <c r="E56" s="9">
        <f t="array" ref="E56">XLOOKUP($A56, Quotations!$G$2:G1756, Quotations!$H$2:H1756, "")
</f>
        <v>118.78</v>
      </c>
      <c r="F56" s="9">
        <f t="array" ref="F56">XLOOKUP($A56, Quotations!$I$2:I1756, Quotations!$J$2:J1756, "")
</f>
        <v>124.76</v>
      </c>
      <c r="G56" s="9">
        <f t="array" ref="G56">XLOOKUP($A56, Quotations!$K$2:K1756, Quotations!$L$2:L1756, "")
</f>
        <v>1346.7214</v>
      </c>
    </row>
    <row r="57">
      <c r="A57" s="8">
        <v>41717.0</v>
      </c>
      <c r="B57" s="9">
        <f t="array" ref="B57">XLOOKUP($A57, Quotations!$A$2:A1756, Quotations!$B$2:B1756, "")
</f>
        <v>122.48</v>
      </c>
      <c r="C57" s="9">
        <f t="array" ref="C57">XLOOKUP($A57, Quotations!$C$2:C1756, Quotations!$D$2:D1756, "")</f>
        <v>24.06</v>
      </c>
      <c r="D57" s="9">
        <f t="array" ref="D57">XLOOKUP($A57, Quotations!$E$2:E1756, Quotations!$F$2:F1756, "")
</f>
        <v>112.11</v>
      </c>
      <c r="E57" s="9">
        <f t="array" ref="E57">XLOOKUP($A57, Quotations!$G$2:G1756, Quotations!$H$2:H1756, "")
</f>
        <v>118.75</v>
      </c>
      <c r="F57" s="9">
        <f t="array" ref="F57">XLOOKUP($A57, Quotations!$I$2:I1756, Quotations!$J$2:J1756, "")
</f>
        <v>124.91</v>
      </c>
      <c r="G57" s="9">
        <f t="array" ref="G57">XLOOKUP($A57, Quotations!$K$2:K1756, Quotations!$L$2:L1756, "")
</f>
        <v>1353.1835</v>
      </c>
    </row>
    <row r="58">
      <c r="A58" s="8">
        <v>41718.0</v>
      </c>
      <c r="B58" s="9">
        <f t="array" ref="B58">XLOOKUP($A58, Quotations!$A$2:A1756, Quotations!$B$2:B1756, "")
</f>
        <v>122.32</v>
      </c>
      <c r="C58" s="9">
        <f t="array" ref="C58">XLOOKUP($A58, Quotations!$C$2:C1756, Quotations!$D$2:D1756, "")</f>
        <v>24.08</v>
      </c>
      <c r="D58" s="9">
        <f t="array" ref="D58">XLOOKUP($A58, Quotations!$E$2:E1756, Quotations!$F$2:F1756, "")
</f>
        <v>112.13</v>
      </c>
      <c r="E58" s="9">
        <f t="array" ref="E58">XLOOKUP($A58, Quotations!$G$2:G1756, Quotations!$H$2:H1756, "")
</f>
        <v>118.63</v>
      </c>
      <c r="F58" s="9">
        <f t="array" ref="F58">XLOOKUP($A58, Quotations!$I$2:I1756, Quotations!$J$2:J1756, "")
</f>
        <v>124.81</v>
      </c>
      <c r="G58" s="9">
        <f t="array" ref="G58">XLOOKUP($A58, Quotations!$K$2:K1756, Quotations!$L$2:L1756, "")
</f>
        <v>1351.1322</v>
      </c>
    </row>
    <row r="59">
      <c r="A59" s="8">
        <v>41719.0</v>
      </c>
      <c r="B59" s="9">
        <f t="array" ref="B59">XLOOKUP($A59, Quotations!$A$2:A1756, Quotations!$B$2:B1756, "")
</f>
        <v>122.41</v>
      </c>
      <c r="C59" s="9">
        <f t="array" ref="C59">XLOOKUP($A59, Quotations!$C$2:C1756, Quotations!$D$2:D1756, "")</f>
        <v>24.08</v>
      </c>
      <c r="D59" s="9">
        <f t="array" ref="D59">XLOOKUP($A59, Quotations!$E$2:E1756, Quotations!$F$2:F1756, "")
</f>
        <v>112.17</v>
      </c>
      <c r="E59" s="9">
        <f t="array" ref="E59">XLOOKUP($A59, Quotations!$G$2:G1756, Quotations!$H$2:H1756, "")
</f>
        <v>118.37</v>
      </c>
      <c r="F59" s="9">
        <f t="array" ref="F59">XLOOKUP($A59, Quotations!$I$2:I1756, Quotations!$J$2:J1756, "")
</f>
        <v>124.71</v>
      </c>
      <c r="G59" s="9">
        <f t="array" ref="G59">XLOOKUP($A59, Quotations!$K$2:K1756, Quotations!$L$2:L1756, "")
</f>
        <v>1351.2667</v>
      </c>
    </row>
    <row r="60">
      <c r="A60" s="8">
        <v>41722.0</v>
      </c>
      <c r="B60" s="9">
        <f t="array" ref="B60">XLOOKUP($A60, Quotations!$A$2:A1756, Quotations!$B$2:B1756, "")
</f>
        <v>121.99</v>
      </c>
      <c r="C60" s="9">
        <f t="array" ref="C60">XLOOKUP($A60, Quotations!$C$2:C1756, Quotations!$D$2:D1756, "")</f>
        <v>24.09</v>
      </c>
      <c r="D60" s="9">
        <f t="array" ref="D60">XLOOKUP($A60, Quotations!$E$2:E1756, Quotations!$F$2:F1756, "")
</f>
        <v>112.21</v>
      </c>
      <c r="E60" s="9">
        <f t="array" ref="E60">XLOOKUP($A60, Quotations!$G$2:G1756, Quotations!$H$2:H1756, "")
</f>
        <v>118.53</v>
      </c>
      <c r="F60" s="9">
        <f t="array" ref="F60">XLOOKUP($A60, Quotations!$I$2:I1756, Quotations!$J$2:J1756, "")
</f>
        <v>124.74</v>
      </c>
      <c r="G60" s="9">
        <f t="array" ref="G60">XLOOKUP($A60, Quotations!$K$2:K1756, Quotations!$L$2:L1756, "")
</f>
        <v>1350.5324</v>
      </c>
    </row>
    <row r="61">
      <c r="A61" s="8">
        <v>41723.0</v>
      </c>
      <c r="B61" s="9">
        <f t="array" ref="B61">XLOOKUP($A61, Quotations!$A$2:A1756, Quotations!$B$2:B1756, "")
</f>
        <v>122.35</v>
      </c>
      <c r="C61" s="9">
        <f t="array" ref="C61">XLOOKUP($A61, Quotations!$C$2:C1756, Quotations!$D$2:D1756, "")</f>
        <v>24.1</v>
      </c>
      <c r="D61" s="9">
        <f t="array" ref="D61">XLOOKUP($A61, Quotations!$E$2:E1756, Quotations!$F$2:F1756, "")
</f>
        <v>112.25</v>
      </c>
      <c r="E61" s="9">
        <f t="array" ref="E61">XLOOKUP($A61, Quotations!$G$2:G1756, Quotations!$H$2:H1756, "")
</f>
        <v>118.28</v>
      </c>
      <c r="F61" s="9">
        <f t="array" ref="F61">XLOOKUP($A61, Quotations!$I$2:I1756, Quotations!$J$2:J1756, "")
</f>
        <v>124.74</v>
      </c>
      <c r="G61" s="9">
        <f t="array" ref="G61">XLOOKUP($A61, Quotations!$K$2:K1756, Quotations!$L$2:L1756, "")
</f>
        <v>1344.8619</v>
      </c>
    </row>
    <row r="62">
      <c r="A62" s="8">
        <v>41724.0</v>
      </c>
      <c r="B62" s="9">
        <f t="array" ref="B62">XLOOKUP($A62, Quotations!$A$2:A1756, Quotations!$B$2:B1756, "")
</f>
        <v>122.84</v>
      </c>
      <c r="C62" s="9">
        <f t="array" ref="C62">XLOOKUP($A62, Quotations!$C$2:C1756, Quotations!$D$2:D1756, "")</f>
        <v>24.11</v>
      </c>
      <c r="D62" s="9">
        <f t="array" ref="D62">XLOOKUP($A62, Quotations!$E$2:E1756, Quotations!$F$2:F1756, "")
</f>
        <v>112.32</v>
      </c>
      <c r="E62" s="9">
        <f t="array" ref="E62">XLOOKUP($A62, Quotations!$G$2:G1756, Quotations!$H$2:H1756, "")
</f>
        <v>118.72</v>
      </c>
      <c r="F62" s="9">
        <f t="array" ref="F62">XLOOKUP($A62, Quotations!$I$2:I1756, Quotations!$J$2:J1756, "")
</f>
        <v>124.85</v>
      </c>
      <c r="G62" s="9">
        <f t="array" ref="G62">XLOOKUP($A62, Quotations!$K$2:K1756, Quotations!$L$2:L1756, "")
</f>
        <v>1348.3263</v>
      </c>
    </row>
    <row r="63">
      <c r="A63" s="8">
        <v>41725.0</v>
      </c>
      <c r="B63" s="9">
        <f t="array" ref="B63">XLOOKUP($A63, Quotations!$A$2:A1756, Quotations!$B$2:B1756, "")
</f>
        <v>122.98</v>
      </c>
      <c r="C63" s="9">
        <f t="array" ref="C63">XLOOKUP($A63, Quotations!$C$2:C1756, Quotations!$D$2:D1756, "")</f>
        <v>24.14</v>
      </c>
      <c r="D63" s="9">
        <f t="array" ref="D63">XLOOKUP($A63, Quotations!$E$2:E1756, Quotations!$F$2:F1756, "")
</f>
        <v>112.34</v>
      </c>
      <c r="E63" s="9">
        <f t="array" ref="E63">XLOOKUP($A63, Quotations!$G$2:G1756, Quotations!$H$2:H1756, "")
</f>
        <v>119.09</v>
      </c>
      <c r="F63" s="9">
        <f t="array" ref="F63">XLOOKUP($A63, Quotations!$I$2:I1756, Quotations!$J$2:J1756, "")
</f>
        <v>124.82</v>
      </c>
      <c r="G63" s="9">
        <f t="array" ref="G63">XLOOKUP($A63, Quotations!$K$2:K1756, Quotations!$L$2:L1756, "")
</f>
        <v>1346.6311</v>
      </c>
    </row>
    <row r="64">
      <c r="A64" s="8">
        <v>41726.0</v>
      </c>
      <c r="B64" s="9">
        <f t="array" ref="B64">XLOOKUP($A64, Quotations!$A$2:A1756, Quotations!$B$2:B1756, "")
</f>
        <v>123.54</v>
      </c>
      <c r="C64" s="9">
        <f t="array" ref="C64">XLOOKUP($A64, Quotations!$C$2:C1756, Quotations!$D$2:D1756, "")</f>
        <v>24.13</v>
      </c>
      <c r="D64" s="9">
        <f t="array" ref="D64">XLOOKUP($A64, Quotations!$E$2:E1756, Quotations!$F$2:F1756, "")
</f>
        <v>112.39</v>
      </c>
      <c r="E64" s="9">
        <f t="array" ref="E64">XLOOKUP($A64, Quotations!$G$2:G1756, Quotations!$H$2:H1756, "")
</f>
        <v>119.25</v>
      </c>
      <c r="F64" s="9">
        <f t="array" ref="F64">XLOOKUP($A64, Quotations!$I$2:I1756, Quotations!$J$2:J1756, "")
</f>
        <v>124.95</v>
      </c>
      <c r="G64" s="9">
        <f t="array" ref="G64">XLOOKUP($A64, Quotations!$K$2:K1756, Quotations!$L$2:L1756, "")
</f>
        <v>1345.476</v>
      </c>
    </row>
    <row r="65">
      <c r="A65" s="8">
        <v>41729.0</v>
      </c>
      <c r="B65" s="9">
        <f t="array" ref="B65">XLOOKUP($A65, Quotations!$A$2:A1756, Quotations!$B$2:B1756, "")
</f>
        <v>123.6</v>
      </c>
      <c r="C65" s="9">
        <f t="array" ref="C65">XLOOKUP($A65, Quotations!$C$2:C1756, Quotations!$D$2:D1756, "")</f>
        <v>24.13</v>
      </c>
      <c r="D65" s="9">
        <f t="array" ref="D65">XLOOKUP($A65, Quotations!$E$2:E1756, Quotations!$F$2:F1756, "")
</f>
        <v>112.44</v>
      </c>
      <c r="E65" s="9">
        <f t="array" ref="E65">XLOOKUP($A65, Quotations!$G$2:G1756, Quotations!$H$2:H1756, "")
</f>
        <v>119.32</v>
      </c>
      <c r="F65" s="9">
        <f t="array" ref="F65">XLOOKUP($A65, Quotations!$I$2:I1756, Quotations!$J$2:J1756, "")
</f>
        <v>125.07</v>
      </c>
      <c r="G65" s="9">
        <f t="array" ref="G65">XLOOKUP($A65, Quotations!$K$2:K1756, Quotations!$L$2:L1756, "")
</f>
        <v>1350.203</v>
      </c>
    </row>
    <row r="66">
      <c r="A66" s="8">
        <v>41730.0</v>
      </c>
      <c r="B66" s="9">
        <f t="array" ref="B66">XLOOKUP($A66, Quotations!$A$2:A1756, Quotations!$B$2:B1756, "")
</f>
        <v>123.97</v>
      </c>
      <c r="C66" s="9">
        <f t="array" ref="C66">XLOOKUP($A66, Quotations!$C$2:C1756, Quotations!$D$2:D1756, "")</f>
        <v>24.13</v>
      </c>
      <c r="D66" s="9">
        <f t="array" ref="D66">XLOOKUP($A66, Quotations!$E$2:E1756, Quotations!$F$2:F1756, "")
</f>
        <v>112.5</v>
      </c>
      <c r="E66" s="9">
        <f t="array" ref="E66">XLOOKUP($A66, Quotations!$G$2:G1756, Quotations!$H$2:H1756, "")
</f>
        <v>119.16</v>
      </c>
      <c r="F66" s="9">
        <f t="array" ref="F66">XLOOKUP($A66, Quotations!$I$2:I1756, Quotations!$J$2:J1756, "")
</f>
        <v>125.17</v>
      </c>
      <c r="G66" s="9">
        <f t="array" ref="G66">XLOOKUP($A66, Quotations!$K$2:K1756, Quotations!$L$2:L1756, "")
</f>
        <v>1355.4878</v>
      </c>
    </row>
    <row r="67">
      <c r="A67" s="8">
        <v>41731.0</v>
      </c>
      <c r="B67" s="9">
        <f t="array" ref="B67">XLOOKUP($A67, Quotations!$A$2:A1756, Quotations!$B$2:B1756, "")
</f>
        <v>124.29</v>
      </c>
      <c r="C67" s="9">
        <f t="array" ref="C67">XLOOKUP($A67, Quotations!$C$2:C1756, Quotations!$D$2:D1756, "")</f>
        <v>24.13</v>
      </c>
      <c r="D67" s="9">
        <f t="array" ref="D67">XLOOKUP($A67, Quotations!$E$2:E1756, Quotations!$F$2:F1756, "")
</f>
        <v>112.57</v>
      </c>
      <c r="E67" s="9">
        <f t="array" ref="E67">XLOOKUP($A67, Quotations!$G$2:G1756, Quotations!$H$2:H1756, "")
</f>
        <v>119.13</v>
      </c>
      <c r="F67" s="9">
        <f t="array" ref="F67">XLOOKUP($A67, Quotations!$I$2:I1756, Quotations!$J$2:J1756, "")
</f>
        <v>125.04</v>
      </c>
      <c r="G67" s="9">
        <f t="array" ref="G67">XLOOKUP($A67, Quotations!$K$2:K1756, Quotations!$L$2:L1756, "")
</f>
        <v>1363.3962</v>
      </c>
    </row>
    <row r="68">
      <c r="A68" s="8">
        <v>41732.0</v>
      </c>
      <c r="B68" s="9">
        <f t="array" ref="B68">XLOOKUP($A68, Quotations!$A$2:A1756, Quotations!$B$2:B1756, "")
</f>
        <v>124.57</v>
      </c>
      <c r="C68" s="9">
        <f t="array" ref="C68">XLOOKUP($A68, Quotations!$C$2:C1756, Quotations!$D$2:D1756, "")</f>
        <v>24.14</v>
      </c>
      <c r="D68" s="9">
        <f t="array" ref="D68">XLOOKUP($A68, Quotations!$E$2:E1756, Quotations!$F$2:F1756, "")
</f>
        <v>112.62</v>
      </c>
      <c r="E68" s="9">
        <f t="array" ref="E68">XLOOKUP($A68, Quotations!$G$2:G1756, Quotations!$H$2:H1756, "")
</f>
        <v>118.98</v>
      </c>
      <c r="F68" s="9">
        <f t="array" ref="F68">XLOOKUP($A68, Quotations!$I$2:I1756, Quotations!$J$2:J1756, "")
</f>
        <v>125.15</v>
      </c>
      <c r="G68" s="9">
        <f t="array" ref="G68">XLOOKUP($A68, Quotations!$K$2:K1756, Quotations!$L$2:L1756, "")
</f>
        <v>1365.8854</v>
      </c>
    </row>
    <row r="69">
      <c r="A69" s="8">
        <v>41733.0</v>
      </c>
      <c r="B69" s="9">
        <f t="array" ref="B69">XLOOKUP($A69, Quotations!$A$2:A1756, Quotations!$B$2:B1756, "")
</f>
        <v>124.8</v>
      </c>
      <c r="C69" s="9">
        <f t="array" ref="C69">XLOOKUP($A69, Quotations!$C$2:C1756, Quotations!$D$2:D1756, "")</f>
        <v>24.17</v>
      </c>
      <c r="D69" s="9">
        <f t="array" ref="D69">XLOOKUP($A69, Quotations!$E$2:E1756, Quotations!$F$2:F1756, "")
</f>
        <v>112.67</v>
      </c>
      <c r="E69" s="9">
        <f t="array" ref="E69">XLOOKUP($A69, Quotations!$G$2:G1756, Quotations!$H$2:H1756, "")
</f>
        <v>119.09</v>
      </c>
      <c r="F69" s="9">
        <f t="array" ref="F69">XLOOKUP($A69, Quotations!$I$2:I1756, Quotations!$J$2:J1756, "")
</f>
        <v>125.14</v>
      </c>
      <c r="G69" s="9">
        <f t="array" ref="G69">XLOOKUP($A69, Quotations!$K$2:K1756, Quotations!$L$2:L1756, "")
</f>
        <v>1362.6572</v>
      </c>
    </row>
    <row r="70">
      <c r="A70" s="8">
        <v>41736.0</v>
      </c>
      <c r="B70" s="9">
        <f t="array" ref="B70">XLOOKUP($A70, Quotations!$A$2:A1756, Quotations!$B$2:B1756, "")
</f>
        <v>124.45</v>
      </c>
      <c r="C70" s="9">
        <f t="array" ref="C70">XLOOKUP($A70, Quotations!$C$2:C1756, Quotations!$D$2:D1756, "")</f>
        <v>24.16</v>
      </c>
      <c r="D70" s="9">
        <f t="array" ref="D70">XLOOKUP($A70, Quotations!$E$2:E1756, Quotations!$F$2:F1756, "")
</f>
        <v>112.65</v>
      </c>
      <c r="E70" s="9">
        <f t="array" ref="E70">XLOOKUP($A70, Quotations!$G$2:G1756, Quotations!$H$2:H1756, "")
</f>
        <v>119.78</v>
      </c>
      <c r="F70" s="9">
        <f t="array" ref="F70">XLOOKUP($A70, Quotations!$I$2:I1756, Quotations!$J$2:J1756, "")
</f>
        <v>125.21</v>
      </c>
      <c r="G70" s="9">
        <f t="array" ref="G70">XLOOKUP($A70, Quotations!$K$2:K1756, Quotations!$L$2:L1756, "")
</f>
        <v>1358.4637</v>
      </c>
    </row>
    <row r="71">
      <c r="A71" s="8">
        <v>41737.0</v>
      </c>
      <c r="B71" s="9">
        <f t="array" ref="B71">XLOOKUP($A71, Quotations!$A$2:A1756, Quotations!$B$2:B1756, "")
</f>
        <v>124.13</v>
      </c>
      <c r="C71" s="9">
        <f t="array" ref="C71">XLOOKUP($A71, Quotations!$C$2:C1756, Quotations!$D$2:D1756, "")</f>
        <v>24.15</v>
      </c>
      <c r="D71" s="9">
        <f t="array" ref="D71">XLOOKUP($A71, Quotations!$E$2:E1756, Quotations!$F$2:F1756, "")
</f>
        <v>112.64</v>
      </c>
      <c r="E71" s="9">
        <f t="array" ref="E71">XLOOKUP($A71, Quotations!$G$2:G1756, Quotations!$H$2:H1756, "")
</f>
        <v>119.11</v>
      </c>
      <c r="F71" s="9">
        <f t="array" ref="F71">XLOOKUP($A71, Quotations!$I$2:I1756, Quotations!$J$2:J1756, "")
</f>
        <v>124.9</v>
      </c>
      <c r="G71" s="9">
        <f t="array" ref="G71">XLOOKUP($A71, Quotations!$K$2:K1756, Quotations!$L$2:L1756, "")
</f>
        <v>1349.2852</v>
      </c>
    </row>
    <row r="72">
      <c r="A72" s="8">
        <v>41738.0</v>
      </c>
      <c r="B72" s="9">
        <f t="array" ref="B72">XLOOKUP($A72, Quotations!$A$2:A1756, Quotations!$B$2:B1756, "")
</f>
        <v>124.32</v>
      </c>
      <c r="C72" s="9">
        <f t="array" ref="C72">XLOOKUP($A72, Quotations!$C$2:C1756, Quotations!$D$2:D1756, "")</f>
        <v>24.15</v>
      </c>
      <c r="D72" s="9">
        <f t="array" ref="D72">XLOOKUP($A72, Quotations!$E$2:E1756, Quotations!$F$2:F1756, "")
</f>
        <v>112.58</v>
      </c>
      <c r="E72" s="9">
        <f t="array" ref="E72">XLOOKUP($A72, Quotations!$G$2:G1756, Quotations!$H$2:H1756, "")
</f>
        <v>118.8</v>
      </c>
      <c r="F72" s="9">
        <f t="array" ref="F72">XLOOKUP($A72, Quotations!$I$2:I1756, Quotations!$J$2:J1756, "")
</f>
        <v>124.93</v>
      </c>
      <c r="G72" s="9">
        <f t="array" ref="G72">XLOOKUP($A72, Quotations!$K$2:K1756, Quotations!$L$2:L1756, "")
</f>
        <v>1350.5424</v>
      </c>
    </row>
    <row r="73">
      <c r="A73" s="8">
        <v>41739.0</v>
      </c>
      <c r="B73" s="9">
        <f t="array" ref="B73">XLOOKUP($A73, Quotations!$A$2:A1756, Quotations!$B$2:B1756, "")
</f>
        <v>124.19</v>
      </c>
      <c r="C73" s="9">
        <f t="array" ref="C73">XLOOKUP($A73, Quotations!$C$2:C1756, Quotations!$D$2:D1756, "")</f>
        <v>24.14</v>
      </c>
      <c r="D73" s="9">
        <f t="array" ref="D73">XLOOKUP($A73, Quotations!$E$2:E1756, Quotations!$F$2:F1756, "")
</f>
        <v>112.56</v>
      </c>
      <c r="E73" s="9">
        <f t="array" ref="E73">XLOOKUP($A73, Quotations!$G$2:G1756, Quotations!$H$2:H1756, "")
</f>
        <v>118.73</v>
      </c>
      <c r="F73" s="9">
        <f t="array" ref="F73">XLOOKUP($A73, Quotations!$I$2:I1756, Quotations!$J$2:J1756, "")
</f>
        <v>125.06</v>
      </c>
      <c r="G73" s="9">
        <f t="array" ref="G73">XLOOKUP($A73, Quotations!$K$2:K1756, Quotations!$L$2:L1756, "")
</f>
        <v>1354.7371</v>
      </c>
    </row>
    <row r="74">
      <c r="A74" s="8">
        <v>41740.0</v>
      </c>
      <c r="B74" s="9">
        <f t="array" ref="B74">XLOOKUP($A74, Quotations!$A$2:A1756, Quotations!$B$2:B1756, "")
</f>
        <v>123.78</v>
      </c>
      <c r="C74" s="9">
        <f t="array" ref="C74">XLOOKUP($A74, Quotations!$C$2:C1756, Quotations!$D$2:D1756, "")</f>
        <v>24.14</v>
      </c>
      <c r="D74" s="9">
        <f t="array" ref="D74">XLOOKUP($A74, Quotations!$E$2:E1756, Quotations!$F$2:F1756, "")
</f>
        <v>112.55</v>
      </c>
      <c r="E74" s="9">
        <f t="array" ref="E74">XLOOKUP($A74, Quotations!$G$2:G1756, Quotations!$H$2:H1756, "")
</f>
        <v>119.01</v>
      </c>
      <c r="F74" s="9">
        <f t="array" ref="F74">XLOOKUP($A74, Quotations!$I$2:I1756, Quotations!$J$2:J1756, "")
</f>
        <v>124.89</v>
      </c>
      <c r="G74" s="9">
        <f t="array" ref="G74">XLOOKUP($A74, Quotations!$K$2:K1756, Quotations!$L$2:L1756, "")
</f>
        <v>1346.1964</v>
      </c>
    </row>
    <row r="75">
      <c r="A75" s="8">
        <v>41743.0</v>
      </c>
      <c r="B75" s="9">
        <f t="array" ref="B75">XLOOKUP($A75, Quotations!$A$2:A1756, Quotations!$B$2:B1756, "")
</f>
        <v>123.62</v>
      </c>
      <c r="C75" s="9">
        <f t="array" ref="C75">XLOOKUP($A75, Quotations!$C$2:C1756, Quotations!$D$2:D1756, "")</f>
        <v>24.16</v>
      </c>
      <c r="D75" s="9">
        <f t="array" ref="D75">XLOOKUP($A75, Quotations!$E$2:E1756, Quotations!$F$2:F1756, "")
</f>
        <v>112.56</v>
      </c>
      <c r="E75" s="9">
        <f t="array" ref="E75">XLOOKUP($A75, Quotations!$G$2:G1756, Quotations!$H$2:H1756, "")
</f>
        <v>118.44</v>
      </c>
      <c r="F75" s="9">
        <f t="array" ref="F75">XLOOKUP($A75, Quotations!$I$2:I1756, Quotations!$J$2:J1756, "")
</f>
        <v>124.51</v>
      </c>
      <c r="G75" s="9">
        <f t="array" ref="G75">XLOOKUP($A75, Quotations!$K$2:K1756, Quotations!$L$2:L1756, "")
</f>
        <v>1338.6179</v>
      </c>
    </row>
    <row r="76">
      <c r="A76" s="8">
        <v>41744.0</v>
      </c>
      <c r="B76" s="9">
        <f t="array" ref="B76">XLOOKUP($A76, Quotations!$A$2:A1756, Quotations!$B$2:B1756, "")
</f>
        <v>123.31</v>
      </c>
      <c r="C76" s="9">
        <f t="array" ref="C76">XLOOKUP($A76, Quotations!$C$2:C1756, Quotations!$D$2:D1756, "")</f>
        <v>24.15</v>
      </c>
      <c r="D76" s="9">
        <f t="array" ref="D76">XLOOKUP($A76, Quotations!$E$2:E1756, Quotations!$F$2:F1756, "")
</f>
        <v>112.52</v>
      </c>
      <c r="E76" s="9">
        <f t="array" ref="E76">XLOOKUP($A76, Quotations!$G$2:G1756, Quotations!$H$2:H1756, "")
</f>
        <v>118.43</v>
      </c>
      <c r="F76" s="9">
        <f t="array" ref="F76">XLOOKUP($A76, Quotations!$I$2:I1756, Quotations!$J$2:J1756, "")
</f>
        <v>124.79</v>
      </c>
      <c r="G76" s="9">
        <f t="array" ref="G76">XLOOKUP($A76, Quotations!$K$2:K1756, Quotations!$L$2:L1756, "")
</f>
        <v>1338.9128</v>
      </c>
    </row>
    <row r="77">
      <c r="A77" s="8">
        <v>41745.0</v>
      </c>
      <c r="B77" s="9">
        <f t="array" ref="B77">XLOOKUP($A77, Quotations!$A$2:A1756, Quotations!$B$2:B1756, "")
</f>
        <v>123.69</v>
      </c>
      <c r="C77" s="9">
        <f t="array" ref="C77">XLOOKUP($A77, Quotations!$C$2:C1756, Quotations!$D$2:D1756, "")</f>
        <v>24.16</v>
      </c>
      <c r="D77" s="9">
        <f t="array" ref="D77">XLOOKUP($A77, Quotations!$E$2:E1756, Quotations!$F$2:F1756, "")
</f>
        <v>112.57</v>
      </c>
      <c r="E77" s="9">
        <f t="array" ref="E77">XLOOKUP($A77, Quotations!$G$2:G1756, Quotations!$H$2:H1756, "")
</f>
        <v>118.17</v>
      </c>
      <c r="F77" s="9">
        <f t="array" ref="F77">XLOOKUP($A77, Quotations!$I$2:I1756, Quotations!$J$2:J1756, "")
</f>
        <v>124.75</v>
      </c>
      <c r="G77" s="9">
        <f t="array" ref="G77">XLOOKUP($A77, Quotations!$K$2:K1756, Quotations!$L$2:L1756, "")
</f>
        <v>1338.6974</v>
      </c>
    </row>
    <row r="78">
      <c r="A78" s="8">
        <v>41746.0</v>
      </c>
      <c r="B78" s="9">
        <f t="array" ref="B78">XLOOKUP($A78, Quotations!$A$2:A1756, Quotations!$B$2:B1756, "")
</f>
        <v>123.9</v>
      </c>
      <c r="C78" s="9">
        <f t="array" ref="C78">XLOOKUP($A78, Quotations!$C$2:C1756, Quotations!$D$2:D1756, "")</f>
        <v>24.15</v>
      </c>
      <c r="D78" s="9">
        <f t="array" ref="D78">XLOOKUP($A78, Quotations!$E$2:E1756, Quotations!$F$2:F1756, "")
</f>
        <v>112.62</v>
      </c>
      <c r="E78" s="9">
        <f t="array" ref="E78">XLOOKUP($A78, Quotations!$G$2:G1756, Quotations!$H$2:H1756, "")
</f>
        <v>118.76</v>
      </c>
      <c r="F78" s="9">
        <f t="array" ref="F78">XLOOKUP($A78, Quotations!$I$2:I1756, Quotations!$J$2:J1756, "")
</f>
        <v>125.07</v>
      </c>
      <c r="G78" s="9">
        <f t="array" ref="G78">XLOOKUP($A78, Quotations!$K$2:K1756, Quotations!$L$2:L1756, "")
</f>
        <v>1345.9034</v>
      </c>
    </row>
    <row r="79">
      <c r="A79" s="8">
        <v>41751.0</v>
      </c>
      <c r="B79" s="9">
        <f t="array" ref="B79">XLOOKUP($A79, Quotations!$A$2:A1756, Quotations!$B$2:B1756, "")
</f>
        <v>124.39</v>
      </c>
      <c r="C79" s="9">
        <f t="array" ref="C79">XLOOKUP($A79, Quotations!$C$2:C1756, Quotations!$D$2:D1756, "")</f>
        <v>24.16</v>
      </c>
      <c r="D79" s="9">
        <f t="array" ref="D79">XLOOKUP($A79, Quotations!$E$2:E1756, Quotations!$F$2:F1756, "")
</f>
        <v>112.71</v>
      </c>
      <c r="E79" s="9">
        <f t="array" ref="E79">XLOOKUP($A79, Quotations!$G$2:G1756, Quotations!$H$2:H1756, "")
</f>
        <v>118.98</v>
      </c>
      <c r="F79" s="9">
        <f t="array" ref="F79">XLOOKUP($A79, Quotations!$I$2:I1756, Quotations!$J$2:J1756, "")
</f>
        <v>125.05</v>
      </c>
      <c r="G79" s="9">
        <f t="array" ref="G79">XLOOKUP($A79, Quotations!$K$2:K1756, Quotations!$L$2:L1756, "")
</f>
        <v>1351.2213</v>
      </c>
    </row>
    <row r="80">
      <c r="A80" s="8">
        <v>41752.0</v>
      </c>
      <c r="B80" s="9">
        <f t="array" ref="B80">XLOOKUP($A80, Quotations!$A$2:A1756, Quotations!$B$2:B1756, "")
</f>
        <v>124.3</v>
      </c>
      <c r="C80" s="9">
        <f t="array" ref="C80">XLOOKUP($A80, Quotations!$C$2:C1756, Quotations!$D$2:D1756, "")</f>
        <v>24.14</v>
      </c>
      <c r="D80" s="9">
        <f t="array" ref="D80">XLOOKUP($A80, Quotations!$E$2:E1756, Quotations!$F$2:F1756, "")
</f>
        <v>112.68</v>
      </c>
      <c r="E80" s="9">
        <f t="array" ref="E80">XLOOKUP($A80, Quotations!$G$2:G1756, Quotations!$H$2:H1756, "")
</f>
        <v>119.6</v>
      </c>
      <c r="F80" s="9">
        <f t="array" ref="F80">XLOOKUP($A80, Quotations!$I$2:I1756, Quotations!$J$2:J1756, "")
</f>
        <v>125.35</v>
      </c>
      <c r="G80" s="9">
        <f t="array" ref="G80">XLOOKUP($A80, Quotations!$K$2:K1756, Quotations!$L$2:L1756, "")
</f>
        <v>1357.9768</v>
      </c>
    </row>
    <row r="81">
      <c r="A81" s="8">
        <v>41753.0</v>
      </c>
      <c r="B81" s="9">
        <f t="array" ref="B81">XLOOKUP($A81, Quotations!$A$2:A1756, Quotations!$B$2:B1756, "")
</f>
        <v>124.31</v>
      </c>
      <c r="C81" s="9">
        <f t="array" ref="C81">XLOOKUP($A81, Quotations!$C$2:C1756, Quotations!$D$2:D1756, "")</f>
        <v>24.15</v>
      </c>
      <c r="D81" s="9">
        <f t="array" ref="D81">XLOOKUP($A81, Quotations!$E$2:E1756, Quotations!$F$2:F1756, "")
</f>
        <v>112.67</v>
      </c>
      <c r="E81" s="9">
        <f t="array" ref="E81">XLOOKUP($A81, Quotations!$G$2:G1756, Quotations!$H$2:H1756, "")
</f>
        <v>119.48</v>
      </c>
      <c r="F81" s="9">
        <f t="array" ref="F81">XLOOKUP($A81, Quotations!$I$2:I1756, Quotations!$J$2:J1756, "")
</f>
        <v>125.23</v>
      </c>
      <c r="G81" s="9">
        <f t="array" ref="G81">XLOOKUP($A81, Quotations!$K$2:K1756, Quotations!$L$2:L1756, "")
</f>
        <v>1356.5453</v>
      </c>
    </row>
    <row r="82">
      <c r="A82" s="8">
        <v>41754.0</v>
      </c>
      <c r="B82" s="9">
        <f t="array" ref="B82">XLOOKUP($A82, Quotations!$A$2:A1756, Quotations!$B$2:B1756, "")
</f>
        <v>124.03</v>
      </c>
      <c r="C82" s="9">
        <f t="array" ref="C82">XLOOKUP($A82, Quotations!$C$2:C1756, Quotations!$D$2:D1756, "")</f>
        <v>24.15</v>
      </c>
      <c r="D82" s="9">
        <f t="array" ref="D82">XLOOKUP($A82, Quotations!$E$2:E1756, Quotations!$F$2:F1756, "")
</f>
        <v>112.57</v>
      </c>
      <c r="E82" s="9">
        <f t="array" ref="E82">XLOOKUP($A82, Quotations!$G$2:G1756, Quotations!$H$2:H1756, "")
</f>
        <v>119.37</v>
      </c>
      <c r="F82" s="9">
        <f t="array" ref="F82">XLOOKUP($A82, Quotations!$I$2:I1756, Quotations!$J$2:J1756, "")
</f>
        <v>125.36</v>
      </c>
      <c r="G82" s="9">
        <f t="array" ref="G82">XLOOKUP($A82, Quotations!$K$2:K1756, Quotations!$L$2:L1756, "")
</f>
        <v>1357.1112</v>
      </c>
    </row>
    <row r="83">
      <c r="A83" s="8">
        <v>41757.0</v>
      </c>
      <c r="B83" s="9">
        <f t="array" ref="B83">XLOOKUP($A83, Quotations!$A$2:A1756, Quotations!$B$2:B1756, "")
</f>
        <v>123.87</v>
      </c>
      <c r="C83" s="9">
        <f t="array" ref="C83">XLOOKUP($A83, Quotations!$C$2:C1756, Quotations!$D$2:D1756, "")</f>
        <v>24.15</v>
      </c>
      <c r="D83" s="9">
        <f t="array" ref="D83">XLOOKUP($A83, Quotations!$E$2:E1756, Quotations!$F$2:F1756, "")
</f>
        <v>112.58</v>
      </c>
      <c r="E83" s="9">
        <f t="array" ref="E83">XLOOKUP($A83, Quotations!$G$2:G1756, Quotations!$H$2:H1756, "")
</f>
        <v>119.2</v>
      </c>
      <c r="F83" s="9">
        <f t="array" ref="F83">XLOOKUP($A83, Quotations!$I$2:I1756, Quotations!$J$2:J1756, "")
</f>
        <v>125.2</v>
      </c>
      <c r="G83" s="9">
        <f t="array" ref="G83">XLOOKUP($A83, Quotations!$K$2:K1756, Quotations!$L$2:L1756, "")
</f>
        <v>1348.2083</v>
      </c>
    </row>
    <row r="84">
      <c r="A84" s="8">
        <v>41758.0</v>
      </c>
      <c r="B84" s="9">
        <f t="array" ref="B84">XLOOKUP($A84, Quotations!$A$2:A1756, Quotations!$B$2:B1756, "")
</f>
        <v>124.27</v>
      </c>
      <c r="C84" s="9">
        <f t="array" ref="C84">XLOOKUP($A84, Quotations!$C$2:C1756, Quotations!$D$2:D1756, "")</f>
        <v>24.16</v>
      </c>
      <c r="D84" s="9">
        <f t="array" ref="D84">XLOOKUP($A84, Quotations!$E$2:E1756, Quotations!$F$2:F1756, "")
</f>
        <v>112.64</v>
      </c>
      <c r="E84" s="9">
        <f t="array" ref="E84">XLOOKUP($A84, Quotations!$G$2:G1756, Quotations!$H$2:H1756, "")
</f>
        <v>119.15</v>
      </c>
      <c r="F84" s="9">
        <f t="array" ref="F84">XLOOKUP($A84, Quotations!$I$2:I1756, Quotations!$J$2:J1756, "")
</f>
        <v>125.27</v>
      </c>
      <c r="G84" s="9">
        <f t="array" ref="G84">XLOOKUP($A84, Quotations!$K$2:K1756, Quotations!$L$2:L1756, "")
</f>
        <v>1344.6801</v>
      </c>
    </row>
    <row r="85">
      <c r="A85" s="8">
        <v>41759.0</v>
      </c>
      <c r="B85" s="9">
        <f t="array" ref="B85">XLOOKUP($A85, Quotations!$A$2:A1756, Quotations!$B$2:B1756, "")
</f>
        <v>124.25</v>
      </c>
      <c r="C85" s="9">
        <f t="array" ref="C85">XLOOKUP($A85, Quotations!$C$2:C1756, Quotations!$D$2:D1756, "")</f>
        <v>24.15</v>
      </c>
      <c r="D85" s="9">
        <f t="array" ref="D85">XLOOKUP($A85, Quotations!$E$2:E1756, Quotations!$F$2:F1756, "")
</f>
        <v>112.65</v>
      </c>
      <c r="E85" s="9">
        <f t="array" ref="E85">XLOOKUP($A85, Quotations!$G$2:G1756, Quotations!$H$2:H1756, "")
</f>
        <v>119.87</v>
      </c>
      <c r="F85" s="9">
        <f t="array" ref="F85">XLOOKUP($A85, Quotations!$I$2:I1756, Quotations!$J$2:J1756, "")
</f>
        <v>125.59</v>
      </c>
      <c r="G85" s="9">
        <f t="array" ref="G85">XLOOKUP($A85, Quotations!$K$2:K1756, Quotations!$L$2:L1756, "")
</f>
        <v>1349.9078</v>
      </c>
    </row>
    <row r="86">
      <c r="A86" s="8">
        <v>41761.0</v>
      </c>
      <c r="B86" s="9">
        <f t="array" ref="B86">XLOOKUP($A86, Quotations!$A$2:A1756, Quotations!$B$2:B1756, "")
</f>
        <v>124.25</v>
      </c>
      <c r="C86" s="9">
        <f t="array" ref="C86">XLOOKUP($A86, Quotations!$C$2:C1756, Quotations!$D$2:D1756, "")</f>
        <v>24.15</v>
      </c>
      <c r="D86" s="9">
        <f t="array" ref="D86">XLOOKUP($A86, Quotations!$E$2:E1756, Quotations!$F$2:F1756, "")
</f>
        <v>112.66</v>
      </c>
      <c r="E86" s="9">
        <f t="array" ref="E86">XLOOKUP($A86, Quotations!$G$2:G1756, Quotations!$H$2:H1756, "")
</f>
        <v>120.23</v>
      </c>
      <c r="F86" s="9">
        <f t="array" ref="F86">XLOOKUP($A86, Quotations!$I$2:I1756, Quotations!$J$2:J1756, "")
</f>
        <v>125.59</v>
      </c>
      <c r="G86" s="9">
        <f t="array" ref="G86">XLOOKUP($A86, Quotations!$K$2:K1756, Quotations!$L$2:L1756, "")
</f>
        <v>1353.2495</v>
      </c>
    </row>
    <row r="87">
      <c r="A87" s="8">
        <v>41764.0</v>
      </c>
      <c r="B87" s="9">
        <f t="array" ref="B87">XLOOKUP($A87, Quotations!$A$2:A1756, Quotations!$B$2:B1756, "")
</f>
        <v>124.26</v>
      </c>
      <c r="C87" s="9">
        <f t="array" ref="C87">XLOOKUP($A87, Quotations!$C$2:C1756, Quotations!$D$2:D1756, "")</f>
        <v>24.15</v>
      </c>
      <c r="D87" s="9">
        <f t="array" ref="D87">XLOOKUP($A87, Quotations!$E$2:E1756, Quotations!$F$2:F1756, "")
</f>
        <v>112.67</v>
      </c>
      <c r="E87" s="9">
        <f t="array" ref="E87">XLOOKUP($A87, Quotations!$G$2:G1756, Quotations!$H$2:H1756, "")
</f>
        <v>120.14</v>
      </c>
      <c r="F87" s="9">
        <f t="array" ref="F87">XLOOKUP($A87, Quotations!$I$2:I1756, Quotations!$J$2:J1756, "")
</f>
        <v>125.74</v>
      </c>
      <c r="G87" s="9">
        <f t="array" ref="G87">XLOOKUP($A87, Quotations!$K$2:K1756, Quotations!$L$2:L1756, "")
</f>
        <v>1354.604</v>
      </c>
    </row>
    <row r="88">
      <c r="A88" s="8">
        <v>41765.0</v>
      </c>
      <c r="B88" s="9">
        <f t="array" ref="B88">XLOOKUP($A88, Quotations!$A$2:A1756, Quotations!$B$2:B1756, "")
</f>
        <v>124.18</v>
      </c>
      <c r="C88" s="9">
        <f t="array" ref="C88">XLOOKUP($A88, Quotations!$C$2:C1756, Quotations!$D$2:D1756, "")</f>
        <v>24.16</v>
      </c>
      <c r="D88" s="9">
        <f t="array" ref="D88">XLOOKUP($A88, Quotations!$E$2:E1756, Quotations!$F$2:F1756, "")
</f>
        <v>112.68</v>
      </c>
      <c r="E88" s="9">
        <f t="array" ref="E88">XLOOKUP($A88, Quotations!$G$2:G1756, Quotations!$H$2:H1756, "")
</f>
        <v>119.99</v>
      </c>
      <c r="F88" s="9">
        <f t="array" ref="F88">XLOOKUP($A88, Quotations!$I$2:I1756, Quotations!$J$2:J1756, "")
</f>
        <v>125.66</v>
      </c>
      <c r="G88" s="9">
        <f t="array" ref="G88">XLOOKUP($A88, Quotations!$K$2:K1756, Quotations!$L$2:L1756, "")
</f>
        <v>1354.6078</v>
      </c>
    </row>
    <row r="89">
      <c r="A89" s="8">
        <v>41766.0</v>
      </c>
      <c r="B89" s="9">
        <f t="array" ref="B89">XLOOKUP($A89, Quotations!$A$2:A1756, Quotations!$B$2:B1756, "")
</f>
        <v>124.27</v>
      </c>
      <c r="C89" s="9">
        <f t="array" ref="C89">XLOOKUP($A89, Quotations!$C$2:C1756, Quotations!$D$2:D1756, "")</f>
        <v>24.16</v>
      </c>
      <c r="D89" s="9">
        <f t="array" ref="D89">XLOOKUP($A89, Quotations!$E$2:E1756, Quotations!$F$2:F1756, "")
</f>
        <v>112.67</v>
      </c>
      <c r="E89" s="9">
        <f t="array" ref="E89">XLOOKUP($A89, Quotations!$G$2:G1756, Quotations!$H$2:H1756, "")
</f>
        <v>119.66</v>
      </c>
      <c r="F89" s="9">
        <f t="array" ref="F89">XLOOKUP($A89, Quotations!$I$2:I1756, Quotations!$J$2:J1756, "")
</f>
        <v>125.45</v>
      </c>
      <c r="G89" s="9">
        <f t="array" ref="G89">XLOOKUP($A89, Quotations!$K$2:K1756, Quotations!$L$2:L1756, "")
</f>
        <v>1350.6503</v>
      </c>
    </row>
    <row r="90">
      <c r="A90" s="8">
        <v>41767.0</v>
      </c>
      <c r="B90" s="9" t="str">
        <f t="array" ref="B90">XLOOKUP($A90, Quotations!$A$2:A1756, Quotations!$B$2:B1756, "")
</f>
        <v/>
      </c>
      <c r="C90" s="9">
        <f t="array" ref="C90">XLOOKUP($A90, Quotations!$C$2:C1756, Quotations!$D$2:D1756, "")</f>
        <v>24.19</v>
      </c>
      <c r="D90" s="9">
        <f t="array" ref="D90">XLOOKUP($A90, Quotations!$E$2:E1756, Quotations!$F$2:F1756, "")
</f>
        <v>112.73</v>
      </c>
      <c r="E90" s="9">
        <f t="array" ref="E90">XLOOKUP($A90, Quotations!$G$2:G1756, Quotations!$H$2:H1756, "")
</f>
        <v>119.74</v>
      </c>
      <c r="F90" s="9">
        <f t="array" ref="F90">XLOOKUP($A90, Quotations!$I$2:I1756, Quotations!$J$2:J1756, "")
</f>
        <v>125.63</v>
      </c>
      <c r="G90" s="9">
        <f t="array" ref="G90">XLOOKUP($A90, Quotations!$K$2:K1756, Quotations!$L$2:L1756, "")
</f>
        <v>1351.6692</v>
      </c>
    </row>
    <row r="91">
      <c r="A91" s="8">
        <v>41768.0</v>
      </c>
      <c r="B91" s="9">
        <f t="array" ref="B91">XLOOKUP($A91, Quotations!$A$2:A1756, Quotations!$B$2:B1756, "")
</f>
        <v>124.53</v>
      </c>
      <c r="C91" s="9">
        <f t="array" ref="C91">XLOOKUP($A91, Quotations!$C$2:C1756, Quotations!$D$2:D1756, "")</f>
        <v>24.21</v>
      </c>
      <c r="D91" s="9">
        <f t="array" ref="D91">XLOOKUP($A91, Quotations!$E$2:E1756, Quotations!$F$2:F1756, "")
</f>
        <v>112.79</v>
      </c>
      <c r="E91" s="9">
        <f t="array" ref="E91">XLOOKUP($A91, Quotations!$G$2:G1756, Quotations!$H$2:H1756, "")
</f>
        <v>120.54</v>
      </c>
      <c r="F91" s="9">
        <f t="array" ref="F91">XLOOKUP($A91, Quotations!$I$2:I1756, Quotations!$J$2:J1756, "")
</f>
        <v>126.02</v>
      </c>
      <c r="G91" s="9">
        <f t="array" ref="G91">XLOOKUP($A91, Quotations!$K$2:K1756, Quotations!$L$2:L1756, "")
</f>
        <v>1353.9108</v>
      </c>
    </row>
    <row r="92">
      <c r="A92" s="8">
        <v>41771.0</v>
      </c>
      <c r="B92" s="9">
        <f t="array" ref="B92">XLOOKUP($A92, Quotations!$A$2:A1756, Quotations!$B$2:B1756, "")
</f>
        <v>124.83</v>
      </c>
      <c r="C92" s="9">
        <f t="array" ref="C92">XLOOKUP($A92, Quotations!$C$2:C1756, Quotations!$D$2:D1756, "")</f>
        <v>24.21</v>
      </c>
      <c r="D92" s="9">
        <f t="array" ref="D92">XLOOKUP($A92, Quotations!$E$2:E1756, Quotations!$F$2:F1756, "")
</f>
        <v>112.84</v>
      </c>
      <c r="E92" s="9">
        <f t="array" ref="E92">XLOOKUP($A92, Quotations!$G$2:G1756, Quotations!$H$2:H1756, "")
</f>
        <v>120.41</v>
      </c>
      <c r="F92" s="9">
        <f t="array" ref="F92">XLOOKUP($A92, Quotations!$I$2:I1756, Quotations!$J$2:J1756, "")
</f>
        <v>126.13</v>
      </c>
      <c r="G92" s="9">
        <f t="array" ref="G92">XLOOKUP($A92, Quotations!$K$2:K1756, Quotations!$L$2:L1756, "")
</f>
        <v>1352.7116</v>
      </c>
    </row>
    <row r="93">
      <c r="A93" s="8">
        <v>41772.0</v>
      </c>
      <c r="B93" s="9">
        <f t="array" ref="B93">XLOOKUP($A93, Quotations!$A$2:A1756, Quotations!$B$2:B1756, "")
</f>
        <v>124.96</v>
      </c>
      <c r="C93" s="9">
        <f t="array" ref="C93">XLOOKUP($A93, Quotations!$C$2:C1756, Quotations!$D$2:D1756, "")</f>
        <v>24.23</v>
      </c>
      <c r="D93" s="9">
        <f t="array" ref="D93">XLOOKUP($A93, Quotations!$E$2:E1756, Quotations!$F$2:F1756, "")
</f>
        <v>112.91</v>
      </c>
      <c r="E93" s="9">
        <f t="array" ref="E93">XLOOKUP($A93, Quotations!$G$2:G1756, Quotations!$H$2:H1756, "")
</f>
        <v>120.86</v>
      </c>
      <c r="F93" s="9">
        <f t="array" ref="F93">XLOOKUP($A93, Quotations!$I$2:I1756, Quotations!$J$2:J1756, "")
</f>
        <v>126.39</v>
      </c>
      <c r="G93" s="9">
        <f t="array" ref="G93">XLOOKUP($A93, Quotations!$K$2:K1756, Quotations!$L$2:L1756, "")
</f>
        <v>1360.2299</v>
      </c>
    </row>
    <row r="94">
      <c r="A94" s="8">
        <v>41773.0</v>
      </c>
      <c r="B94" s="9">
        <f t="array" ref="B94">XLOOKUP($A94, Quotations!$A$2:A1756, Quotations!$B$2:B1756, "")
</f>
        <v>125.06</v>
      </c>
      <c r="C94" s="9">
        <f t="array" ref="C94">XLOOKUP($A94, Quotations!$C$2:C1756, Quotations!$D$2:D1756, "")</f>
        <v>24.24</v>
      </c>
      <c r="D94" s="9">
        <f t="array" ref="D94">XLOOKUP($A94, Quotations!$E$2:E1756, Quotations!$F$2:F1756, "")
</f>
        <v>112.92</v>
      </c>
      <c r="E94" s="9">
        <f t="array" ref="E94">XLOOKUP($A94, Quotations!$G$2:G1756, Quotations!$H$2:H1756, "")
</f>
        <v>121.65</v>
      </c>
      <c r="F94" s="9">
        <f t="array" ref="F94">XLOOKUP($A94, Quotations!$I$2:I1756, Quotations!$J$2:J1756, "")
</f>
        <v>126.56</v>
      </c>
      <c r="G94" s="9">
        <f t="array" ref="G94">XLOOKUP($A94, Quotations!$K$2:K1756, Quotations!$L$2:L1756, "")
</f>
        <v>1360.9043</v>
      </c>
    </row>
    <row r="95">
      <c r="A95" s="8">
        <v>41774.0</v>
      </c>
      <c r="B95" s="9">
        <f t="array" ref="B95">XLOOKUP($A95, Quotations!$A$2:A1756, Quotations!$B$2:B1756, "")
</f>
        <v>124.42</v>
      </c>
      <c r="C95" s="9">
        <f t="array" ref="C95">XLOOKUP($A95, Quotations!$C$2:C1756, Quotations!$D$2:D1756, "")</f>
        <v>24.23</v>
      </c>
      <c r="D95" s="9">
        <f t="array" ref="D95">XLOOKUP($A95, Quotations!$E$2:E1756, Quotations!$F$2:F1756, "")
</f>
        <v>112.87</v>
      </c>
      <c r="E95" s="9">
        <f t="array" ref="E95">XLOOKUP($A95, Quotations!$G$2:G1756, Quotations!$H$2:H1756, "")
</f>
        <v>122.14</v>
      </c>
      <c r="F95" s="9">
        <f t="array" ref="F95">XLOOKUP($A95, Quotations!$I$2:I1756, Quotations!$J$2:J1756, "")
</f>
        <v>126.79</v>
      </c>
      <c r="G95" s="9">
        <f t="array" ref="G95">XLOOKUP($A95, Quotations!$K$2:K1756, Quotations!$L$2:L1756, "")
</f>
        <v>1358.2247</v>
      </c>
    </row>
    <row r="96">
      <c r="A96" s="8">
        <v>41775.0</v>
      </c>
      <c r="B96" s="9">
        <f t="array" ref="B96">XLOOKUP($A96, Quotations!$A$2:A1756, Quotations!$B$2:B1756, "")
</f>
        <v>124.2</v>
      </c>
      <c r="C96" s="9">
        <f t="array" ref="C96">XLOOKUP($A96, Quotations!$C$2:C1756, Quotations!$D$2:D1756, "")</f>
        <v>24.23</v>
      </c>
      <c r="D96" s="9">
        <f t="array" ref="D96">XLOOKUP($A96, Quotations!$E$2:E1756, Quotations!$F$2:F1756, "")
</f>
        <v>112.87</v>
      </c>
      <c r="E96" s="9">
        <f t="array" ref="E96">XLOOKUP($A96, Quotations!$G$2:G1756, Quotations!$H$2:H1756, "")
</f>
        <v>122.29</v>
      </c>
      <c r="F96" s="9">
        <f t="array" ref="F96">XLOOKUP($A96, Quotations!$I$2:I1756, Quotations!$J$2:J1756, "")
</f>
        <v>126.44</v>
      </c>
      <c r="G96" s="9">
        <f t="array" ref="G96">XLOOKUP($A96, Quotations!$K$2:K1756, Quotations!$L$2:L1756, "")
</f>
        <v>1351.2753</v>
      </c>
    </row>
    <row r="97">
      <c r="A97" s="8">
        <v>41778.0</v>
      </c>
      <c r="B97" s="9">
        <f t="array" ref="B97">XLOOKUP($A97, Quotations!$A$2:A1756, Quotations!$B$2:B1756, "")
</f>
        <v>124.32</v>
      </c>
      <c r="C97" s="9">
        <f t="array" ref="C97">XLOOKUP($A97, Quotations!$C$2:C1756, Quotations!$D$2:D1756, "")</f>
        <v>24.23</v>
      </c>
      <c r="D97" s="9">
        <f t="array" ref="D97">XLOOKUP($A97, Quotations!$E$2:E1756, Quotations!$F$2:F1756, "")
</f>
        <v>112.92</v>
      </c>
      <c r="E97" s="9">
        <f t="array" ref="E97">XLOOKUP($A97, Quotations!$G$2:G1756, Quotations!$H$2:H1756, "")
</f>
        <v>121.83</v>
      </c>
      <c r="F97" s="9">
        <f t="array" ref="F97">XLOOKUP($A97, Quotations!$I$2:I1756, Quotations!$J$2:J1756, "")
</f>
        <v>126.64</v>
      </c>
      <c r="G97" s="9">
        <f t="array" ref="G97">XLOOKUP($A97, Quotations!$K$2:K1756, Quotations!$L$2:L1756, "")
</f>
        <v>1349.7965</v>
      </c>
    </row>
    <row r="98">
      <c r="A98" s="8">
        <v>41779.0</v>
      </c>
      <c r="B98" s="9">
        <f t="array" ref="B98">XLOOKUP($A98, Quotations!$A$2:A1756, Quotations!$B$2:B1756, "")
</f>
        <v>124.3</v>
      </c>
      <c r="C98" s="9">
        <f t="array" ref="C98">XLOOKUP($A98, Quotations!$C$2:C1756, Quotations!$D$2:D1756, "")</f>
        <v>24.23</v>
      </c>
      <c r="D98" s="9">
        <f t="array" ref="D98">XLOOKUP($A98, Quotations!$E$2:E1756, Quotations!$F$2:F1756, "")
</f>
        <v>112.91</v>
      </c>
      <c r="E98" s="9">
        <f t="array" ref="E98">XLOOKUP($A98, Quotations!$G$2:G1756, Quotations!$H$2:H1756, "")
</f>
        <v>121.98</v>
      </c>
      <c r="F98" s="9">
        <f t="array" ref="F98">XLOOKUP($A98, Quotations!$I$2:I1756, Quotations!$J$2:J1756, "")
</f>
        <v>126.69</v>
      </c>
      <c r="G98" s="9">
        <f t="array" ref="G98">XLOOKUP($A98, Quotations!$K$2:K1756, Quotations!$L$2:L1756, "")
</f>
        <v>1353.4537</v>
      </c>
    </row>
    <row r="99">
      <c r="A99" s="8">
        <v>41780.0</v>
      </c>
      <c r="B99" s="9">
        <f t="array" ref="B99">XLOOKUP($A99, Quotations!$A$2:A1756, Quotations!$B$2:B1756, "")
</f>
        <v>124.37</v>
      </c>
      <c r="C99" s="9">
        <f t="array" ref="C99">XLOOKUP($A99, Quotations!$C$2:C1756, Quotations!$D$2:D1756, "")</f>
        <v>24.23</v>
      </c>
      <c r="D99" s="9">
        <f t="array" ref="D99">XLOOKUP($A99, Quotations!$E$2:E1756, Quotations!$F$2:F1756, "")
</f>
        <v>112.9</v>
      </c>
      <c r="E99" s="9">
        <f t="array" ref="E99">XLOOKUP($A99, Quotations!$G$2:G1756, Quotations!$H$2:H1756, "")
</f>
        <v>121.7</v>
      </c>
      <c r="F99" s="9">
        <f t="array" ref="F99">XLOOKUP($A99, Quotations!$I$2:I1756, Quotations!$J$2:J1756, "")
</f>
        <v>126.55</v>
      </c>
      <c r="G99" s="9">
        <f t="array" ref="G99">XLOOKUP($A99, Quotations!$K$2:K1756, Quotations!$L$2:L1756, "")
</f>
        <v>1351.072</v>
      </c>
    </row>
    <row r="100">
      <c r="A100" s="8">
        <v>41781.0</v>
      </c>
      <c r="B100" s="9">
        <f t="array" ref="B100">XLOOKUP($A100, Quotations!$A$2:A1756, Quotations!$B$2:B1756, "")
</f>
        <v>124.51</v>
      </c>
      <c r="C100" s="9">
        <f t="array" ref="C100">XLOOKUP($A100, Quotations!$C$2:C1756, Quotations!$D$2:D1756, "")</f>
        <v>24.23</v>
      </c>
      <c r="D100" s="9">
        <f t="array" ref="D100">XLOOKUP($A100, Quotations!$E$2:E1756, Quotations!$F$2:F1756, "")
</f>
        <v>112.97</v>
      </c>
      <c r="E100" s="9">
        <f t="array" ref="E100">XLOOKUP($A100, Quotations!$G$2:G1756, Quotations!$H$2:H1756, "")
</f>
        <v>121.72</v>
      </c>
      <c r="F100" s="9">
        <f t="array" ref="F100">XLOOKUP($A100, Quotations!$I$2:I1756, Quotations!$J$2:J1756, "")
</f>
        <v>126.81</v>
      </c>
      <c r="G100" s="9">
        <f t="array" ref="G100">XLOOKUP($A100, Quotations!$K$2:K1756, Quotations!$L$2:L1756, "")
</f>
        <v>1353.8273</v>
      </c>
    </row>
    <row r="101">
      <c r="A101" s="8">
        <v>41782.0</v>
      </c>
      <c r="B101" s="9">
        <f t="array" ref="B101">XLOOKUP($A101, Quotations!$A$2:A1756, Quotations!$B$2:B1756, "")
</f>
        <v>124.72</v>
      </c>
      <c r="C101" s="9">
        <f t="array" ref="C101">XLOOKUP($A101, Quotations!$C$2:C1756, Quotations!$D$2:D1756, "")</f>
        <v>24.24</v>
      </c>
      <c r="D101" s="9">
        <f t="array" ref="D101">XLOOKUP($A101, Quotations!$E$2:E1756, Quotations!$F$2:F1756, "")
</f>
        <v>113</v>
      </c>
      <c r="E101" s="9">
        <f t="array" ref="E101">XLOOKUP($A101, Quotations!$G$2:G1756, Quotations!$H$2:H1756, "")
</f>
        <v>122.13</v>
      </c>
      <c r="F101" s="9">
        <f t="array" ref="F101">XLOOKUP($A101, Quotations!$I$2:I1756, Quotations!$J$2:J1756, "")
</f>
        <v>126.93</v>
      </c>
      <c r="G101" s="9">
        <f t="array" ref="G101">XLOOKUP($A101, Quotations!$K$2:K1756, Quotations!$L$2:L1756, "")
</f>
        <v>1357.1563</v>
      </c>
    </row>
    <row r="102">
      <c r="A102" s="8">
        <v>41785.0</v>
      </c>
      <c r="B102" s="9">
        <f t="array" ref="B102">XLOOKUP($A102, Quotations!$A$2:A1756, Quotations!$B$2:B1756, "")
</f>
        <v>125.01</v>
      </c>
      <c r="C102" s="9">
        <f t="array" ref="C102">XLOOKUP($A102, Quotations!$C$2:C1756, Quotations!$D$2:D1756, "")</f>
        <v>24.24</v>
      </c>
      <c r="D102" s="9">
        <f t="array" ref="D102">XLOOKUP($A102, Quotations!$E$2:E1756, Quotations!$F$2:F1756, "")
</f>
        <v>113.03</v>
      </c>
      <c r="E102" s="9">
        <f t="array" ref="E102">XLOOKUP($A102, Quotations!$G$2:G1756, Quotations!$H$2:H1756, "")
</f>
        <v>122.27</v>
      </c>
      <c r="F102" s="9">
        <f t="array" ref="F102">XLOOKUP($A102, Quotations!$I$2:I1756, Quotations!$J$2:J1756, "")
</f>
        <v>127.23</v>
      </c>
      <c r="G102" s="9">
        <f t="array" ref="G102">XLOOKUP($A102, Quotations!$K$2:K1756, Quotations!$L$2:L1756, "")
</f>
        <v>1360.5593</v>
      </c>
    </row>
    <row r="103">
      <c r="A103" s="8">
        <v>41786.0</v>
      </c>
      <c r="B103" s="9">
        <f t="array" ref="B103">XLOOKUP($A103, Quotations!$A$2:A1756, Quotations!$B$2:B1756, "")
</f>
        <v>125.11</v>
      </c>
      <c r="C103" s="9">
        <f t="array" ref="C103">XLOOKUP($A103, Quotations!$C$2:C1756, Quotations!$D$2:D1756, "")</f>
        <v>24.26</v>
      </c>
      <c r="D103" s="9">
        <f t="array" ref="D103">XLOOKUP($A103, Quotations!$E$2:E1756, Quotations!$F$2:F1756, "")
</f>
        <v>113.1</v>
      </c>
      <c r="E103" s="9">
        <f t="array" ref="E103">XLOOKUP($A103, Quotations!$G$2:G1756, Quotations!$H$2:H1756, "")
</f>
        <v>122.91</v>
      </c>
      <c r="F103" s="9">
        <f t="array" ref="F103">XLOOKUP($A103, Quotations!$I$2:I1756, Quotations!$J$2:J1756, "")
</f>
        <v>127.22</v>
      </c>
      <c r="G103" s="9">
        <f t="array" ref="G103">XLOOKUP($A103, Quotations!$K$2:K1756, Quotations!$L$2:L1756, "")
</f>
        <v>1362.8768</v>
      </c>
    </row>
    <row r="104">
      <c r="A104" s="8">
        <v>41787.0</v>
      </c>
      <c r="B104" s="9">
        <f t="array" ref="B104">XLOOKUP($A104, Quotations!$A$2:A1756, Quotations!$B$2:B1756, "")
</f>
        <v>125.17</v>
      </c>
      <c r="C104" s="9">
        <f t="array" ref="C104">XLOOKUP($A104, Quotations!$C$2:C1756, Quotations!$D$2:D1756, "")</f>
        <v>24.26</v>
      </c>
      <c r="D104" s="9">
        <f t="array" ref="D104">XLOOKUP($A104, Quotations!$E$2:E1756, Quotations!$F$2:F1756, "")
</f>
        <v>113.11</v>
      </c>
      <c r="E104" s="9">
        <f t="array" ref="E104">XLOOKUP($A104, Quotations!$G$2:G1756, Quotations!$H$2:H1756, "")
</f>
        <v>123.4</v>
      </c>
      <c r="F104" s="9">
        <f t="array" ref="F104">XLOOKUP($A104, Quotations!$I$2:I1756, Quotations!$J$2:J1756, "")
</f>
        <v>127.53</v>
      </c>
      <c r="G104" s="9">
        <f t="array" ref="G104">XLOOKUP($A104, Quotations!$K$2:K1756, Quotations!$L$2:L1756, "")
</f>
        <v>1366.8575</v>
      </c>
    </row>
    <row r="105">
      <c r="A105" s="8">
        <v>41789.0</v>
      </c>
      <c r="B105" s="9">
        <f t="array" ref="B105">XLOOKUP($A105, Quotations!$A$2:A1756, Quotations!$B$2:B1756, "")
</f>
        <v>125.29</v>
      </c>
      <c r="C105" s="9">
        <f t="array" ref="C105">XLOOKUP($A105, Quotations!$C$2:C1756, Quotations!$D$2:D1756, "")</f>
        <v>24.26</v>
      </c>
      <c r="D105" s="9">
        <f t="array" ref="D105">XLOOKUP($A105, Quotations!$E$2:E1756, Quotations!$F$2:F1756, "")
</f>
        <v>113.12</v>
      </c>
      <c r="E105" s="9">
        <f t="array" ref="E105">XLOOKUP($A105, Quotations!$G$2:G1756, Quotations!$H$2:H1756, "")
</f>
        <v>123.84</v>
      </c>
      <c r="F105" s="9">
        <f t="array" ref="F105">XLOOKUP($A105, Quotations!$I$2:I1756, Quotations!$J$2:J1756, "")
</f>
        <v>127.78</v>
      </c>
      <c r="G105" s="9">
        <f t="array" ref="G105">XLOOKUP($A105, Quotations!$K$2:K1756, Quotations!$L$2:L1756, "")
</f>
        <v>1368.9015</v>
      </c>
    </row>
    <row r="106">
      <c r="A106" s="8">
        <v>41792.0</v>
      </c>
      <c r="B106" s="9">
        <f t="array" ref="B106">XLOOKUP($A106, Quotations!$A$2:A1756, Quotations!$B$2:B1756, "")
</f>
        <v>125.45</v>
      </c>
      <c r="C106" s="9">
        <f t="array" ref="C106">XLOOKUP($A106, Quotations!$C$2:C1756, Quotations!$D$2:D1756, "")</f>
        <v>24.26</v>
      </c>
      <c r="D106" s="9">
        <f t="array" ref="D106">XLOOKUP($A106, Quotations!$E$2:E1756, Quotations!$F$2:F1756, "")
</f>
        <v>113.2</v>
      </c>
      <c r="E106" s="9">
        <f t="array" ref="E106">XLOOKUP($A106, Quotations!$G$2:G1756, Quotations!$H$2:H1756, "")
</f>
        <v>123.68</v>
      </c>
      <c r="F106" s="9">
        <f t="array" ref="F106">XLOOKUP($A106, Quotations!$I$2:I1756, Quotations!$J$2:J1756, "")
</f>
        <v>127.54</v>
      </c>
      <c r="G106" s="9">
        <f t="array" ref="G106">XLOOKUP($A106, Quotations!$K$2:K1756, Quotations!$L$2:L1756, "")
</f>
        <v>1368.6277</v>
      </c>
    </row>
    <row r="107">
      <c r="A107" s="8">
        <v>41793.0</v>
      </c>
      <c r="B107" s="9">
        <f t="array" ref="B107">XLOOKUP($A107, Quotations!$A$2:A1756, Quotations!$B$2:B1756, "")
</f>
        <v>125.22</v>
      </c>
      <c r="C107" s="9">
        <f t="array" ref="C107">XLOOKUP($A107, Quotations!$C$2:C1756, Quotations!$D$2:D1756, "")</f>
        <v>24.25</v>
      </c>
      <c r="D107" s="9">
        <f t="array" ref="D107">XLOOKUP($A107, Quotations!$E$2:E1756, Quotations!$F$2:F1756, "")
</f>
        <v>113.21</v>
      </c>
      <c r="E107" s="9">
        <f t="array" ref="E107">XLOOKUP($A107, Quotations!$G$2:G1756, Quotations!$H$2:H1756, "")
</f>
        <v>123.78</v>
      </c>
      <c r="F107" s="9">
        <f t="array" ref="F107">XLOOKUP($A107, Quotations!$I$2:I1756, Quotations!$J$2:J1756, "")
</f>
        <v>127.63</v>
      </c>
      <c r="G107" s="9">
        <f t="array" ref="G107">XLOOKUP($A107, Quotations!$K$2:K1756, Quotations!$L$2:L1756, "")
</f>
        <v>1369.6202</v>
      </c>
    </row>
    <row r="108">
      <c r="A108" s="8">
        <v>41794.0</v>
      </c>
      <c r="B108" s="9">
        <f t="array" ref="B108">XLOOKUP($A108, Quotations!$A$2:A1756, Quotations!$B$2:B1756, "")
</f>
        <v>125.17</v>
      </c>
      <c r="C108" s="9">
        <f t="array" ref="C108">XLOOKUP($A108, Quotations!$C$2:C1756, Quotations!$D$2:D1756, "")</f>
        <v>24.25</v>
      </c>
      <c r="D108" s="9">
        <f t="array" ref="D108">XLOOKUP($A108, Quotations!$E$2:E1756, Quotations!$F$2:F1756, "")
</f>
        <v>113.26</v>
      </c>
      <c r="E108" s="9">
        <f t="array" ref="E108">XLOOKUP($A108, Quotations!$G$2:G1756, Quotations!$H$2:H1756, "")
</f>
        <v>123.05</v>
      </c>
      <c r="F108" s="9">
        <f t="array" ref="F108">XLOOKUP($A108, Quotations!$I$2:I1756, Quotations!$J$2:J1756, "")
</f>
        <v>127.38</v>
      </c>
      <c r="G108" s="9">
        <f t="array" ref="G108">XLOOKUP($A108, Quotations!$K$2:K1756, Quotations!$L$2:L1756, "")
</f>
        <v>1367.5316</v>
      </c>
    </row>
    <row r="109">
      <c r="A109" s="8">
        <v>41795.0</v>
      </c>
      <c r="B109" s="9">
        <f t="array" ref="B109">XLOOKUP($A109, Quotations!$A$2:A1756, Quotations!$B$2:B1756, "")
</f>
        <v>125.47</v>
      </c>
      <c r="C109" s="9">
        <f t="array" ref="C109">XLOOKUP($A109, Quotations!$C$2:C1756, Quotations!$D$2:D1756, "")</f>
        <v>24.27</v>
      </c>
      <c r="D109" s="9">
        <f t="array" ref="D109">XLOOKUP($A109, Quotations!$E$2:E1756, Quotations!$F$2:F1756, "")
</f>
        <v>113.31</v>
      </c>
      <c r="E109" s="9">
        <f t="array" ref="E109">XLOOKUP($A109, Quotations!$G$2:G1756, Quotations!$H$2:H1756, "")
</f>
        <v>122.83</v>
      </c>
      <c r="F109" s="9">
        <f t="array" ref="F109">XLOOKUP($A109, Quotations!$I$2:I1756, Quotations!$J$2:J1756, "")
</f>
        <v>127.39</v>
      </c>
      <c r="G109" s="9">
        <f t="array" ref="G109">XLOOKUP($A109, Quotations!$K$2:K1756, Quotations!$L$2:L1756, "")
</f>
        <v>1367.7891</v>
      </c>
    </row>
    <row r="110">
      <c r="A110" s="8">
        <v>41796.0</v>
      </c>
      <c r="B110" s="9">
        <f t="array" ref="B110">XLOOKUP($A110, Quotations!$A$2:A1756, Quotations!$B$2:B1756, "")
</f>
        <v>126.04</v>
      </c>
      <c r="C110" s="9">
        <f t="array" ref="C110">XLOOKUP($A110, Quotations!$C$2:C1756, Quotations!$D$2:D1756, "")</f>
        <v>24.28</v>
      </c>
      <c r="D110" s="9">
        <f t="array" ref="D110">XLOOKUP($A110, Quotations!$E$2:E1756, Quotations!$F$2:F1756, "")
</f>
        <v>113.36</v>
      </c>
      <c r="E110" s="9">
        <f t="array" ref="E110">XLOOKUP($A110, Quotations!$G$2:G1756, Quotations!$H$2:H1756, "")
</f>
        <v>123.24</v>
      </c>
      <c r="F110" s="9">
        <f t="array" ref="F110">XLOOKUP($A110, Quotations!$I$2:I1756, Quotations!$J$2:J1756, "")
</f>
        <v>127.71</v>
      </c>
      <c r="G110" s="9">
        <f t="array" ref="G110">XLOOKUP($A110, Quotations!$K$2:K1756, Quotations!$L$2:L1756, "")
</f>
        <v>1370.3061</v>
      </c>
    </row>
    <row r="111">
      <c r="A111" s="8">
        <v>41800.0</v>
      </c>
      <c r="B111" s="9">
        <f t="array" ref="B111">XLOOKUP($A111, Quotations!$A$2:A1756, Quotations!$B$2:B1756, "")
</f>
        <v>126.14</v>
      </c>
      <c r="C111" s="9">
        <f t="array" ref="C111">XLOOKUP($A111, Quotations!$C$2:C1756, Quotations!$D$2:D1756, "")</f>
        <v>24.31</v>
      </c>
      <c r="D111" s="9">
        <f t="array" ref="D111">XLOOKUP($A111, Quotations!$E$2:E1756, Quotations!$F$2:F1756, "")
</f>
        <v>113.45</v>
      </c>
      <c r="E111" s="9">
        <f t="array" ref="E111">XLOOKUP($A111, Quotations!$G$2:G1756, Quotations!$H$2:H1756, "")
</f>
        <v>124.05</v>
      </c>
      <c r="F111" s="9">
        <f t="array" ref="F111">XLOOKUP($A111, Quotations!$I$2:I1756, Quotations!$J$2:J1756, "")
</f>
        <v>128.31</v>
      </c>
      <c r="G111" s="9">
        <f t="array" ref="G111">XLOOKUP($A111, Quotations!$K$2:K1756, Quotations!$L$2:L1756, "")
</f>
        <v>1374.2749</v>
      </c>
    </row>
    <row r="112">
      <c r="A112" s="8">
        <v>41801.0</v>
      </c>
      <c r="B112" s="9">
        <f t="array" ref="B112">XLOOKUP($A112, Quotations!$A$2:A1756, Quotations!$B$2:B1756, "")
</f>
        <v>125.85</v>
      </c>
      <c r="C112" s="9">
        <f t="array" ref="C112">XLOOKUP($A112, Quotations!$C$2:C1756, Quotations!$D$2:D1756, "")</f>
        <v>24.31</v>
      </c>
      <c r="D112" s="9">
        <f t="array" ref="D112">XLOOKUP($A112, Quotations!$E$2:E1756, Quotations!$F$2:F1756, "")
</f>
        <v>113.46</v>
      </c>
      <c r="E112" s="9">
        <f t="array" ref="E112">XLOOKUP($A112, Quotations!$G$2:G1756, Quotations!$H$2:H1756, "")
</f>
        <v>123.72</v>
      </c>
      <c r="F112" s="9">
        <f t="array" ref="F112">XLOOKUP($A112, Quotations!$I$2:I1756, Quotations!$J$2:J1756, "")
</f>
        <v>128.51</v>
      </c>
      <c r="G112" s="9">
        <f t="array" ref="G112">XLOOKUP($A112, Quotations!$K$2:K1756, Quotations!$L$2:L1756, "")
</f>
        <v>1375.0469</v>
      </c>
    </row>
    <row r="113">
      <c r="A113" s="8">
        <v>41802.0</v>
      </c>
      <c r="B113" s="9">
        <f t="array" ref="B113">XLOOKUP($A113, Quotations!$A$2:A1756, Quotations!$B$2:B1756, "")
</f>
        <v>125.9</v>
      </c>
      <c r="C113" s="9">
        <f t="array" ref="C113">XLOOKUP($A113, Quotations!$C$2:C1756, Quotations!$D$2:D1756, "")</f>
        <v>24.32</v>
      </c>
      <c r="D113" s="9">
        <f t="array" ref="D113">XLOOKUP($A113, Quotations!$E$2:E1756, Quotations!$F$2:F1756, "")
</f>
        <v>113.47</v>
      </c>
      <c r="E113" s="9">
        <f t="array" ref="E113">XLOOKUP($A113, Quotations!$G$2:G1756, Quotations!$H$2:H1756, "")
</f>
        <v>123.44</v>
      </c>
      <c r="F113" s="9">
        <f t="array" ref="F113">XLOOKUP($A113, Quotations!$I$2:I1756, Quotations!$J$2:J1756, "")
</f>
        <v>128.16</v>
      </c>
      <c r="G113" s="9">
        <f t="array" ref="G113">XLOOKUP($A113, Quotations!$K$2:K1756, Quotations!$L$2:L1756, "")
</f>
        <v>1372.3231</v>
      </c>
    </row>
    <row r="114">
      <c r="A114" s="8">
        <v>41803.0</v>
      </c>
      <c r="B114" s="9">
        <f t="array" ref="B114">XLOOKUP($A114, Quotations!$A$2:A1756, Quotations!$B$2:B1756, "")
</f>
        <v>125.66</v>
      </c>
      <c r="C114" s="9">
        <f t="array" ref="C114">XLOOKUP($A114, Quotations!$C$2:C1756, Quotations!$D$2:D1756, "")</f>
        <v>24.33</v>
      </c>
      <c r="D114" s="9">
        <f t="array" ref="D114">XLOOKUP($A114, Quotations!$E$2:E1756, Quotations!$F$2:F1756, "")
</f>
        <v>113.5</v>
      </c>
      <c r="E114" s="9">
        <f t="array" ref="E114">XLOOKUP($A114, Quotations!$G$2:G1756, Quotations!$H$2:H1756, "")
</f>
        <v>123.54</v>
      </c>
      <c r="F114" s="9">
        <f t="array" ref="F114">XLOOKUP($A114, Quotations!$I$2:I1756, Quotations!$J$2:J1756, "")
</f>
        <v>128.11</v>
      </c>
      <c r="G114" s="9">
        <f t="array" ref="G114">XLOOKUP($A114, Quotations!$K$2:K1756, Quotations!$L$2:L1756, "")
</f>
        <v>1369.8057</v>
      </c>
    </row>
    <row r="115">
      <c r="A115" s="8">
        <v>41806.0</v>
      </c>
      <c r="B115" s="9">
        <f t="array" ref="B115">XLOOKUP($A115, Quotations!$A$2:A1756, Quotations!$B$2:B1756, "")
</f>
        <v>125.44</v>
      </c>
      <c r="C115" s="9">
        <f t="array" ref="C115">XLOOKUP($A115, Quotations!$C$2:C1756, Quotations!$D$2:D1756, "")</f>
        <v>24.32</v>
      </c>
      <c r="D115" s="9">
        <f t="array" ref="D115">XLOOKUP($A115, Quotations!$E$2:E1756, Quotations!$F$2:F1756, "")
</f>
        <v>113.48</v>
      </c>
      <c r="E115" s="9">
        <f t="array" ref="E115">XLOOKUP($A115, Quotations!$G$2:G1756, Quotations!$H$2:H1756, "")
</f>
        <v>123.59</v>
      </c>
      <c r="F115" s="9">
        <f t="array" ref="F115">XLOOKUP($A115, Quotations!$I$2:I1756, Quotations!$J$2:J1756, "")
</f>
        <v>128.52</v>
      </c>
      <c r="G115" s="9">
        <f t="array" ref="G115">XLOOKUP($A115, Quotations!$K$2:K1756, Quotations!$L$2:L1756, "")
</f>
        <v>1367.9768</v>
      </c>
    </row>
    <row r="116">
      <c r="A116" s="8">
        <v>41807.0</v>
      </c>
      <c r="B116" s="9">
        <f t="array" ref="B116">XLOOKUP($A116, Quotations!$A$2:A1756, Quotations!$B$2:B1756, "")
</f>
        <v>125.38</v>
      </c>
      <c r="C116" s="9">
        <f t="array" ref="C116">XLOOKUP($A116, Quotations!$C$2:C1756, Quotations!$D$2:D1756, "")</f>
        <v>24.32</v>
      </c>
      <c r="D116" s="9">
        <f t="array" ref="D116">XLOOKUP($A116, Quotations!$E$2:E1756, Quotations!$F$2:F1756, "")
</f>
        <v>113.47</v>
      </c>
      <c r="E116" s="9">
        <f t="array" ref="E116">XLOOKUP($A116, Quotations!$G$2:G1756, Quotations!$H$2:H1756, "")
</f>
        <v>123.65</v>
      </c>
      <c r="F116" s="9">
        <f t="array" ref="F116">XLOOKUP($A116, Quotations!$I$2:I1756, Quotations!$J$2:J1756, "")
</f>
        <v>128.27</v>
      </c>
      <c r="G116" s="9">
        <f t="array" ref="G116">XLOOKUP($A116, Quotations!$K$2:K1756, Quotations!$L$2:L1756, "")
</f>
        <v>1367.907</v>
      </c>
    </row>
    <row r="117">
      <c r="A117" s="8">
        <v>41808.0</v>
      </c>
      <c r="B117" s="9">
        <f t="array" ref="B117">XLOOKUP($A117, Quotations!$A$2:A1756, Quotations!$B$2:B1756, "")
</f>
        <v>125.41</v>
      </c>
      <c r="C117" s="9">
        <f t="array" ref="C117">XLOOKUP($A117, Quotations!$C$2:C1756, Quotations!$D$2:D1756, "")</f>
        <v>24.3</v>
      </c>
      <c r="D117" s="9">
        <f t="array" ref="D117">XLOOKUP($A117, Quotations!$E$2:E1756, Quotations!$F$2:F1756, "")
</f>
        <v>113.46</v>
      </c>
      <c r="E117" s="9">
        <f t="array" ref="E117">XLOOKUP($A117, Quotations!$G$2:G1756, Quotations!$H$2:H1756, "")
</f>
        <v>123.22</v>
      </c>
      <c r="F117" s="9">
        <f t="array" ref="F117">XLOOKUP($A117, Quotations!$I$2:I1756, Quotations!$J$2:J1756, "")
</f>
        <v>128.47</v>
      </c>
      <c r="G117" s="9">
        <f t="array" ref="G117">XLOOKUP($A117, Quotations!$K$2:K1756, Quotations!$L$2:L1756, "")
</f>
        <v>1369.7599</v>
      </c>
    </row>
    <row r="118">
      <c r="A118" s="8">
        <v>41809.0</v>
      </c>
      <c r="B118" s="9">
        <f t="array" ref="B118">XLOOKUP($A118, Quotations!$A$2:A1756, Quotations!$B$2:B1756, "")
</f>
        <v>125.68</v>
      </c>
      <c r="C118" s="9">
        <f t="array" ref="C118">XLOOKUP($A118, Quotations!$C$2:C1756, Quotations!$D$2:D1756, "")</f>
        <v>24.3</v>
      </c>
      <c r="D118" s="9">
        <f t="array" ref="D118">XLOOKUP($A118, Quotations!$E$2:E1756, Quotations!$F$2:F1756, "")
</f>
        <v>113.5</v>
      </c>
      <c r="E118" s="9">
        <f t="array" ref="E118">XLOOKUP($A118, Quotations!$G$2:G1756, Quotations!$H$2:H1756, "")
</f>
        <v>123.61</v>
      </c>
      <c r="F118" s="9">
        <f t="array" ref="F118">XLOOKUP($A118, Quotations!$I$2:I1756, Quotations!$J$2:J1756, "")
</f>
        <v>128.53</v>
      </c>
      <c r="G118" s="9">
        <f t="array" ref="G118">XLOOKUP($A118, Quotations!$K$2:K1756, Quotations!$L$2:L1756, "")
</f>
        <v>1371.9008</v>
      </c>
    </row>
    <row r="119">
      <c r="A119" s="8">
        <v>41810.0</v>
      </c>
      <c r="B119" s="9">
        <f t="array" ref="B119">XLOOKUP($A119, Quotations!$A$2:A1756, Quotations!$B$2:B1756, "")
</f>
        <v>125.74</v>
      </c>
      <c r="C119" s="9">
        <f t="array" ref="C119">XLOOKUP($A119, Quotations!$C$2:C1756, Quotations!$D$2:D1756, "")</f>
        <v>24.31</v>
      </c>
      <c r="D119" s="9">
        <f t="array" ref="D119">XLOOKUP($A119, Quotations!$E$2:E1756, Quotations!$F$2:F1756, "")
</f>
        <v>113.53</v>
      </c>
      <c r="E119" s="9">
        <f t="array" ref="E119">XLOOKUP($A119, Quotations!$G$2:G1756, Quotations!$H$2:H1756, "")
</f>
        <v>124.55</v>
      </c>
      <c r="F119" s="9">
        <f t="array" ref="F119">XLOOKUP($A119, Quotations!$I$2:I1756, Quotations!$J$2:J1756, "")
</f>
        <v>128.68</v>
      </c>
      <c r="G119" s="9">
        <f t="array" ref="G119">XLOOKUP($A119, Quotations!$K$2:K1756, Quotations!$L$2:L1756, "")
</f>
        <v>1374.1379</v>
      </c>
    </row>
    <row r="120">
      <c r="A120" s="8">
        <v>41814.0</v>
      </c>
      <c r="B120" s="9">
        <f t="array" ref="B120">XLOOKUP($A120, Quotations!$A$2:A1756, Quotations!$B$2:B1756, "")
</f>
        <v>125.54</v>
      </c>
      <c r="C120" s="9">
        <f t="array" ref="C120">XLOOKUP($A120, Quotations!$C$2:C1756, Quotations!$D$2:D1756, "")</f>
        <v>24.31</v>
      </c>
      <c r="D120" s="9">
        <f t="array" ref="D120">XLOOKUP($A120, Quotations!$E$2:E1756, Quotations!$F$2:F1756, "")
</f>
        <v>113.26</v>
      </c>
      <c r="E120" s="9">
        <f t="array" ref="E120">XLOOKUP($A120, Quotations!$G$2:G1756, Quotations!$H$2:H1756, "")
</f>
        <v>124.24</v>
      </c>
      <c r="F120" s="9">
        <f t="array" ref="F120">XLOOKUP($A120, Quotations!$I$2:I1756, Quotations!$J$2:J1756, "")
</f>
        <v>128.65</v>
      </c>
      <c r="G120" s="9">
        <f t="array" ref="G120">XLOOKUP($A120, Quotations!$K$2:K1756, Quotations!$L$2:L1756, "")
</f>
        <v>1372.898</v>
      </c>
    </row>
    <row r="121">
      <c r="A121" s="8">
        <v>41815.0</v>
      </c>
      <c r="B121" s="9">
        <f t="array" ref="B121">XLOOKUP($A121, Quotations!$A$2:A1756, Quotations!$B$2:B1756, "")
</f>
        <v>125.32</v>
      </c>
      <c r="C121" s="9">
        <f t="array" ref="C121">XLOOKUP($A121, Quotations!$C$2:C1756, Quotations!$D$2:D1756, "")</f>
        <v>24.3</v>
      </c>
      <c r="D121" s="9">
        <f t="array" ref="D121">XLOOKUP($A121, Quotations!$E$2:E1756, Quotations!$F$2:F1756, "")
</f>
        <v>113.27</v>
      </c>
      <c r="E121" s="9">
        <f t="array" ref="E121">XLOOKUP($A121, Quotations!$G$2:G1756, Quotations!$H$2:H1756, "")
</f>
        <v>124.22</v>
      </c>
      <c r="F121" s="9">
        <f t="array" ref="F121">XLOOKUP($A121, Quotations!$I$2:I1756, Quotations!$J$2:J1756, "")
</f>
        <v>128.43</v>
      </c>
      <c r="G121" s="9">
        <f t="array" ref="G121">XLOOKUP($A121, Quotations!$K$2:K1756, Quotations!$L$2:L1756, "")
</f>
        <v>1364.4117</v>
      </c>
    </row>
    <row r="122">
      <c r="A122" s="8">
        <v>41816.0</v>
      </c>
      <c r="B122" s="9">
        <f t="array" ref="B122">XLOOKUP($A122, Quotations!$A$2:A1756, Quotations!$B$2:B1756, "")
</f>
        <v>125.34</v>
      </c>
      <c r="C122" s="9">
        <f t="array" ref="C122">XLOOKUP($A122, Quotations!$C$2:C1756, Quotations!$D$2:D1756, "")</f>
        <v>24.32</v>
      </c>
      <c r="D122" s="9">
        <f t="array" ref="D122">XLOOKUP($A122, Quotations!$E$2:E1756, Quotations!$F$2:F1756, "")
</f>
        <v>113.26</v>
      </c>
      <c r="E122" s="9">
        <f t="array" ref="E122">XLOOKUP($A122, Quotations!$G$2:G1756, Quotations!$H$2:H1756, "")
</f>
        <v>124.46</v>
      </c>
      <c r="F122" s="9">
        <f t="array" ref="F122">XLOOKUP($A122, Quotations!$I$2:I1756, Quotations!$J$2:J1756, "")
</f>
        <v>128.28</v>
      </c>
      <c r="G122" s="9">
        <f t="array" ref="G122">XLOOKUP($A122, Quotations!$K$2:K1756, Quotations!$L$2:L1756, "")
</f>
        <v>1364.3383</v>
      </c>
    </row>
    <row r="123">
      <c r="A123" s="8">
        <v>41817.0</v>
      </c>
      <c r="B123" s="9">
        <f t="array" ref="B123">XLOOKUP($A123, Quotations!$A$2:A1756, Quotations!$B$2:B1756, "")
</f>
        <v>125.36</v>
      </c>
      <c r="C123" s="9">
        <f t="array" ref="C123">XLOOKUP($A123, Quotations!$C$2:C1756, Quotations!$D$2:D1756, "")</f>
        <v>24.31</v>
      </c>
      <c r="D123" s="9">
        <f t="array" ref="D123">XLOOKUP($A123, Quotations!$E$2:E1756, Quotations!$F$2:F1756, "")
</f>
        <v>113.26</v>
      </c>
      <c r="E123" s="9">
        <f t="array" ref="E123">XLOOKUP($A123, Quotations!$G$2:G1756, Quotations!$H$2:H1756, "")
</f>
        <v>124.3</v>
      </c>
      <c r="F123" s="9">
        <f t="array" ref="F123">XLOOKUP($A123, Quotations!$I$2:I1756, Quotations!$J$2:J1756, "")
</f>
        <v>128.41</v>
      </c>
      <c r="G123" s="9">
        <f t="array" ref="G123">XLOOKUP($A123, Quotations!$K$2:K1756, Quotations!$L$2:L1756, "")
</f>
        <v>1370.6856</v>
      </c>
    </row>
    <row r="124">
      <c r="A124" s="8">
        <v>41820.0</v>
      </c>
      <c r="B124" s="9">
        <f t="array" ref="B124">XLOOKUP($A124, Quotations!$A$2:A1756, Quotations!$B$2:B1756, "")
</f>
        <v>125.26</v>
      </c>
      <c r="C124" s="9">
        <f t="array" ref="C124">XLOOKUP($A124, Quotations!$C$2:C1756, Quotations!$D$2:D1756, "")</f>
        <v>24.29</v>
      </c>
      <c r="D124" s="9">
        <f t="array" ref="D124">XLOOKUP($A124, Quotations!$E$2:E1756, Quotations!$F$2:F1756, "")
</f>
        <v>113.25</v>
      </c>
      <c r="E124" s="9">
        <f t="array" ref="E124">XLOOKUP($A124, Quotations!$G$2:G1756, Quotations!$H$2:H1756, "")
</f>
        <v>124.2</v>
      </c>
      <c r="F124" s="9">
        <f t="array" ref="F124">XLOOKUP($A124, Quotations!$I$2:I1756, Quotations!$J$2:J1756, "")
</f>
        <v>128.27</v>
      </c>
      <c r="G124" s="9">
        <f t="array" ref="G124">XLOOKUP($A124, Quotations!$K$2:K1756, Quotations!$L$2:L1756, "")
</f>
        <v>1372.424</v>
      </c>
    </row>
    <row r="125">
      <c r="A125" s="8">
        <v>41821.0</v>
      </c>
      <c r="B125" s="9">
        <f t="array" ref="B125">XLOOKUP($A125, Quotations!$A$2:A1756, Quotations!$B$2:B1756, "")
</f>
        <v>125.41</v>
      </c>
      <c r="C125" s="9">
        <f t="array" ref="C125">XLOOKUP($A125, Quotations!$C$2:C1756, Quotations!$D$2:D1756, "")</f>
        <v>24.31</v>
      </c>
      <c r="D125" s="9">
        <f t="array" ref="D125">XLOOKUP($A125, Quotations!$E$2:E1756, Quotations!$F$2:F1756, "")
</f>
        <v>113.29</v>
      </c>
      <c r="E125" s="9">
        <f t="array" ref="E125">XLOOKUP($A125, Quotations!$G$2:G1756, Quotations!$H$2:H1756, "")
</f>
        <v>124.48</v>
      </c>
      <c r="F125" s="9">
        <f t="array" ref="F125">XLOOKUP($A125, Quotations!$I$2:I1756, Quotations!$J$2:J1756, "")
</f>
        <v>128.17</v>
      </c>
      <c r="G125" s="9">
        <f t="array" ref="G125">XLOOKUP($A125, Quotations!$K$2:K1756, Quotations!$L$2:L1756, "")
</f>
        <v>1373.6166</v>
      </c>
    </row>
    <row r="126">
      <c r="A126" s="8">
        <v>41822.0</v>
      </c>
      <c r="B126" s="9">
        <f t="array" ref="B126">XLOOKUP($A126, Quotations!$A$2:A1756, Quotations!$B$2:B1756, "")
</f>
        <v>125.54</v>
      </c>
      <c r="C126" s="9">
        <f t="array" ref="C126">XLOOKUP($A126, Quotations!$C$2:C1756, Quotations!$D$2:D1756, "")</f>
        <v>24.3</v>
      </c>
      <c r="D126" s="9">
        <f t="array" ref="D126">XLOOKUP($A126, Quotations!$E$2:E1756, Quotations!$F$2:F1756, "")
</f>
        <v>113.32</v>
      </c>
      <c r="E126" s="9">
        <f t="array" ref="E126">XLOOKUP($A126, Quotations!$G$2:G1756, Quotations!$H$2:H1756, "")
</f>
        <v>124.72</v>
      </c>
      <c r="F126" s="9">
        <f t="array" ref="F126">XLOOKUP($A126, Quotations!$I$2:I1756, Quotations!$J$2:J1756, "")
</f>
        <v>128.66</v>
      </c>
      <c r="G126" s="9">
        <f t="array" ref="G126">XLOOKUP($A126, Quotations!$K$2:K1756, Quotations!$L$2:L1756, "")
</f>
        <v>1377.1649</v>
      </c>
    </row>
    <row r="127">
      <c r="A127" s="8">
        <v>41823.0</v>
      </c>
      <c r="B127" s="9">
        <f t="array" ref="B127">XLOOKUP($A127, Quotations!$A$2:A1756, Quotations!$B$2:B1756, "")
</f>
        <v>125.66</v>
      </c>
      <c r="C127" s="9">
        <f t="array" ref="C127">XLOOKUP($A127, Quotations!$C$2:C1756, Quotations!$D$2:D1756, "")</f>
        <v>24.3</v>
      </c>
      <c r="D127" s="9">
        <f t="array" ref="D127">XLOOKUP($A127, Quotations!$E$2:E1756, Quotations!$F$2:F1756, "")
</f>
        <v>113.35</v>
      </c>
      <c r="E127" s="9">
        <f t="array" ref="E127">XLOOKUP($A127, Quotations!$G$2:G1756, Quotations!$H$2:H1756, "")
</f>
        <v>124.49</v>
      </c>
      <c r="F127" s="9">
        <f t="array" ref="F127">XLOOKUP($A127, Quotations!$I$2:I1756, Quotations!$J$2:J1756, "")
</f>
        <v>128.57</v>
      </c>
      <c r="G127" s="9">
        <f t="array" ref="G127">XLOOKUP($A127, Quotations!$K$2:K1756, Quotations!$L$2:L1756, "")
</f>
        <v>1379.3488</v>
      </c>
    </row>
    <row r="128">
      <c r="A128" s="8">
        <v>41824.0</v>
      </c>
      <c r="B128" s="9">
        <f t="array" ref="B128">XLOOKUP($A128, Quotations!$A$2:A1756, Quotations!$B$2:B1756, "")
</f>
        <v>125.51</v>
      </c>
      <c r="C128" s="9">
        <f t="array" ref="C128">XLOOKUP($A128, Quotations!$C$2:C1756, Quotations!$D$2:D1756, "")</f>
        <v>24.31</v>
      </c>
      <c r="D128" s="9">
        <f t="array" ref="D128">XLOOKUP($A128, Quotations!$E$2:E1756, Quotations!$F$2:F1756, "")
</f>
        <v>113.3</v>
      </c>
      <c r="E128" s="9">
        <f t="array" ref="E128">XLOOKUP($A128, Quotations!$G$2:G1756, Quotations!$H$2:H1756, "")
</f>
        <v>124.92</v>
      </c>
      <c r="F128" s="9">
        <f t="array" ref="F128">XLOOKUP($A128, Quotations!$I$2:I1756, Quotations!$J$2:J1756, "")
</f>
        <v>128.75</v>
      </c>
      <c r="G128" s="9">
        <f t="array" ref="G128">XLOOKUP($A128, Quotations!$K$2:K1756, Quotations!$L$2:L1756, "")
</f>
        <v>1380.3125</v>
      </c>
    </row>
    <row r="129">
      <c r="A129" s="8">
        <v>41827.0</v>
      </c>
      <c r="B129" s="9">
        <f t="array" ref="B129">XLOOKUP($A129, Quotations!$A$2:A1756, Quotations!$B$2:B1756, "")
</f>
        <v>125.17</v>
      </c>
      <c r="C129" s="9">
        <f t="array" ref="C129">XLOOKUP($A129, Quotations!$C$2:C1756, Quotations!$D$2:D1756, "")</f>
        <v>24.31</v>
      </c>
      <c r="D129" s="9">
        <f t="array" ref="D129">XLOOKUP($A129, Quotations!$E$2:E1756, Quotations!$F$2:F1756, "")
</f>
        <v>113.33</v>
      </c>
      <c r="E129" s="9">
        <f t="array" ref="E129">XLOOKUP($A129, Quotations!$G$2:G1756, Quotations!$H$2:H1756, "")
</f>
        <v>125.2</v>
      </c>
      <c r="F129" s="9">
        <f t="array" ref="F129">XLOOKUP($A129, Quotations!$I$2:I1756, Quotations!$J$2:J1756, "")
</f>
        <v>128.79</v>
      </c>
      <c r="G129" s="9">
        <f t="array" ref="G129">XLOOKUP($A129, Quotations!$K$2:K1756, Quotations!$L$2:L1756, "")
</f>
        <v>1380.1121</v>
      </c>
    </row>
    <row r="130">
      <c r="A130" s="8">
        <v>41828.0</v>
      </c>
      <c r="B130" s="9">
        <f t="array" ref="B130">XLOOKUP($A130, Quotations!$A$2:A1756, Quotations!$B$2:B1756, "")
</f>
        <v>124.72</v>
      </c>
      <c r="C130" s="9">
        <f t="array" ref="C130">XLOOKUP($A130, Quotations!$C$2:C1756, Quotations!$D$2:D1756, "")</f>
        <v>24.31</v>
      </c>
      <c r="D130" s="9">
        <f t="array" ref="D130">XLOOKUP($A130, Quotations!$E$2:E1756, Quotations!$F$2:F1756, "")
</f>
        <v>113.33</v>
      </c>
      <c r="E130" s="9">
        <f t="array" ref="E130">XLOOKUP($A130, Quotations!$G$2:G1756, Quotations!$H$2:H1756, "")
</f>
        <v>124.72</v>
      </c>
      <c r="F130" s="9">
        <f t="array" ref="F130">XLOOKUP($A130, Quotations!$I$2:I1756, Quotations!$J$2:J1756, "")
</f>
        <v>128.58</v>
      </c>
      <c r="G130" s="9">
        <f t="array" ref="G130">XLOOKUP($A130, Quotations!$K$2:K1756, Quotations!$L$2:L1756, "")
</f>
        <v>1375.0642</v>
      </c>
    </row>
    <row r="131">
      <c r="A131" s="8">
        <v>41829.0</v>
      </c>
      <c r="B131" s="9">
        <f t="array" ref="B131">XLOOKUP($A131, Quotations!$A$2:A1756, Quotations!$B$2:B1756, "")
</f>
        <v>124.74</v>
      </c>
      <c r="C131" s="9">
        <f t="array" ref="C131">XLOOKUP($A131, Quotations!$C$2:C1756, Quotations!$D$2:D1756, "")</f>
        <v>24.31</v>
      </c>
      <c r="D131" s="9">
        <f t="array" ref="D131">XLOOKUP($A131, Quotations!$E$2:E1756, Quotations!$F$2:F1756, "")
</f>
        <v>113.29</v>
      </c>
      <c r="E131" s="9">
        <f t="array" ref="E131">XLOOKUP($A131, Quotations!$G$2:G1756, Quotations!$H$2:H1756, "")
</f>
        <v>124.41</v>
      </c>
      <c r="F131" s="9">
        <f t="array" ref="F131">XLOOKUP($A131, Quotations!$I$2:I1756, Quotations!$J$2:J1756, "")
</f>
        <v>128.16</v>
      </c>
      <c r="G131" s="9">
        <f t="array" ref="G131">XLOOKUP($A131, Quotations!$K$2:K1756, Quotations!$L$2:L1756, "")
</f>
        <v>1365.8644</v>
      </c>
    </row>
    <row r="132">
      <c r="A132" s="8">
        <v>41830.0</v>
      </c>
      <c r="B132" s="9">
        <f t="array" ref="B132">XLOOKUP($A132, Quotations!$A$2:A1756, Quotations!$B$2:B1756, "")
</f>
        <v>124.34</v>
      </c>
      <c r="C132" s="9">
        <f t="array" ref="C132">XLOOKUP($A132, Quotations!$C$2:C1756, Quotations!$D$2:D1756, "")</f>
        <v>24.32</v>
      </c>
      <c r="D132" s="9">
        <f t="array" ref="D132">XLOOKUP($A132, Quotations!$E$2:E1756, Quotations!$F$2:F1756, "")
</f>
        <v>113.24</v>
      </c>
      <c r="E132" s="9">
        <f t="array" ref="E132">XLOOKUP($A132, Quotations!$G$2:G1756, Quotations!$H$2:H1756, "")
</f>
        <v>124.56</v>
      </c>
      <c r="F132" s="9">
        <f t="array" ref="F132">XLOOKUP($A132, Quotations!$I$2:I1756, Quotations!$J$2:J1756, "")
</f>
        <v>128.29</v>
      </c>
      <c r="G132" s="9">
        <f t="array" ref="G132">XLOOKUP($A132, Quotations!$K$2:K1756, Quotations!$L$2:L1756, "")
</f>
        <v>1367.4002</v>
      </c>
    </row>
    <row r="133">
      <c r="A133" s="8">
        <v>41831.0</v>
      </c>
      <c r="B133" s="9">
        <f t="array" ref="B133">XLOOKUP($A133, Quotations!$A$2:A1756, Quotations!$B$2:B1756, "")
</f>
        <v>124.24</v>
      </c>
      <c r="C133" s="9">
        <f t="array" ref="C133">XLOOKUP($A133, Quotations!$C$2:C1756, Quotations!$D$2:D1756, "")</f>
        <v>24.32</v>
      </c>
      <c r="D133" s="9">
        <f t="array" ref="D133">XLOOKUP($A133, Quotations!$E$2:E1756, Quotations!$F$2:F1756, "")
</f>
        <v>113.17</v>
      </c>
      <c r="E133" s="9">
        <f t="array" ref="E133">XLOOKUP($A133, Quotations!$G$2:G1756, Quotations!$H$2:H1756, "")
</f>
        <v>124.1</v>
      </c>
      <c r="F133" s="9">
        <f t="array" ref="F133">XLOOKUP($A133, Quotations!$I$2:I1756, Quotations!$J$2:J1756, "")
</f>
        <v>128.05</v>
      </c>
      <c r="G133" s="9">
        <f t="array" ref="G133">XLOOKUP($A133, Quotations!$K$2:K1756, Quotations!$L$2:L1756, "")
</f>
        <v>1363.1432</v>
      </c>
    </row>
    <row r="134">
      <c r="A134" s="8">
        <v>41834.0</v>
      </c>
      <c r="B134" s="9" t="str">
        <f t="array" ref="B134">XLOOKUP($A134, Quotations!$A$2:A1756, Quotations!$B$2:B1756, "")
</f>
        <v/>
      </c>
      <c r="C134" s="9">
        <f t="array" ref="C134">XLOOKUP($A134, Quotations!$C$2:C1756, Quotations!$D$2:D1756, "")</f>
        <v>24.31</v>
      </c>
      <c r="D134" s="9">
        <f t="array" ref="D134">XLOOKUP($A134, Quotations!$E$2:E1756, Quotations!$F$2:F1756, "")
</f>
        <v>113.17</v>
      </c>
      <c r="E134" s="9">
        <f t="array" ref="E134">XLOOKUP($A134, Quotations!$G$2:G1756, Quotations!$H$2:H1756, "")
</f>
        <v>123.97</v>
      </c>
      <c r="F134" s="9">
        <f t="array" ref="F134">XLOOKUP($A134, Quotations!$I$2:I1756, Quotations!$J$2:J1756, "")
</f>
        <v>128.2</v>
      </c>
      <c r="G134" s="9">
        <f t="array" ref="G134">XLOOKUP($A134, Quotations!$K$2:K1756, Quotations!$L$2:L1756, "")
</f>
        <v>1363.9124</v>
      </c>
    </row>
    <row r="135">
      <c r="A135" s="8">
        <v>41835.0</v>
      </c>
      <c r="B135" s="9">
        <f t="array" ref="B135">XLOOKUP($A135, Quotations!$A$2:A1756, Quotations!$B$2:B1756, "")
</f>
        <v>124.22</v>
      </c>
      <c r="C135" s="9">
        <f t="array" ref="C135">XLOOKUP($A135, Quotations!$C$2:C1756, Quotations!$D$2:D1756, "")</f>
        <v>24.33</v>
      </c>
      <c r="D135" s="9">
        <f t="array" ref="D135">XLOOKUP($A135, Quotations!$E$2:E1756, Quotations!$F$2:F1756, "")
</f>
        <v>113.17</v>
      </c>
      <c r="E135" s="9">
        <f t="array" ref="E135">XLOOKUP($A135, Quotations!$G$2:G1756, Quotations!$H$2:H1756, "")
</f>
        <v>124.59</v>
      </c>
      <c r="F135" s="9">
        <f t="array" ref="F135">XLOOKUP($A135, Quotations!$I$2:I1756, Quotations!$J$2:J1756, "")
</f>
        <v>128.31</v>
      </c>
      <c r="G135" s="9">
        <f t="array" ref="G135">XLOOKUP($A135, Quotations!$K$2:K1756, Quotations!$L$2:L1756, "")
</f>
        <v>1366.6824</v>
      </c>
    </row>
    <row r="136">
      <c r="A136" s="8">
        <v>41836.0</v>
      </c>
      <c r="B136" s="9">
        <f t="array" ref="B136">XLOOKUP($A136, Quotations!$A$2:A1756, Quotations!$B$2:B1756, "")
</f>
        <v>124.63</v>
      </c>
      <c r="C136" s="9">
        <f t="array" ref="C136">XLOOKUP($A136, Quotations!$C$2:C1756, Quotations!$D$2:D1756, "")</f>
        <v>24.34</v>
      </c>
      <c r="D136" s="9">
        <f t="array" ref="D136">XLOOKUP($A136, Quotations!$E$2:E1756, Quotations!$F$2:F1756, "")
</f>
        <v>113.22</v>
      </c>
      <c r="E136" s="9">
        <f t="array" ref="E136">XLOOKUP($A136, Quotations!$G$2:G1756, Quotations!$H$2:H1756, "")
</f>
        <v>124.34</v>
      </c>
      <c r="F136" s="9">
        <f t="array" ref="F136">XLOOKUP($A136, Quotations!$I$2:I1756, Quotations!$J$2:J1756, "")
</f>
        <v>128.31</v>
      </c>
      <c r="G136" s="9">
        <f t="array" ref="G136">XLOOKUP($A136, Quotations!$K$2:K1756, Quotations!$L$2:L1756, "")
</f>
        <v>1364.7133</v>
      </c>
    </row>
    <row r="137">
      <c r="A137" s="8">
        <v>41837.0</v>
      </c>
      <c r="B137" s="9">
        <f t="array" ref="B137">XLOOKUP($A137, Quotations!$A$2:A1756, Quotations!$B$2:B1756, "")
</f>
        <v>124.45</v>
      </c>
      <c r="C137" s="9">
        <f t="array" ref="C137">XLOOKUP($A137, Quotations!$C$2:C1756, Quotations!$D$2:D1756, "")</f>
        <v>24.34</v>
      </c>
      <c r="D137" s="9">
        <f t="array" ref="D137">XLOOKUP($A137, Quotations!$E$2:E1756, Quotations!$F$2:F1756, "")
</f>
        <v>113.16</v>
      </c>
      <c r="E137" s="9">
        <f t="array" ref="E137">XLOOKUP($A137, Quotations!$G$2:G1756, Quotations!$H$2:H1756, "")
</f>
        <v>125.09</v>
      </c>
      <c r="F137" s="9">
        <f t="array" ref="F137">XLOOKUP($A137, Quotations!$I$2:I1756, Quotations!$J$2:J1756, "")
</f>
        <v>128.5</v>
      </c>
      <c r="G137" s="9">
        <f t="array" ref="G137">XLOOKUP($A137, Quotations!$K$2:K1756, Quotations!$L$2:L1756, "")
</f>
        <v>1370.2278</v>
      </c>
    </row>
    <row r="138">
      <c r="A138" s="8">
        <v>41838.0</v>
      </c>
      <c r="B138" s="9">
        <f t="array" ref="B138">XLOOKUP($A138, Quotations!$A$2:A1756, Quotations!$B$2:B1756, "")
</f>
        <v>124.34</v>
      </c>
      <c r="C138" s="9">
        <f t="array" ref="C138">XLOOKUP($A138, Quotations!$C$2:C1756, Quotations!$D$2:D1756, "")</f>
        <v>24.35</v>
      </c>
      <c r="D138" s="9">
        <f t="array" ref="D138">XLOOKUP($A138, Quotations!$E$2:E1756, Quotations!$F$2:F1756, "")
</f>
        <v>113.07</v>
      </c>
      <c r="E138" s="9">
        <f t="array" ref="E138">XLOOKUP($A138, Quotations!$G$2:G1756, Quotations!$H$2:H1756, "")
</f>
        <v>124.9</v>
      </c>
      <c r="F138" s="9">
        <f t="array" ref="F138">XLOOKUP($A138, Quotations!$I$2:I1756, Quotations!$J$2:J1756, "")
</f>
        <v>128.25</v>
      </c>
      <c r="G138" s="9">
        <f t="array" ref="G138">XLOOKUP($A138, Quotations!$K$2:K1756, Quotations!$L$2:L1756, "")
</f>
        <v>1363.9293</v>
      </c>
    </row>
    <row r="139">
      <c r="A139" s="8">
        <v>41841.0</v>
      </c>
      <c r="B139" s="9">
        <f t="array" ref="B139">XLOOKUP($A139, Quotations!$A$2:A1756, Quotations!$B$2:B1756, "")
</f>
        <v>124.21</v>
      </c>
      <c r="C139" s="9">
        <f t="array" ref="C139">XLOOKUP($A139, Quotations!$C$2:C1756, Quotations!$D$2:D1756, "")</f>
        <v>24.34</v>
      </c>
      <c r="D139" s="9">
        <f t="array" ref="D139">XLOOKUP($A139, Quotations!$E$2:E1756, Quotations!$F$2:F1756, "")
</f>
        <v>113.08</v>
      </c>
      <c r="E139" s="9">
        <f t="array" ref="E139">XLOOKUP($A139, Quotations!$G$2:G1756, Quotations!$H$2:H1756, "")
</f>
        <v>124.7</v>
      </c>
      <c r="F139" s="9">
        <f t="array" ref="F139">XLOOKUP($A139, Quotations!$I$2:I1756, Quotations!$J$2:J1756, "")
</f>
        <v>128.61</v>
      </c>
      <c r="G139" s="9">
        <f t="array" ref="G139">XLOOKUP($A139, Quotations!$K$2:K1756, Quotations!$L$2:L1756, "")
</f>
        <v>1364.548</v>
      </c>
    </row>
    <row r="140">
      <c r="A140" s="8">
        <v>41842.0</v>
      </c>
      <c r="B140" s="9">
        <f t="array" ref="B140">XLOOKUP($A140, Quotations!$A$2:A1756, Quotations!$B$2:B1756, "")
</f>
        <v>124.47</v>
      </c>
      <c r="C140" s="9">
        <f t="array" ref="C140">XLOOKUP($A140, Quotations!$C$2:C1756, Quotations!$D$2:D1756, "")</f>
        <v>24.37</v>
      </c>
      <c r="D140" s="9">
        <f t="array" ref="D140">XLOOKUP($A140, Quotations!$E$2:E1756, Quotations!$F$2:F1756, "")
</f>
        <v>113.1</v>
      </c>
      <c r="E140" s="9">
        <f t="array" ref="E140">XLOOKUP($A140, Quotations!$G$2:G1756, Quotations!$H$2:H1756, "")
</f>
        <v>124.43</v>
      </c>
      <c r="F140" s="9">
        <f t="array" ref="F140">XLOOKUP($A140, Quotations!$I$2:I1756, Quotations!$J$2:J1756, "")
</f>
        <v>128.36</v>
      </c>
      <c r="G140" s="9">
        <f t="array" ref="G140">XLOOKUP($A140, Quotations!$K$2:K1756, Quotations!$L$2:L1756, "")
</f>
        <v>1364.6544</v>
      </c>
    </row>
    <row r="141">
      <c r="A141" s="8">
        <v>41843.0</v>
      </c>
      <c r="B141" s="9">
        <f t="array" ref="B141">XLOOKUP($A141, Quotations!$A$2:A1756, Quotations!$B$2:B1756, "")
</f>
        <v>124.49</v>
      </c>
      <c r="C141" s="9">
        <f t="array" ref="C141">XLOOKUP($A141, Quotations!$C$2:C1756, Quotations!$D$2:D1756, "")</f>
        <v>24.37</v>
      </c>
      <c r="D141" s="9">
        <f t="array" ref="D141">XLOOKUP($A141, Quotations!$E$2:E1756, Quotations!$F$2:F1756, "")
</f>
        <v>113.1</v>
      </c>
      <c r="E141" s="9">
        <f t="array" ref="E141">XLOOKUP($A141, Quotations!$G$2:G1756, Quotations!$H$2:H1756, "")
</f>
        <v>124.67</v>
      </c>
      <c r="F141" s="9">
        <f t="array" ref="F141">XLOOKUP($A141, Quotations!$I$2:I1756, Quotations!$J$2:J1756, "")
</f>
        <v>128.67</v>
      </c>
      <c r="G141" s="9">
        <f t="array" ref="G141">XLOOKUP($A141, Quotations!$K$2:K1756, Quotations!$L$2:L1756, "")
</f>
        <v>1370.4861</v>
      </c>
    </row>
    <row r="142">
      <c r="A142" s="8">
        <v>41844.0</v>
      </c>
      <c r="B142" s="9">
        <f t="array" ref="B142">XLOOKUP($A142, Quotations!$A$2:A1756, Quotations!$B$2:B1756, "")
</f>
        <v>124.56</v>
      </c>
      <c r="C142" s="9">
        <f t="array" ref="C142">XLOOKUP($A142, Quotations!$C$2:C1756, Quotations!$D$2:D1756, "")</f>
        <v>24.37</v>
      </c>
      <c r="D142" s="9">
        <f t="array" ref="D142">XLOOKUP($A142, Quotations!$E$2:E1756, Quotations!$F$2:F1756, "")
</f>
        <v>113.11</v>
      </c>
      <c r="E142" s="9">
        <f t="array" ref="E142">XLOOKUP($A142, Quotations!$G$2:G1756, Quotations!$H$2:H1756, "")
</f>
        <v>125.06</v>
      </c>
      <c r="F142" s="9">
        <f t="array" ref="F142">XLOOKUP($A142, Quotations!$I$2:I1756, Quotations!$J$2:J1756, "")
</f>
        <v>128.77</v>
      </c>
      <c r="G142" s="9">
        <f t="array" ref="G142">XLOOKUP($A142, Quotations!$K$2:K1756, Quotations!$L$2:L1756, "")
</f>
        <v>1370.006</v>
      </c>
    </row>
    <row r="143">
      <c r="A143" s="8">
        <v>41845.0</v>
      </c>
      <c r="B143" s="9">
        <f t="array" ref="B143">XLOOKUP($A143, Quotations!$A$2:A1756, Quotations!$B$2:B1756, "")
</f>
        <v>124.41</v>
      </c>
      <c r="C143" s="9">
        <f t="array" ref="C143">XLOOKUP($A143, Quotations!$C$2:C1756, Quotations!$D$2:D1756, "")</f>
        <v>24.38</v>
      </c>
      <c r="D143" s="9">
        <f t="array" ref="D143">XLOOKUP($A143, Quotations!$E$2:E1756, Quotations!$F$2:F1756, "")
</f>
        <v>113.15</v>
      </c>
      <c r="E143" s="9">
        <f t="array" ref="E143">XLOOKUP($A143, Quotations!$G$2:G1756, Quotations!$H$2:H1756, "")
</f>
        <v>124.89</v>
      </c>
      <c r="F143" s="9">
        <f t="array" ref="F143">XLOOKUP($A143, Quotations!$I$2:I1756, Quotations!$J$2:J1756, "")
</f>
        <v>128.58</v>
      </c>
      <c r="G143" s="9">
        <f t="array" ref="G143">XLOOKUP($A143, Quotations!$K$2:K1756, Quotations!$L$2:L1756, "")
</f>
        <v>1371.7426</v>
      </c>
    </row>
    <row r="144">
      <c r="A144" s="8">
        <v>41848.0</v>
      </c>
      <c r="B144" s="9">
        <f t="array" ref="B144">XLOOKUP($A144, Quotations!$A$2:A1756, Quotations!$B$2:B1756, "")
</f>
        <v>124.37</v>
      </c>
      <c r="C144" s="9">
        <f t="array" ref="C144">XLOOKUP($A144, Quotations!$C$2:C1756, Quotations!$D$2:D1756, "")</f>
        <v>24.38</v>
      </c>
      <c r="D144" s="9">
        <f t="array" ref="D144">XLOOKUP($A144, Quotations!$E$2:E1756, Quotations!$F$2:F1756, "")
</f>
        <v>113.15</v>
      </c>
      <c r="E144" s="9">
        <f t="array" ref="E144">XLOOKUP($A144, Quotations!$G$2:G1756, Quotations!$H$2:H1756, "")
</f>
        <v>124.42</v>
      </c>
      <c r="F144" s="9">
        <f t="array" ref="F144">XLOOKUP($A144, Quotations!$I$2:I1756, Quotations!$J$2:J1756, "")
</f>
        <v>128.66</v>
      </c>
      <c r="G144" s="9">
        <f t="array" ref="G144">XLOOKUP($A144, Quotations!$K$2:K1756, Quotations!$L$2:L1756, "")
</f>
        <v>1370.1823</v>
      </c>
    </row>
    <row r="145">
      <c r="A145" s="8">
        <v>41849.0</v>
      </c>
      <c r="B145" s="9">
        <f t="array" ref="B145">XLOOKUP($A145, Quotations!$A$2:A1756, Quotations!$B$2:B1756, "")
</f>
        <v>124.42</v>
      </c>
      <c r="C145" s="9">
        <f t="array" ref="C145">XLOOKUP($A145, Quotations!$C$2:C1756, Quotations!$D$2:D1756, "")</f>
        <v>24.38</v>
      </c>
      <c r="D145" s="9">
        <f t="array" ref="D145">XLOOKUP($A145, Quotations!$E$2:E1756, Quotations!$F$2:F1756, "")
</f>
        <v>113.13</v>
      </c>
      <c r="E145" s="9">
        <f t="array" ref="E145">XLOOKUP($A145, Quotations!$G$2:G1756, Quotations!$H$2:H1756, "")
</f>
        <v>124.17</v>
      </c>
      <c r="F145" s="9">
        <f t="array" ref="F145">XLOOKUP($A145, Quotations!$I$2:I1756, Quotations!$J$2:J1756, "")
</f>
        <v>128.6</v>
      </c>
      <c r="G145" s="9">
        <f t="array" ref="G145">XLOOKUP($A145, Quotations!$K$2:K1756, Quotations!$L$2:L1756, "")
</f>
        <v>1369.2542</v>
      </c>
    </row>
    <row r="146">
      <c r="A146" s="8">
        <v>41850.0</v>
      </c>
      <c r="B146" s="9">
        <f t="array" ref="B146">XLOOKUP($A146, Quotations!$A$2:A1756, Quotations!$B$2:B1756, "")
</f>
        <v>124.14</v>
      </c>
      <c r="C146" s="9">
        <f t="array" ref="C146">XLOOKUP($A146, Quotations!$C$2:C1756, Quotations!$D$2:D1756, "")</f>
        <v>24.38</v>
      </c>
      <c r="D146" s="9">
        <f t="array" ref="D146">XLOOKUP($A146, Quotations!$E$2:E1756, Quotations!$F$2:F1756, "")
</f>
        <v>113.14</v>
      </c>
      <c r="E146" s="9">
        <f t="array" ref="E146">XLOOKUP($A146, Quotations!$G$2:G1756, Quotations!$H$2:H1756, "")
</f>
        <v>124.8</v>
      </c>
      <c r="F146" s="9">
        <f t="array" ref="F146">XLOOKUP($A146, Quotations!$I$2:I1756, Quotations!$J$2:J1756, "")
</f>
        <v>128.71</v>
      </c>
      <c r="G146" s="9">
        <f t="array" ref="G146">XLOOKUP($A146, Quotations!$K$2:K1756, Quotations!$L$2:L1756, "")
</f>
        <v>1369.419</v>
      </c>
    </row>
    <row r="147">
      <c r="A147" s="8">
        <v>41851.0</v>
      </c>
      <c r="B147" s="9">
        <f t="array" ref="B147">XLOOKUP($A147, Quotations!$A$2:A1756, Quotations!$B$2:B1756, "")
</f>
        <v>123.78</v>
      </c>
      <c r="C147" s="9">
        <f t="array" ref="C147">XLOOKUP($A147, Quotations!$C$2:C1756, Quotations!$D$2:D1756, "")</f>
        <v>24.37</v>
      </c>
      <c r="D147" s="9">
        <f t="array" ref="D147">XLOOKUP($A147, Quotations!$E$2:E1756, Quotations!$F$2:F1756, "")
</f>
        <v>113.08</v>
      </c>
      <c r="E147" s="9">
        <f t="array" ref="E147">XLOOKUP($A147, Quotations!$G$2:G1756, Quotations!$H$2:H1756, "")
</f>
        <v>124.04</v>
      </c>
      <c r="F147" s="9">
        <f t="array" ref="F147">XLOOKUP($A147, Quotations!$I$2:I1756, Quotations!$J$2:J1756, "")
</f>
        <v>128.7</v>
      </c>
      <c r="G147" s="9">
        <f t="array" ref="G147">XLOOKUP($A147, Quotations!$K$2:K1756, Quotations!$L$2:L1756, "")
</f>
        <v>1362.5416</v>
      </c>
    </row>
    <row r="148">
      <c r="A148" s="8">
        <v>41852.0</v>
      </c>
      <c r="B148" s="9">
        <f t="array" ref="B148">XLOOKUP($A148, Quotations!$A$2:A1756, Quotations!$B$2:B1756, "")
</f>
        <v>123.34</v>
      </c>
      <c r="C148" s="9">
        <f t="array" ref="C148">XLOOKUP($A148, Quotations!$C$2:C1756, Quotations!$D$2:D1756, "")</f>
        <v>24.36</v>
      </c>
      <c r="D148" s="9">
        <f t="array" ref="D148">XLOOKUP($A148, Quotations!$E$2:E1756, Quotations!$F$2:F1756, "")
</f>
        <v>112.99</v>
      </c>
      <c r="E148" s="9">
        <f t="array" ref="E148">XLOOKUP($A148, Quotations!$G$2:G1756, Quotations!$H$2:H1756, "")
</f>
        <v>122.99</v>
      </c>
      <c r="F148" s="9">
        <f t="array" ref="F148">XLOOKUP($A148, Quotations!$I$2:I1756, Quotations!$J$2:J1756, "")
</f>
        <v>127.92</v>
      </c>
      <c r="G148" s="9">
        <f t="array" ref="G148">XLOOKUP($A148, Quotations!$K$2:K1756, Quotations!$L$2:L1756, "")
</f>
        <v>1361.6811</v>
      </c>
    </row>
    <row r="149">
      <c r="A149" s="8">
        <v>41855.0</v>
      </c>
      <c r="B149" s="9">
        <f t="array" ref="B149">XLOOKUP($A149, Quotations!$A$2:A1756, Quotations!$B$2:B1756, "")
</f>
        <v>123.3</v>
      </c>
      <c r="C149" s="9">
        <f t="array" ref="C149">XLOOKUP($A149, Quotations!$C$2:C1756, Quotations!$D$2:D1756, "")</f>
        <v>24.36</v>
      </c>
      <c r="D149" s="9">
        <f t="array" ref="D149">XLOOKUP($A149, Quotations!$E$2:E1756, Quotations!$F$2:F1756, "")
</f>
        <v>113.05</v>
      </c>
      <c r="E149" s="9">
        <f t="array" ref="E149">XLOOKUP($A149, Quotations!$G$2:G1756, Quotations!$H$2:H1756, "")
</f>
        <v>122.22</v>
      </c>
      <c r="F149" s="9">
        <f t="array" ref="F149">XLOOKUP($A149, Quotations!$I$2:I1756, Quotations!$J$2:J1756, "")
</f>
        <v>127.7</v>
      </c>
      <c r="G149" s="9">
        <f t="array" ref="G149">XLOOKUP($A149, Quotations!$K$2:K1756, Quotations!$L$2:L1756, "")
</f>
        <v>1357.4399</v>
      </c>
    </row>
    <row r="150">
      <c r="A150" s="8">
        <v>41856.0</v>
      </c>
      <c r="B150" s="9">
        <f t="array" ref="B150">XLOOKUP($A150, Quotations!$A$2:A1756, Quotations!$B$2:B1756, "")
</f>
        <v>123.1</v>
      </c>
      <c r="C150" s="9">
        <f t="array" ref="C150">XLOOKUP($A150, Quotations!$C$2:C1756, Quotations!$D$2:D1756, "")</f>
        <v>24.38</v>
      </c>
      <c r="D150" s="9">
        <f t="array" ref="D150">XLOOKUP($A150, Quotations!$E$2:E1756, Quotations!$F$2:F1756, "")
</f>
        <v>113.02</v>
      </c>
      <c r="E150" s="9">
        <f t="array" ref="E150">XLOOKUP($A150, Quotations!$G$2:G1756, Quotations!$H$2:H1756, "")
</f>
        <v>122.23</v>
      </c>
      <c r="F150" s="9">
        <f t="array" ref="F150">XLOOKUP($A150, Quotations!$I$2:I1756, Quotations!$J$2:J1756, "")
</f>
        <v>127.97</v>
      </c>
      <c r="G150" s="9">
        <f t="array" ref="G150">XLOOKUP($A150, Quotations!$K$2:K1756, Quotations!$L$2:L1756, "")
</f>
        <v>1357.9462</v>
      </c>
    </row>
    <row r="151">
      <c r="A151" s="8">
        <v>41857.0</v>
      </c>
      <c r="B151" s="9">
        <f t="array" ref="B151">XLOOKUP($A151, Quotations!$A$2:A1756, Quotations!$B$2:B1756, "")
</f>
        <v>122.89</v>
      </c>
      <c r="C151" s="9">
        <f t="array" ref="C151">XLOOKUP($A151, Quotations!$C$2:C1756, Quotations!$D$2:D1756, "")</f>
        <v>24.38</v>
      </c>
      <c r="D151" s="9">
        <f t="array" ref="D151">XLOOKUP($A151, Quotations!$E$2:E1756, Quotations!$F$2:F1756, "")
</f>
        <v>112.99</v>
      </c>
      <c r="E151" s="9">
        <f t="array" ref="E151">XLOOKUP($A151, Quotations!$G$2:G1756, Quotations!$H$2:H1756, "")
</f>
        <v>121.98</v>
      </c>
      <c r="F151" s="9">
        <f t="array" ref="F151">XLOOKUP($A151, Quotations!$I$2:I1756, Quotations!$J$2:J1756, "")
</f>
        <v>127.99</v>
      </c>
      <c r="G151" s="9">
        <f t="array" ref="G151">XLOOKUP($A151, Quotations!$K$2:K1756, Quotations!$L$2:L1756, "")
</f>
        <v>1355.0519</v>
      </c>
    </row>
    <row r="152">
      <c r="A152" s="8">
        <v>41858.0</v>
      </c>
      <c r="B152" s="9">
        <f t="array" ref="B152">XLOOKUP($A152, Quotations!$A$2:A1756, Quotations!$B$2:B1756, "")
</f>
        <v>122.62</v>
      </c>
      <c r="C152" s="9">
        <f t="array" ref="C152">XLOOKUP($A152, Quotations!$C$2:C1756, Quotations!$D$2:D1756, "")</f>
        <v>24.37</v>
      </c>
      <c r="D152" s="9">
        <f t="array" ref="D152">XLOOKUP($A152, Quotations!$E$2:E1756, Quotations!$F$2:F1756, "")
</f>
        <v>112.95</v>
      </c>
      <c r="E152" s="9">
        <f t="array" ref="E152">XLOOKUP($A152, Quotations!$G$2:G1756, Quotations!$H$2:H1756, "")
</f>
        <v>122.63</v>
      </c>
      <c r="F152" s="9">
        <f t="array" ref="F152">XLOOKUP($A152, Quotations!$I$2:I1756, Quotations!$J$2:J1756, "")
</f>
        <v>127.87</v>
      </c>
      <c r="G152" s="9">
        <f t="array" ref="G152">XLOOKUP($A152, Quotations!$K$2:K1756, Quotations!$L$2:L1756, "")
</f>
        <v>1351.3541</v>
      </c>
    </row>
    <row r="153">
      <c r="A153" s="8">
        <v>41859.0</v>
      </c>
      <c r="B153" s="9">
        <f t="array" ref="B153">XLOOKUP($A153, Quotations!$A$2:A1756, Quotations!$B$2:B1756, "")
</f>
        <v>122.41</v>
      </c>
      <c r="C153" s="9">
        <f t="array" ref="C153">XLOOKUP($A153, Quotations!$C$2:C1756, Quotations!$D$2:D1756, "")</f>
        <v>24.35</v>
      </c>
      <c r="D153" s="9">
        <f t="array" ref="D153">XLOOKUP($A153, Quotations!$E$2:E1756, Quotations!$F$2:F1756, "")
</f>
        <v>112.88</v>
      </c>
      <c r="E153" s="9">
        <f t="array" ref="E153">XLOOKUP($A153, Quotations!$G$2:G1756, Quotations!$H$2:H1756, "")
</f>
        <v>122.82</v>
      </c>
      <c r="F153" s="9">
        <f t="array" ref="F153">XLOOKUP($A153, Quotations!$I$2:I1756, Quotations!$J$2:J1756, "")
</f>
        <v>127.85</v>
      </c>
      <c r="G153" s="9">
        <f t="array" ref="G153">XLOOKUP($A153, Quotations!$K$2:K1756, Quotations!$L$2:L1756, "")
</f>
        <v>1346.8514</v>
      </c>
    </row>
    <row r="154">
      <c r="A154" s="8">
        <v>41862.0</v>
      </c>
      <c r="B154" s="9">
        <f t="array" ref="B154">XLOOKUP($A154, Quotations!$A$2:A1756, Quotations!$B$2:B1756, "")
</f>
        <v>122.74</v>
      </c>
      <c r="C154" s="9">
        <f t="array" ref="C154">XLOOKUP($A154, Quotations!$C$2:C1756, Quotations!$D$2:D1756, "")</f>
        <v>24.36</v>
      </c>
      <c r="D154" s="9">
        <f t="array" ref="D154">XLOOKUP($A154, Quotations!$E$2:E1756, Quotations!$F$2:F1756, "")
</f>
        <v>112.99</v>
      </c>
      <c r="E154" s="9">
        <f t="array" ref="E154">XLOOKUP($A154, Quotations!$G$2:G1756, Quotations!$H$2:H1756, "")
</f>
        <v>122.89</v>
      </c>
      <c r="F154" s="9">
        <f t="array" ref="F154">XLOOKUP($A154, Quotations!$I$2:I1756, Quotations!$J$2:J1756, "")
</f>
        <v>127.52</v>
      </c>
      <c r="G154" s="9">
        <f t="array" ref="G154">XLOOKUP($A154, Quotations!$K$2:K1756, Quotations!$L$2:L1756, "")
</f>
        <v>1350.903</v>
      </c>
    </row>
    <row r="155">
      <c r="A155" s="8">
        <v>41863.0</v>
      </c>
      <c r="B155" s="9">
        <f t="array" ref="B155">XLOOKUP($A155, Quotations!$A$2:A1756, Quotations!$B$2:B1756, "")
</f>
        <v>122.72</v>
      </c>
      <c r="C155" s="9">
        <f t="array" ref="C155">XLOOKUP($A155, Quotations!$C$2:C1756, Quotations!$D$2:D1756, "")</f>
        <v>24.38</v>
      </c>
      <c r="D155" s="9">
        <f t="array" ref="D155">XLOOKUP($A155, Quotations!$E$2:E1756, Quotations!$F$2:F1756, "")
</f>
        <v>113.05</v>
      </c>
      <c r="E155" s="9">
        <f t="array" ref="E155">XLOOKUP($A155, Quotations!$G$2:G1756, Quotations!$H$2:H1756, "")
</f>
        <v>122.79</v>
      </c>
      <c r="F155" s="9">
        <f t="array" ref="F155">XLOOKUP($A155, Quotations!$I$2:I1756, Quotations!$J$2:J1756, "")
</f>
        <v>127.98</v>
      </c>
      <c r="G155" s="9">
        <f t="array" ref="G155">XLOOKUP($A155, Quotations!$K$2:K1756, Quotations!$L$2:L1756, "")
</f>
        <v>1357.7607</v>
      </c>
    </row>
    <row r="156">
      <c r="A156" s="8">
        <v>41864.0</v>
      </c>
      <c r="B156" s="9">
        <f t="array" ref="B156">XLOOKUP($A156, Quotations!$A$2:A1756, Quotations!$B$2:B1756, "")
</f>
        <v>122.9</v>
      </c>
      <c r="C156" s="9">
        <f t="array" ref="C156">XLOOKUP($A156, Quotations!$C$2:C1756, Quotations!$D$2:D1756, "")</f>
        <v>24.37</v>
      </c>
      <c r="D156" s="9">
        <f t="array" ref="D156">XLOOKUP($A156, Quotations!$E$2:E1756, Quotations!$F$2:F1756, "")
</f>
        <v>113.06</v>
      </c>
      <c r="E156" s="9">
        <f t="array" ref="E156">XLOOKUP($A156, Quotations!$G$2:G1756, Quotations!$H$2:H1756, "")
</f>
        <v>122.83</v>
      </c>
      <c r="F156" s="9">
        <f t="array" ref="F156">XLOOKUP($A156, Quotations!$I$2:I1756, Quotations!$J$2:J1756, "")
</f>
        <v>127.88</v>
      </c>
      <c r="G156" s="9">
        <f t="array" ref="G156">XLOOKUP($A156, Quotations!$K$2:K1756, Quotations!$L$2:L1756, "")
</f>
        <v>1354.9992</v>
      </c>
    </row>
    <row r="157">
      <c r="A157" s="8">
        <v>41865.0</v>
      </c>
      <c r="B157" s="9">
        <f t="array" ref="B157">XLOOKUP($A157, Quotations!$A$2:A1756, Quotations!$B$2:B1756, "")
</f>
        <v>122.92</v>
      </c>
      <c r="C157" s="9">
        <f t="array" ref="C157">XLOOKUP($A157, Quotations!$C$2:C1756, Quotations!$D$2:D1756, "")</f>
        <v>24.38</v>
      </c>
      <c r="D157" s="9">
        <f t="array" ref="D157">XLOOKUP($A157, Quotations!$E$2:E1756, Quotations!$F$2:F1756, "")
</f>
        <v>113.09</v>
      </c>
      <c r="E157" s="9">
        <f t="array" ref="E157">XLOOKUP($A157, Quotations!$G$2:G1756, Quotations!$H$2:H1756, "")
</f>
        <v>122.94</v>
      </c>
      <c r="F157" s="9">
        <f t="array" ref="F157">XLOOKUP($A157, Quotations!$I$2:I1756, Quotations!$J$2:J1756, "")
</f>
        <v>128.11</v>
      </c>
      <c r="G157" s="9">
        <f t="array" ref="G157">XLOOKUP($A157, Quotations!$K$2:K1756, Quotations!$L$2:L1756, "")
</f>
        <v>1358.3947</v>
      </c>
    </row>
    <row r="158">
      <c r="A158" s="8">
        <v>41869.0</v>
      </c>
      <c r="B158" s="9">
        <f t="array" ref="B158">XLOOKUP($A158, Quotations!$A$2:A1756, Quotations!$B$2:B1756, "")
</f>
        <v>122.98</v>
      </c>
      <c r="C158" s="9">
        <f t="array" ref="C158">XLOOKUP($A158, Quotations!$C$2:C1756, Quotations!$D$2:D1756, "")</f>
        <v>24.39</v>
      </c>
      <c r="D158" s="9">
        <f t="array" ref="D158">XLOOKUP($A158, Quotations!$E$2:E1756, Quotations!$F$2:F1756, "")
</f>
        <v>113.14</v>
      </c>
      <c r="E158" s="9">
        <f t="array" ref="E158">XLOOKUP($A158, Quotations!$G$2:G1756, Quotations!$H$2:H1756, "")
</f>
        <v>122.99</v>
      </c>
      <c r="F158" s="9">
        <f t="array" ref="F158">XLOOKUP($A158, Quotations!$I$2:I1756, Quotations!$J$2:J1756, "")
</f>
        <v>128.3</v>
      </c>
      <c r="G158" s="9">
        <f t="array" ref="G158">XLOOKUP($A158, Quotations!$K$2:K1756, Quotations!$L$2:L1756, "")
</f>
        <v>1359.7821</v>
      </c>
    </row>
    <row r="159">
      <c r="A159" s="8">
        <v>41870.0</v>
      </c>
      <c r="B159" s="9">
        <f t="array" ref="B159">XLOOKUP($A159, Quotations!$A$2:A1756, Quotations!$B$2:B1756, "")
</f>
        <v>123.17</v>
      </c>
      <c r="C159" s="9">
        <f t="array" ref="C159">XLOOKUP($A159, Quotations!$C$2:C1756, Quotations!$D$2:D1756, "")</f>
        <v>24.41</v>
      </c>
      <c r="D159" s="9">
        <f t="array" ref="D159">XLOOKUP($A159, Quotations!$E$2:E1756, Quotations!$F$2:F1756, "")
</f>
        <v>113.18</v>
      </c>
      <c r="E159" s="9">
        <f t="array" ref="E159">XLOOKUP($A159, Quotations!$G$2:G1756, Quotations!$H$2:H1756, "")
</f>
        <v>122.98</v>
      </c>
      <c r="F159" s="9">
        <f t="array" ref="F159">XLOOKUP($A159, Quotations!$I$2:I1756, Quotations!$J$2:J1756, "")
</f>
        <v>128.55</v>
      </c>
      <c r="G159" s="9">
        <f t="array" ref="G159">XLOOKUP($A159, Quotations!$K$2:K1756, Quotations!$L$2:L1756, "")
</f>
        <v>1364.4824</v>
      </c>
    </row>
    <row r="160">
      <c r="A160" s="8">
        <v>41871.0</v>
      </c>
      <c r="B160" s="9">
        <f t="array" ref="B160">XLOOKUP($A160, Quotations!$A$2:A1756, Quotations!$B$2:B1756, "")
</f>
        <v>123.22</v>
      </c>
      <c r="C160" s="9">
        <f t="array" ref="C160">XLOOKUP($A160, Quotations!$C$2:C1756, Quotations!$D$2:D1756, "")</f>
        <v>24.41</v>
      </c>
      <c r="D160" s="9">
        <f t="array" ref="D160">XLOOKUP($A160, Quotations!$E$2:E1756, Quotations!$F$2:F1756, "")
</f>
        <v>113.19</v>
      </c>
      <c r="E160" s="9">
        <f t="array" ref="E160">XLOOKUP($A160, Quotations!$G$2:G1756, Quotations!$H$2:H1756, "")
</f>
        <v>123.09</v>
      </c>
      <c r="F160" s="9">
        <f t="array" ref="F160">XLOOKUP($A160, Quotations!$I$2:I1756, Quotations!$J$2:J1756, "")
</f>
        <v>128.8</v>
      </c>
      <c r="G160" s="9">
        <f t="array" ref="G160">XLOOKUP($A160, Quotations!$K$2:K1756, Quotations!$L$2:L1756, "")
</f>
        <v>1367.5587</v>
      </c>
    </row>
    <row r="161">
      <c r="A161" s="8">
        <v>41872.0</v>
      </c>
      <c r="B161" s="9">
        <f t="array" ref="B161">XLOOKUP($A161, Quotations!$A$2:A1756, Quotations!$B$2:B1756, "")
</f>
        <v>123.56</v>
      </c>
      <c r="C161" s="9">
        <f t="array" ref="C161">XLOOKUP($A161, Quotations!$C$2:C1756, Quotations!$D$2:D1756, "")</f>
        <v>24.41</v>
      </c>
      <c r="D161" s="9">
        <f t="array" ref="D161">XLOOKUP($A161, Quotations!$E$2:E1756, Quotations!$F$2:F1756, "")
</f>
        <v>113.16</v>
      </c>
      <c r="E161" s="9">
        <f t="array" ref="E161">XLOOKUP($A161, Quotations!$G$2:G1756, Quotations!$H$2:H1756, "")
</f>
        <v>123.11</v>
      </c>
      <c r="F161" s="9">
        <f t="array" ref="F161">XLOOKUP($A161, Quotations!$I$2:I1756, Quotations!$J$2:J1756, "")
</f>
        <v>128.76</v>
      </c>
      <c r="G161" s="9">
        <f t="array" ref="G161">XLOOKUP($A161, Quotations!$K$2:K1756, Quotations!$L$2:L1756, "")
</f>
        <v>1368.4146</v>
      </c>
    </row>
    <row r="162">
      <c r="A162" s="8">
        <v>41873.0</v>
      </c>
      <c r="B162" s="9">
        <f t="array" ref="B162">XLOOKUP($A162, Quotations!$A$2:A1756, Quotations!$B$2:B1756, "")
</f>
        <v>123.46</v>
      </c>
      <c r="C162" s="9">
        <f t="array" ref="C162">XLOOKUP($A162, Quotations!$C$2:C1756, Quotations!$D$2:D1756, "")</f>
        <v>24.43</v>
      </c>
      <c r="D162" s="9">
        <f t="array" ref="D162">XLOOKUP($A162, Quotations!$E$2:E1756, Quotations!$F$2:F1756, "")
</f>
        <v>113.17</v>
      </c>
      <c r="E162" s="9">
        <f t="array" ref="E162">XLOOKUP($A162, Quotations!$G$2:G1756, Quotations!$H$2:H1756, "")
</f>
        <v>123.08</v>
      </c>
      <c r="F162" s="9">
        <f t="array" ref="F162">XLOOKUP($A162, Quotations!$I$2:I1756, Quotations!$J$2:J1756, "")
</f>
        <v>128.99</v>
      </c>
      <c r="G162" s="9">
        <f t="array" ref="G162">XLOOKUP($A162, Quotations!$K$2:K1756, Quotations!$L$2:L1756, "")
</f>
        <v>1370.1332</v>
      </c>
    </row>
    <row r="163">
      <c r="A163" s="8">
        <v>41876.0</v>
      </c>
      <c r="B163" s="9">
        <f t="array" ref="B163">XLOOKUP($A163, Quotations!$A$2:A1756, Quotations!$B$2:B1756, "")
</f>
        <v>123.8</v>
      </c>
      <c r="C163" s="9">
        <f t="array" ref="C163">XLOOKUP($A163, Quotations!$C$2:C1756, Quotations!$D$2:D1756, "")</f>
        <v>24.45</v>
      </c>
      <c r="D163" s="9">
        <f t="array" ref="D163">XLOOKUP($A163, Quotations!$E$2:E1756, Quotations!$F$2:F1756, "")
</f>
        <v>113.27</v>
      </c>
      <c r="E163" s="9">
        <f t="array" ref="E163">XLOOKUP($A163, Quotations!$G$2:G1756, Quotations!$H$2:H1756, "")
</f>
        <v>123.08</v>
      </c>
      <c r="F163" s="9">
        <f t="array" ref="F163">XLOOKUP($A163, Quotations!$I$2:I1756, Quotations!$J$2:J1756, "")
</f>
        <v>129.15</v>
      </c>
      <c r="G163" s="9">
        <f t="array" ref="G163">XLOOKUP($A163, Quotations!$K$2:K1756, Quotations!$L$2:L1756, "")
</f>
        <v>1371.2902</v>
      </c>
    </row>
    <row r="164">
      <c r="A164" s="8">
        <v>41877.0</v>
      </c>
      <c r="B164" s="9">
        <f t="array" ref="B164">XLOOKUP($A164, Quotations!$A$2:A1756, Quotations!$B$2:B1756, "")
</f>
        <v>124.15</v>
      </c>
      <c r="C164" s="9">
        <f t="array" ref="C164">XLOOKUP($A164, Quotations!$C$2:C1756, Quotations!$D$2:D1756, "")</f>
        <v>24.45</v>
      </c>
      <c r="D164" s="9">
        <f t="array" ref="D164">XLOOKUP($A164, Quotations!$E$2:E1756, Quotations!$F$2:F1756, "")
</f>
        <v>113.29</v>
      </c>
      <c r="E164" s="9">
        <f t="array" ref="E164">XLOOKUP($A164, Quotations!$G$2:G1756, Quotations!$H$2:H1756, "")
</f>
        <v>123.32</v>
      </c>
      <c r="F164" s="9">
        <f t="array" ref="F164">XLOOKUP($A164, Quotations!$I$2:I1756, Quotations!$J$2:J1756, "")
</f>
        <v>129.59</v>
      </c>
      <c r="G164" s="9">
        <f t="array" ref="G164">XLOOKUP($A164, Quotations!$K$2:K1756, Quotations!$L$2:L1756, "")
</f>
        <v>1372.6979</v>
      </c>
    </row>
    <row r="165">
      <c r="A165" s="8">
        <v>41878.0</v>
      </c>
      <c r="B165" s="9">
        <f t="array" ref="B165">XLOOKUP($A165, Quotations!$A$2:A1756, Quotations!$B$2:B1756, "")
</f>
        <v>124.21</v>
      </c>
      <c r="C165" s="9">
        <f t="array" ref="C165">XLOOKUP($A165, Quotations!$C$2:C1756, Quotations!$D$2:D1756, "")</f>
        <v>24.46</v>
      </c>
      <c r="D165" s="9">
        <f t="array" ref="D165">XLOOKUP($A165, Quotations!$E$2:E1756, Quotations!$F$2:F1756, "")
</f>
        <v>113.29</v>
      </c>
      <c r="E165" s="9">
        <f t="array" ref="E165">XLOOKUP($A165, Quotations!$G$2:G1756, Quotations!$H$2:H1756, "")
</f>
        <v>123.38</v>
      </c>
      <c r="F165" s="9">
        <f t="array" ref="F165">XLOOKUP($A165, Quotations!$I$2:I1756, Quotations!$J$2:J1756, "")
</f>
        <v>129.69</v>
      </c>
      <c r="G165" s="9">
        <f t="array" ref="G165">XLOOKUP($A165, Quotations!$K$2:K1756, Quotations!$L$2:L1756, "")
</f>
        <v>1376.1186</v>
      </c>
    </row>
    <row r="166">
      <c r="A166" s="8">
        <v>41879.0</v>
      </c>
      <c r="B166" s="9">
        <f t="array" ref="B166">XLOOKUP($A166, Quotations!$A$2:A1756, Quotations!$B$2:B1756, "")
</f>
        <v>123.93</v>
      </c>
      <c r="C166" s="9">
        <f t="array" ref="C166">XLOOKUP($A166, Quotations!$C$2:C1756, Quotations!$D$2:D1756, "")</f>
        <v>24.47</v>
      </c>
      <c r="D166" s="9">
        <f t="array" ref="D166">XLOOKUP($A166, Quotations!$E$2:E1756, Quotations!$F$2:F1756, "")
</f>
        <v>113.26</v>
      </c>
      <c r="E166" s="9">
        <f t="array" ref="E166">XLOOKUP($A166, Quotations!$G$2:G1756, Quotations!$H$2:H1756, "")
</f>
        <v>123.57</v>
      </c>
      <c r="F166" s="9">
        <f t="array" ref="F166">XLOOKUP($A166, Quotations!$I$2:I1756, Quotations!$J$2:J1756, "")
</f>
        <v>129.67</v>
      </c>
      <c r="G166" s="9">
        <f t="array" ref="G166">XLOOKUP($A166, Quotations!$K$2:K1756, Quotations!$L$2:L1756, "")
</f>
        <v>1375.4233</v>
      </c>
    </row>
    <row r="167">
      <c r="A167" s="8">
        <v>41880.0</v>
      </c>
      <c r="B167" s="9">
        <f t="array" ref="B167">XLOOKUP($A167, Quotations!$A$2:A1756, Quotations!$B$2:B1756, "")
</f>
        <v>123.91</v>
      </c>
      <c r="C167" s="9">
        <f t="array" ref="C167">XLOOKUP($A167, Quotations!$C$2:C1756, Quotations!$D$2:D1756, "")</f>
        <v>24.47</v>
      </c>
      <c r="D167" s="9">
        <f t="array" ref="D167">XLOOKUP($A167, Quotations!$E$2:E1756, Quotations!$F$2:F1756, "")
</f>
        <v>113.27</v>
      </c>
      <c r="E167" s="9">
        <f t="array" ref="E167">XLOOKUP($A167, Quotations!$G$2:G1756, Quotations!$H$2:H1756, "")
</f>
        <v>123.68</v>
      </c>
      <c r="F167" s="9">
        <f t="array" ref="F167">XLOOKUP($A167, Quotations!$I$2:I1756, Quotations!$J$2:J1756, "")
</f>
        <v>129.65</v>
      </c>
      <c r="G167" s="9">
        <f t="array" ref="G167">XLOOKUP($A167, Quotations!$K$2:K1756, Quotations!$L$2:L1756, "")
</f>
        <v>1372.4544</v>
      </c>
    </row>
    <row r="168">
      <c r="A168" s="8">
        <v>41883.0</v>
      </c>
      <c r="B168" s="9">
        <f t="array" ref="B168">XLOOKUP($A168, Quotations!$A$2:A1756, Quotations!$B$2:B1756, "")
</f>
        <v>123.96</v>
      </c>
      <c r="C168" s="9">
        <f t="array" ref="C168">XLOOKUP($A168, Quotations!$C$2:C1756, Quotations!$D$2:D1756, "")</f>
        <v>24.48</v>
      </c>
      <c r="D168" s="9">
        <f t="array" ref="D168">XLOOKUP($A168, Quotations!$E$2:E1756, Quotations!$F$2:F1756, "")
</f>
        <v>113.32</v>
      </c>
      <c r="E168" s="9">
        <f t="array" ref="E168">XLOOKUP($A168, Quotations!$G$2:G1756, Quotations!$H$2:H1756, "")
</f>
        <v>123.61</v>
      </c>
      <c r="F168" s="9">
        <f t="array" ref="F168">XLOOKUP($A168, Quotations!$I$2:I1756, Quotations!$J$2:J1756, "")
</f>
        <v>129.76</v>
      </c>
      <c r="G168" s="9">
        <f t="array" ref="G168">XLOOKUP($A168, Quotations!$K$2:K1756, Quotations!$L$2:L1756, "")
</f>
        <v>1374.0905</v>
      </c>
    </row>
    <row r="169">
      <c r="A169" s="8">
        <v>41884.0</v>
      </c>
      <c r="B169" s="9">
        <f t="array" ref="B169">XLOOKUP($A169, Quotations!$A$2:A1756, Quotations!$B$2:B1756, "")
</f>
        <v>123.85</v>
      </c>
      <c r="C169" s="9">
        <f t="array" ref="C169">XLOOKUP($A169, Quotations!$C$2:C1756, Quotations!$D$2:D1756, "")</f>
        <v>24.47</v>
      </c>
      <c r="D169" s="9">
        <f t="array" ref="D169">XLOOKUP($A169, Quotations!$E$2:E1756, Quotations!$F$2:F1756, "")
</f>
        <v>113.31</v>
      </c>
      <c r="E169" s="9">
        <f t="array" ref="E169">XLOOKUP($A169, Quotations!$G$2:G1756, Quotations!$H$2:H1756, "")
</f>
        <v>123.67</v>
      </c>
      <c r="F169" s="9">
        <f t="array" ref="F169">XLOOKUP($A169, Quotations!$I$2:I1756, Quotations!$J$2:J1756, "")
</f>
        <v>129.86</v>
      </c>
      <c r="G169" s="9">
        <f t="array" ref="G169">XLOOKUP($A169, Quotations!$K$2:K1756, Quotations!$L$2:L1756, "")
</f>
        <v>1375.1998</v>
      </c>
    </row>
    <row r="170">
      <c r="A170" s="8">
        <v>41885.0</v>
      </c>
      <c r="B170" s="9">
        <f t="array" ref="B170">XLOOKUP($A170, Quotations!$A$2:A1756, Quotations!$B$2:B1756, "")
</f>
        <v>124.05</v>
      </c>
      <c r="C170" s="9">
        <f t="array" ref="C170">XLOOKUP($A170, Quotations!$C$2:C1756, Quotations!$D$2:D1756, "")</f>
        <v>24.48</v>
      </c>
      <c r="D170" s="9">
        <f t="array" ref="D170">XLOOKUP($A170, Quotations!$E$2:E1756, Quotations!$F$2:F1756, "")
</f>
        <v>113.3</v>
      </c>
      <c r="E170" s="9">
        <f t="array" ref="E170">XLOOKUP($A170, Quotations!$G$2:G1756, Quotations!$H$2:H1756, "")
</f>
        <v>123.46</v>
      </c>
      <c r="F170" s="9">
        <f t="array" ref="F170">XLOOKUP($A170, Quotations!$I$2:I1756, Quotations!$J$2:J1756, "")
</f>
        <v>129.81</v>
      </c>
      <c r="G170" s="9">
        <f t="array" ref="G170">XLOOKUP($A170, Quotations!$K$2:K1756, Quotations!$L$2:L1756, "")
</f>
        <v>1375.8949</v>
      </c>
    </row>
    <row r="171">
      <c r="A171" s="8">
        <v>41886.0</v>
      </c>
      <c r="B171" s="9">
        <f t="array" ref="B171">XLOOKUP($A171, Quotations!$A$2:A1756, Quotations!$B$2:B1756, "")
</f>
        <v>124.48</v>
      </c>
      <c r="C171" s="9">
        <f t="array" ref="C171">XLOOKUP($A171, Quotations!$C$2:C1756, Quotations!$D$2:D1756, "")</f>
        <v>24.54</v>
      </c>
      <c r="D171" s="9">
        <f t="array" ref="D171">XLOOKUP($A171, Quotations!$E$2:E1756, Quotations!$F$2:F1756, "")
</f>
        <v>113.37</v>
      </c>
      <c r="E171" s="9">
        <f t="array" ref="E171">XLOOKUP($A171, Quotations!$G$2:G1756, Quotations!$H$2:H1756, "")
</f>
        <v>123.32</v>
      </c>
      <c r="F171" s="9">
        <f t="array" ref="F171">XLOOKUP($A171, Quotations!$I$2:I1756, Quotations!$J$2:J1756, "")
</f>
        <v>129.77</v>
      </c>
      <c r="G171" s="9">
        <f t="array" ref="G171">XLOOKUP($A171, Quotations!$K$2:K1756, Quotations!$L$2:L1756, "")
</f>
        <v>1376.1835</v>
      </c>
    </row>
    <row r="172">
      <c r="A172" s="8">
        <v>41887.0</v>
      </c>
      <c r="B172" s="9">
        <f t="array" ref="B172">XLOOKUP($A172, Quotations!$A$2:A1756, Quotations!$B$2:B1756, "")
</f>
        <v>124.44</v>
      </c>
      <c r="C172" s="9">
        <f t="array" ref="C172">XLOOKUP($A172, Quotations!$C$2:C1756, Quotations!$D$2:D1756, "")</f>
        <v>24.55</v>
      </c>
      <c r="D172" s="9">
        <f t="array" ref="D172">XLOOKUP($A172, Quotations!$E$2:E1756, Quotations!$F$2:F1756, "")
</f>
        <v>113.37</v>
      </c>
      <c r="E172" s="9">
        <f t="array" ref="E172">XLOOKUP($A172, Quotations!$G$2:G1756, Quotations!$H$2:H1756, "")
</f>
        <v>123.38</v>
      </c>
      <c r="F172" s="9">
        <f t="array" ref="F172">XLOOKUP($A172, Quotations!$I$2:I1756, Quotations!$J$2:J1756, "")
</f>
        <v>130.3</v>
      </c>
      <c r="G172" s="9">
        <f t="array" ref="G172">XLOOKUP($A172, Quotations!$K$2:K1756, Quotations!$L$2:L1756, "")
</f>
        <v>1377.7209</v>
      </c>
    </row>
    <row r="173">
      <c r="A173" s="8">
        <v>41890.0</v>
      </c>
      <c r="B173" s="9">
        <f t="array" ref="B173">XLOOKUP($A173, Quotations!$A$2:A1756, Quotations!$B$2:B1756, "")
</f>
        <v>124.24</v>
      </c>
      <c r="C173" s="9">
        <f t="array" ref="C173">XLOOKUP($A173, Quotations!$C$2:C1756, Quotations!$D$2:D1756, "")</f>
        <v>24.55</v>
      </c>
      <c r="D173" s="9">
        <f t="array" ref="D173">XLOOKUP($A173, Quotations!$E$2:E1756, Quotations!$F$2:F1756, "")
</f>
        <v>113.39</v>
      </c>
      <c r="E173" s="9">
        <f t="array" ref="E173">XLOOKUP($A173, Quotations!$G$2:G1756, Quotations!$H$2:H1756, "")
</f>
        <v>123.6</v>
      </c>
      <c r="F173" s="9">
        <f t="array" ref="F173">XLOOKUP($A173, Quotations!$I$2:I1756, Quotations!$J$2:J1756, "")
</f>
        <v>130.21</v>
      </c>
      <c r="G173" s="9">
        <f t="array" ref="G173">XLOOKUP($A173, Quotations!$K$2:K1756, Quotations!$L$2:L1756, "")
</f>
        <v>1377.26</v>
      </c>
    </row>
    <row r="174">
      <c r="A174" s="8">
        <v>41891.0</v>
      </c>
      <c r="B174" s="9">
        <f t="array" ref="B174">XLOOKUP($A174, Quotations!$A$2:A1756, Quotations!$B$2:B1756, "")
</f>
        <v>123.96</v>
      </c>
      <c r="C174" s="9">
        <f t="array" ref="C174">XLOOKUP($A174, Quotations!$C$2:C1756, Quotations!$D$2:D1756, "")</f>
        <v>24.53</v>
      </c>
      <c r="D174" s="9">
        <f t="array" ref="D174">XLOOKUP($A174, Quotations!$E$2:E1756, Quotations!$F$2:F1756, "")
</f>
        <v>113.36</v>
      </c>
      <c r="E174" s="9">
        <f t="array" ref="E174">XLOOKUP($A174, Quotations!$G$2:G1756, Quotations!$H$2:H1756, "")
</f>
        <v>123.56</v>
      </c>
      <c r="F174" s="9">
        <f t="array" ref="F174">XLOOKUP($A174, Quotations!$I$2:I1756, Quotations!$J$2:J1756, "")
</f>
        <v>130.11</v>
      </c>
      <c r="G174" s="9">
        <f t="array" ref="G174">XLOOKUP($A174, Quotations!$K$2:K1756, Quotations!$L$2:L1756, "")
</f>
        <v>1378.0027</v>
      </c>
    </row>
    <row r="175">
      <c r="A175" s="8">
        <v>41892.0</v>
      </c>
      <c r="B175" s="9">
        <f t="array" ref="B175">XLOOKUP($A175, Quotations!$A$2:A1756, Quotations!$B$2:B1756, "")
</f>
        <v>123.85</v>
      </c>
      <c r="C175" s="9">
        <f t="array" ref="C175">XLOOKUP($A175, Quotations!$C$2:C1756, Quotations!$D$2:D1756, "")</f>
        <v>24.52</v>
      </c>
      <c r="D175" s="9">
        <f t="array" ref="D175">XLOOKUP($A175, Quotations!$E$2:E1756, Quotations!$F$2:F1756, "")
</f>
        <v>113.37</v>
      </c>
      <c r="E175" s="9">
        <f t="array" ref="E175">XLOOKUP($A175, Quotations!$G$2:G1756, Quotations!$H$2:H1756, "")
</f>
        <v>123.18</v>
      </c>
      <c r="F175" s="9">
        <f t="array" ref="F175">XLOOKUP($A175, Quotations!$I$2:I1756, Quotations!$J$2:J1756, "")
</f>
        <v>129.75</v>
      </c>
      <c r="G175" s="9">
        <f t="array" ref="G175">XLOOKUP($A175, Quotations!$K$2:K1756, Quotations!$L$2:L1756, "")
</f>
        <v>1373.2811</v>
      </c>
    </row>
    <row r="176">
      <c r="A176" s="8">
        <v>41893.0</v>
      </c>
      <c r="B176" s="9">
        <f t="array" ref="B176">XLOOKUP($A176, Quotations!$A$2:A1756, Quotations!$B$2:B1756, "")
</f>
        <v>123.78</v>
      </c>
      <c r="C176" s="9">
        <f t="array" ref="C176">XLOOKUP($A176, Quotations!$C$2:C1756, Quotations!$D$2:D1756, "")</f>
        <v>24.51</v>
      </c>
      <c r="D176" s="9">
        <f t="array" ref="D176">XLOOKUP($A176, Quotations!$E$2:E1756, Quotations!$F$2:F1756, "")
</f>
        <v>113.4</v>
      </c>
      <c r="E176" s="9">
        <f t="array" ref="E176">XLOOKUP($A176, Quotations!$G$2:G1756, Quotations!$H$2:H1756, "")
</f>
        <v>123.06</v>
      </c>
      <c r="F176" s="9">
        <f t="array" ref="F176">XLOOKUP($A176, Quotations!$I$2:I1756, Quotations!$J$2:J1756, "")
</f>
        <v>129.73</v>
      </c>
      <c r="G176" s="9">
        <f t="array" ref="G176">XLOOKUP($A176, Quotations!$K$2:K1756, Quotations!$L$2:L1756, "")
</f>
        <v>1371.4503</v>
      </c>
    </row>
    <row r="177">
      <c r="A177" s="8">
        <v>41894.0</v>
      </c>
      <c r="B177" s="9">
        <f t="array" ref="B177">XLOOKUP($A177, Quotations!$A$2:A1756, Quotations!$B$2:B1756, "")
</f>
        <v>123.71</v>
      </c>
      <c r="C177" s="9">
        <f t="array" ref="C177">XLOOKUP($A177, Quotations!$C$2:C1756, Quotations!$D$2:D1756, "")</f>
        <v>24.49</v>
      </c>
      <c r="D177" s="9">
        <f t="array" ref="D177">XLOOKUP($A177, Quotations!$E$2:E1756, Quotations!$F$2:F1756, "")
</f>
        <v>113.37</v>
      </c>
      <c r="E177" s="9">
        <f t="array" ref="E177">XLOOKUP($A177, Quotations!$G$2:G1756, Quotations!$H$2:H1756, "")
</f>
        <v>123.02</v>
      </c>
      <c r="F177" s="9">
        <f t="array" ref="F177">XLOOKUP($A177, Quotations!$I$2:I1756, Quotations!$J$2:J1756, "")
</f>
        <v>129.56</v>
      </c>
      <c r="G177" s="9">
        <f t="array" ref="G177">XLOOKUP($A177, Quotations!$K$2:K1756, Quotations!$L$2:L1756, "")
</f>
        <v>1369.9359</v>
      </c>
    </row>
    <row r="178">
      <c r="A178" s="8">
        <v>41897.0</v>
      </c>
      <c r="B178" s="9">
        <f t="array" ref="B178">XLOOKUP($A178, Quotations!$A$2:A1756, Quotations!$B$2:B1756, "")
</f>
        <v>123.4</v>
      </c>
      <c r="C178" s="9">
        <f t="array" ref="C178">XLOOKUP($A178, Quotations!$C$2:C1756, Quotations!$D$2:D1756, "")</f>
        <v>24.49</v>
      </c>
      <c r="D178" s="9">
        <f t="array" ref="D178">XLOOKUP($A178, Quotations!$E$2:E1756, Quotations!$F$2:F1756, "")
</f>
        <v>113.35</v>
      </c>
      <c r="E178" s="9">
        <f t="array" ref="E178">XLOOKUP($A178, Quotations!$G$2:G1756, Quotations!$H$2:H1756, "")
</f>
        <v>122.72</v>
      </c>
      <c r="F178" s="9">
        <f t="array" ref="F178">XLOOKUP($A178, Quotations!$I$2:I1756, Quotations!$J$2:J1756, "")
</f>
        <v>129.32</v>
      </c>
      <c r="G178" s="9">
        <f t="array" ref="G178">XLOOKUP($A178, Quotations!$K$2:K1756, Quotations!$L$2:L1756, "")
</f>
        <v>1367.0476</v>
      </c>
    </row>
    <row r="179">
      <c r="A179" s="8">
        <v>41898.0</v>
      </c>
      <c r="B179" s="9">
        <f t="array" ref="B179">XLOOKUP($A179, Quotations!$A$2:A1756, Quotations!$B$2:B1756, "")
</f>
        <v>123.18</v>
      </c>
      <c r="C179" s="9">
        <f t="array" ref="C179">XLOOKUP($A179, Quotations!$C$2:C1756, Quotations!$D$2:D1756, "")</f>
        <v>24.49</v>
      </c>
      <c r="D179" s="9">
        <f t="array" ref="D179">XLOOKUP($A179, Quotations!$E$2:E1756, Quotations!$F$2:F1756, "")
</f>
        <v>113.33</v>
      </c>
      <c r="E179" s="9">
        <f t="array" ref="E179">XLOOKUP($A179, Quotations!$G$2:G1756, Quotations!$H$2:H1756, "")
</f>
        <v>122.83</v>
      </c>
      <c r="F179" s="9">
        <f t="array" ref="F179">XLOOKUP($A179, Quotations!$I$2:I1756, Quotations!$J$2:J1756, "")
</f>
        <v>129.28</v>
      </c>
      <c r="G179" s="9">
        <f t="array" ref="G179">XLOOKUP($A179, Quotations!$K$2:K1756, Quotations!$L$2:L1756, "")
</f>
        <v>1359.3163</v>
      </c>
    </row>
    <row r="180">
      <c r="A180" s="8">
        <v>41899.0</v>
      </c>
      <c r="B180" s="9">
        <f t="array" ref="B180">XLOOKUP($A180, Quotations!$A$2:A1756, Quotations!$B$2:B1756, "")
</f>
        <v>123.35</v>
      </c>
      <c r="C180" s="9">
        <f t="array" ref="C180">XLOOKUP($A180, Quotations!$C$2:C1756, Quotations!$D$2:D1756, "")</f>
        <v>24.49</v>
      </c>
      <c r="D180" s="9">
        <f t="array" ref="D180">XLOOKUP($A180, Quotations!$E$2:E1756, Quotations!$F$2:F1756, "")
</f>
        <v>113.33</v>
      </c>
      <c r="E180" s="9">
        <f t="array" ref="E180">XLOOKUP($A180, Quotations!$G$2:G1756, Quotations!$H$2:H1756, "")
</f>
        <v>122.75</v>
      </c>
      <c r="F180" s="9">
        <f t="array" ref="F180">XLOOKUP($A180, Quotations!$I$2:I1756, Quotations!$J$2:J1756, "")
</f>
        <v>129.37</v>
      </c>
      <c r="G180" s="9">
        <f t="array" ref="G180">XLOOKUP($A180, Quotations!$K$2:K1756, Quotations!$L$2:L1756, "")
</f>
        <v>1358.6267</v>
      </c>
    </row>
    <row r="181">
      <c r="A181" s="8">
        <v>41900.0</v>
      </c>
      <c r="B181" s="9">
        <f t="array" ref="B181">XLOOKUP($A181, Quotations!$A$2:A1756, Quotations!$B$2:B1756, "")
</f>
        <v>123.43</v>
      </c>
      <c r="C181" s="9">
        <f t="array" ref="C181">XLOOKUP($A181, Quotations!$C$2:C1756, Quotations!$D$2:D1756, "")</f>
        <v>24.49</v>
      </c>
      <c r="D181" s="9">
        <f t="array" ref="D181">XLOOKUP($A181, Quotations!$E$2:E1756, Quotations!$F$2:F1756, "")
</f>
        <v>113.31</v>
      </c>
      <c r="E181" s="9">
        <f t="array" ref="E181">XLOOKUP($A181, Quotations!$G$2:G1756, Quotations!$H$2:H1756, "")
</f>
        <v>122.86</v>
      </c>
      <c r="F181" s="9">
        <f t="array" ref="F181">XLOOKUP($A181, Quotations!$I$2:I1756, Quotations!$J$2:J1756, "")
</f>
        <v>129.36</v>
      </c>
      <c r="G181" s="9">
        <f t="array" ref="G181">XLOOKUP($A181, Quotations!$K$2:K1756, Quotations!$L$2:L1756, "")
</f>
        <v>1360.9192</v>
      </c>
    </row>
    <row r="182">
      <c r="A182" s="8">
        <v>41901.0</v>
      </c>
      <c r="B182" s="9">
        <f t="array" ref="B182">XLOOKUP($A182, Quotations!$A$2:A1756, Quotations!$B$2:B1756, "")
</f>
        <v>123.43</v>
      </c>
      <c r="C182" s="9">
        <f t="array" ref="C182">XLOOKUP($A182, Quotations!$C$2:C1756, Quotations!$D$2:D1756, "")</f>
        <v>24.51</v>
      </c>
      <c r="D182" s="9">
        <f t="array" ref="D182">XLOOKUP($A182, Quotations!$E$2:E1756, Quotations!$F$2:F1756, "")
</f>
        <v>113.31</v>
      </c>
      <c r="E182" s="9">
        <f t="array" ref="E182">XLOOKUP($A182, Quotations!$G$2:G1756, Quotations!$H$2:H1756, "")
</f>
        <v>122.91</v>
      </c>
      <c r="F182" s="9">
        <f t="array" ref="F182">XLOOKUP($A182, Quotations!$I$2:I1756, Quotations!$J$2:J1756, "")
</f>
        <v>129.77</v>
      </c>
      <c r="G182" s="9">
        <f t="array" ref="G182">XLOOKUP($A182, Quotations!$K$2:K1756, Quotations!$L$2:L1756, "")
</f>
        <v>1363.9869</v>
      </c>
    </row>
    <row r="183">
      <c r="A183" s="8">
        <v>41904.0</v>
      </c>
      <c r="B183" s="9">
        <f t="array" ref="B183">XLOOKUP($A183, Quotations!$A$2:A1756, Quotations!$B$2:B1756, "")
</f>
        <v>123.15</v>
      </c>
      <c r="C183" s="9">
        <f t="array" ref="C183">XLOOKUP($A183, Quotations!$C$2:C1756, Quotations!$D$2:D1756, "")</f>
        <v>24.51</v>
      </c>
      <c r="D183" s="9">
        <f t="array" ref="D183">XLOOKUP($A183, Quotations!$E$2:E1756, Quotations!$F$2:F1756, "")
</f>
        <v>113.3</v>
      </c>
      <c r="E183" s="9">
        <f t="array" ref="E183">XLOOKUP($A183, Quotations!$G$2:G1756, Quotations!$H$2:H1756, "")
</f>
        <v>123.07</v>
      </c>
      <c r="F183" s="9">
        <f t="array" ref="F183">XLOOKUP($A183, Quotations!$I$2:I1756, Quotations!$J$2:J1756, "")
</f>
        <v>130.13</v>
      </c>
      <c r="G183" s="9">
        <f t="array" ref="G183">XLOOKUP($A183, Quotations!$K$2:K1756, Quotations!$L$2:L1756, "")
</f>
        <v>1361.1375</v>
      </c>
    </row>
    <row r="184">
      <c r="A184" s="8">
        <v>41905.0</v>
      </c>
      <c r="B184" s="9">
        <f t="array" ref="B184">XLOOKUP($A184, Quotations!$A$2:A1756, Quotations!$B$2:B1756, "")
</f>
        <v>122.63</v>
      </c>
      <c r="C184" s="9">
        <f t="array" ref="C184">XLOOKUP($A184, Quotations!$C$2:C1756, Quotations!$D$2:D1756, "")</f>
        <v>24.5</v>
      </c>
      <c r="D184" s="9">
        <f t="array" ref="D184">XLOOKUP($A184, Quotations!$E$2:E1756, Quotations!$F$2:F1756, "")
</f>
        <v>113.23</v>
      </c>
      <c r="E184" s="9">
        <f t="array" ref="E184">XLOOKUP($A184, Quotations!$G$2:G1756, Quotations!$H$2:H1756, "")
</f>
        <v>122.94</v>
      </c>
      <c r="F184" s="9">
        <f t="array" ref="F184">XLOOKUP($A184, Quotations!$I$2:I1756, Quotations!$J$2:J1756, "")
</f>
        <v>129.86</v>
      </c>
      <c r="G184" s="9">
        <f t="array" ref="G184">XLOOKUP($A184, Quotations!$K$2:K1756, Quotations!$L$2:L1756, "")
</f>
        <v>1354.6292</v>
      </c>
    </row>
    <row r="185">
      <c r="A185" s="8">
        <v>41906.0</v>
      </c>
      <c r="B185" s="9">
        <f t="array" ref="B185">XLOOKUP($A185, Quotations!$A$2:A1756, Quotations!$B$2:B1756, "")
</f>
        <v>122.7</v>
      </c>
      <c r="C185" s="9">
        <f t="array" ref="C185">XLOOKUP($A185, Quotations!$C$2:C1756, Quotations!$D$2:D1756, "")</f>
        <v>24.52</v>
      </c>
      <c r="D185" s="9">
        <f t="array" ref="D185">XLOOKUP($A185, Quotations!$E$2:E1756, Quotations!$F$2:F1756, "")
</f>
        <v>113.19</v>
      </c>
      <c r="E185" s="9">
        <f t="array" ref="E185">XLOOKUP($A185, Quotations!$G$2:G1756, Quotations!$H$2:H1756, "")
</f>
        <v>122.14</v>
      </c>
      <c r="F185" s="9">
        <f t="array" ref="F185">XLOOKUP($A185, Quotations!$I$2:I1756, Quotations!$J$2:J1756, "")
</f>
        <v>129.4</v>
      </c>
      <c r="G185" s="9">
        <f t="array" ref="G185">XLOOKUP($A185, Quotations!$K$2:K1756, Quotations!$L$2:L1756, "")
</f>
        <v>1350.9739</v>
      </c>
    </row>
    <row r="186">
      <c r="A186" s="8">
        <v>41907.0</v>
      </c>
      <c r="B186" s="9">
        <f t="array" ref="B186">XLOOKUP($A186, Quotations!$A$2:A1756, Quotations!$B$2:B1756, "")
</f>
        <v>122.42</v>
      </c>
      <c r="C186" s="9">
        <f t="array" ref="C186">XLOOKUP($A186, Quotations!$C$2:C1756, Quotations!$D$2:D1756, "")</f>
        <v>24.53</v>
      </c>
      <c r="D186" s="9">
        <f t="array" ref="D186">XLOOKUP($A186, Quotations!$E$2:E1756, Quotations!$F$2:F1756, "")
</f>
        <v>113.16</v>
      </c>
      <c r="E186" s="9">
        <f t="array" ref="E186">XLOOKUP($A186, Quotations!$G$2:G1756, Quotations!$H$2:H1756, "")
</f>
        <v>122.59</v>
      </c>
      <c r="F186" s="9">
        <f t="array" ref="F186">XLOOKUP($A186, Quotations!$I$2:I1756, Quotations!$J$2:J1756, "")
</f>
        <v>129.95</v>
      </c>
      <c r="G186" s="9">
        <f t="array" ref="G186">XLOOKUP($A186, Quotations!$K$2:K1756, Quotations!$L$2:L1756, "")
</f>
        <v>1354.7382</v>
      </c>
    </row>
    <row r="187">
      <c r="A187" s="8">
        <v>41908.0</v>
      </c>
      <c r="B187" s="9">
        <f t="array" ref="B187">XLOOKUP($A187, Quotations!$A$2:A1756, Quotations!$B$2:B1756, "")
</f>
        <v>122.4</v>
      </c>
      <c r="C187" s="9">
        <f t="array" ref="C187">XLOOKUP($A187, Quotations!$C$2:C1756, Quotations!$D$2:D1756, "")</f>
        <v>24.54</v>
      </c>
      <c r="D187" s="9">
        <f t="array" ref="D187">XLOOKUP($A187, Quotations!$E$2:E1756, Quotations!$F$2:F1756, "")
</f>
        <v>113.1</v>
      </c>
      <c r="E187" s="9">
        <f t="array" ref="E187">XLOOKUP($A187, Quotations!$G$2:G1756, Quotations!$H$2:H1756, "")
</f>
        <v>121.87</v>
      </c>
      <c r="F187" s="9">
        <f t="array" ref="F187">XLOOKUP($A187, Quotations!$I$2:I1756, Quotations!$J$2:J1756, "")
</f>
        <v>129.63</v>
      </c>
      <c r="G187" s="9">
        <f t="array" ref="G187">XLOOKUP($A187, Quotations!$K$2:K1756, Quotations!$L$2:L1756, "")
</f>
        <v>1346.6586</v>
      </c>
    </row>
    <row r="188">
      <c r="A188" s="8">
        <v>41911.0</v>
      </c>
      <c r="B188" s="9">
        <f t="array" ref="B188">XLOOKUP($A188, Quotations!$A$2:A1756, Quotations!$B$2:B1756, "")
</f>
        <v>121.96</v>
      </c>
      <c r="C188" s="9">
        <f t="array" ref="C188">XLOOKUP($A188, Quotations!$C$2:C1756, Quotations!$D$2:D1756, "")</f>
        <v>24.53</v>
      </c>
      <c r="D188" s="9">
        <f t="array" ref="D188">XLOOKUP($A188, Quotations!$E$2:E1756, Quotations!$F$2:F1756, "")
</f>
        <v>113.04</v>
      </c>
      <c r="E188" s="9">
        <f t="array" ref="E188">XLOOKUP($A188, Quotations!$G$2:G1756, Quotations!$H$2:H1756, "")
</f>
        <v>121.81</v>
      </c>
      <c r="F188" s="9">
        <f t="array" ref="F188">XLOOKUP($A188, Quotations!$I$2:I1756, Quotations!$J$2:J1756, "")
</f>
        <v>129.83</v>
      </c>
      <c r="G188" s="9">
        <f t="array" ref="G188">XLOOKUP($A188, Quotations!$K$2:K1756, Quotations!$L$2:L1756, "")
</f>
        <v>1347.9282</v>
      </c>
    </row>
    <row r="189">
      <c r="A189" s="8">
        <v>41912.0</v>
      </c>
      <c r="B189" s="9">
        <f t="array" ref="B189">XLOOKUP($A189, Quotations!$A$2:A1756, Quotations!$B$2:B1756, "")
</f>
        <v>122.06</v>
      </c>
      <c r="C189" s="9">
        <f t="array" ref="C189">XLOOKUP($A189, Quotations!$C$2:C1756, Quotations!$D$2:D1756, "")</f>
        <v>24.56</v>
      </c>
      <c r="D189" s="9">
        <f t="array" ref="D189">XLOOKUP($A189, Quotations!$E$2:E1756, Quotations!$F$2:F1756, "")
</f>
        <v>113.06</v>
      </c>
      <c r="E189" s="9">
        <f t="array" ref="E189">XLOOKUP($A189, Quotations!$G$2:G1756, Quotations!$H$2:H1756, "")
</f>
        <v>121.53</v>
      </c>
      <c r="F189" s="9">
        <f t="array" ref="F189">XLOOKUP($A189, Quotations!$I$2:I1756, Quotations!$J$2:J1756, "")
</f>
        <v>129.6</v>
      </c>
      <c r="G189" s="9">
        <f t="array" ref="G189">XLOOKUP($A189, Quotations!$K$2:K1756, Quotations!$L$2:L1756, "")
</f>
        <v>1344.6338</v>
      </c>
    </row>
    <row r="190">
      <c r="A190" s="8">
        <v>41913.0</v>
      </c>
      <c r="B190" s="9">
        <f t="array" ref="B190">XLOOKUP($A190, Quotations!$A$2:A1756, Quotations!$B$2:B1756, "")
</f>
        <v>121.72</v>
      </c>
      <c r="C190" s="9">
        <f t="array" ref="C190">XLOOKUP($A190, Quotations!$C$2:C1756, Quotations!$D$2:D1756, "")</f>
        <v>24.56</v>
      </c>
      <c r="D190" s="9">
        <f t="array" ref="D190">XLOOKUP($A190, Quotations!$E$2:E1756, Quotations!$F$2:F1756, "")
</f>
        <v>113.04</v>
      </c>
      <c r="E190" s="9">
        <f t="array" ref="E190">XLOOKUP($A190, Quotations!$G$2:G1756, Quotations!$H$2:H1756, "")
</f>
        <v>121.91</v>
      </c>
      <c r="F190" s="9">
        <f t="array" ref="F190">XLOOKUP($A190, Quotations!$I$2:I1756, Quotations!$J$2:J1756, "")
</f>
        <v>129.99</v>
      </c>
      <c r="G190" s="9">
        <f t="array" ref="G190">XLOOKUP($A190, Quotations!$K$2:K1756, Quotations!$L$2:L1756, "")
</f>
        <v>1342.42</v>
      </c>
    </row>
    <row r="191">
      <c r="A191" s="8">
        <v>41914.0</v>
      </c>
      <c r="B191" s="9">
        <f t="array" ref="B191">XLOOKUP($A191, Quotations!$A$2:A1756, Quotations!$B$2:B1756, "")
</f>
        <v>121.03</v>
      </c>
      <c r="C191" s="9">
        <f t="array" ref="C191">XLOOKUP($A191, Quotations!$C$2:C1756, Quotations!$D$2:D1756, "")</f>
        <v>24.55</v>
      </c>
      <c r="D191" s="9">
        <f t="array" ref="D191">XLOOKUP($A191, Quotations!$E$2:E1756, Quotations!$F$2:F1756, "")
</f>
        <v>113.01</v>
      </c>
      <c r="E191" s="9">
        <f t="array" ref="E191">XLOOKUP($A191, Quotations!$G$2:G1756, Quotations!$H$2:H1756, "")
</f>
        <v>121.54</v>
      </c>
      <c r="F191" s="9">
        <f t="array" ref="F191">XLOOKUP($A191, Quotations!$I$2:I1756, Quotations!$J$2:J1756, "")
</f>
        <v>129.9</v>
      </c>
      <c r="G191" s="9">
        <f t="array" ref="G191">XLOOKUP($A191, Quotations!$K$2:K1756, Quotations!$L$2:L1756, "")
</f>
        <v>1332.7562</v>
      </c>
    </row>
    <row r="192">
      <c r="A192" s="8">
        <v>41915.0</v>
      </c>
      <c r="B192" s="9">
        <f t="array" ref="B192">XLOOKUP($A192, Quotations!$A$2:A1756, Quotations!$B$2:B1756, "")
</f>
        <v>121.09</v>
      </c>
      <c r="C192" s="9">
        <f t="array" ref="C192">XLOOKUP($A192, Quotations!$C$2:C1756, Quotations!$D$2:D1756, "")</f>
        <v>24.58</v>
      </c>
      <c r="D192" s="9">
        <f t="array" ref="D192">XLOOKUP($A192, Quotations!$E$2:E1756, Quotations!$F$2:F1756, "")
</f>
        <v>113</v>
      </c>
      <c r="E192" s="9">
        <f t="array" ref="E192">XLOOKUP($A192, Quotations!$G$2:G1756, Quotations!$H$2:H1756, "")
</f>
        <v>120.62</v>
      </c>
      <c r="F192" s="9">
        <f t="array" ref="F192">XLOOKUP($A192, Quotations!$I$2:I1756, Quotations!$J$2:J1756, "")
</f>
        <v>129.26</v>
      </c>
      <c r="G192" s="9">
        <f t="array" ref="G192">XLOOKUP($A192, Quotations!$K$2:K1756, Quotations!$L$2:L1756, "")
</f>
        <v>1328.1492</v>
      </c>
    </row>
    <row r="193">
      <c r="A193" s="8">
        <v>41918.0</v>
      </c>
      <c r="B193" s="9">
        <f t="array" ref="B193">XLOOKUP($A193, Quotations!$A$2:A1756, Quotations!$B$2:B1756, "")
</f>
        <v>121.03</v>
      </c>
      <c r="C193" s="9">
        <f t="array" ref="C193">XLOOKUP($A193, Quotations!$C$2:C1756, Quotations!$D$2:D1756, "")</f>
        <v>24.57</v>
      </c>
      <c r="D193" s="9">
        <f t="array" ref="D193">XLOOKUP($A193, Quotations!$E$2:E1756, Quotations!$F$2:F1756, "")
</f>
        <v>113.05</v>
      </c>
      <c r="E193" s="9">
        <f t="array" ref="E193">XLOOKUP($A193, Quotations!$G$2:G1756, Quotations!$H$2:H1756, "")
</f>
        <v>120.48</v>
      </c>
      <c r="F193" s="9">
        <f t="array" ref="F193">XLOOKUP($A193, Quotations!$I$2:I1756, Quotations!$J$2:J1756, "")
</f>
        <v>130.06</v>
      </c>
      <c r="G193" s="9">
        <f t="array" ref="G193">XLOOKUP($A193, Quotations!$K$2:K1756, Quotations!$L$2:L1756, "")
</f>
        <v>1334.6162</v>
      </c>
    </row>
    <row r="194">
      <c r="A194" s="8">
        <v>41919.0</v>
      </c>
      <c r="B194" s="9">
        <f t="array" ref="B194">XLOOKUP($A194, Quotations!$A$2:A1756, Quotations!$B$2:B1756, "")
</f>
        <v>120.61</v>
      </c>
      <c r="C194" s="9">
        <f t="array" ref="C194">XLOOKUP($A194, Quotations!$C$2:C1756, Quotations!$D$2:D1756, "")</f>
        <v>24.56</v>
      </c>
      <c r="D194" s="9">
        <f t="array" ref="D194">XLOOKUP($A194, Quotations!$E$2:E1756, Quotations!$F$2:F1756, "")
</f>
        <v>112.96</v>
      </c>
      <c r="E194" s="9">
        <f t="array" ref="E194">XLOOKUP($A194, Quotations!$G$2:G1756, Quotations!$H$2:H1756, "")
</f>
        <v>120.43</v>
      </c>
      <c r="F194" s="9">
        <f t="array" ref="F194">XLOOKUP($A194, Quotations!$I$2:I1756, Quotations!$J$2:J1756, "")
</f>
        <v>129.91</v>
      </c>
      <c r="G194" s="9">
        <f t="array" ref="G194">XLOOKUP($A194, Quotations!$K$2:K1756, Quotations!$L$2:L1756, "")
</f>
        <v>1333.4445</v>
      </c>
    </row>
    <row r="195">
      <c r="A195" s="8">
        <v>41920.0</v>
      </c>
      <c r="B195" s="9">
        <f t="array" ref="B195">XLOOKUP($A195, Quotations!$A$2:A1756, Quotations!$B$2:B1756, "")
</f>
        <v>120.35</v>
      </c>
      <c r="C195" s="9">
        <f t="array" ref="C195">XLOOKUP($A195, Quotations!$C$2:C1756, Quotations!$D$2:D1756, "")</f>
        <v>24.53</v>
      </c>
      <c r="D195" s="9">
        <f t="array" ref="D195">XLOOKUP($A195, Quotations!$E$2:E1756, Quotations!$F$2:F1756, "")
</f>
        <v>112.94</v>
      </c>
      <c r="E195" s="9">
        <f t="array" ref="E195">XLOOKUP($A195, Quotations!$G$2:G1756, Quotations!$H$2:H1756, "")
</f>
        <v>120.04</v>
      </c>
      <c r="F195" s="9">
        <f t="array" ref="F195">XLOOKUP($A195, Quotations!$I$2:I1756, Quotations!$J$2:J1756, "")
</f>
        <v>129.48</v>
      </c>
      <c r="G195" s="9">
        <f t="array" ref="G195">XLOOKUP($A195, Quotations!$K$2:K1756, Quotations!$L$2:L1756, "")
</f>
        <v>1325.2734</v>
      </c>
    </row>
    <row r="196">
      <c r="A196" s="8">
        <v>41921.0</v>
      </c>
      <c r="B196" s="9">
        <f t="array" ref="B196">XLOOKUP($A196, Quotations!$A$2:A1756, Quotations!$B$2:B1756, "")
</f>
        <v>120.31</v>
      </c>
      <c r="C196" s="9">
        <f t="array" ref="C196">XLOOKUP($A196, Quotations!$C$2:C1756, Quotations!$D$2:D1756, "")</f>
        <v>24.54</v>
      </c>
      <c r="D196" s="9">
        <f t="array" ref="D196">XLOOKUP($A196, Quotations!$E$2:E1756, Quotations!$F$2:F1756, "")
</f>
        <v>112.91</v>
      </c>
      <c r="E196" s="9">
        <f t="array" ref="E196">XLOOKUP($A196, Quotations!$G$2:G1756, Quotations!$H$2:H1756, "")
</f>
        <v>119.97</v>
      </c>
      <c r="F196" s="9">
        <f t="array" ref="F196">XLOOKUP($A196, Quotations!$I$2:I1756, Quotations!$J$2:J1756, "")
</f>
        <v>129.43</v>
      </c>
      <c r="G196" s="9">
        <f t="array" ref="G196">XLOOKUP($A196, Quotations!$K$2:K1756, Quotations!$L$2:L1756, "")
</f>
        <v>1325.5927</v>
      </c>
    </row>
    <row r="197">
      <c r="A197" s="8">
        <v>41922.0</v>
      </c>
      <c r="B197" s="9">
        <f t="array" ref="B197">XLOOKUP($A197, Quotations!$A$2:A1756, Quotations!$B$2:B1756, "")
</f>
        <v>119.88</v>
      </c>
      <c r="C197" s="9">
        <f t="array" ref="C197">XLOOKUP($A197, Quotations!$C$2:C1756, Quotations!$D$2:D1756, "")</f>
        <v>24.55</v>
      </c>
      <c r="D197" s="9">
        <f t="array" ref="D197">XLOOKUP($A197, Quotations!$E$2:E1756, Quotations!$F$2:F1756, "")
</f>
        <v>112.81</v>
      </c>
      <c r="E197" s="9">
        <f t="array" ref="E197">XLOOKUP($A197, Quotations!$G$2:G1756, Quotations!$H$2:H1756, "")
</f>
        <v>119.93</v>
      </c>
      <c r="F197" s="9">
        <f t="array" ref="F197">XLOOKUP($A197, Quotations!$I$2:I1756, Quotations!$J$2:J1756, "")
</f>
        <v>129.24</v>
      </c>
      <c r="G197" s="9">
        <f t="array" ref="G197">XLOOKUP($A197, Quotations!$K$2:K1756, Quotations!$L$2:L1756, "")
</f>
        <v>1318.5486</v>
      </c>
    </row>
    <row r="198">
      <c r="A198" s="8">
        <v>41925.0</v>
      </c>
      <c r="B198" s="9">
        <f t="array" ref="B198">XLOOKUP($A198, Quotations!$A$2:A1756, Quotations!$B$2:B1756, "")
</f>
        <v>119.79</v>
      </c>
      <c r="C198" s="9">
        <f t="array" ref="C198">XLOOKUP($A198, Quotations!$C$2:C1756, Quotations!$D$2:D1756, "")</f>
        <v>24.54</v>
      </c>
      <c r="D198" s="9">
        <f t="array" ref="D198">XLOOKUP($A198, Quotations!$E$2:E1756, Quotations!$F$2:F1756, "")
</f>
        <v>112.78</v>
      </c>
      <c r="E198" s="9">
        <f t="array" ref="E198">XLOOKUP($A198, Quotations!$G$2:G1756, Quotations!$H$2:H1756, "")
</f>
        <v>119.93</v>
      </c>
      <c r="F198" s="9">
        <f t="array" ref="F198">XLOOKUP($A198, Quotations!$I$2:I1756, Quotations!$J$2:J1756, "")
</f>
        <v>129.48</v>
      </c>
      <c r="G198" s="9">
        <f t="array" ref="G198">XLOOKUP($A198, Quotations!$K$2:K1756, Quotations!$L$2:L1756, "")
</f>
        <v>1304.9262</v>
      </c>
    </row>
    <row r="199">
      <c r="A199" s="8">
        <v>41926.0</v>
      </c>
      <c r="B199" s="9">
        <f t="array" ref="B199">XLOOKUP($A199, Quotations!$A$2:A1756, Quotations!$B$2:B1756, "")
</f>
        <v>119.75</v>
      </c>
      <c r="C199" s="9">
        <f t="array" ref="C199">XLOOKUP($A199, Quotations!$C$2:C1756, Quotations!$D$2:D1756, "")</f>
        <v>24.53</v>
      </c>
      <c r="D199" s="9">
        <f t="array" ref="D199">XLOOKUP($A199, Quotations!$E$2:E1756, Quotations!$F$2:F1756, "")
</f>
        <v>112.81</v>
      </c>
      <c r="E199" s="9">
        <f t="array" ref="E199">XLOOKUP($A199, Quotations!$G$2:G1756, Quotations!$H$2:H1756, "")
</f>
        <v>119.81</v>
      </c>
      <c r="F199" s="9">
        <f t="array" ref="F199">XLOOKUP($A199, Quotations!$I$2:I1756, Quotations!$J$2:J1756, "")
</f>
        <v>129.17</v>
      </c>
      <c r="G199" s="9">
        <f t="array" ref="G199">XLOOKUP($A199, Quotations!$K$2:K1756, Quotations!$L$2:L1756, "")
</f>
        <v>1298.2236</v>
      </c>
    </row>
    <row r="200">
      <c r="A200" s="8">
        <v>41927.0</v>
      </c>
      <c r="B200" s="9">
        <f t="array" ref="B200">XLOOKUP($A200, Quotations!$A$2:A1756, Quotations!$B$2:B1756, "")
</f>
        <v>119.28</v>
      </c>
      <c r="C200" s="9">
        <f t="array" ref="C200">XLOOKUP($A200, Quotations!$C$2:C1756, Quotations!$D$2:D1756, "")</f>
        <v>24.5</v>
      </c>
      <c r="D200" s="9">
        <f t="array" ref="D200">XLOOKUP($A200, Quotations!$E$2:E1756, Quotations!$F$2:F1756, "")
</f>
        <v>112.57</v>
      </c>
      <c r="E200" s="9">
        <f t="array" ref="E200">XLOOKUP($A200, Quotations!$G$2:G1756, Quotations!$H$2:H1756, "")
</f>
        <v>120</v>
      </c>
      <c r="F200" s="9">
        <f t="array" ref="F200">XLOOKUP($A200, Quotations!$I$2:I1756, Quotations!$J$2:J1756, "")
</f>
        <v>129.24</v>
      </c>
      <c r="G200" s="9">
        <f t="array" ref="G200">XLOOKUP($A200, Quotations!$K$2:K1756, Quotations!$L$2:L1756, "")
</f>
        <v>1299.859</v>
      </c>
    </row>
    <row r="201">
      <c r="A201" s="8">
        <v>41928.0</v>
      </c>
      <c r="B201" s="9">
        <f t="array" ref="B201">XLOOKUP($A201, Quotations!$A$2:A1756, Quotations!$B$2:B1756, "")
</f>
        <v>119.1</v>
      </c>
      <c r="C201" s="9">
        <f t="array" ref="C201">XLOOKUP($A201, Quotations!$C$2:C1756, Quotations!$D$2:D1756, "")</f>
        <v>24.48</v>
      </c>
      <c r="D201" s="9">
        <f t="array" ref="D201">XLOOKUP($A201, Quotations!$E$2:E1756, Quotations!$F$2:F1756, "")
</f>
        <v>112.55</v>
      </c>
      <c r="E201" s="9">
        <f t="array" ref="E201">XLOOKUP($A201, Quotations!$G$2:G1756, Quotations!$H$2:H1756, "")
</f>
        <v>120.13</v>
      </c>
      <c r="F201" s="9">
        <f t="array" ref="F201">XLOOKUP($A201, Quotations!$I$2:I1756, Quotations!$J$2:J1756, "")
</f>
        <v>128.87</v>
      </c>
      <c r="G201" s="9">
        <f t="array" ref="G201">XLOOKUP($A201, Quotations!$K$2:K1756, Quotations!$L$2:L1756, "")
</f>
        <v>1296.0784</v>
      </c>
    </row>
    <row r="202">
      <c r="A202" s="8">
        <v>41929.0</v>
      </c>
      <c r="B202" s="9">
        <f t="array" ref="B202">XLOOKUP($A202, Quotations!$A$2:A1756, Quotations!$B$2:B1756, "")
</f>
        <v>119.66</v>
      </c>
      <c r="C202" s="9">
        <f t="array" ref="C202">XLOOKUP($A202, Quotations!$C$2:C1756, Quotations!$D$2:D1756, "")</f>
        <v>24.49</v>
      </c>
      <c r="D202" s="9">
        <f t="array" ref="D202">XLOOKUP($A202, Quotations!$E$2:E1756, Quotations!$F$2:F1756, "")
</f>
        <v>112.67</v>
      </c>
      <c r="E202" s="9">
        <f t="array" ref="E202">XLOOKUP($A202, Quotations!$G$2:G1756, Quotations!$H$2:H1756, "")
</f>
        <v>119.97</v>
      </c>
      <c r="F202" s="9">
        <f t="array" ref="F202">XLOOKUP($A202, Quotations!$I$2:I1756, Quotations!$J$2:J1756, "")
</f>
        <v>128.66</v>
      </c>
      <c r="G202" s="9">
        <f t="array" ref="G202">XLOOKUP($A202, Quotations!$K$2:K1756, Quotations!$L$2:L1756, "")
</f>
        <v>1296.4823</v>
      </c>
    </row>
    <row r="203">
      <c r="A203" s="8">
        <v>41932.0</v>
      </c>
      <c r="B203" s="9">
        <f t="array" ref="B203">XLOOKUP($A203, Quotations!$A$2:A1756, Quotations!$B$2:B1756, "")
</f>
        <v>119.6</v>
      </c>
      <c r="C203" s="9">
        <f t="array" ref="C203">XLOOKUP($A203, Quotations!$C$2:C1756, Quotations!$D$2:D1756, "")</f>
        <v>24.49</v>
      </c>
      <c r="D203" s="9">
        <f t="array" ref="D203">XLOOKUP($A203, Quotations!$E$2:E1756, Quotations!$F$2:F1756, "")
</f>
        <v>112.7</v>
      </c>
      <c r="E203" s="9">
        <f t="array" ref="E203">XLOOKUP($A203, Quotations!$G$2:G1756, Quotations!$H$2:H1756, "")
</f>
        <v>119.89</v>
      </c>
      <c r="F203" s="9">
        <f t="array" ref="F203">XLOOKUP($A203, Quotations!$I$2:I1756, Quotations!$J$2:J1756, "")
</f>
        <v>129.16</v>
      </c>
      <c r="G203" s="9">
        <f t="array" ref="G203">XLOOKUP($A203, Quotations!$K$2:K1756, Quotations!$L$2:L1756, "")
</f>
        <v>1308.1715</v>
      </c>
    </row>
    <row r="204">
      <c r="A204" s="8">
        <v>41933.0</v>
      </c>
      <c r="B204" s="9">
        <f t="array" ref="B204">XLOOKUP($A204, Quotations!$A$2:A1756, Quotations!$B$2:B1756, "")
</f>
        <v>120.07</v>
      </c>
      <c r="C204" s="9">
        <f t="array" ref="C204">XLOOKUP($A204, Quotations!$C$2:C1756, Quotations!$D$2:D1756, "")</f>
        <v>24.51</v>
      </c>
      <c r="D204" s="9">
        <f t="array" ref="D204">XLOOKUP($A204, Quotations!$E$2:E1756, Quotations!$F$2:F1756, "")
</f>
        <v>112.66</v>
      </c>
      <c r="E204" s="9">
        <f t="array" ref="E204">XLOOKUP($A204, Quotations!$G$2:G1756, Quotations!$H$2:H1756, "")
</f>
        <v>119.93</v>
      </c>
      <c r="F204" s="9">
        <f t="array" ref="F204">XLOOKUP($A204, Quotations!$I$2:I1756, Quotations!$J$2:J1756, "")
</f>
        <v>129.23</v>
      </c>
      <c r="G204" s="9">
        <f t="array" ref="G204">XLOOKUP($A204, Quotations!$K$2:K1756, Quotations!$L$2:L1756, "")
</f>
        <v>1312.1115</v>
      </c>
    </row>
    <row r="205">
      <c r="A205" s="8">
        <v>41934.0</v>
      </c>
      <c r="B205" s="9">
        <f t="array" ref="B205">XLOOKUP($A205, Quotations!$A$2:A1756, Quotations!$B$2:B1756, "")
</f>
        <v>120.29</v>
      </c>
      <c r="C205" s="9">
        <f t="array" ref="C205">XLOOKUP($A205, Quotations!$C$2:C1756, Quotations!$D$2:D1756, "")</f>
        <v>24.54</v>
      </c>
      <c r="D205" s="9">
        <f t="array" ref="D205">XLOOKUP($A205, Quotations!$E$2:E1756, Quotations!$F$2:F1756, "")
</f>
        <v>112.69</v>
      </c>
      <c r="E205" s="9">
        <f t="array" ref="E205">XLOOKUP($A205, Quotations!$G$2:G1756, Quotations!$H$2:H1756, "")
</f>
        <v>119.95</v>
      </c>
      <c r="F205" s="9">
        <f t="array" ref="F205">XLOOKUP($A205, Quotations!$I$2:I1756, Quotations!$J$2:J1756, "")
</f>
        <v>129.8</v>
      </c>
      <c r="G205" s="9">
        <f t="array" ref="G205">XLOOKUP($A205, Quotations!$K$2:K1756, Quotations!$L$2:L1756, "")
</f>
        <v>1324.856</v>
      </c>
    </row>
    <row r="206">
      <c r="A206" s="8">
        <v>41935.0</v>
      </c>
      <c r="B206" s="9">
        <f t="array" ref="B206">XLOOKUP($A206, Quotations!$A$2:A1756, Quotations!$B$2:B1756, "")
</f>
        <v>120.6</v>
      </c>
      <c r="C206" s="9">
        <f t="array" ref="C206">XLOOKUP($A206, Quotations!$C$2:C1756, Quotations!$D$2:D1756, "")</f>
        <v>24.54</v>
      </c>
      <c r="D206" s="9">
        <f t="array" ref="D206">XLOOKUP($A206, Quotations!$E$2:E1756, Quotations!$F$2:F1756, "")
</f>
        <v>112.74</v>
      </c>
      <c r="E206" s="9">
        <f t="array" ref="E206">XLOOKUP($A206, Quotations!$G$2:G1756, Quotations!$H$2:H1756, "")
</f>
        <v>119.93</v>
      </c>
      <c r="F206" s="9">
        <f t="array" ref="F206">XLOOKUP($A206, Quotations!$I$2:I1756, Quotations!$J$2:J1756, "")
</f>
        <v>129.87</v>
      </c>
      <c r="G206" s="9">
        <f t="array" ref="G206">XLOOKUP($A206, Quotations!$K$2:K1756, Quotations!$L$2:L1756, "")
</f>
        <v>1325.4424</v>
      </c>
    </row>
    <row r="207">
      <c r="A207" s="8">
        <v>41936.0</v>
      </c>
      <c r="B207" s="9">
        <f t="array" ref="B207">XLOOKUP($A207, Quotations!$A$2:A1756, Quotations!$B$2:B1756, "")
</f>
        <v>120.69</v>
      </c>
      <c r="C207" s="9">
        <f t="array" ref="C207">XLOOKUP($A207, Quotations!$C$2:C1756, Quotations!$D$2:D1756, "")</f>
        <v>24.54</v>
      </c>
      <c r="D207" s="9">
        <f t="array" ref="D207">XLOOKUP($A207, Quotations!$E$2:E1756, Quotations!$F$2:F1756, "")
</f>
        <v>112.79</v>
      </c>
      <c r="E207" s="9">
        <f t="array" ref="E207">XLOOKUP($A207, Quotations!$G$2:G1756, Quotations!$H$2:H1756, "")
</f>
        <v>119.79</v>
      </c>
      <c r="F207" s="9">
        <f t="array" ref="F207">XLOOKUP($A207, Quotations!$I$2:I1756, Quotations!$J$2:J1756, "")
</f>
        <v>129.99</v>
      </c>
      <c r="G207" s="9">
        <f t="array" ref="G207">XLOOKUP($A207, Quotations!$K$2:K1756, Quotations!$L$2:L1756, "")
</f>
        <v>1332.8339</v>
      </c>
    </row>
    <row r="208">
      <c r="A208" s="8">
        <v>41939.0</v>
      </c>
      <c r="B208" s="9">
        <f t="array" ref="B208">XLOOKUP($A208, Quotations!$A$2:A1756, Quotations!$B$2:B1756, "")
</f>
        <v>120.58</v>
      </c>
      <c r="C208" s="9">
        <f t="array" ref="C208">XLOOKUP($A208, Quotations!$C$2:C1756, Quotations!$D$2:D1756, "")</f>
        <v>24.52</v>
      </c>
      <c r="D208" s="9">
        <f t="array" ref="D208">XLOOKUP($A208, Quotations!$E$2:E1756, Quotations!$F$2:F1756, "")
</f>
        <v>112.83</v>
      </c>
      <c r="E208" s="9">
        <f t="array" ref="E208">XLOOKUP($A208, Quotations!$G$2:G1756, Quotations!$H$2:H1756, "")
</f>
        <v>119.82</v>
      </c>
      <c r="F208" s="9">
        <f t="array" ref="F208">XLOOKUP($A208, Quotations!$I$2:I1756, Quotations!$J$2:J1756, "")
</f>
        <v>130.07</v>
      </c>
      <c r="G208" s="9">
        <f t="array" ref="G208">XLOOKUP($A208, Quotations!$K$2:K1756, Quotations!$L$2:L1756, "")
</f>
        <v>1335.3568</v>
      </c>
    </row>
    <row r="209">
      <c r="A209" s="8">
        <v>41940.0</v>
      </c>
      <c r="B209" s="9">
        <f t="array" ref="B209">XLOOKUP($A209, Quotations!$A$2:A1756, Quotations!$B$2:B1756, "")
</f>
        <v>120.92</v>
      </c>
      <c r="C209" s="9">
        <f t="array" ref="C209">XLOOKUP($A209, Quotations!$C$2:C1756, Quotations!$D$2:D1756, "")</f>
        <v>24.52</v>
      </c>
      <c r="D209" s="9">
        <f t="array" ref="D209">XLOOKUP($A209, Quotations!$E$2:E1756, Quotations!$F$2:F1756, "")
</f>
        <v>112.87</v>
      </c>
      <c r="E209" s="9">
        <f t="array" ref="E209">XLOOKUP($A209, Quotations!$G$2:G1756, Quotations!$H$2:H1756, "")
</f>
        <v>119.9</v>
      </c>
      <c r="F209" s="9">
        <f t="array" ref="F209">XLOOKUP($A209, Quotations!$I$2:I1756, Quotations!$J$2:J1756, "")
</f>
        <v>129.91</v>
      </c>
      <c r="G209" s="9">
        <f t="array" ref="G209">XLOOKUP($A209, Quotations!$K$2:K1756, Quotations!$L$2:L1756, "")
</f>
        <v>1334.8765</v>
      </c>
    </row>
    <row r="210">
      <c r="A210" s="8">
        <v>41941.0</v>
      </c>
      <c r="B210" s="9">
        <f t="array" ref="B210">XLOOKUP($A210, Quotations!$A$2:A1756, Quotations!$B$2:B1756, "")
</f>
        <v>120.9</v>
      </c>
      <c r="C210" s="9">
        <f t="array" ref="C210">XLOOKUP($A210, Quotations!$C$2:C1756, Quotations!$D$2:D1756, "")</f>
        <v>24.52</v>
      </c>
      <c r="D210" s="9">
        <f t="array" ref="D210">XLOOKUP($A210, Quotations!$E$2:E1756, Quotations!$F$2:F1756, "")
</f>
        <v>112.85</v>
      </c>
      <c r="E210" s="9">
        <f t="array" ref="E210">XLOOKUP($A210, Quotations!$G$2:G1756, Quotations!$H$2:H1756, "")
</f>
        <v>119.88</v>
      </c>
      <c r="F210" s="9">
        <f t="array" ref="F210">XLOOKUP($A210, Quotations!$I$2:I1756, Quotations!$J$2:J1756, "")
</f>
        <v>130.17</v>
      </c>
      <c r="G210" s="9">
        <f t="array" ref="G210">XLOOKUP($A210, Quotations!$K$2:K1756, Quotations!$L$2:L1756, "")
</f>
        <v>1343.6811</v>
      </c>
    </row>
    <row r="211">
      <c r="A211" s="8">
        <v>41942.0</v>
      </c>
      <c r="B211" s="9">
        <f t="array" ref="B211">XLOOKUP($A211, Quotations!$A$2:A1756, Quotations!$B$2:B1756, "")
</f>
        <v>120.97</v>
      </c>
      <c r="C211" s="9">
        <f t="array" ref="C211">XLOOKUP($A211, Quotations!$C$2:C1756, Quotations!$D$2:D1756, "")</f>
        <v>24.56</v>
      </c>
      <c r="D211" s="9">
        <f t="array" ref="D211">XLOOKUP($A211, Quotations!$E$2:E1756, Quotations!$F$2:F1756, "")
</f>
        <v>112.82</v>
      </c>
      <c r="E211" s="9">
        <f t="array" ref="E211">XLOOKUP($A211, Quotations!$G$2:G1756, Quotations!$H$2:H1756, "")
</f>
        <v>119.87</v>
      </c>
      <c r="F211" s="9">
        <f t="array" ref="F211">XLOOKUP($A211, Quotations!$I$2:I1756, Quotations!$J$2:J1756, "")
</f>
        <v>130.13</v>
      </c>
      <c r="G211" s="9">
        <f t="array" ref="G211">XLOOKUP($A211, Quotations!$K$2:K1756, Quotations!$L$2:L1756, "")
</f>
        <v>1342.9153</v>
      </c>
    </row>
    <row r="212">
      <c r="A212" s="8">
        <v>41943.0</v>
      </c>
      <c r="B212" s="9">
        <f t="array" ref="B212">XLOOKUP($A212, Quotations!$A$2:A1756, Quotations!$B$2:B1756, "")
</f>
        <v>121.48</v>
      </c>
      <c r="C212" s="9">
        <f t="array" ref="C212">XLOOKUP($A212, Quotations!$C$2:C1756, Quotations!$D$2:D1756, "")</f>
        <v>24.59</v>
      </c>
      <c r="D212" s="9">
        <f t="array" ref="D212">XLOOKUP($A212, Quotations!$E$2:E1756, Quotations!$F$2:F1756, "")
</f>
        <v>112.83</v>
      </c>
      <c r="E212" s="9">
        <f t="array" ref="E212">XLOOKUP($A212, Quotations!$G$2:G1756, Quotations!$H$2:H1756, "")
</f>
        <v>120.06</v>
      </c>
      <c r="F212" s="9">
        <f t="array" ref="F212">XLOOKUP($A212, Quotations!$I$2:I1756, Quotations!$J$2:J1756, "")
</f>
        <v>130.62</v>
      </c>
      <c r="G212" s="9">
        <f t="array" ref="G212">XLOOKUP($A212, Quotations!$K$2:K1756, Quotations!$L$2:L1756, "")
</f>
        <v>1349.8279</v>
      </c>
    </row>
    <row r="213">
      <c r="A213" s="8">
        <v>41946.0</v>
      </c>
      <c r="B213" s="9">
        <f t="array" ref="B213">XLOOKUP($A213, Quotations!$A$2:A1756, Quotations!$B$2:B1756, "")
</f>
        <v>121.39</v>
      </c>
      <c r="C213" s="9">
        <f t="array" ref="C213">XLOOKUP($A213, Quotations!$C$2:C1756, Quotations!$D$2:D1756, "")</f>
        <v>24.59</v>
      </c>
      <c r="D213" s="9">
        <f t="array" ref="D213">XLOOKUP($A213, Quotations!$E$2:E1756, Quotations!$F$2:F1756, "")
</f>
        <v>112.85</v>
      </c>
      <c r="E213" s="9">
        <f t="array" ref="E213">XLOOKUP($A213, Quotations!$G$2:G1756, Quotations!$H$2:H1756, "")
</f>
        <v>120.06</v>
      </c>
      <c r="F213" s="9">
        <f t="array" ref="F213">XLOOKUP($A213, Quotations!$I$2:I1756, Quotations!$J$2:J1756, "")
</f>
        <v>131.06</v>
      </c>
      <c r="G213" s="9">
        <f t="array" ref="G213">XLOOKUP($A213, Quotations!$K$2:K1756, Quotations!$L$2:L1756, "")
</f>
        <v>1358.9608</v>
      </c>
    </row>
    <row r="214">
      <c r="A214" s="8">
        <v>41947.0</v>
      </c>
      <c r="B214" s="9">
        <f t="array" ref="B214">XLOOKUP($A214, Quotations!$A$2:A1756, Quotations!$B$2:B1756, "")
</f>
        <v>121.3</v>
      </c>
      <c r="C214" s="9">
        <f t="array" ref="C214">XLOOKUP($A214, Quotations!$C$2:C1756, Quotations!$D$2:D1756, "")</f>
        <v>24.57</v>
      </c>
      <c r="D214" s="9">
        <f t="array" ref="D214">XLOOKUP($A214, Quotations!$E$2:E1756, Quotations!$F$2:F1756, "")
</f>
        <v>112.87</v>
      </c>
      <c r="E214" s="9">
        <f t="array" ref="E214">XLOOKUP($A214, Quotations!$G$2:G1756, Quotations!$H$2:H1756, "")
</f>
        <v>120</v>
      </c>
      <c r="F214" s="9">
        <f t="array" ref="F214">XLOOKUP($A214, Quotations!$I$2:I1756, Quotations!$J$2:J1756, "")
</f>
        <v>130.88</v>
      </c>
      <c r="G214" s="9">
        <f t="array" ref="G214">XLOOKUP($A214, Quotations!$K$2:K1756, Quotations!$L$2:L1756, "")
</f>
        <v>1359.9108</v>
      </c>
    </row>
    <row r="215">
      <c r="A215" s="8">
        <v>41948.0</v>
      </c>
      <c r="B215" s="9">
        <f t="array" ref="B215">XLOOKUP($A215, Quotations!$A$2:A1756, Quotations!$B$2:B1756, "")
</f>
        <v>121.41</v>
      </c>
      <c r="C215" s="9">
        <f t="array" ref="C215">XLOOKUP($A215, Quotations!$C$2:C1756, Quotations!$D$2:D1756, "")</f>
        <v>24.58</v>
      </c>
      <c r="D215" s="9">
        <f t="array" ref="D215">XLOOKUP($A215, Quotations!$E$2:E1756, Quotations!$F$2:F1756, "")
</f>
        <v>112.76</v>
      </c>
      <c r="E215" s="9">
        <f t="array" ref="E215">XLOOKUP($A215, Quotations!$G$2:G1756, Quotations!$H$2:H1756, "")
</f>
        <v>120.23</v>
      </c>
      <c r="F215" s="9">
        <f t="array" ref="F215">XLOOKUP($A215, Quotations!$I$2:I1756, Quotations!$J$2:J1756, "")
</f>
        <v>130.51</v>
      </c>
      <c r="G215" s="9">
        <f t="array" ref="G215">XLOOKUP($A215, Quotations!$K$2:K1756, Quotations!$L$2:L1756, "")
</f>
        <v>1356.4186</v>
      </c>
    </row>
    <row r="216">
      <c r="A216" s="8">
        <v>41949.0</v>
      </c>
      <c r="B216" s="9">
        <f t="array" ref="B216">XLOOKUP($A216, Quotations!$A$2:A1756, Quotations!$B$2:B1756, "")
</f>
        <v>121.43</v>
      </c>
      <c r="C216" s="9">
        <f t="array" ref="C216">XLOOKUP($A216, Quotations!$C$2:C1756, Quotations!$D$2:D1756, "")</f>
        <v>24.6</v>
      </c>
      <c r="D216" s="9">
        <f t="array" ref="D216">XLOOKUP($A216, Quotations!$E$2:E1756, Quotations!$F$2:F1756, "")
</f>
        <v>112.72</v>
      </c>
      <c r="E216" s="9">
        <f t="array" ref="E216">XLOOKUP($A216, Quotations!$G$2:G1756, Quotations!$H$2:H1756, "")
</f>
        <v>120.1</v>
      </c>
      <c r="F216" s="9">
        <f t="array" ref="F216">XLOOKUP($A216, Quotations!$I$2:I1756, Quotations!$J$2:J1756, "")
</f>
        <v>131.06</v>
      </c>
      <c r="G216" s="9">
        <f t="array" ref="G216">XLOOKUP($A216, Quotations!$K$2:K1756, Quotations!$L$2:L1756, "")
</f>
        <v>1354.5809</v>
      </c>
    </row>
    <row r="217">
      <c r="A217" s="8">
        <v>41950.0</v>
      </c>
      <c r="B217" s="9">
        <f t="array" ref="B217">XLOOKUP($A217, Quotations!$A$2:A1756, Quotations!$B$2:B1756, "")
</f>
        <v>121.25</v>
      </c>
      <c r="C217" s="9">
        <f t="array" ref="C217">XLOOKUP($A217, Quotations!$C$2:C1756, Quotations!$D$2:D1756, "")</f>
        <v>24.59</v>
      </c>
      <c r="D217" s="9">
        <f t="array" ref="D217">XLOOKUP($A217, Quotations!$E$2:E1756, Quotations!$F$2:F1756, "")
</f>
        <v>112.75</v>
      </c>
      <c r="E217" s="9">
        <f t="array" ref="E217">XLOOKUP($A217, Quotations!$G$2:G1756, Quotations!$H$2:H1756, "")
</f>
        <v>120.12</v>
      </c>
      <c r="F217" s="9">
        <f t="array" ref="F217">XLOOKUP($A217, Quotations!$I$2:I1756, Quotations!$J$2:J1756, "")
</f>
        <v>131.2</v>
      </c>
      <c r="G217" s="9">
        <f t="array" ref="G217">XLOOKUP($A217, Quotations!$K$2:K1756, Quotations!$L$2:L1756, "")
</f>
        <v>1357.0192</v>
      </c>
    </row>
    <row r="218">
      <c r="A218" s="8">
        <v>41953.0</v>
      </c>
      <c r="B218" s="9">
        <f t="array" ref="B218">XLOOKUP($A218, Quotations!$A$2:A1756, Quotations!$B$2:B1756, "")
</f>
        <v>121.35</v>
      </c>
      <c r="C218" s="9">
        <f t="array" ref="C218">XLOOKUP($A218, Quotations!$C$2:C1756, Quotations!$D$2:D1756, "")</f>
        <v>24.6</v>
      </c>
      <c r="D218" s="9">
        <f t="array" ref="D218">XLOOKUP($A218, Quotations!$E$2:E1756, Quotations!$F$2:F1756, "")
</f>
        <v>112.77</v>
      </c>
      <c r="E218" s="9">
        <f t="array" ref="E218">XLOOKUP($A218, Quotations!$G$2:G1756, Quotations!$H$2:H1756, "")
</f>
        <v>120.15</v>
      </c>
      <c r="F218" s="9">
        <f t="array" ref="F218">XLOOKUP($A218, Quotations!$I$2:I1756, Quotations!$J$2:J1756, "")
</f>
        <v>131.19</v>
      </c>
      <c r="G218" s="9">
        <f t="array" ref="G218">XLOOKUP($A218, Quotations!$K$2:K1756, Quotations!$L$2:L1756, "")
</f>
        <v>1356.0558</v>
      </c>
    </row>
    <row r="219">
      <c r="A219" s="8">
        <v>41954.0</v>
      </c>
      <c r="B219" s="9" t="str">
        <f t="array" ref="B219">XLOOKUP($A219, Quotations!$A$2:A1756, Quotations!$B$2:B1756, "")
</f>
        <v/>
      </c>
      <c r="C219" s="9">
        <f t="array" ref="C219">XLOOKUP($A219, Quotations!$C$2:C1756, Quotations!$D$2:D1756, "")</f>
        <v>24.61</v>
      </c>
      <c r="D219" s="9">
        <f t="array" ref="D219">XLOOKUP($A219, Quotations!$E$2:E1756, Quotations!$F$2:F1756, "")
</f>
        <v>112.79</v>
      </c>
      <c r="E219" s="9">
        <f t="array" ref="E219">XLOOKUP($A219, Quotations!$G$2:G1756, Quotations!$H$2:H1756, "")
</f>
        <v>120.15</v>
      </c>
      <c r="F219" s="9">
        <f t="array" ref="F219">XLOOKUP($A219, Quotations!$I$2:I1756, Quotations!$J$2:J1756, "")
</f>
        <v>131.34</v>
      </c>
      <c r="G219" s="9">
        <f t="array" ref="G219">XLOOKUP($A219, Quotations!$K$2:K1756, Quotations!$L$2:L1756, "")
</f>
        <v>1360.6794</v>
      </c>
    </row>
    <row r="220">
      <c r="A220" s="8">
        <v>41955.0</v>
      </c>
      <c r="B220" s="9">
        <f t="array" ref="B220">XLOOKUP($A220, Quotations!$A$2:A1756, Quotations!$B$2:B1756, "")
</f>
        <v>121.25</v>
      </c>
      <c r="C220" s="9">
        <f t="array" ref="C220">XLOOKUP($A220, Quotations!$C$2:C1756, Quotations!$D$2:D1756, "")</f>
        <v>24.6</v>
      </c>
      <c r="D220" s="9">
        <f t="array" ref="D220">XLOOKUP($A220, Quotations!$E$2:E1756, Quotations!$F$2:F1756, "")
</f>
        <v>112.8</v>
      </c>
      <c r="E220" s="9">
        <f t="array" ref="E220">XLOOKUP($A220, Quotations!$G$2:G1756, Quotations!$H$2:H1756, "")
</f>
        <v>120.15</v>
      </c>
      <c r="F220" s="9">
        <f t="array" ref="F220">XLOOKUP($A220, Quotations!$I$2:I1756, Quotations!$J$2:J1756, "")
</f>
        <v>131.34</v>
      </c>
      <c r="G220" s="9">
        <f t="array" ref="G220">XLOOKUP($A220, Quotations!$K$2:K1756, Quotations!$L$2:L1756, "")
</f>
        <v>1361.0833</v>
      </c>
    </row>
    <row r="221">
      <c r="A221" s="8">
        <v>41956.0</v>
      </c>
      <c r="B221" s="9">
        <f t="array" ref="B221">XLOOKUP($A221, Quotations!$A$2:A1756, Quotations!$B$2:B1756, "")
</f>
        <v>121.08</v>
      </c>
      <c r="C221" s="9">
        <f t="array" ref="C221">XLOOKUP($A221, Quotations!$C$2:C1756, Quotations!$D$2:D1756, "")</f>
        <v>24.6</v>
      </c>
      <c r="D221" s="9">
        <f t="array" ref="D221">XLOOKUP($A221, Quotations!$E$2:E1756, Quotations!$F$2:F1756, "")
</f>
        <v>112.73</v>
      </c>
      <c r="E221" s="9">
        <f t="array" ref="E221">XLOOKUP($A221, Quotations!$G$2:G1756, Quotations!$H$2:H1756, "")
</f>
        <v>120.24</v>
      </c>
      <c r="F221" s="9">
        <f t="array" ref="F221">XLOOKUP($A221, Quotations!$I$2:I1756, Quotations!$J$2:J1756, "")
</f>
        <v>131.04</v>
      </c>
      <c r="G221" s="9">
        <f t="array" ref="G221">XLOOKUP($A221, Quotations!$K$2:K1756, Quotations!$L$2:L1756, "")
</f>
        <v>1359.4919</v>
      </c>
    </row>
    <row r="222">
      <c r="A222" s="8">
        <v>41957.0</v>
      </c>
      <c r="B222" s="9">
        <f t="array" ref="B222">XLOOKUP($A222, Quotations!$A$2:A1756, Quotations!$B$2:B1756, "")
</f>
        <v>120.69</v>
      </c>
      <c r="C222" s="9">
        <f t="array" ref="C222">XLOOKUP($A222, Quotations!$C$2:C1756, Quotations!$D$2:D1756, "")</f>
        <v>24.59</v>
      </c>
      <c r="D222" s="9">
        <f t="array" ref="D222">XLOOKUP($A222, Quotations!$E$2:E1756, Quotations!$F$2:F1756, "")
</f>
        <v>112.3</v>
      </c>
      <c r="E222" s="9">
        <f t="array" ref="E222">XLOOKUP($A222, Quotations!$G$2:G1756, Quotations!$H$2:H1756, "")
</f>
        <v>120.22</v>
      </c>
      <c r="F222" s="9">
        <f t="array" ref="F222">XLOOKUP($A222, Quotations!$I$2:I1756, Quotations!$J$2:J1756, "")
</f>
        <v>131.2</v>
      </c>
      <c r="G222" s="9">
        <f t="array" ref="G222">XLOOKUP($A222, Quotations!$K$2:K1756, Quotations!$L$2:L1756, "")
</f>
        <v>1360.551</v>
      </c>
    </row>
    <row r="223">
      <c r="A223" s="8">
        <v>41960.0</v>
      </c>
      <c r="B223" s="9">
        <f t="array" ref="B223">XLOOKUP($A223, Quotations!$A$2:A1756, Quotations!$B$2:B1756, "")
</f>
        <v>120.93</v>
      </c>
      <c r="C223" s="9">
        <f t="array" ref="C223">XLOOKUP($A223, Quotations!$C$2:C1756, Quotations!$D$2:D1756, "")</f>
        <v>24.6</v>
      </c>
      <c r="D223" s="9">
        <f t="array" ref="D223">XLOOKUP($A223, Quotations!$E$2:E1756, Quotations!$F$2:F1756, "")
</f>
        <v>112.61</v>
      </c>
      <c r="E223" s="9">
        <f t="array" ref="E223">XLOOKUP($A223, Quotations!$G$2:G1756, Quotations!$H$2:H1756, "")
</f>
        <v>120.21</v>
      </c>
      <c r="F223" s="9">
        <f t="array" ref="F223">XLOOKUP($A223, Quotations!$I$2:I1756, Quotations!$J$2:J1756, "")
</f>
        <v>131.22</v>
      </c>
      <c r="G223" s="9">
        <f t="array" ref="G223">XLOOKUP($A223, Quotations!$K$2:K1756, Quotations!$L$2:L1756, "")
</f>
        <v>1359.6392</v>
      </c>
    </row>
    <row r="224">
      <c r="A224" s="8">
        <v>41961.0</v>
      </c>
      <c r="B224" s="9">
        <f t="array" ref="B224">XLOOKUP($A224, Quotations!$A$2:A1756, Quotations!$B$2:B1756, "")
</f>
        <v>121.19</v>
      </c>
      <c r="C224" s="9">
        <f t="array" ref="C224">XLOOKUP($A224, Quotations!$C$2:C1756, Quotations!$D$2:D1756, "")</f>
        <v>24.59</v>
      </c>
      <c r="D224" s="9">
        <f t="array" ref="D224">XLOOKUP($A224, Quotations!$E$2:E1756, Quotations!$F$2:F1756, "")
</f>
        <v>112.67</v>
      </c>
      <c r="E224" s="9">
        <f t="array" ref="E224">XLOOKUP($A224, Quotations!$G$2:G1756, Quotations!$H$2:H1756, "")
</f>
        <v>120.12</v>
      </c>
      <c r="F224" s="9">
        <f t="array" ref="F224">XLOOKUP($A224, Quotations!$I$2:I1756, Quotations!$J$2:J1756, "")
</f>
        <v>131.32</v>
      </c>
      <c r="G224" s="9">
        <f t="array" ref="G224">XLOOKUP($A224, Quotations!$K$2:K1756, Quotations!$L$2:L1756, "")
</f>
        <v>1361.2726</v>
      </c>
    </row>
    <row r="225">
      <c r="A225" s="8">
        <v>41962.0</v>
      </c>
      <c r="B225" s="9">
        <f t="array" ref="B225">XLOOKUP($A225, Quotations!$A$2:A1756, Quotations!$B$2:B1756, "")
</f>
        <v>121.22</v>
      </c>
      <c r="C225" s="9">
        <f t="array" ref="C225">XLOOKUP($A225, Quotations!$C$2:C1756, Quotations!$D$2:D1756, "")</f>
        <v>24.57</v>
      </c>
      <c r="D225" s="9">
        <f t="array" ref="D225">XLOOKUP($A225, Quotations!$E$2:E1756, Quotations!$F$2:F1756, "")
</f>
        <v>112.67</v>
      </c>
      <c r="E225" s="9">
        <f t="array" ref="E225">XLOOKUP($A225, Quotations!$G$2:G1756, Quotations!$H$2:H1756, "")
</f>
        <v>120.13</v>
      </c>
      <c r="F225" s="9">
        <f t="array" ref="F225">XLOOKUP($A225, Quotations!$I$2:I1756, Quotations!$J$2:J1756, "")
</f>
        <v>131.25</v>
      </c>
      <c r="G225" s="9">
        <f t="array" ref="G225">XLOOKUP($A225, Quotations!$K$2:K1756, Quotations!$L$2:L1756, "")
</f>
        <v>1364.9674</v>
      </c>
    </row>
    <row r="226">
      <c r="A226" s="8">
        <v>41963.0</v>
      </c>
      <c r="B226" s="9">
        <f t="array" ref="B226">XLOOKUP($A226, Quotations!$A$2:A1756, Quotations!$B$2:B1756, "")
</f>
        <v>121.29</v>
      </c>
      <c r="C226" s="9">
        <f t="array" ref="C226">XLOOKUP($A226, Quotations!$C$2:C1756, Quotations!$D$2:D1756, "")</f>
        <v>24.57</v>
      </c>
      <c r="D226" s="9">
        <f t="array" ref="D226">XLOOKUP($A226, Quotations!$E$2:E1756, Quotations!$F$2:F1756, "")
</f>
        <v>112.66</v>
      </c>
      <c r="E226" s="9">
        <f t="array" ref="E226">XLOOKUP($A226, Quotations!$G$2:G1756, Quotations!$H$2:H1756, "")
</f>
        <v>119.9</v>
      </c>
      <c r="F226" s="9">
        <f t="array" ref="F226">XLOOKUP($A226, Quotations!$I$2:I1756, Quotations!$J$2:J1756, "")
</f>
        <v>131.15</v>
      </c>
      <c r="G226" s="9">
        <f t="array" ref="G226">XLOOKUP($A226, Quotations!$K$2:K1756, Quotations!$L$2:L1756, "")
</f>
        <v>1362.2194</v>
      </c>
    </row>
    <row r="227">
      <c r="A227" s="8">
        <v>41964.0</v>
      </c>
      <c r="B227" s="9">
        <f t="array" ref="B227">XLOOKUP($A227, Quotations!$A$2:A1756, Quotations!$B$2:B1756, "")
</f>
        <v>121.72</v>
      </c>
      <c r="C227" s="9">
        <f t="array" ref="C227">XLOOKUP($A227, Quotations!$C$2:C1756, Quotations!$D$2:D1756, "")</f>
        <v>24.61</v>
      </c>
      <c r="D227" s="9">
        <f t="array" ref="D227">XLOOKUP($A227, Quotations!$E$2:E1756, Quotations!$F$2:F1756, "")
</f>
        <v>112.71</v>
      </c>
      <c r="E227" s="9">
        <f t="array" ref="E227">XLOOKUP($A227, Quotations!$G$2:G1756, Quotations!$H$2:H1756, "")
</f>
        <v>120.07</v>
      </c>
      <c r="F227" s="9">
        <f t="array" ref="F227">XLOOKUP($A227, Quotations!$I$2:I1756, Quotations!$J$2:J1756, "")
</f>
        <v>131.28</v>
      </c>
      <c r="G227" s="9">
        <f t="array" ref="G227">XLOOKUP($A227, Quotations!$K$2:K1756, Quotations!$L$2:L1756, "")
</f>
        <v>1363.0768</v>
      </c>
    </row>
    <row r="228">
      <c r="A228" s="8">
        <v>41967.0</v>
      </c>
      <c r="B228" s="9">
        <f t="array" ref="B228">XLOOKUP($A228, Quotations!$A$2:A1756, Quotations!$B$2:B1756, "")
</f>
        <v>121.76</v>
      </c>
      <c r="C228" s="9">
        <f t="array" ref="C228">XLOOKUP($A228, Quotations!$C$2:C1756, Quotations!$D$2:D1756, "")</f>
        <v>24.6</v>
      </c>
      <c r="D228" s="9">
        <f t="array" ref="D228">XLOOKUP($A228, Quotations!$E$2:E1756, Quotations!$F$2:F1756, "")
</f>
        <v>112.72</v>
      </c>
      <c r="E228" s="9">
        <f t="array" ref="E228">XLOOKUP($A228, Quotations!$G$2:G1756, Quotations!$H$2:H1756, "")
</f>
        <v>120.22</v>
      </c>
      <c r="F228" s="9">
        <f t="array" ref="F228">XLOOKUP($A228, Quotations!$I$2:I1756, Quotations!$J$2:J1756, "")
</f>
        <v>132.07</v>
      </c>
      <c r="G228" s="9">
        <f t="array" ref="G228">XLOOKUP($A228, Quotations!$K$2:K1756, Quotations!$L$2:L1756, "")
</f>
        <v>1367.8206</v>
      </c>
    </row>
    <row r="229">
      <c r="A229" s="8">
        <v>41968.0</v>
      </c>
      <c r="B229" s="9">
        <f t="array" ref="B229">XLOOKUP($A229, Quotations!$A$2:A1756, Quotations!$B$2:B1756, "")
</f>
        <v>121.9</v>
      </c>
      <c r="C229" s="9">
        <f t="array" ref="C229">XLOOKUP($A229, Quotations!$C$2:C1756, Quotations!$D$2:D1756, "")</f>
        <v>24.58</v>
      </c>
      <c r="D229" s="9">
        <f t="array" ref="D229">XLOOKUP($A229, Quotations!$E$2:E1756, Quotations!$F$2:F1756, "")
</f>
        <v>112.71</v>
      </c>
      <c r="E229" s="9">
        <f t="array" ref="E229">XLOOKUP($A229, Quotations!$G$2:G1756, Quotations!$H$2:H1756, "")
</f>
        <v>120.2</v>
      </c>
      <c r="F229" s="9">
        <f t="array" ref="F229">XLOOKUP($A229, Quotations!$I$2:I1756, Quotations!$J$2:J1756, "")
</f>
        <v>131.95</v>
      </c>
      <c r="G229" s="9">
        <f t="array" ref="G229">XLOOKUP($A229, Quotations!$K$2:K1756, Quotations!$L$2:L1756, "")
</f>
        <v>1371.0885</v>
      </c>
    </row>
    <row r="230">
      <c r="A230" s="8">
        <v>41969.0</v>
      </c>
      <c r="B230" s="9">
        <f t="array" ref="B230">XLOOKUP($A230, Quotations!$A$2:A1756, Quotations!$B$2:B1756, "")
</f>
        <v>121.94</v>
      </c>
      <c r="C230" s="9">
        <f t="array" ref="C230">XLOOKUP($A230, Quotations!$C$2:C1756, Quotations!$D$2:D1756, "")</f>
        <v>24.58</v>
      </c>
      <c r="D230" s="9">
        <f t="array" ref="D230">XLOOKUP($A230, Quotations!$E$2:E1756, Quotations!$F$2:F1756, "")
</f>
        <v>112.7</v>
      </c>
      <c r="E230" s="9">
        <f t="array" ref="E230">XLOOKUP($A230, Quotations!$G$2:G1756, Quotations!$H$2:H1756, "")
</f>
        <v>120.36</v>
      </c>
      <c r="F230" s="9">
        <f t="array" ref="F230">XLOOKUP($A230, Quotations!$I$2:I1756, Quotations!$J$2:J1756, "")
</f>
        <v>131.88</v>
      </c>
      <c r="G230" s="9">
        <f t="array" ref="G230">XLOOKUP($A230, Quotations!$K$2:K1756, Quotations!$L$2:L1756, "")
</f>
        <v>1374.5978</v>
      </c>
    </row>
    <row r="231">
      <c r="A231" s="8">
        <v>41970.0</v>
      </c>
      <c r="B231" s="9">
        <f t="array" ref="B231">XLOOKUP($A231, Quotations!$A$2:A1756, Quotations!$B$2:B1756, "")
</f>
        <v>122.06</v>
      </c>
      <c r="C231" s="9">
        <f t="array" ref="C231">XLOOKUP($A231, Quotations!$C$2:C1756, Quotations!$D$2:D1756, "")</f>
        <v>24.58</v>
      </c>
      <c r="D231" s="9">
        <f t="array" ref="D231">XLOOKUP($A231, Quotations!$E$2:E1756, Quotations!$F$2:F1756, "")
</f>
        <v>112.68</v>
      </c>
      <c r="E231" s="9">
        <f t="array" ref="E231">XLOOKUP($A231, Quotations!$G$2:G1756, Quotations!$H$2:H1756, "")
</f>
        <v>120.61</v>
      </c>
      <c r="F231" s="9">
        <f t="array" ref="F231">XLOOKUP($A231, Quotations!$I$2:I1756, Quotations!$J$2:J1756, "")
</f>
        <v>131.97</v>
      </c>
      <c r="G231" s="9">
        <f t="array" ref="G231">XLOOKUP($A231, Quotations!$K$2:K1756, Quotations!$L$2:L1756, "")
</f>
        <v>1374.9258</v>
      </c>
    </row>
    <row r="232">
      <c r="A232" s="8">
        <v>41971.0</v>
      </c>
      <c r="B232" s="9">
        <f t="array" ref="B232">XLOOKUP($A232, Quotations!$A$2:A1756, Quotations!$B$2:B1756, "")
</f>
        <v>122.07</v>
      </c>
      <c r="C232" s="9">
        <f t="array" ref="C232">XLOOKUP($A232, Quotations!$C$2:C1756, Quotations!$D$2:D1756, "")</f>
        <v>24.58</v>
      </c>
      <c r="D232" s="9">
        <f t="array" ref="D232">XLOOKUP($A232, Quotations!$E$2:E1756, Quotations!$F$2:F1756, "")
</f>
        <v>112.64</v>
      </c>
      <c r="E232" s="9">
        <f t="array" ref="E232">XLOOKUP($A232, Quotations!$G$2:G1756, Quotations!$H$2:H1756, "")
</f>
        <v>120.95</v>
      </c>
      <c r="F232" s="9">
        <f t="array" ref="F232">XLOOKUP($A232, Quotations!$I$2:I1756, Quotations!$J$2:J1756, "")
</f>
        <v>132.16</v>
      </c>
      <c r="G232" s="9">
        <f t="array" ref="G232">XLOOKUP($A232, Quotations!$K$2:K1756, Quotations!$L$2:L1756, "")
</f>
        <v>1377.9036</v>
      </c>
    </row>
    <row r="233">
      <c r="A233" s="8">
        <v>41974.0</v>
      </c>
      <c r="B233" s="9">
        <f t="array" ref="B233">XLOOKUP($A233, Quotations!$A$2:A1756, Quotations!$B$2:B1756, "")
</f>
        <v>122.24</v>
      </c>
      <c r="C233" s="9">
        <f t="array" ref="C233">XLOOKUP($A233, Quotations!$C$2:C1756, Quotations!$D$2:D1756, "")</f>
        <v>24.58</v>
      </c>
      <c r="D233" s="9">
        <f t="array" ref="D233">XLOOKUP($A233, Quotations!$E$2:E1756, Quotations!$F$2:F1756, "")
</f>
        <v>112.62</v>
      </c>
      <c r="E233" s="9">
        <f t="array" ref="E233">XLOOKUP($A233, Quotations!$G$2:G1756, Quotations!$H$2:H1756, "")
</f>
        <v>120.93</v>
      </c>
      <c r="F233" s="9">
        <f t="array" ref="F233">XLOOKUP($A233, Quotations!$I$2:I1756, Quotations!$J$2:J1756, "")
</f>
        <v>132.23</v>
      </c>
      <c r="G233" s="9">
        <f t="array" ref="G233">XLOOKUP($A233, Quotations!$K$2:K1756, Quotations!$L$2:L1756, "")
</f>
        <v>1377.1292</v>
      </c>
    </row>
    <row r="234">
      <c r="A234" s="8">
        <v>41975.0</v>
      </c>
      <c r="B234" s="9">
        <f t="array" ref="B234">XLOOKUP($A234, Quotations!$A$2:A1756, Quotations!$B$2:B1756, "")
</f>
        <v>122.36</v>
      </c>
      <c r="C234" s="9">
        <f t="array" ref="C234">XLOOKUP($A234, Quotations!$C$2:C1756, Quotations!$D$2:D1756, "")</f>
        <v>24.59</v>
      </c>
      <c r="D234" s="9">
        <f t="array" ref="D234">XLOOKUP($A234, Quotations!$E$2:E1756, Quotations!$F$2:F1756, "")
</f>
        <v>112.65</v>
      </c>
      <c r="E234" s="9">
        <f t="array" ref="E234">XLOOKUP($A234, Quotations!$G$2:G1756, Quotations!$H$2:H1756, "")
</f>
        <v>120.7</v>
      </c>
      <c r="F234" s="9">
        <f t="array" ref="F234">XLOOKUP($A234, Quotations!$I$2:I1756, Quotations!$J$2:J1756, "")
</f>
        <v>131.96</v>
      </c>
      <c r="G234" s="9">
        <f t="array" ref="G234">XLOOKUP($A234, Quotations!$K$2:K1756, Quotations!$L$2:L1756, "")
</f>
        <v>1372.2202</v>
      </c>
    </row>
    <row r="235">
      <c r="A235" s="8">
        <v>41976.0</v>
      </c>
      <c r="B235" s="9">
        <f t="array" ref="B235">XLOOKUP($A235, Quotations!$A$2:A1756, Quotations!$B$2:B1756, "")
</f>
        <v>122.45</v>
      </c>
      <c r="C235" s="9">
        <f t="array" ref="C235">XLOOKUP($A235, Quotations!$C$2:C1756, Quotations!$D$2:D1756, "")</f>
        <v>24.61</v>
      </c>
      <c r="D235" s="9">
        <f t="array" ref="D235">XLOOKUP($A235, Quotations!$E$2:E1756, Quotations!$F$2:F1756, "")
</f>
        <v>112.61</v>
      </c>
      <c r="E235" s="9">
        <f t="array" ref="E235">XLOOKUP($A235, Quotations!$G$2:G1756, Quotations!$H$2:H1756, "")
</f>
        <v>120.52</v>
      </c>
      <c r="F235" s="9">
        <f t="array" ref="F235">XLOOKUP($A235, Quotations!$I$2:I1756, Quotations!$J$2:J1756, "")
</f>
        <v>132.13</v>
      </c>
      <c r="G235" s="9">
        <f t="array" ref="G235">XLOOKUP($A235, Quotations!$K$2:K1756, Quotations!$L$2:L1756, "")
</f>
        <v>1372.4721</v>
      </c>
    </row>
    <row r="236">
      <c r="A236" s="8">
        <v>41977.0</v>
      </c>
      <c r="B236" s="9">
        <f t="array" ref="B236">XLOOKUP($A236, Quotations!$A$2:A1756, Quotations!$B$2:B1756, "")
</f>
        <v>122.31</v>
      </c>
      <c r="C236" s="9">
        <f t="array" ref="C236">XLOOKUP($A236, Quotations!$C$2:C1756, Quotations!$D$2:D1756, "")</f>
        <v>24.57</v>
      </c>
      <c r="D236" s="9">
        <f t="array" ref="D236">XLOOKUP($A236, Quotations!$E$2:E1756, Quotations!$F$2:F1756, "")
</f>
        <v>112.61</v>
      </c>
      <c r="E236" s="9">
        <f t="array" ref="E236">XLOOKUP($A236, Quotations!$G$2:G1756, Quotations!$H$2:H1756, "")
</f>
        <v>120.74</v>
      </c>
      <c r="F236" s="9">
        <f t="array" ref="F236">XLOOKUP($A236, Quotations!$I$2:I1756, Quotations!$J$2:J1756, "")
</f>
        <v>132.25</v>
      </c>
      <c r="G236" s="9">
        <f t="array" ref="G236">XLOOKUP($A236, Quotations!$K$2:K1756, Quotations!$L$2:L1756, "")
</f>
        <v>1375.8257</v>
      </c>
    </row>
    <row r="237">
      <c r="A237" s="8">
        <v>41978.0</v>
      </c>
      <c r="B237" s="9">
        <f t="array" ref="B237">XLOOKUP($A237, Quotations!$A$2:A1756, Quotations!$B$2:B1756, "")
</f>
        <v>122.68</v>
      </c>
      <c r="C237" s="9">
        <f t="array" ref="C237">XLOOKUP($A237, Quotations!$C$2:C1756, Quotations!$D$2:D1756, "")</f>
        <v>24.59</v>
      </c>
      <c r="D237" s="9">
        <f t="array" ref="D237">XLOOKUP($A237, Quotations!$E$2:E1756, Quotations!$F$2:F1756, "")
</f>
        <v>112.63</v>
      </c>
      <c r="E237" s="9">
        <f t="array" ref="E237">XLOOKUP($A237, Quotations!$G$2:G1756, Quotations!$H$2:H1756, "")
</f>
        <v>120.03</v>
      </c>
      <c r="F237" s="9">
        <f t="array" ref="F237">XLOOKUP($A237, Quotations!$I$2:I1756, Quotations!$J$2:J1756, "")
</f>
        <v>131.69</v>
      </c>
      <c r="G237" s="9">
        <f t="array" ref="G237">XLOOKUP($A237, Quotations!$K$2:K1756, Quotations!$L$2:L1756, "")
</f>
        <v>1373.7911</v>
      </c>
    </row>
    <row r="238">
      <c r="A238" s="8">
        <v>41981.0</v>
      </c>
      <c r="B238" s="9">
        <f t="array" ref="B238">XLOOKUP($A238, Quotations!$A$2:A1756, Quotations!$B$2:B1756, "")
</f>
        <v>122.55</v>
      </c>
      <c r="C238" s="9">
        <f t="array" ref="C238">XLOOKUP($A238, Quotations!$C$2:C1756, Quotations!$D$2:D1756, "")</f>
        <v>24.58</v>
      </c>
      <c r="D238" s="9">
        <f t="array" ref="D238">XLOOKUP($A238, Quotations!$E$2:E1756, Quotations!$F$2:F1756, "")
</f>
        <v>112.6</v>
      </c>
      <c r="E238" s="9">
        <f t="array" ref="E238">XLOOKUP($A238, Quotations!$G$2:G1756, Quotations!$H$2:H1756, "")
</f>
        <v>121.12</v>
      </c>
      <c r="F238" s="9">
        <f t="array" ref="F238">XLOOKUP($A238, Quotations!$I$2:I1756, Quotations!$J$2:J1756, "")
</f>
        <v>132.72</v>
      </c>
      <c r="G238" s="9">
        <f t="array" ref="G238">XLOOKUP($A238, Quotations!$K$2:K1756, Quotations!$L$2:L1756, "")
</f>
        <v>1378.5557</v>
      </c>
    </row>
    <row r="239">
      <c r="A239" s="8">
        <v>41982.0</v>
      </c>
      <c r="B239" s="9">
        <f t="array" ref="B239">XLOOKUP($A239, Quotations!$A$2:A1756, Quotations!$B$2:B1756, "")
</f>
        <v>122.18</v>
      </c>
      <c r="C239" s="9">
        <f t="array" ref="C239">XLOOKUP($A239, Quotations!$C$2:C1756, Quotations!$D$2:D1756, "")</f>
        <v>24.57</v>
      </c>
      <c r="D239" s="9">
        <f t="array" ref="D239">XLOOKUP($A239, Quotations!$E$2:E1756, Quotations!$F$2:F1756, "")
</f>
        <v>112.55</v>
      </c>
      <c r="E239" s="9">
        <f t="array" ref="E239">XLOOKUP($A239, Quotations!$G$2:G1756, Quotations!$H$2:H1756, "")
</f>
        <v>121</v>
      </c>
      <c r="F239" s="9">
        <f t="array" ref="F239">XLOOKUP($A239, Quotations!$I$2:I1756, Quotations!$J$2:J1756, "")
</f>
        <v>132.42</v>
      </c>
      <c r="G239" s="9">
        <f t="array" ref="G239">XLOOKUP($A239, Quotations!$K$2:K1756, Quotations!$L$2:L1756, "")
</f>
        <v>1375.0776</v>
      </c>
    </row>
    <row r="240">
      <c r="A240" s="8">
        <v>41983.0</v>
      </c>
      <c r="B240" s="9">
        <f t="array" ref="B240">XLOOKUP($A240, Quotations!$A$2:A1756, Quotations!$B$2:B1756, "")
</f>
        <v>122.09</v>
      </c>
      <c r="C240" s="9">
        <f t="array" ref="C240">XLOOKUP($A240, Quotations!$C$2:C1756, Quotations!$D$2:D1756, "")</f>
        <v>24.56</v>
      </c>
      <c r="D240" s="9">
        <f t="array" ref="D240">XLOOKUP($A240, Quotations!$E$2:E1756, Quotations!$F$2:F1756, "")
</f>
        <v>112.51</v>
      </c>
      <c r="E240" s="9">
        <f t="array" ref="E240">XLOOKUP($A240, Quotations!$G$2:G1756, Quotations!$H$2:H1756, "")
</f>
        <v>120.08</v>
      </c>
      <c r="F240" s="9">
        <f t="array" ref="F240">XLOOKUP($A240, Quotations!$I$2:I1756, Quotations!$J$2:J1756, "")
</f>
        <v>131.72</v>
      </c>
      <c r="G240" s="9">
        <f t="array" ref="G240">XLOOKUP($A240, Quotations!$K$2:K1756, Quotations!$L$2:L1756, "")
</f>
        <v>1369.1581</v>
      </c>
    </row>
    <row r="241">
      <c r="A241" s="8">
        <v>41984.0</v>
      </c>
      <c r="B241" s="9">
        <f t="array" ref="B241">XLOOKUP($A241, Quotations!$A$2:A1756, Quotations!$B$2:B1756, "")
</f>
        <v>121.96</v>
      </c>
      <c r="C241" s="9">
        <f t="array" ref="C241">XLOOKUP($A241, Quotations!$C$2:C1756, Quotations!$D$2:D1756, "")</f>
        <v>24.55</v>
      </c>
      <c r="D241" s="9">
        <f t="array" ref="D241">XLOOKUP($A241, Quotations!$E$2:E1756, Quotations!$F$2:F1756, "")
</f>
        <v>112.46</v>
      </c>
      <c r="E241" s="9">
        <f t="array" ref="E241">XLOOKUP($A241, Quotations!$G$2:G1756, Quotations!$H$2:H1756, "")
</f>
        <v>120.01</v>
      </c>
      <c r="F241" s="9">
        <f t="array" ref="F241">XLOOKUP($A241, Quotations!$I$2:I1756, Quotations!$J$2:J1756, "")
</f>
        <v>131.49</v>
      </c>
      <c r="G241" s="9">
        <f t="array" ref="G241">XLOOKUP($A241, Quotations!$K$2:K1756, Quotations!$L$2:L1756, "")
</f>
        <v>1363.3554</v>
      </c>
    </row>
    <row r="242">
      <c r="A242" s="8">
        <v>41985.0</v>
      </c>
      <c r="B242" s="9">
        <f t="array" ref="B242">XLOOKUP($A242, Quotations!$A$2:A1756, Quotations!$B$2:B1756, "")
</f>
        <v>121.42</v>
      </c>
      <c r="C242" s="9">
        <f t="array" ref="C242">XLOOKUP($A242, Quotations!$C$2:C1756, Quotations!$D$2:D1756, "")</f>
        <v>24.53</v>
      </c>
      <c r="D242" s="9">
        <f t="array" ref="D242">XLOOKUP($A242, Quotations!$E$2:E1756, Quotations!$F$2:F1756, "")
</f>
        <v>112.38</v>
      </c>
      <c r="E242" s="9">
        <f t="array" ref="E242">XLOOKUP($A242, Quotations!$G$2:G1756, Quotations!$H$2:H1756, "")
</f>
        <v>120.25</v>
      </c>
      <c r="F242" s="9">
        <f t="array" ref="F242">XLOOKUP($A242, Quotations!$I$2:I1756, Quotations!$J$2:J1756, "")
</f>
        <v>131.86</v>
      </c>
      <c r="G242" s="9">
        <f t="array" ref="G242">XLOOKUP($A242, Quotations!$K$2:K1756, Quotations!$L$2:L1756, "")
</f>
        <v>1364.9927</v>
      </c>
    </row>
    <row r="243">
      <c r="A243" s="8">
        <v>41988.0</v>
      </c>
      <c r="B243" s="9">
        <f t="array" ref="B243">XLOOKUP($A243, Quotations!$A$2:A1756, Quotations!$B$2:B1756, "")
</f>
        <v>120.65</v>
      </c>
      <c r="C243" s="9">
        <f t="array" ref="C243">XLOOKUP($A243, Quotations!$C$2:C1756, Quotations!$D$2:D1756, "")</f>
        <v>24.52</v>
      </c>
      <c r="D243" s="9">
        <f t="array" ref="D243">XLOOKUP($A243, Quotations!$E$2:E1756, Quotations!$F$2:F1756, "")
</f>
        <v>112.31</v>
      </c>
      <c r="E243" s="9">
        <f t="array" ref="E243">XLOOKUP($A243, Quotations!$G$2:G1756, Quotations!$H$2:H1756, "")
</f>
        <v>119</v>
      </c>
      <c r="F243" s="9">
        <f t="array" ref="F243">XLOOKUP($A243, Quotations!$I$2:I1756, Quotations!$J$2:J1756, "")
</f>
        <v>130.91</v>
      </c>
      <c r="G243" s="9">
        <f t="array" ref="G243">XLOOKUP($A243, Quotations!$K$2:K1756, Quotations!$L$2:L1756, "")
</f>
        <v>1357.3644</v>
      </c>
    </row>
    <row r="244">
      <c r="A244" s="8">
        <v>41989.0</v>
      </c>
      <c r="B244" s="9">
        <f t="array" ref="B244">XLOOKUP($A244, Quotations!$A$2:A1756, Quotations!$B$2:B1756, "")
</f>
        <v>120.65</v>
      </c>
      <c r="C244" s="9">
        <f t="array" ref="C244">XLOOKUP($A244, Quotations!$C$2:C1756, Quotations!$D$2:D1756, "")</f>
        <v>24.5</v>
      </c>
      <c r="D244" s="9">
        <f t="array" ref="D244">XLOOKUP($A244, Quotations!$E$2:E1756, Quotations!$F$2:F1756, "")
</f>
        <v>112.08</v>
      </c>
      <c r="E244" s="9">
        <f t="array" ref="E244">XLOOKUP($A244, Quotations!$G$2:G1756, Quotations!$H$2:H1756, "")
</f>
        <v>117.77</v>
      </c>
      <c r="F244" s="9">
        <f t="array" ref="F244">XLOOKUP($A244, Quotations!$I$2:I1756, Quotations!$J$2:J1756, "")
</f>
        <v>130.45</v>
      </c>
      <c r="G244" s="9">
        <f t="array" ref="G244">XLOOKUP($A244, Quotations!$K$2:K1756, Quotations!$L$2:L1756, "")
</f>
        <v>1351.2267</v>
      </c>
    </row>
    <row r="245">
      <c r="A245" s="8">
        <v>41990.0</v>
      </c>
      <c r="B245" s="9">
        <f t="array" ref="B245">XLOOKUP($A245, Quotations!$A$2:A1756, Quotations!$B$2:B1756, "")
</f>
        <v>120.69</v>
      </c>
      <c r="C245" s="9">
        <f t="array" ref="C245">XLOOKUP($A245, Quotations!$C$2:C1756, Quotations!$D$2:D1756, "")</f>
        <v>24.51</v>
      </c>
      <c r="D245" s="9">
        <f t="array" ref="D245">XLOOKUP($A245, Quotations!$E$2:E1756, Quotations!$F$2:F1756, "")
</f>
        <v>112.08</v>
      </c>
      <c r="E245" s="9">
        <f t="array" ref="E245">XLOOKUP($A245, Quotations!$G$2:G1756, Quotations!$H$2:H1756, "")
</f>
        <v>118.95</v>
      </c>
      <c r="F245" s="9">
        <f t="array" ref="F245">XLOOKUP($A245, Quotations!$I$2:I1756, Quotations!$J$2:J1756, "")
</f>
        <v>130.31</v>
      </c>
      <c r="G245" s="9">
        <f t="array" ref="G245">XLOOKUP($A245, Quotations!$K$2:K1756, Quotations!$L$2:L1756, "")
</f>
        <v>1349.1486</v>
      </c>
    </row>
    <row r="246">
      <c r="A246" s="8">
        <v>41991.0</v>
      </c>
      <c r="B246" s="9">
        <f t="array" ref="B246">XLOOKUP($A246, Quotations!$A$2:A1756, Quotations!$B$2:B1756, "")
</f>
        <v>121.36</v>
      </c>
      <c r="C246" s="9">
        <f t="array" ref="C246">XLOOKUP($A246, Quotations!$C$2:C1756, Quotations!$D$2:D1756, "")</f>
        <v>24.54</v>
      </c>
      <c r="D246" s="9">
        <f t="array" ref="D246">XLOOKUP($A246, Quotations!$E$2:E1756, Quotations!$F$2:F1756, "")
</f>
        <v>112.09</v>
      </c>
      <c r="E246" s="9">
        <f t="array" ref="E246">XLOOKUP($A246, Quotations!$G$2:G1756, Quotations!$H$2:H1756, "")
</f>
        <v>119.02</v>
      </c>
      <c r="F246" s="9">
        <f t="array" ref="F246">XLOOKUP($A246, Quotations!$I$2:I1756, Quotations!$J$2:J1756, "")
</f>
        <v>130.96</v>
      </c>
      <c r="G246" s="9">
        <f t="array" ref="G246">XLOOKUP($A246, Quotations!$K$2:K1756, Quotations!$L$2:L1756, "")
</f>
        <v>1355.7125</v>
      </c>
    </row>
    <row r="247">
      <c r="A247" s="8">
        <v>41992.0</v>
      </c>
      <c r="B247" s="9">
        <f t="array" ref="B247">XLOOKUP($A247, Quotations!$A$2:A1756, Quotations!$B$2:B1756, "")
</f>
        <v>121.43</v>
      </c>
      <c r="C247" s="9">
        <f t="array" ref="C247">XLOOKUP($A247, Quotations!$C$2:C1756, Quotations!$D$2:D1756, "")</f>
        <v>24.54</v>
      </c>
      <c r="D247" s="9">
        <f t="array" ref="D247">XLOOKUP($A247, Quotations!$E$2:E1756, Quotations!$F$2:F1756, "")
</f>
        <v>112.22</v>
      </c>
      <c r="E247" s="9">
        <f t="array" ref="E247">XLOOKUP($A247, Quotations!$G$2:G1756, Quotations!$H$2:H1756, "")
</f>
        <v>119.96</v>
      </c>
      <c r="F247" s="9">
        <f t="array" ref="F247">XLOOKUP($A247, Quotations!$I$2:I1756, Quotations!$J$2:J1756, "")
</f>
        <v>132.13</v>
      </c>
      <c r="G247" s="9">
        <f t="array" ref="G247">XLOOKUP($A247, Quotations!$K$2:K1756, Quotations!$L$2:L1756, "")
</f>
        <v>1369.3917</v>
      </c>
    </row>
    <row r="248">
      <c r="A248" s="8">
        <v>41995.0</v>
      </c>
      <c r="B248" s="9">
        <f t="array" ref="B248">XLOOKUP($A248, Quotations!$A$2:A1756, Quotations!$B$2:B1756, "")
</f>
        <v>121.6</v>
      </c>
      <c r="C248" s="9">
        <f t="array" ref="C248">XLOOKUP($A248, Quotations!$C$2:C1756, Quotations!$D$2:D1756, "")</f>
        <v>24.54</v>
      </c>
      <c r="D248" s="9">
        <f t="array" ref="D248">XLOOKUP($A248, Quotations!$E$2:E1756, Quotations!$F$2:F1756, "")
</f>
        <v>112.25</v>
      </c>
      <c r="E248" s="9">
        <f t="array" ref="E248">XLOOKUP($A248, Quotations!$G$2:G1756, Quotations!$H$2:H1756, "")
</f>
        <v>120.01</v>
      </c>
      <c r="F248" s="9">
        <f t="array" ref="F248">XLOOKUP($A248, Quotations!$I$2:I1756, Quotations!$J$2:J1756, "")
</f>
        <v>132.14</v>
      </c>
      <c r="G248" s="9">
        <f t="array" ref="G248">XLOOKUP($A248, Quotations!$K$2:K1756, Quotations!$L$2:L1756, "")
</f>
        <v>1373.5512</v>
      </c>
    </row>
    <row r="249">
      <c r="A249" s="8">
        <v>41996.0</v>
      </c>
      <c r="B249" s="9">
        <f t="array" ref="B249">XLOOKUP($A249, Quotations!$A$2:A1756, Quotations!$B$2:B1756, "")
</f>
        <v>121.87</v>
      </c>
      <c r="C249" s="9">
        <f t="array" ref="C249">XLOOKUP($A249, Quotations!$C$2:C1756, Quotations!$D$2:D1756, "")</f>
        <v>24.55</v>
      </c>
      <c r="D249" s="9">
        <f t="array" ref="D249">XLOOKUP($A249, Quotations!$E$2:E1756, Quotations!$F$2:F1756, "")
</f>
        <v>112.25</v>
      </c>
      <c r="E249" s="9">
        <f t="array" ref="E249">XLOOKUP($A249, Quotations!$G$2:G1756, Quotations!$H$2:H1756, "")
</f>
        <v>120.55</v>
      </c>
      <c r="F249" s="9">
        <f t="array" ref="F249">XLOOKUP($A249, Quotations!$I$2:I1756, Quotations!$J$2:J1756, "")
</f>
        <v>132.17</v>
      </c>
      <c r="G249" s="9">
        <f t="array" ref="G249">XLOOKUP($A249, Quotations!$K$2:K1756, Quotations!$L$2:L1756, "")
</f>
        <v>1376.4219</v>
      </c>
    </row>
    <row r="250">
      <c r="A250" s="8">
        <v>42002.0</v>
      </c>
      <c r="B250" s="9">
        <f t="array" ref="B250">XLOOKUP($A250, Quotations!$A$2:A1756, Quotations!$B$2:B1756, "")
</f>
        <v>121.83</v>
      </c>
      <c r="C250" s="9">
        <f t="array" ref="C250">XLOOKUP($A250, Quotations!$C$2:C1756, Quotations!$D$2:D1756, "")</f>
        <v>24.55</v>
      </c>
      <c r="D250" s="9">
        <f t="array" ref="D250">XLOOKUP($A250, Quotations!$E$2:E1756, Quotations!$F$2:F1756, "")
</f>
        <v>112.3</v>
      </c>
      <c r="E250" s="9">
        <f t="array" ref="E250">XLOOKUP($A250, Quotations!$G$2:G1756, Quotations!$H$2:H1756, "")
</f>
        <v>120.76</v>
      </c>
      <c r="F250" s="9">
        <f t="array" ref="F250">XLOOKUP($A250, Quotations!$I$2:I1756, Quotations!$J$2:J1756, "")
</f>
        <v>132.64</v>
      </c>
      <c r="G250" s="9">
        <f t="array" ref="G250">XLOOKUP($A250, Quotations!$K$2:K1756, Quotations!$L$2:L1756, "")
</f>
        <v>1379.4612</v>
      </c>
    </row>
    <row r="251">
      <c r="A251" s="8">
        <v>42003.0</v>
      </c>
      <c r="B251" s="9">
        <f t="array" ref="B251">XLOOKUP($A251, Quotations!$A$2:A1756, Quotations!$B$2:B1756, "")
</f>
        <v>121.49</v>
      </c>
      <c r="C251" s="9">
        <f t="array" ref="C251">XLOOKUP($A251, Quotations!$C$2:C1756, Quotations!$D$2:D1756, "")</f>
        <v>24.56</v>
      </c>
      <c r="D251" s="9">
        <f t="array" ref="D251">XLOOKUP($A251, Quotations!$E$2:E1756, Quotations!$F$2:F1756, "")
</f>
        <v>112.31</v>
      </c>
      <c r="E251" s="9">
        <f t="array" ref="E251">XLOOKUP($A251, Quotations!$G$2:G1756, Quotations!$H$2:H1756, "")
</f>
        <v>121.15</v>
      </c>
      <c r="F251" s="9">
        <f t="array" ref="F251">XLOOKUP($A251, Quotations!$I$2:I1756, Quotations!$J$2:J1756, "")
</f>
        <v>133.05</v>
      </c>
      <c r="G251" s="9">
        <f t="array" ref="G251">XLOOKUP($A251, Quotations!$K$2:K1756, Quotations!$L$2:L1756, "")
</f>
        <v>1379.5378</v>
      </c>
    </row>
    <row r="252">
      <c r="A252" s="8">
        <v>42004.0</v>
      </c>
      <c r="B252" s="9">
        <f t="array" ref="B252">XLOOKUP($A252, Quotations!$A$2:A1756, Quotations!$B$2:B1756, "")
</f>
        <v>121.51</v>
      </c>
      <c r="C252" s="9">
        <f t="array" ref="C252">XLOOKUP($A252, Quotations!$C$2:C1756, Quotations!$D$2:D1756, "")</f>
        <v>24.57</v>
      </c>
      <c r="D252" s="9">
        <f t="array" ref="D252">XLOOKUP($A252, Quotations!$E$2:E1756, Quotations!$F$2:F1756, "")
</f>
        <v>112.24</v>
      </c>
      <c r="E252" s="9" t="str">
        <f t="array" ref="E252">XLOOKUP($A252, Quotations!$G$2:G1756, Quotations!$H$2:H1756, "")
</f>
        <v/>
      </c>
      <c r="F252" s="9" t="str">
        <f t="array" ref="F252">XLOOKUP($A252, Quotations!$I$2:I1756, Quotations!$J$2:J1756, "")
</f>
        <v/>
      </c>
      <c r="G252" s="9">
        <f t="array" ref="G252">XLOOKUP($A252, Quotations!$K$2:K1756, Quotations!$L$2:L1756, "")
</f>
        <v>1376.5746</v>
      </c>
    </row>
    <row r="253">
      <c r="A253" s="8">
        <v>42006.0</v>
      </c>
      <c r="B253" s="9">
        <f t="array" ref="B253">XLOOKUP($A253, Quotations!$A$2:A1756, Quotations!$B$2:B1756, "")
</f>
        <v>121.63</v>
      </c>
      <c r="C253" s="9">
        <f t="array" ref="C253">XLOOKUP($A253, Quotations!$C$2:C1756, Quotations!$D$2:D1756, "")</f>
        <v>24.57</v>
      </c>
      <c r="D253" s="9">
        <f t="array" ref="D253">XLOOKUP($A253, Quotations!$E$2:E1756, Quotations!$F$2:F1756, "")
</f>
        <v>112.3</v>
      </c>
      <c r="E253" s="9">
        <f t="array" ref="E253">XLOOKUP($A253, Quotations!$G$2:G1756, Quotations!$H$2:H1756, "")
</f>
        <v>120.57</v>
      </c>
      <c r="F253" s="9">
        <f t="array" ref="F253">XLOOKUP($A253, Quotations!$I$2:I1756, Quotations!$J$2:J1756, "")
</f>
        <v>132.85</v>
      </c>
      <c r="G253" s="9">
        <f t="array" ref="G253">XLOOKUP($A253, Quotations!$K$2:K1756, Quotations!$L$2:L1756, "")
</f>
        <v>1375.8154</v>
      </c>
    </row>
    <row r="254">
      <c r="A254" s="8">
        <v>42009.0</v>
      </c>
      <c r="B254" s="9">
        <f t="array" ref="B254">XLOOKUP($A254, Quotations!$A$2:A1756, Quotations!$B$2:B1756, "")
</f>
        <v>120.98</v>
      </c>
      <c r="C254" s="9">
        <f t="array" ref="C254">XLOOKUP($A254, Quotations!$C$2:C1756, Quotations!$D$2:D1756, "")</f>
        <v>24.59</v>
      </c>
      <c r="D254" s="9">
        <f t="array" ref="D254">XLOOKUP($A254, Quotations!$E$2:E1756, Quotations!$F$2:F1756, "")
</f>
        <v>112.28</v>
      </c>
      <c r="E254" s="9">
        <f t="array" ref="E254">XLOOKUP($A254, Quotations!$G$2:G1756, Quotations!$H$2:H1756, "")
</f>
        <v>120.5</v>
      </c>
      <c r="F254" s="9">
        <f t="array" ref="F254">XLOOKUP($A254, Quotations!$I$2:I1756, Quotations!$J$2:J1756, "")
</f>
        <v>132.93</v>
      </c>
      <c r="G254" s="9">
        <f t="array" ref="G254">XLOOKUP($A254, Quotations!$K$2:K1756, Quotations!$L$2:L1756, "")
</f>
        <v>1374.6865</v>
      </c>
    </row>
    <row r="255">
      <c r="A255" s="8">
        <v>42010.0</v>
      </c>
      <c r="B255" s="9">
        <f t="array" ref="B255">XLOOKUP($A255, Quotations!$A$2:A1756, Quotations!$B$2:B1756, "")
</f>
        <v>120.82</v>
      </c>
      <c r="C255" s="9">
        <f t="array" ref="C255">XLOOKUP($A255, Quotations!$C$2:C1756, Quotations!$D$2:D1756, "")</f>
        <v>24.59</v>
      </c>
      <c r="D255" s="9">
        <f t="array" ref="D255">XLOOKUP($A255, Quotations!$E$2:E1756, Quotations!$F$2:F1756, "")
</f>
        <v>112.21</v>
      </c>
      <c r="E255" s="9">
        <f t="array" ref="E255">XLOOKUP($A255, Quotations!$G$2:G1756, Quotations!$H$2:H1756, "")
</f>
        <v>118.91</v>
      </c>
      <c r="F255" s="9">
        <f t="array" ref="F255">XLOOKUP($A255, Quotations!$I$2:I1756, Quotations!$J$2:J1756, "")
</f>
        <v>132.48</v>
      </c>
      <c r="G255" s="9">
        <f t="array" ref="G255">XLOOKUP($A255, Quotations!$K$2:K1756, Quotations!$L$2:L1756, "")
</f>
        <v>1365.5316</v>
      </c>
    </row>
    <row r="256">
      <c r="A256" s="8">
        <v>42011.0</v>
      </c>
      <c r="B256" s="9">
        <f t="array" ref="B256">XLOOKUP($A256, Quotations!$A$2:A1756, Quotations!$B$2:B1756, "")
</f>
        <v>120.89</v>
      </c>
      <c r="C256" s="9">
        <f t="array" ref="C256">XLOOKUP($A256, Quotations!$C$2:C1756, Quotations!$D$2:D1756, "")</f>
        <v>24.61</v>
      </c>
      <c r="D256" s="9">
        <f t="array" ref="D256">XLOOKUP($A256, Quotations!$E$2:E1756, Quotations!$F$2:F1756, "")
</f>
        <v>112.19</v>
      </c>
      <c r="E256" s="9">
        <f t="array" ref="E256">XLOOKUP($A256, Quotations!$G$2:G1756, Quotations!$H$2:H1756, "")
</f>
        <v>119.21</v>
      </c>
      <c r="F256" s="9">
        <f t="array" ref="F256">XLOOKUP($A256, Quotations!$I$2:I1756, Quotations!$J$2:J1756, "")
</f>
        <v>132.2</v>
      </c>
      <c r="G256" s="9">
        <f t="array" ref="G256">XLOOKUP($A256, Quotations!$K$2:K1756, Quotations!$L$2:L1756, "")
</f>
        <v>1362.1461</v>
      </c>
    </row>
    <row r="257">
      <c r="A257" s="8">
        <v>42012.0</v>
      </c>
      <c r="B257" s="9">
        <f t="array" ref="B257">XLOOKUP($A257, Quotations!$A$2:A1756, Quotations!$B$2:B1756, "")
</f>
        <v>121.62</v>
      </c>
      <c r="C257" s="9">
        <f t="array" ref="C257">XLOOKUP($A257, Quotations!$C$2:C1756, Quotations!$D$2:D1756, "")</f>
        <v>24.59</v>
      </c>
      <c r="D257" s="9">
        <f t="array" ref="D257">XLOOKUP($A257, Quotations!$E$2:E1756, Quotations!$F$2:F1756, "")
</f>
        <v>112.2</v>
      </c>
      <c r="E257" s="9">
        <f t="array" ref="E257">XLOOKUP($A257, Quotations!$G$2:G1756, Quotations!$H$2:H1756, "")
</f>
        <v>119.14</v>
      </c>
      <c r="F257" s="9">
        <f t="array" ref="F257">XLOOKUP($A257, Quotations!$I$2:I1756, Quotations!$J$2:J1756, "")
</f>
        <v>132.84</v>
      </c>
      <c r="G257" s="9">
        <f t="array" ref="G257">XLOOKUP($A257, Quotations!$K$2:K1756, Quotations!$L$2:L1756, "")
</f>
        <v>1367.692</v>
      </c>
    </row>
    <row r="258">
      <c r="A258" s="8">
        <v>42013.0</v>
      </c>
      <c r="B258" s="9">
        <f t="array" ref="B258">XLOOKUP($A258, Quotations!$A$2:A1756, Quotations!$B$2:B1756, "")
</f>
        <v>121.23</v>
      </c>
      <c r="C258" s="9">
        <f t="array" ref="C258">XLOOKUP($A258, Quotations!$C$2:C1756, Quotations!$D$2:D1756, "")</f>
        <v>24.6</v>
      </c>
      <c r="D258" s="9">
        <f t="array" ref="D258">XLOOKUP($A258, Quotations!$E$2:E1756, Quotations!$F$2:F1756, "")
</f>
        <v>112.21</v>
      </c>
      <c r="E258" s="9">
        <f t="array" ref="E258">XLOOKUP($A258, Quotations!$G$2:G1756, Quotations!$H$2:H1756, "")
</f>
        <v>120.72</v>
      </c>
      <c r="F258" s="9">
        <f t="array" ref="F258">XLOOKUP($A258, Quotations!$I$2:I1756, Quotations!$J$2:J1756, "")
</f>
        <v>133.72</v>
      </c>
      <c r="G258" s="9">
        <f t="array" ref="G258">XLOOKUP($A258, Quotations!$K$2:K1756, Quotations!$L$2:L1756, "")
</f>
        <v>1377.7803</v>
      </c>
    </row>
    <row r="259">
      <c r="A259" s="8">
        <v>42016.0</v>
      </c>
      <c r="B259" s="9">
        <f t="array" ref="B259">XLOOKUP($A259, Quotations!$A$2:A1756, Quotations!$B$2:B1756, "")
</f>
        <v>121.55</v>
      </c>
      <c r="C259" s="9">
        <f t="array" ref="C259">XLOOKUP($A259, Quotations!$C$2:C1756, Quotations!$D$2:D1756, "")</f>
        <v>24.6</v>
      </c>
      <c r="D259" s="9">
        <f t="array" ref="D259">XLOOKUP($A259, Quotations!$E$2:E1756, Quotations!$F$2:F1756, "")
</f>
        <v>112.26</v>
      </c>
      <c r="E259" s="9">
        <f t="array" ref="E259">XLOOKUP($A259, Quotations!$G$2:G1756, Quotations!$H$2:H1756, "")
</f>
        <v>119.7</v>
      </c>
      <c r="F259" s="9">
        <f t="array" ref="F259">XLOOKUP($A259, Quotations!$I$2:I1756, Quotations!$J$2:J1756, "")
</f>
        <v>133.14</v>
      </c>
      <c r="G259" s="9">
        <f t="array" ref="G259">XLOOKUP($A259, Quotations!$K$2:K1756, Quotations!$L$2:L1756, "")
</f>
        <v>1374.4652</v>
      </c>
    </row>
    <row r="260">
      <c r="A260" s="8">
        <v>42017.0</v>
      </c>
      <c r="B260" s="9">
        <f t="array" ref="B260">XLOOKUP($A260, Quotations!$A$2:A1756, Quotations!$B$2:B1756, "")
</f>
        <v>121.87</v>
      </c>
      <c r="C260" s="9">
        <f t="array" ref="C260">XLOOKUP($A260, Quotations!$C$2:C1756, Quotations!$D$2:D1756, "")</f>
        <v>24.6</v>
      </c>
      <c r="D260" s="9">
        <f t="array" ref="D260">XLOOKUP($A260, Quotations!$E$2:E1756, Quotations!$F$2:F1756, "")
</f>
        <v>112.27</v>
      </c>
      <c r="E260" s="9">
        <f t="array" ref="E260">XLOOKUP($A260, Quotations!$G$2:G1756, Quotations!$H$2:H1756, "")
</f>
        <v>120.51</v>
      </c>
      <c r="F260" s="9">
        <f t="array" ref="F260">XLOOKUP($A260, Quotations!$I$2:I1756, Quotations!$J$2:J1756, "")
</f>
        <v>133.22</v>
      </c>
      <c r="G260" s="9">
        <f t="array" ref="G260">XLOOKUP($A260, Quotations!$K$2:K1756, Quotations!$L$2:L1756, "")
</f>
        <v>1373.5571</v>
      </c>
    </row>
    <row r="261">
      <c r="A261" s="8">
        <v>42018.0</v>
      </c>
      <c r="B261" s="9">
        <f t="array" ref="B261">XLOOKUP($A261, Quotations!$A$2:A1756, Quotations!$B$2:B1756, "")
</f>
        <v>121.24</v>
      </c>
      <c r="C261" s="9">
        <f t="array" ref="C261">XLOOKUP($A261, Quotations!$C$2:C1756, Quotations!$D$2:D1756, "")</f>
        <v>24.61</v>
      </c>
      <c r="D261" s="9">
        <f t="array" ref="D261">XLOOKUP($A261, Quotations!$E$2:E1756, Quotations!$F$2:F1756, "")
</f>
        <v>112.27</v>
      </c>
      <c r="E261" s="9">
        <f t="array" ref="E261">XLOOKUP($A261, Quotations!$G$2:G1756, Quotations!$H$2:H1756, "")
</f>
        <v>121.29</v>
      </c>
      <c r="F261" s="9">
        <f t="array" ref="F261">XLOOKUP($A261, Quotations!$I$2:I1756, Quotations!$J$2:J1756, "")
</f>
        <v>133.52</v>
      </c>
      <c r="G261" s="9">
        <f t="array" ref="G261">XLOOKUP($A261, Quotations!$K$2:K1756, Quotations!$L$2:L1756, "")
</f>
        <v>1374.2325</v>
      </c>
    </row>
    <row r="262">
      <c r="A262" s="8">
        <v>42019.0</v>
      </c>
      <c r="B262" s="9">
        <f t="array" ref="B262">XLOOKUP($A262, Quotations!$A$2:A1756, Quotations!$B$2:B1756, "")
</f>
        <v>121.72</v>
      </c>
      <c r="C262" s="9">
        <f t="array" ref="C262">XLOOKUP($A262, Quotations!$C$2:C1756, Quotations!$D$2:D1756, "")</f>
        <v>24.64</v>
      </c>
      <c r="D262" s="9">
        <f t="array" ref="D262">XLOOKUP($A262, Quotations!$E$2:E1756, Quotations!$F$2:F1756, "")
</f>
        <v>112.29</v>
      </c>
      <c r="E262" s="9">
        <f t="array" ref="E262">XLOOKUP($A262, Quotations!$G$2:G1756, Quotations!$H$2:H1756, "")
</f>
        <v>121.12</v>
      </c>
      <c r="F262" s="9">
        <f t="array" ref="F262">XLOOKUP($A262, Quotations!$I$2:I1756, Quotations!$J$2:J1756, "")
</f>
        <v>133.21</v>
      </c>
      <c r="G262" s="9">
        <f t="array" ref="G262">XLOOKUP($A262, Quotations!$K$2:K1756, Quotations!$L$2:L1756, "")
</f>
        <v>1371.9418</v>
      </c>
    </row>
    <row r="263">
      <c r="A263" s="8">
        <v>42020.0</v>
      </c>
      <c r="B263" s="9">
        <f t="array" ref="B263">XLOOKUP($A263, Quotations!$A$2:A1756, Quotations!$B$2:B1756, "")
</f>
        <v>122.12</v>
      </c>
      <c r="C263" s="9">
        <f t="array" ref="C263">XLOOKUP($A263, Quotations!$C$2:C1756, Quotations!$D$2:D1756, "")</f>
        <v>24.65</v>
      </c>
      <c r="D263" s="9">
        <f t="array" ref="D263">XLOOKUP($A263, Quotations!$E$2:E1756, Quotations!$F$2:F1756, "")
</f>
        <v>112.33</v>
      </c>
      <c r="E263" s="9">
        <f t="array" ref="E263">XLOOKUP($A263, Quotations!$G$2:G1756, Quotations!$H$2:H1756, "")
</f>
        <v>122.09</v>
      </c>
      <c r="F263" s="9">
        <f t="array" ref="F263">XLOOKUP($A263, Quotations!$I$2:I1756, Quotations!$J$2:J1756, "")
</f>
        <v>132.69</v>
      </c>
      <c r="G263" s="9">
        <f t="array" ref="G263">XLOOKUP($A263, Quotations!$K$2:K1756, Quotations!$L$2:L1756, "")
</f>
        <v>1366.8561</v>
      </c>
    </row>
    <row r="264">
      <c r="A264" s="8">
        <v>42023.0</v>
      </c>
      <c r="B264" s="9">
        <f t="array" ref="B264">XLOOKUP($A264, Quotations!$A$2:A1756, Quotations!$B$2:B1756, "")
</f>
        <v>122.39</v>
      </c>
      <c r="C264" s="9">
        <f t="array" ref="C264">XLOOKUP($A264, Quotations!$C$2:C1756, Quotations!$D$2:D1756, "")</f>
        <v>24.63</v>
      </c>
      <c r="D264" s="9">
        <f t="array" ref="D264">XLOOKUP($A264, Quotations!$E$2:E1756, Quotations!$F$2:F1756, "")
</f>
        <v>112.35</v>
      </c>
      <c r="E264" s="9">
        <f t="array" ref="E264">XLOOKUP($A264, Quotations!$G$2:G1756, Quotations!$H$2:H1756, "")
</f>
        <v>123.09</v>
      </c>
      <c r="F264" s="9">
        <f t="array" ref="F264">XLOOKUP($A264, Quotations!$I$2:I1756, Quotations!$J$2:J1756, "")
</f>
        <v>132.71</v>
      </c>
      <c r="G264" s="9">
        <f t="array" ref="G264">XLOOKUP($A264, Quotations!$K$2:K1756, Quotations!$L$2:L1756, "")
</f>
        <v>1372.5122</v>
      </c>
    </row>
    <row r="265">
      <c r="A265" s="8">
        <v>42024.0</v>
      </c>
      <c r="B265" s="9">
        <f t="array" ref="B265">XLOOKUP($A265, Quotations!$A$2:A1756, Quotations!$B$2:B1756, "")
</f>
        <v>122.73</v>
      </c>
      <c r="C265" s="9">
        <f t="array" ref="C265">XLOOKUP($A265, Quotations!$C$2:C1756, Quotations!$D$2:D1756, "")</f>
        <v>24.63</v>
      </c>
      <c r="D265" s="9">
        <f t="array" ref="D265">XLOOKUP($A265, Quotations!$E$2:E1756, Quotations!$F$2:F1756, "")
</f>
        <v>112.4</v>
      </c>
      <c r="E265" s="9">
        <f t="array" ref="E265">XLOOKUP($A265, Quotations!$G$2:G1756, Quotations!$H$2:H1756, "")
</f>
        <v>123.49</v>
      </c>
      <c r="F265" s="9">
        <f t="array" ref="F265">XLOOKUP($A265, Quotations!$I$2:I1756, Quotations!$J$2:J1756, "")
</f>
        <v>132.56</v>
      </c>
      <c r="G265" s="9">
        <f t="array" ref="G265">XLOOKUP($A265, Quotations!$K$2:K1756, Quotations!$L$2:L1756, "")
</f>
        <v>1375.5247</v>
      </c>
    </row>
    <row r="266">
      <c r="A266" s="8">
        <v>42025.0</v>
      </c>
      <c r="B266" s="9">
        <f t="array" ref="B266">XLOOKUP($A266, Quotations!$A$2:A1756, Quotations!$B$2:B1756, "")
</f>
        <v>123.1</v>
      </c>
      <c r="C266" s="9">
        <f t="array" ref="C266">XLOOKUP($A266, Quotations!$C$2:C1756, Quotations!$D$2:D1756, "")</f>
        <v>24.63</v>
      </c>
      <c r="D266" s="9">
        <f t="array" ref="D266">XLOOKUP($A266, Quotations!$E$2:E1756, Quotations!$F$2:F1756, "")
</f>
        <v>112.44</v>
      </c>
      <c r="E266" s="9">
        <f t="array" ref="E266">XLOOKUP($A266, Quotations!$G$2:G1756, Quotations!$H$2:H1756, "")
</f>
        <v>123.44</v>
      </c>
      <c r="F266" s="9">
        <f t="array" ref="F266">XLOOKUP($A266, Quotations!$I$2:I1756, Quotations!$J$2:J1756, "")
</f>
        <v>132.64</v>
      </c>
      <c r="G266" s="9">
        <f t="array" ref="G266">XLOOKUP($A266, Quotations!$K$2:K1756, Quotations!$L$2:L1756, "")
</f>
        <v>1378.158</v>
      </c>
    </row>
    <row r="267">
      <c r="A267" s="8">
        <v>42026.0</v>
      </c>
      <c r="B267" s="9">
        <f t="array" ref="B267">XLOOKUP($A267, Quotations!$A$2:A1756, Quotations!$B$2:B1756, "")
</f>
        <v>123.63</v>
      </c>
      <c r="C267" s="9">
        <f t="array" ref="C267">XLOOKUP($A267, Quotations!$C$2:C1756, Quotations!$D$2:D1756, "")</f>
        <v>24.65</v>
      </c>
      <c r="D267" s="9">
        <f t="array" ref="D267">XLOOKUP($A267, Quotations!$E$2:E1756, Quotations!$F$2:F1756, "")
</f>
        <v>112.49</v>
      </c>
      <c r="E267" s="9">
        <f t="array" ref="E267">XLOOKUP($A267, Quotations!$G$2:G1756, Quotations!$H$2:H1756, "")
</f>
        <v>123.28</v>
      </c>
      <c r="F267" s="9">
        <f t="array" ref="F267">XLOOKUP($A267, Quotations!$I$2:I1756, Quotations!$J$2:J1756, "")
</f>
        <v>132.56</v>
      </c>
      <c r="G267" s="9">
        <f t="array" ref="G267">XLOOKUP($A267, Quotations!$K$2:K1756, Quotations!$L$2:L1756, "")
</f>
        <v>1380.8667</v>
      </c>
    </row>
    <row r="268">
      <c r="A268" s="8">
        <v>42027.0</v>
      </c>
      <c r="B268" s="9">
        <f t="array" ref="B268">XLOOKUP($A268, Quotations!$A$2:A1756, Quotations!$B$2:B1756, "")
</f>
        <v>124.41</v>
      </c>
      <c r="C268" s="9">
        <f t="array" ref="C268">XLOOKUP($A268, Quotations!$C$2:C1756, Quotations!$D$2:D1756, "")</f>
        <v>24.67</v>
      </c>
      <c r="D268" s="9">
        <f t="array" ref="D268">XLOOKUP($A268, Quotations!$E$2:E1756, Quotations!$F$2:F1756, "")
</f>
        <v>112.5</v>
      </c>
      <c r="E268" s="9">
        <f t="array" ref="E268">XLOOKUP($A268, Quotations!$G$2:G1756, Quotations!$H$2:H1756, "")
</f>
        <v>124.46</v>
      </c>
      <c r="F268" s="9">
        <f t="array" ref="F268">XLOOKUP($A268, Quotations!$I$2:I1756, Quotations!$J$2:J1756, "")
</f>
        <v>133.52</v>
      </c>
      <c r="G268" s="9">
        <f t="array" ref="G268">XLOOKUP($A268, Quotations!$K$2:K1756, Quotations!$L$2:L1756, "")
</f>
        <v>1390.0856</v>
      </c>
    </row>
    <row r="269">
      <c r="A269" s="8">
        <v>42030.0</v>
      </c>
      <c r="B269" s="9">
        <f t="array" ref="B269">XLOOKUP($A269, Quotations!$A$2:A1756, Quotations!$B$2:B1756, "")
</f>
        <v>124.78</v>
      </c>
      <c r="C269" s="9">
        <f t="array" ref="C269">XLOOKUP($A269, Quotations!$C$2:C1756, Quotations!$D$2:D1756, "")</f>
        <v>24.67</v>
      </c>
      <c r="D269" s="9">
        <f t="array" ref="D269">XLOOKUP($A269, Quotations!$E$2:E1756, Quotations!$F$2:F1756, "")
</f>
        <v>112.53</v>
      </c>
      <c r="E269" s="9">
        <f t="array" ref="E269">XLOOKUP($A269, Quotations!$G$2:G1756, Quotations!$H$2:H1756, "")
</f>
        <v>126</v>
      </c>
      <c r="F269" s="9">
        <f t="array" ref="F269">XLOOKUP($A269, Quotations!$I$2:I1756, Quotations!$J$2:J1756, "")
</f>
        <v>134.58</v>
      </c>
      <c r="G269" s="9">
        <f t="array" ref="G269">XLOOKUP($A269, Quotations!$K$2:K1756, Quotations!$L$2:L1756, "")
</f>
        <v>1393.6097</v>
      </c>
    </row>
    <row r="270">
      <c r="A270" s="8">
        <v>42031.0</v>
      </c>
      <c r="B270" s="9">
        <f t="array" ref="B270">XLOOKUP($A270, Quotations!$A$2:A1756, Quotations!$B$2:B1756, "")
</f>
        <v>124.33</v>
      </c>
      <c r="C270" s="9">
        <f t="array" ref="C270">XLOOKUP($A270, Quotations!$C$2:C1756, Quotations!$D$2:D1756, "")</f>
        <v>24.65</v>
      </c>
      <c r="D270" s="9">
        <f t="array" ref="D270">XLOOKUP($A270, Quotations!$E$2:E1756, Quotations!$F$2:F1756, "")
</f>
        <v>112.52</v>
      </c>
      <c r="E270" s="9">
        <f t="array" ref="E270">XLOOKUP($A270, Quotations!$G$2:G1756, Quotations!$H$2:H1756, "")
</f>
        <v>126.38</v>
      </c>
      <c r="F270" s="9">
        <f t="array" ref="F270">XLOOKUP($A270, Quotations!$I$2:I1756, Quotations!$J$2:J1756, "")
</f>
        <v>134.68</v>
      </c>
      <c r="G270" s="9">
        <f t="array" ref="G270">XLOOKUP($A270, Quotations!$K$2:K1756, Quotations!$L$2:L1756, "")
</f>
        <v>1399.7239</v>
      </c>
    </row>
    <row r="271">
      <c r="A271" s="8">
        <v>42032.0</v>
      </c>
      <c r="B271" s="9">
        <f t="array" ref="B271">XLOOKUP($A271, Quotations!$A$2:A1756, Quotations!$B$2:B1756, "")
</f>
        <v>124.35</v>
      </c>
      <c r="C271" s="9">
        <f t="array" ref="C271">XLOOKUP($A271, Quotations!$C$2:C1756, Quotations!$D$2:D1756, "")</f>
        <v>24.65</v>
      </c>
      <c r="D271" s="9">
        <f t="array" ref="D271">XLOOKUP($A271, Quotations!$E$2:E1756, Quotations!$F$2:F1756, "")
</f>
        <v>112.53</v>
      </c>
      <c r="E271" s="9">
        <f t="array" ref="E271">XLOOKUP($A271, Quotations!$G$2:G1756, Quotations!$H$2:H1756, "")
</f>
        <v>125.65</v>
      </c>
      <c r="F271" s="9">
        <f t="array" ref="F271">XLOOKUP($A271, Quotations!$I$2:I1756, Quotations!$J$2:J1756, "")
</f>
        <v>134.07</v>
      </c>
      <c r="G271" s="9">
        <f t="array" ref="G271">XLOOKUP($A271, Quotations!$K$2:K1756, Quotations!$L$2:L1756, "")
</f>
        <v>1393.2924</v>
      </c>
    </row>
    <row r="272">
      <c r="A272" s="8">
        <v>42033.0</v>
      </c>
      <c r="B272" s="9">
        <f t="array" ref="B272">XLOOKUP($A272, Quotations!$A$2:A1756, Quotations!$B$2:B1756, "")
</f>
        <v>124.54</v>
      </c>
      <c r="C272" s="9">
        <f t="array" ref="C272">XLOOKUP($A272, Quotations!$C$2:C1756, Quotations!$D$2:D1756, "")</f>
        <v>24.63</v>
      </c>
      <c r="D272" s="9">
        <f t="array" ref="D272">XLOOKUP($A272, Quotations!$E$2:E1756, Quotations!$F$2:F1756, "")
</f>
        <v>112.42</v>
      </c>
      <c r="E272" s="9">
        <f t="array" ref="E272">XLOOKUP($A272, Quotations!$G$2:G1756, Quotations!$H$2:H1756, "")
</f>
        <v>126.04</v>
      </c>
      <c r="F272" s="9">
        <f t="array" ref="F272">XLOOKUP($A272, Quotations!$I$2:I1756, Quotations!$J$2:J1756, "")
</f>
        <v>133.93</v>
      </c>
      <c r="G272" s="9">
        <f t="array" ref="G272">XLOOKUP($A272, Quotations!$K$2:K1756, Quotations!$L$2:L1756, "")
</f>
        <v>1389.0606</v>
      </c>
    </row>
    <row r="273">
      <c r="A273" s="8">
        <v>42034.0</v>
      </c>
      <c r="B273" s="9">
        <f t="array" ref="B273">XLOOKUP($A273, Quotations!$A$2:A1756, Quotations!$B$2:B1756, "")
</f>
        <v>124.37</v>
      </c>
      <c r="C273" s="9">
        <f t="array" ref="C273">XLOOKUP($A273, Quotations!$C$2:C1756, Quotations!$D$2:D1756, "")</f>
        <v>24.64</v>
      </c>
      <c r="D273" s="9">
        <f t="array" ref="D273">XLOOKUP($A273, Quotations!$E$2:E1756, Quotations!$F$2:F1756, "")
</f>
        <v>112.46</v>
      </c>
      <c r="E273" s="9">
        <f t="array" ref="E273">XLOOKUP($A273, Quotations!$G$2:G1756, Quotations!$H$2:H1756, "")
</f>
        <v>126.21</v>
      </c>
      <c r="F273" s="9">
        <f t="array" ref="F273">XLOOKUP($A273, Quotations!$I$2:I1756, Quotations!$J$2:J1756, "")
</f>
        <v>134.27</v>
      </c>
      <c r="G273" s="9">
        <f t="array" ref="G273">XLOOKUP($A273, Quotations!$K$2:K1756, Quotations!$L$2:L1756, "")
</f>
        <v>1391.4165</v>
      </c>
    </row>
    <row r="274">
      <c r="A274" s="8">
        <v>42037.0</v>
      </c>
      <c r="B274" s="9">
        <f t="array" ref="B274">XLOOKUP($A274, Quotations!$A$2:A1756, Quotations!$B$2:B1756, "")
</f>
        <v>124.6</v>
      </c>
      <c r="C274" s="9">
        <f t="array" ref="C274">XLOOKUP($A274, Quotations!$C$2:C1756, Quotations!$D$2:D1756, "")</f>
        <v>24.63</v>
      </c>
      <c r="D274" s="9">
        <f t="array" ref="D274">XLOOKUP($A274, Quotations!$E$2:E1756, Quotations!$F$2:F1756, "")
</f>
        <v>112.48</v>
      </c>
      <c r="E274" s="9">
        <f t="array" ref="E274">XLOOKUP($A274, Quotations!$G$2:G1756, Quotations!$H$2:H1756, "")
</f>
        <v>126.31</v>
      </c>
      <c r="F274" s="9">
        <f t="array" ref="F274">XLOOKUP($A274, Quotations!$I$2:I1756, Quotations!$J$2:J1756, "")
</f>
        <v>134.42</v>
      </c>
      <c r="G274" s="9">
        <f t="array" ref="G274">XLOOKUP($A274, Quotations!$K$2:K1756, Quotations!$L$2:L1756, "")
</f>
        <v>1386.0518</v>
      </c>
    </row>
    <row r="275">
      <c r="A275" s="8">
        <v>42038.0</v>
      </c>
      <c r="B275" s="9">
        <f t="array" ref="B275">XLOOKUP($A275, Quotations!$A$2:A1756, Quotations!$B$2:B1756, "")
</f>
        <v>125.14</v>
      </c>
      <c r="C275" s="9">
        <f t="array" ref="C275">XLOOKUP($A275, Quotations!$C$2:C1756, Quotations!$D$2:D1756, "")</f>
        <v>24.62</v>
      </c>
      <c r="D275" s="9">
        <f t="array" ref="D275">XLOOKUP($A275, Quotations!$E$2:E1756, Quotations!$F$2:F1756, "")
</f>
        <v>112.5</v>
      </c>
      <c r="E275" s="9">
        <f t="array" ref="E275">XLOOKUP($A275, Quotations!$G$2:G1756, Quotations!$H$2:H1756, "")
</f>
        <v>126.92</v>
      </c>
      <c r="F275" s="9">
        <f t="array" ref="F275">XLOOKUP($A275, Quotations!$I$2:I1756, Quotations!$J$2:J1756, "")
</f>
        <v>134.82</v>
      </c>
      <c r="G275" s="9">
        <f t="array" ref="G275">XLOOKUP($A275, Quotations!$K$2:K1756, Quotations!$L$2:L1756, "")
</f>
        <v>1388.0237</v>
      </c>
    </row>
    <row r="276">
      <c r="A276" s="8">
        <v>42039.0</v>
      </c>
      <c r="B276" s="9">
        <f t="array" ref="B276">XLOOKUP($A276, Quotations!$A$2:A1756, Quotations!$B$2:B1756, "")
</f>
        <v>125.32</v>
      </c>
      <c r="C276" s="9">
        <f t="array" ref="C276">XLOOKUP($A276, Quotations!$C$2:C1756, Quotations!$D$2:D1756, "")</f>
        <v>24.62</v>
      </c>
      <c r="D276" s="9">
        <f t="array" ref="D276">XLOOKUP($A276, Quotations!$E$2:E1756, Quotations!$F$2:F1756, "")
</f>
        <v>112.48</v>
      </c>
      <c r="E276" s="9">
        <f t="array" ref="E276">XLOOKUP($A276, Quotations!$G$2:G1756, Quotations!$H$2:H1756, "")
</f>
        <v>127.17</v>
      </c>
      <c r="F276" s="9">
        <f t="array" ref="F276">XLOOKUP($A276, Quotations!$I$2:I1756, Quotations!$J$2:J1756, "")
</f>
        <v>134.9</v>
      </c>
      <c r="G276" s="9">
        <f t="array" ref="G276">XLOOKUP($A276, Quotations!$K$2:K1756, Quotations!$L$2:L1756, "")
</f>
        <v>1395.3948</v>
      </c>
    </row>
    <row r="277">
      <c r="A277" s="8">
        <v>42040.0</v>
      </c>
      <c r="B277" s="9">
        <f t="array" ref="B277">XLOOKUP($A277, Quotations!$A$2:A1756, Quotations!$B$2:B1756, "")
</f>
        <v>125.52</v>
      </c>
      <c r="C277" s="9">
        <f t="array" ref="C277">XLOOKUP($A277, Quotations!$C$2:C1756, Quotations!$D$2:D1756, "")</f>
        <v>24.62</v>
      </c>
      <c r="D277" s="9">
        <f t="array" ref="D277">XLOOKUP($A277, Quotations!$E$2:E1756, Quotations!$F$2:F1756, "")
</f>
        <v>112.48</v>
      </c>
      <c r="E277" s="9">
        <f t="array" ref="E277">XLOOKUP($A277, Quotations!$G$2:G1756, Quotations!$H$2:H1756, "")
</f>
        <v>126.97</v>
      </c>
      <c r="F277" s="9">
        <f t="array" ref="F277">XLOOKUP($A277, Quotations!$I$2:I1756, Quotations!$J$2:J1756, "")
</f>
        <v>134.65</v>
      </c>
      <c r="G277" s="9">
        <f t="array" ref="G277">XLOOKUP($A277, Quotations!$K$2:K1756, Quotations!$L$2:L1756, "")
</f>
        <v>1394.4133</v>
      </c>
    </row>
    <row r="278">
      <c r="A278" s="8">
        <v>42041.0</v>
      </c>
      <c r="B278" s="9">
        <f t="array" ref="B278">XLOOKUP($A278, Quotations!$A$2:A1756, Quotations!$B$2:B1756, "")
</f>
        <v>125.46</v>
      </c>
      <c r="C278" s="9">
        <f t="array" ref="C278">XLOOKUP($A278, Quotations!$C$2:C1756, Quotations!$D$2:D1756, "")</f>
        <v>24.63</v>
      </c>
      <c r="D278" s="9">
        <f t="array" ref="D278">XLOOKUP($A278, Quotations!$E$2:E1756, Quotations!$F$2:F1756, "")
</f>
        <v>112.47</v>
      </c>
      <c r="E278" s="9">
        <f t="array" ref="E278">XLOOKUP($A278, Quotations!$G$2:G1756, Quotations!$H$2:H1756, "")
</f>
        <v>127</v>
      </c>
      <c r="F278" s="9">
        <f t="array" ref="F278">XLOOKUP($A278, Quotations!$I$2:I1756, Quotations!$J$2:J1756, "")
</f>
        <v>134.82</v>
      </c>
      <c r="G278" s="9">
        <f t="array" ref="G278">XLOOKUP($A278, Quotations!$K$2:K1756, Quotations!$L$2:L1756, "")
</f>
        <v>1398.8556</v>
      </c>
    </row>
    <row r="279">
      <c r="A279" s="8">
        <v>42044.0</v>
      </c>
      <c r="B279" s="9">
        <f t="array" ref="B279">XLOOKUP($A279, Quotations!$A$2:A1756, Quotations!$B$2:B1756, "")
</f>
        <v>125.04</v>
      </c>
      <c r="C279" s="9">
        <f t="array" ref="C279">XLOOKUP($A279, Quotations!$C$2:C1756, Quotations!$D$2:D1756, "")</f>
        <v>24.63</v>
      </c>
      <c r="D279" s="9">
        <f t="array" ref="D279">XLOOKUP($A279, Quotations!$E$2:E1756, Quotations!$F$2:F1756, "")
</f>
        <v>112.49</v>
      </c>
      <c r="E279" s="9">
        <f t="array" ref="E279">XLOOKUP($A279, Quotations!$G$2:G1756, Quotations!$H$2:H1756, "")
</f>
        <v>126.63</v>
      </c>
      <c r="F279" s="9">
        <f t="array" ref="F279">XLOOKUP($A279, Quotations!$I$2:I1756, Quotations!$J$2:J1756, "")
</f>
        <v>134.67</v>
      </c>
      <c r="G279" s="9">
        <f t="array" ref="G279">XLOOKUP($A279, Quotations!$K$2:K1756, Quotations!$L$2:L1756, "")
</f>
        <v>1398.1108</v>
      </c>
    </row>
    <row r="280">
      <c r="A280" s="8">
        <v>42045.0</v>
      </c>
      <c r="B280" s="9">
        <f t="array" ref="B280">XLOOKUP($A280, Quotations!$A$2:A1756, Quotations!$B$2:B1756, "")
</f>
        <v>125.29</v>
      </c>
      <c r="C280" s="9">
        <f t="array" ref="C280">XLOOKUP($A280, Quotations!$C$2:C1756, Quotations!$D$2:D1756, "")</f>
        <v>24.63</v>
      </c>
      <c r="D280" s="9">
        <f t="array" ref="D280">XLOOKUP($A280, Quotations!$E$2:E1756, Quotations!$F$2:F1756, "")
</f>
        <v>112.51</v>
      </c>
      <c r="E280" s="9">
        <f t="array" ref="E280">XLOOKUP($A280, Quotations!$G$2:G1756, Quotations!$H$2:H1756, "")
</f>
        <v>126.02</v>
      </c>
      <c r="F280" s="9">
        <f t="array" ref="F280">XLOOKUP($A280, Quotations!$I$2:I1756, Quotations!$J$2:J1756, "")
</f>
        <v>134.46</v>
      </c>
      <c r="G280" s="9">
        <f t="array" ref="G280">XLOOKUP($A280, Quotations!$K$2:K1756, Quotations!$L$2:L1756, "")
</f>
        <v>1392.7852</v>
      </c>
    </row>
    <row r="281">
      <c r="A281" s="8">
        <v>42046.0</v>
      </c>
      <c r="B281" s="9">
        <f t="array" ref="B281">XLOOKUP($A281, Quotations!$A$2:A1756, Quotations!$B$2:B1756, "")
</f>
        <v>125.05</v>
      </c>
      <c r="C281" s="9">
        <f t="array" ref="C281">XLOOKUP($A281, Quotations!$C$2:C1756, Quotations!$D$2:D1756, "")</f>
        <v>24.62</v>
      </c>
      <c r="D281" s="9">
        <f t="array" ref="D281">XLOOKUP($A281, Quotations!$E$2:E1756, Quotations!$F$2:F1756, "")
</f>
        <v>112.48</v>
      </c>
      <c r="E281" s="9">
        <f t="array" ref="E281">XLOOKUP($A281, Quotations!$G$2:G1756, Quotations!$H$2:H1756, "")
</f>
        <v>126.07</v>
      </c>
      <c r="F281" s="9">
        <f t="array" ref="F281">XLOOKUP($A281, Quotations!$I$2:I1756, Quotations!$J$2:J1756, "")
</f>
        <v>134.66</v>
      </c>
      <c r="G281" s="9">
        <f t="array" ref="G281">XLOOKUP($A281, Quotations!$K$2:K1756, Quotations!$L$2:L1756, "")
</f>
        <v>1396.5779</v>
      </c>
    </row>
    <row r="282">
      <c r="A282" s="8">
        <v>42047.0</v>
      </c>
      <c r="B282" s="9">
        <f t="array" ref="B282">XLOOKUP($A282, Quotations!$A$2:A1756, Quotations!$B$2:B1756, "")
</f>
        <v>125.52</v>
      </c>
      <c r="C282" s="9">
        <f t="array" ref="C282">XLOOKUP($A282, Quotations!$C$2:C1756, Quotations!$D$2:D1756, "")</f>
        <v>24.62</v>
      </c>
      <c r="D282" s="9">
        <f t="array" ref="D282">XLOOKUP($A282, Quotations!$E$2:E1756, Quotations!$F$2:F1756, "")
</f>
        <v>112.47</v>
      </c>
      <c r="E282" s="9">
        <f t="array" ref="E282">XLOOKUP($A282, Quotations!$G$2:G1756, Quotations!$H$2:H1756, "")
</f>
        <v>126.18</v>
      </c>
      <c r="F282" s="9">
        <f t="array" ref="F282">XLOOKUP($A282, Quotations!$I$2:I1756, Quotations!$J$2:J1756, "")
</f>
        <v>134.59</v>
      </c>
      <c r="G282" s="9">
        <f t="array" ref="G282">XLOOKUP($A282, Quotations!$K$2:K1756, Quotations!$L$2:L1756, "")
</f>
        <v>1396.6436</v>
      </c>
    </row>
    <row r="283">
      <c r="A283" s="8">
        <v>42048.0</v>
      </c>
      <c r="B283" s="9">
        <f t="array" ref="B283">XLOOKUP($A283, Quotations!$A$2:A1756, Quotations!$B$2:B1756, "")
</f>
        <v>125.94</v>
      </c>
      <c r="C283" s="9">
        <f t="array" ref="C283">XLOOKUP($A283, Quotations!$C$2:C1756, Quotations!$D$2:D1756, "")</f>
        <v>24.62</v>
      </c>
      <c r="D283" s="9">
        <f t="array" ref="D283">XLOOKUP($A283, Quotations!$E$2:E1756, Quotations!$F$2:F1756, "")
</f>
        <v>112.54</v>
      </c>
      <c r="E283" s="9">
        <f t="array" ref="E283">XLOOKUP($A283, Quotations!$G$2:G1756, Quotations!$H$2:H1756, "")
</f>
        <v>127.13</v>
      </c>
      <c r="F283" s="9">
        <f t="array" ref="F283">XLOOKUP($A283, Quotations!$I$2:I1756, Quotations!$J$2:J1756, "")
</f>
        <v>134.76</v>
      </c>
      <c r="G283" s="9">
        <f t="array" ref="G283">XLOOKUP($A283, Quotations!$K$2:K1756, Quotations!$L$2:L1756, "")
</f>
        <v>1404.7764</v>
      </c>
    </row>
    <row r="284">
      <c r="A284" s="8">
        <v>42051.0</v>
      </c>
      <c r="B284" s="9">
        <f t="array" ref="B284">XLOOKUP($A284, Quotations!$A$2:A1756, Quotations!$B$2:B1756, "")
</f>
        <v>125.83</v>
      </c>
      <c r="C284" s="9">
        <f t="array" ref="C284">XLOOKUP($A284, Quotations!$C$2:C1756, Quotations!$D$2:D1756, "")</f>
        <v>24.62</v>
      </c>
      <c r="D284" s="9">
        <f t="array" ref="D284">XLOOKUP($A284, Quotations!$E$2:E1756, Quotations!$F$2:F1756, "")
</f>
        <v>112.56</v>
      </c>
      <c r="E284" s="9">
        <f t="array" ref="E284">XLOOKUP($A284, Quotations!$G$2:G1756, Quotations!$H$2:H1756, "")
</f>
        <v>127.39</v>
      </c>
      <c r="F284" s="9">
        <f t="array" ref="F284">XLOOKUP($A284, Quotations!$I$2:I1756, Quotations!$J$2:J1756, "")
</f>
        <v>134.93</v>
      </c>
      <c r="G284" s="9">
        <f t="array" ref="G284">XLOOKUP($A284, Quotations!$K$2:K1756, Quotations!$L$2:L1756, "")
</f>
        <v>1409.1397</v>
      </c>
    </row>
    <row r="285">
      <c r="A285" s="8">
        <v>42052.0</v>
      </c>
      <c r="B285" s="9">
        <f t="array" ref="B285">XLOOKUP($A285, Quotations!$A$2:A1756, Quotations!$B$2:B1756, "")
</f>
        <v>125.8</v>
      </c>
      <c r="C285" s="9">
        <f t="array" ref="C285">XLOOKUP($A285, Quotations!$C$2:C1756, Quotations!$D$2:D1756, "")</f>
        <v>24.63</v>
      </c>
      <c r="D285" s="9">
        <f t="array" ref="D285">XLOOKUP($A285, Quotations!$E$2:E1756, Quotations!$F$2:F1756, "")
</f>
        <v>112.54</v>
      </c>
      <c r="E285" s="9">
        <f t="array" ref="E285">XLOOKUP($A285, Quotations!$G$2:G1756, Quotations!$H$2:H1756, "")
</f>
        <v>127.17</v>
      </c>
      <c r="F285" s="9">
        <f t="array" ref="F285">XLOOKUP($A285, Quotations!$I$2:I1756, Quotations!$J$2:J1756, "")
</f>
        <v>134.92</v>
      </c>
      <c r="G285" s="9">
        <f t="array" ref="G285">XLOOKUP($A285, Quotations!$K$2:K1756, Quotations!$L$2:L1756, "")
</f>
        <v>1416.4393</v>
      </c>
    </row>
    <row r="286">
      <c r="A286" s="8">
        <v>42053.0</v>
      </c>
      <c r="B286" s="9">
        <f t="array" ref="B286">XLOOKUP($A286, Quotations!$A$2:A1756, Quotations!$B$2:B1756, "")
</f>
        <v>126.05</v>
      </c>
      <c r="C286" s="9">
        <f t="array" ref="C286">XLOOKUP($A286, Quotations!$C$2:C1756, Quotations!$D$2:D1756, "")</f>
        <v>24.64</v>
      </c>
      <c r="D286" s="9">
        <f t="array" ref="D286">XLOOKUP($A286, Quotations!$E$2:E1756, Quotations!$F$2:F1756, "")
</f>
        <v>112.55</v>
      </c>
      <c r="E286" s="9">
        <f t="array" ref="E286">XLOOKUP($A286, Quotations!$G$2:G1756, Quotations!$H$2:H1756, "")
</f>
        <v>126.74</v>
      </c>
      <c r="F286" s="9">
        <f t="array" ref="F286">XLOOKUP($A286, Quotations!$I$2:I1756, Quotations!$J$2:J1756, "")
</f>
        <v>134.85</v>
      </c>
      <c r="G286" s="9">
        <f t="array" ref="G286">XLOOKUP($A286, Quotations!$K$2:K1756, Quotations!$L$2:L1756, "")
</f>
        <v>1410.2717</v>
      </c>
    </row>
    <row r="287">
      <c r="A287" s="8">
        <v>42054.0</v>
      </c>
      <c r="B287" s="9">
        <f t="array" ref="B287">XLOOKUP($A287, Quotations!$A$2:A1756, Quotations!$B$2:B1756, "")
</f>
        <v>126.34</v>
      </c>
      <c r="C287" s="9">
        <f t="array" ref="C287">XLOOKUP($A287, Quotations!$C$2:C1756, Quotations!$D$2:D1756, "")</f>
        <v>24.64</v>
      </c>
      <c r="D287" s="9">
        <f t="array" ref="D287">XLOOKUP($A287, Quotations!$E$2:E1756, Quotations!$F$2:F1756, "")
</f>
        <v>112.56</v>
      </c>
      <c r="E287" s="9">
        <f t="array" ref="E287">XLOOKUP($A287, Quotations!$G$2:G1756, Quotations!$H$2:H1756, "")
</f>
        <v>127.06</v>
      </c>
      <c r="F287" s="9">
        <f t="array" ref="F287">XLOOKUP($A287, Quotations!$I$2:I1756, Quotations!$J$2:J1756, "")
</f>
        <v>135.12</v>
      </c>
      <c r="G287" s="9">
        <f t="array" ref="G287">XLOOKUP($A287, Quotations!$K$2:K1756, Quotations!$L$2:L1756, "")
</f>
        <v>1411.8345</v>
      </c>
    </row>
    <row r="288">
      <c r="A288" s="8">
        <v>42055.0</v>
      </c>
      <c r="B288" s="9">
        <f t="array" ref="B288">XLOOKUP($A288, Quotations!$A$2:A1756, Quotations!$B$2:B1756, "")
</f>
        <v>126.37</v>
      </c>
      <c r="C288" s="9">
        <f t="array" ref="C288">XLOOKUP($A288, Quotations!$C$2:C1756, Quotations!$D$2:D1756, "")</f>
        <v>24.64</v>
      </c>
      <c r="D288" s="9">
        <f t="array" ref="D288">XLOOKUP($A288, Quotations!$E$2:E1756, Quotations!$F$2:F1756, "")
</f>
        <v>112.59</v>
      </c>
      <c r="E288" s="9">
        <f t="array" ref="E288">XLOOKUP($A288, Quotations!$G$2:G1756, Quotations!$H$2:H1756, "")
</f>
        <v>127.35</v>
      </c>
      <c r="F288" s="9">
        <f t="array" ref="F288">XLOOKUP($A288, Quotations!$I$2:I1756, Quotations!$J$2:J1756, "")
</f>
        <v>134.93</v>
      </c>
      <c r="G288" s="9">
        <f t="array" ref="G288">XLOOKUP($A288, Quotations!$K$2:K1756, Quotations!$L$2:L1756, "")
</f>
        <v>1414.1771</v>
      </c>
    </row>
    <row r="289">
      <c r="A289" s="8">
        <v>42058.0</v>
      </c>
      <c r="B289" s="9">
        <f t="array" ref="B289">XLOOKUP($A289, Quotations!$A$2:A1756, Quotations!$B$2:B1756, "")
</f>
        <v>126.69</v>
      </c>
      <c r="C289" s="9">
        <f t="array" ref="C289">XLOOKUP($A289, Quotations!$C$2:C1756, Quotations!$D$2:D1756, "")</f>
        <v>24.64</v>
      </c>
      <c r="D289" s="9">
        <f t="array" ref="D289">XLOOKUP($A289, Quotations!$E$2:E1756, Quotations!$F$2:F1756, "")
</f>
        <v>112.63</v>
      </c>
      <c r="E289" s="9">
        <f t="array" ref="E289">XLOOKUP($A289, Quotations!$G$2:G1756, Quotations!$H$2:H1756, "")
</f>
        <v>127.66</v>
      </c>
      <c r="F289" s="9">
        <f t="array" ref="F289">XLOOKUP($A289, Quotations!$I$2:I1756, Quotations!$J$2:J1756, "")
</f>
        <v>135.32</v>
      </c>
      <c r="G289" s="9">
        <f t="array" ref="G289">XLOOKUP($A289, Quotations!$K$2:K1756, Quotations!$L$2:L1756, "")
</f>
        <v>1416.6852</v>
      </c>
    </row>
    <row r="290">
      <c r="A290" s="8">
        <v>42059.0</v>
      </c>
      <c r="B290" s="9">
        <f t="array" ref="B290">XLOOKUP($A290, Quotations!$A$2:A1756, Quotations!$B$2:B1756, "")
</f>
        <v>127.06</v>
      </c>
      <c r="C290" s="9">
        <f t="array" ref="C290">XLOOKUP($A290, Quotations!$C$2:C1756, Quotations!$D$2:D1756, "")</f>
        <v>24.65</v>
      </c>
      <c r="D290" s="9">
        <f t="array" ref="D290">XLOOKUP($A290, Quotations!$E$2:E1756, Quotations!$F$2:F1756, "")
</f>
        <v>112.67</v>
      </c>
      <c r="E290" s="9">
        <f t="array" ref="E290">XLOOKUP($A290, Quotations!$G$2:G1756, Quotations!$H$2:H1756, "")
</f>
        <v>128.02</v>
      </c>
      <c r="F290" s="9">
        <f t="array" ref="F290">XLOOKUP($A290, Quotations!$I$2:I1756, Quotations!$J$2:J1756, "")
</f>
        <v>135.54</v>
      </c>
      <c r="G290" s="9">
        <f t="array" ref="G290">XLOOKUP($A290, Quotations!$K$2:K1756, Quotations!$L$2:L1756, "")
</f>
        <v>1415.9606</v>
      </c>
    </row>
    <row r="291">
      <c r="A291" s="8">
        <v>42060.0</v>
      </c>
      <c r="B291" s="9">
        <f t="array" ref="B291">XLOOKUP($A291, Quotations!$A$2:A1756, Quotations!$B$2:B1756, "")
</f>
        <v>126.98</v>
      </c>
      <c r="C291" s="9">
        <f t="array" ref="C291">XLOOKUP($A291, Quotations!$C$2:C1756, Quotations!$D$2:D1756, "")</f>
        <v>24.66</v>
      </c>
      <c r="D291" s="9">
        <f t="array" ref="D291">XLOOKUP($A291, Quotations!$E$2:E1756, Quotations!$F$2:F1756, "")
</f>
        <v>112.68</v>
      </c>
      <c r="E291" s="9">
        <f t="array" ref="E291">XLOOKUP($A291, Quotations!$G$2:G1756, Quotations!$H$2:H1756, "")
</f>
        <v>128.39999</v>
      </c>
      <c r="F291" s="9">
        <f t="array" ref="F291">XLOOKUP($A291, Quotations!$I$2:I1756, Quotations!$J$2:J1756, "")
</f>
        <v>135.95</v>
      </c>
      <c r="G291" s="9">
        <f t="array" ref="G291">XLOOKUP($A291, Quotations!$K$2:K1756, Quotations!$L$2:L1756, "")
</f>
        <v>1418.491</v>
      </c>
    </row>
    <row r="292">
      <c r="A292" s="8">
        <v>42061.0</v>
      </c>
      <c r="B292" s="9">
        <f t="array" ref="B292">XLOOKUP($A292, Quotations!$A$2:A1756, Quotations!$B$2:B1756, "")
</f>
        <v>127.26</v>
      </c>
      <c r="C292" s="9">
        <f t="array" ref="C292">XLOOKUP($A292, Quotations!$C$2:C1756, Quotations!$D$2:D1756, "")</f>
        <v>24.67</v>
      </c>
      <c r="D292" s="9">
        <f t="array" ref="D292">XLOOKUP($A292, Quotations!$E$2:E1756, Quotations!$F$2:F1756, "")
</f>
        <v>112.7</v>
      </c>
      <c r="E292" s="9">
        <f t="array" ref="E292">XLOOKUP($A292, Quotations!$G$2:G1756, Quotations!$H$2:H1756, "")
</f>
        <v>128.72</v>
      </c>
      <c r="F292" s="9">
        <f t="array" ref="F292">XLOOKUP($A292, Quotations!$I$2:I1756, Quotations!$J$2:J1756, "")
</f>
        <v>136.07</v>
      </c>
      <c r="G292" s="9">
        <f t="array" ref="G292">XLOOKUP($A292, Quotations!$K$2:K1756, Quotations!$L$2:L1756, "")
</f>
        <v>1419.5602</v>
      </c>
    </row>
    <row r="293">
      <c r="A293" s="8">
        <v>42062.0</v>
      </c>
      <c r="B293" s="9">
        <f t="array" ref="B293">XLOOKUP($A293, Quotations!$A$2:A1756, Quotations!$B$2:B1756, "")
</f>
        <v>127.32</v>
      </c>
      <c r="C293" s="9">
        <f t="array" ref="C293">XLOOKUP($A293, Quotations!$C$2:C1756, Quotations!$D$2:D1756, "")</f>
        <v>24.67</v>
      </c>
      <c r="D293" s="9">
        <f t="array" ref="D293">XLOOKUP($A293, Quotations!$E$2:E1756, Quotations!$F$2:F1756, "")
</f>
        <v>112.71</v>
      </c>
      <c r="E293" s="9">
        <f t="array" ref="E293">XLOOKUP($A293, Quotations!$G$2:G1756, Quotations!$H$2:H1756, "")
</f>
        <v>129.39</v>
      </c>
      <c r="F293" s="9">
        <f t="array" ref="F293">XLOOKUP($A293, Quotations!$I$2:I1756, Quotations!$J$2:J1756, "")
</f>
        <v>136.64</v>
      </c>
      <c r="G293" s="9">
        <f t="array" ref="G293">XLOOKUP($A293, Quotations!$K$2:K1756, Quotations!$L$2:L1756, "")
</f>
        <v>1422.2738</v>
      </c>
    </row>
    <row r="294">
      <c r="A294" s="8">
        <v>42065.0</v>
      </c>
      <c r="B294" s="9">
        <f t="array" ref="B294">XLOOKUP($A294, Quotations!$A$2:A1756, Quotations!$B$2:B1756, "")
</f>
        <v>127.31</v>
      </c>
      <c r="C294" s="9">
        <f t="array" ref="C294">XLOOKUP($A294, Quotations!$C$2:C1756, Quotations!$D$2:D1756, "")</f>
        <v>24.67</v>
      </c>
      <c r="D294" s="9">
        <f t="array" ref="D294">XLOOKUP($A294, Quotations!$E$2:E1756, Quotations!$F$2:F1756, "")
</f>
        <v>112.75</v>
      </c>
      <c r="E294" s="9">
        <f t="array" ref="E294">XLOOKUP($A294, Quotations!$G$2:G1756, Quotations!$H$2:H1756, "")
</f>
        <v>129.53999</v>
      </c>
      <c r="F294" s="9">
        <f t="array" ref="F294">XLOOKUP($A294, Quotations!$I$2:I1756, Quotations!$J$2:J1756, "")
</f>
        <v>136.59</v>
      </c>
      <c r="G294" s="9">
        <f t="array" ref="G294">XLOOKUP($A294, Quotations!$K$2:K1756, Quotations!$L$2:L1756, "")
</f>
        <v>1422.1493</v>
      </c>
    </row>
    <row r="295">
      <c r="A295" s="8">
        <v>42066.0</v>
      </c>
      <c r="B295" s="9">
        <f t="array" ref="B295">XLOOKUP($A295, Quotations!$A$2:A1756, Quotations!$B$2:B1756, "")
</f>
        <v>126.98</v>
      </c>
      <c r="C295" s="9">
        <f t="array" ref="C295">XLOOKUP($A295, Quotations!$C$2:C1756, Quotations!$D$2:D1756, "")</f>
        <v>24.68</v>
      </c>
      <c r="D295" s="9">
        <f t="array" ref="D295">XLOOKUP($A295, Quotations!$E$2:E1756, Quotations!$F$2:F1756, "")
</f>
        <v>112.75</v>
      </c>
      <c r="E295" s="9">
        <f t="array" ref="E295">XLOOKUP($A295, Quotations!$G$2:G1756, Quotations!$H$2:H1756, "")
</f>
        <v>129.47</v>
      </c>
      <c r="F295" s="9">
        <f t="array" ref="F295">XLOOKUP($A295, Quotations!$I$2:I1756, Quotations!$J$2:J1756, "")
</f>
        <v>136.6</v>
      </c>
      <c r="G295" s="9">
        <f t="array" ref="G295">XLOOKUP($A295, Quotations!$K$2:K1756, Quotations!$L$2:L1756, "")
</f>
        <v>1424.7604</v>
      </c>
    </row>
    <row r="296">
      <c r="A296" s="8">
        <v>42067.0</v>
      </c>
      <c r="B296" s="9">
        <f t="array" ref="B296">XLOOKUP($A296, Quotations!$A$2:A1756, Quotations!$B$2:B1756, "")
</f>
        <v>127.03</v>
      </c>
      <c r="C296" s="9">
        <f t="array" ref="C296">XLOOKUP($A296, Quotations!$C$2:C1756, Quotations!$D$2:D1756, "")</f>
        <v>24.69</v>
      </c>
      <c r="D296" s="9">
        <f t="array" ref="D296">XLOOKUP($A296, Quotations!$E$2:E1756, Quotations!$F$2:F1756, "")
</f>
        <v>112.76</v>
      </c>
      <c r="E296" s="9">
        <f t="array" ref="E296">XLOOKUP($A296, Quotations!$G$2:G1756, Quotations!$H$2:H1756, "")
</f>
        <v>128.94</v>
      </c>
      <c r="F296" s="9">
        <f t="array" ref="F296">XLOOKUP($A296, Quotations!$I$2:I1756, Quotations!$J$2:J1756, "")
</f>
        <v>136.02</v>
      </c>
      <c r="G296" s="9">
        <f t="array" ref="G296">XLOOKUP($A296, Quotations!$K$2:K1756, Quotations!$L$2:L1756, "")
</f>
        <v>1418.582</v>
      </c>
    </row>
    <row r="297">
      <c r="A297" s="8">
        <v>42068.0</v>
      </c>
      <c r="B297" s="9">
        <f t="array" ref="B297">XLOOKUP($A297, Quotations!$A$2:A1756, Quotations!$B$2:B1756, "")
</f>
        <v>127.49</v>
      </c>
      <c r="C297" s="9">
        <f t="array" ref="C297">XLOOKUP($A297, Quotations!$C$2:C1756, Quotations!$D$2:D1756, "")</f>
        <v>24.69</v>
      </c>
      <c r="D297" s="9">
        <f t="array" ref="D297">XLOOKUP($A297, Quotations!$E$2:E1756, Quotations!$F$2:F1756, "")
</f>
        <v>112.77</v>
      </c>
      <c r="E297" s="9">
        <f t="array" ref="E297">XLOOKUP($A297, Quotations!$G$2:G1756, Quotations!$H$2:H1756, "")
</f>
        <v>129.28</v>
      </c>
      <c r="F297" s="9">
        <f t="array" ref="F297">XLOOKUP($A297, Quotations!$I$2:I1756, Quotations!$J$2:J1756, "")
</f>
        <v>136.42</v>
      </c>
      <c r="G297" s="9">
        <f t="array" ref="G297">XLOOKUP($A297, Quotations!$K$2:K1756, Quotations!$L$2:L1756, "")
</f>
        <v>1418.7775</v>
      </c>
    </row>
    <row r="298">
      <c r="A298" s="8">
        <v>42069.0</v>
      </c>
      <c r="B298" s="9">
        <f t="array" ref="B298">XLOOKUP($A298, Quotations!$A$2:A1756, Quotations!$B$2:B1756, "")
</f>
        <v>127.49</v>
      </c>
      <c r="C298" s="9">
        <f t="array" ref="C298">XLOOKUP($A298, Quotations!$C$2:C1756, Quotations!$D$2:D1756, "")</f>
        <v>24.7</v>
      </c>
      <c r="D298" s="9">
        <f t="array" ref="D298">XLOOKUP($A298, Quotations!$E$2:E1756, Quotations!$F$2:F1756, "")
</f>
        <v>112.78</v>
      </c>
      <c r="E298" s="9">
        <f t="array" ref="E298">XLOOKUP($A298, Quotations!$G$2:G1756, Quotations!$H$2:H1756, "")
</f>
        <v>129.94</v>
      </c>
      <c r="F298" s="9">
        <f t="array" ref="F298">XLOOKUP($A298, Quotations!$I$2:I1756, Quotations!$J$2:J1756, "")
</f>
        <v>136.72</v>
      </c>
      <c r="G298" s="9">
        <f t="array" ref="G298">XLOOKUP($A298, Quotations!$K$2:K1756, Quotations!$L$2:L1756, "")
</f>
        <v>1423.5508</v>
      </c>
    </row>
    <row r="299">
      <c r="A299" s="8">
        <v>42072.0</v>
      </c>
      <c r="B299" s="9">
        <f t="array" ref="B299">XLOOKUP($A299, Quotations!$A$2:A1756, Quotations!$B$2:B1756, "")
</f>
        <v>127.39</v>
      </c>
      <c r="C299" s="9">
        <f t="array" ref="C299">XLOOKUP($A299, Quotations!$C$2:C1756, Quotations!$D$2:D1756, "")</f>
        <v>24.71</v>
      </c>
      <c r="D299" s="9">
        <f t="array" ref="D299">XLOOKUP($A299, Quotations!$E$2:E1756, Quotations!$F$2:F1756, "")
</f>
        <v>112.81</v>
      </c>
      <c r="E299" s="9">
        <f t="array" ref="E299">XLOOKUP($A299, Quotations!$G$2:G1756, Quotations!$H$2:H1756, "")
</f>
        <v>129.91</v>
      </c>
      <c r="F299" s="9">
        <f t="array" ref="F299">XLOOKUP($A299, Quotations!$I$2:I1756, Quotations!$J$2:J1756, "")
</f>
        <v>136.43</v>
      </c>
      <c r="G299" s="9">
        <f t="array" ref="G299">XLOOKUP($A299, Quotations!$K$2:K1756, Quotations!$L$2:L1756, "")
</f>
        <v>1415.8906</v>
      </c>
    </row>
    <row r="300">
      <c r="A300" s="8">
        <v>42073.0</v>
      </c>
      <c r="B300" s="9">
        <f t="array" ref="B300">XLOOKUP($A300, Quotations!$A$2:A1756, Quotations!$B$2:B1756, "")
</f>
        <v>126.99</v>
      </c>
      <c r="C300" s="9">
        <f t="array" ref="C300">XLOOKUP($A300, Quotations!$C$2:C1756, Quotations!$D$2:D1756, "")</f>
        <v>24.71</v>
      </c>
      <c r="D300" s="9">
        <f t="array" ref="D300">XLOOKUP($A300, Quotations!$E$2:E1756, Quotations!$F$2:F1756, "")
</f>
        <v>112.8</v>
      </c>
      <c r="E300" s="9">
        <f t="array" ref="E300">XLOOKUP($A300, Quotations!$G$2:G1756, Quotations!$H$2:H1756, "")
</f>
        <v>130.48</v>
      </c>
      <c r="F300" s="9">
        <f t="array" ref="F300">XLOOKUP($A300, Quotations!$I$2:I1756, Quotations!$J$2:J1756, "")
</f>
        <v>136.37</v>
      </c>
      <c r="G300" s="9">
        <f t="array" ref="G300">XLOOKUP($A300, Quotations!$K$2:K1756, Quotations!$L$2:L1756, "")
</f>
        <v>1415.6049</v>
      </c>
    </row>
    <row r="301">
      <c r="A301" s="8">
        <v>42074.0</v>
      </c>
      <c r="B301" s="9">
        <f t="array" ref="B301">XLOOKUP($A301, Quotations!$A$2:A1756, Quotations!$B$2:B1756, "")
</f>
        <v>127.64</v>
      </c>
      <c r="C301" s="9">
        <f t="array" ref="C301">XLOOKUP($A301, Quotations!$C$2:C1756, Quotations!$D$2:D1756, "")</f>
        <v>24.73</v>
      </c>
      <c r="D301" s="9">
        <f t="array" ref="D301">XLOOKUP($A301, Quotations!$E$2:E1756, Quotations!$F$2:F1756, "")
</f>
        <v>112.79</v>
      </c>
      <c r="E301" s="9">
        <f t="array" ref="E301">XLOOKUP($A301, Quotations!$G$2:G1756, Quotations!$H$2:H1756, "")
</f>
        <v>130.77</v>
      </c>
      <c r="F301" s="9">
        <f t="array" ref="F301">XLOOKUP($A301, Quotations!$I$2:I1756, Quotations!$J$2:J1756, "")
</f>
        <v>136.1</v>
      </c>
      <c r="G301" s="9">
        <f t="array" ref="G301">XLOOKUP($A301, Quotations!$K$2:K1756, Quotations!$L$2:L1756, "")
</f>
        <v>1408.9072</v>
      </c>
    </row>
    <row r="302">
      <c r="A302" s="8">
        <v>42075.0</v>
      </c>
      <c r="B302" s="9">
        <f t="array" ref="B302">XLOOKUP($A302, Quotations!$A$2:A1756, Quotations!$B$2:B1756, "")
</f>
        <v>127.63</v>
      </c>
      <c r="C302" s="9">
        <f t="array" ref="C302">XLOOKUP($A302, Quotations!$C$2:C1756, Quotations!$D$2:D1756, "")</f>
        <v>24.74</v>
      </c>
      <c r="D302" s="9">
        <f t="array" ref="D302">XLOOKUP($A302, Quotations!$E$2:E1756, Quotations!$F$2:F1756, "")
</f>
        <v>112.79</v>
      </c>
      <c r="E302" s="9">
        <f t="array" ref="E302">XLOOKUP($A302, Quotations!$G$2:G1756, Quotations!$H$2:H1756, "")
</f>
        <v>132.3</v>
      </c>
      <c r="F302" s="9">
        <f t="array" ref="F302">XLOOKUP($A302, Quotations!$I$2:I1756, Quotations!$J$2:J1756, "")
</f>
        <v>136.7</v>
      </c>
      <c r="G302" s="9">
        <f t="array" ref="G302">XLOOKUP($A302, Quotations!$K$2:K1756, Quotations!$L$2:L1756, "")
</f>
        <v>1415.0142</v>
      </c>
    </row>
    <row r="303">
      <c r="A303" s="8">
        <v>42076.0</v>
      </c>
      <c r="B303" s="9">
        <f t="array" ref="B303">XLOOKUP($A303, Quotations!$A$2:A1756, Quotations!$B$2:B1756, "")
</f>
        <v>127.85</v>
      </c>
      <c r="C303" s="9">
        <f t="array" ref="C303">XLOOKUP($A303, Quotations!$C$2:C1756, Quotations!$D$2:D1756, "")</f>
        <v>24.74</v>
      </c>
      <c r="D303" s="9">
        <f t="array" ref="D303">XLOOKUP($A303, Quotations!$E$2:E1756, Quotations!$F$2:F1756, "")
</f>
        <v>112.7</v>
      </c>
      <c r="E303" s="9">
        <f t="array" ref="E303">XLOOKUP($A303, Quotations!$G$2:G1756, Quotations!$H$2:H1756, "")
</f>
        <v>131.98</v>
      </c>
      <c r="F303" s="9">
        <f t="array" ref="F303">XLOOKUP($A303, Quotations!$I$2:I1756, Quotations!$J$2:J1756, "")
</f>
        <v>137.03</v>
      </c>
      <c r="G303" s="9">
        <f t="array" ref="G303">XLOOKUP($A303, Quotations!$K$2:K1756, Quotations!$L$2:L1756, "")
</f>
        <v>1418.329</v>
      </c>
    </row>
    <row r="304">
      <c r="A304" s="8">
        <v>42079.0</v>
      </c>
      <c r="B304" s="9">
        <f t="array" ref="B304">XLOOKUP($A304, Quotations!$A$2:A1756, Quotations!$B$2:B1756, "")
</f>
        <v>128.46001</v>
      </c>
      <c r="C304" s="9">
        <f t="array" ref="C304">XLOOKUP($A304, Quotations!$C$2:C1756, Quotations!$D$2:D1756, "")</f>
        <v>24.74</v>
      </c>
      <c r="D304" s="9">
        <f t="array" ref="D304">XLOOKUP($A304, Quotations!$E$2:E1756, Quotations!$F$2:F1756, "")
</f>
        <v>112.7</v>
      </c>
      <c r="E304" s="9">
        <f t="array" ref="E304">XLOOKUP($A304, Quotations!$G$2:G1756, Quotations!$H$2:H1756, "")
</f>
        <v>132.38</v>
      </c>
      <c r="F304" s="9">
        <f t="array" ref="F304">XLOOKUP($A304, Quotations!$I$2:I1756, Quotations!$J$2:J1756, "")
</f>
        <v>137.06</v>
      </c>
      <c r="G304" s="9">
        <f t="array" ref="G304">XLOOKUP($A304, Quotations!$K$2:K1756, Quotations!$L$2:L1756, "")
</f>
        <v>1411.6296</v>
      </c>
    </row>
    <row r="305">
      <c r="A305" s="8">
        <v>42080.0</v>
      </c>
      <c r="B305" s="9">
        <f t="array" ref="B305">XLOOKUP($A305, Quotations!$A$2:A1756, Quotations!$B$2:B1756, "")
</f>
        <v>128.06</v>
      </c>
      <c r="C305" s="9">
        <f t="array" ref="C305">XLOOKUP($A305, Quotations!$C$2:C1756, Quotations!$D$2:D1756, "")</f>
        <v>24.72</v>
      </c>
      <c r="D305" s="9">
        <f t="array" ref="D305">XLOOKUP($A305, Quotations!$E$2:E1756, Quotations!$F$2:F1756, "")
</f>
        <v>112.66</v>
      </c>
      <c r="E305" s="9">
        <f t="array" ref="E305">XLOOKUP($A305, Quotations!$G$2:G1756, Quotations!$H$2:H1756, "")
</f>
        <v>133.38</v>
      </c>
      <c r="F305" s="9">
        <f t="array" ref="F305">XLOOKUP($A305, Quotations!$I$2:I1756, Quotations!$J$2:J1756, "")
</f>
        <v>137.23</v>
      </c>
      <c r="G305" s="9">
        <f t="array" ref="G305">XLOOKUP($A305, Quotations!$K$2:K1756, Quotations!$L$2:L1756, "")
</f>
        <v>1424.3431</v>
      </c>
    </row>
    <row r="306">
      <c r="A306" s="8">
        <v>42081.0</v>
      </c>
      <c r="B306" s="9">
        <f t="array" ref="B306">XLOOKUP($A306, Quotations!$A$2:A1756, Quotations!$B$2:B1756, "")
</f>
        <v>128.13</v>
      </c>
      <c r="C306" s="9">
        <f t="array" ref="C306">XLOOKUP($A306, Quotations!$C$2:C1756, Quotations!$D$2:D1756, "")</f>
        <v>24.72</v>
      </c>
      <c r="D306" s="9">
        <f t="array" ref="D306">XLOOKUP($A306, Quotations!$E$2:E1756, Quotations!$F$2:F1756, "")
</f>
        <v>112.69</v>
      </c>
      <c r="E306" s="9">
        <f t="array" ref="E306">XLOOKUP($A306, Quotations!$G$2:G1756, Quotations!$H$2:H1756, "")
</f>
        <v>132.5</v>
      </c>
      <c r="F306" s="9">
        <f t="array" ref="F306">XLOOKUP($A306, Quotations!$I$2:I1756, Quotations!$J$2:J1756, "")
</f>
        <v>136.88</v>
      </c>
      <c r="G306" s="9">
        <f t="array" ref="G306">XLOOKUP($A306, Quotations!$K$2:K1756, Quotations!$L$2:L1756, "")
</f>
        <v>1425.5502</v>
      </c>
    </row>
    <row r="307">
      <c r="A307" s="8">
        <v>42082.0</v>
      </c>
      <c r="B307" s="9">
        <f t="array" ref="B307">XLOOKUP($A307, Quotations!$A$2:A1756, Quotations!$B$2:B1756, "")
</f>
        <v>128.25</v>
      </c>
      <c r="C307" s="9">
        <f t="array" ref="C307">XLOOKUP($A307, Quotations!$C$2:C1756, Quotations!$D$2:D1756, "")</f>
        <v>24.73</v>
      </c>
      <c r="D307" s="9">
        <f t="array" ref="D307">XLOOKUP($A307, Quotations!$E$2:E1756, Quotations!$F$2:F1756, "")
</f>
        <v>112.71</v>
      </c>
      <c r="E307" s="9">
        <f t="array" ref="E307">XLOOKUP($A307, Quotations!$G$2:G1756, Quotations!$H$2:H1756, "")
</f>
        <v>132.82001</v>
      </c>
      <c r="F307" s="9">
        <f t="array" ref="F307">XLOOKUP($A307, Quotations!$I$2:I1756, Quotations!$J$2:J1756, "")
</f>
        <v>137.44</v>
      </c>
      <c r="G307" s="9">
        <f t="array" ref="G307">XLOOKUP($A307, Quotations!$K$2:K1756, Quotations!$L$2:L1756, "")
</f>
        <v>1427.6375</v>
      </c>
    </row>
    <row r="308">
      <c r="A308" s="8">
        <v>42083.0</v>
      </c>
      <c r="B308" s="9">
        <f t="array" ref="B308">XLOOKUP($A308, Quotations!$A$2:A1756, Quotations!$B$2:B1756, "")
</f>
        <v>128.78</v>
      </c>
      <c r="C308" s="9">
        <f t="array" ref="C308">XLOOKUP($A308, Quotations!$C$2:C1756, Quotations!$D$2:D1756, "")</f>
        <v>24.72</v>
      </c>
      <c r="D308" s="9">
        <f t="array" ref="D308">XLOOKUP($A308, Quotations!$E$2:E1756, Quotations!$F$2:F1756, "")
</f>
        <v>112.66</v>
      </c>
      <c r="E308" s="9">
        <f t="array" ref="E308">XLOOKUP($A308, Quotations!$G$2:G1756, Quotations!$H$2:H1756, "")
</f>
        <v>132.82001</v>
      </c>
      <c r="F308" s="9">
        <f t="array" ref="F308">XLOOKUP($A308, Quotations!$I$2:I1756, Quotations!$J$2:J1756, "")
</f>
        <v>137.6</v>
      </c>
      <c r="G308" s="9">
        <f t="array" ref="G308">XLOOKUP($A308, Quotations!$K$2:K1756, Quotations!$L$2:L1756, "")
</f>
        <v>1430.0966</v>
      </c>
    </row>
    <row r="309">
      <c r="A309" s="8">
        <v>42086.0</v>
      </c>
      <c r="B309" s="9">
        <f t="array" ref="B309">XLOOKUP($A309, Quotations!$A$2:A1756, Quotations!$B$2:B1756, "")
</f>
        <v>128.5</v>
      </c>
      <c r="C309" s="9">
        <f t="array" ref="C309">XLOOKUP($A309, Quotations!$C$2:C1756, Quotations!$D$2:D1756, "")</f>
        <v>24.71</v>
      </c>
      <c r="D309" s="9">
        <f t="array" ref="D309">XLOOKUP($A309, Quotations!$E$2:E1756, Quotations!$F$2:F1756, "")
</f>
        <v>112.71</v>
      </c>
      <c r="E309" s="9">
        <f t="array" ref="E309">XLOOKUP($A309, Quotations!$G$2:G1756, Quotations!$H$2:H1756, "")
</f>
        <v>133.50999</v>
      </c>
      <c r="F309" s="9">
        <f t="array" ref="F309">XLOOKUP($A309, Quotations!$I$2:I1756, Quotations!$J$2:J1756, "")
</f>
        <v>137.94</v>
      </c>
      <c r="G309" s="9">
        <f t="array" ref="G309">XLOOKUP($A309, Quotations!$K$2:K1756, Quotations!$L$2:L1756, "")
</f>
        <v>1436.4323</v>
      </c>
    </row>
    <row r="310">
      <c r="A310" s="8">
        <v>42087.0</v>
      </c>
      <c r="B310" s="9">
        <f t="array" ref="B310">XLOOKUP($A310, Quotations!$A$2:A1756, Quotations!$B$2:B1756, "")
</f>
        <v>128.85001</v>
      </c>
      <c r="C310" s="9">
        <f t="array" ref="C310">XLOOKUP($A310, Quotations!$C$2:C1756, Quotations!$D$2:D1756, "")</f>
        <v>24.72</v>
      </c>
      <c r="D310" s="9">
        <f t="array" ref="D310">XLOOKUP($A310, Quotations!$E$2:E1756, Quotations!$F$2:F1756, "")
</f>
        <v>112.76</v>
      </c>
      <c r="E310" s="9">
        <f t="array" ref="E310">XLOOKUP($A310, Quotations!$G$2:G1756, Quotations!$H$2:H1756, "")
</f>
        <v>132.46001</v>
      </c>
      <c r="F310" s="9">
        <f t="array" ref="F310">XLOOKUP($A310, Quotations!$I$2:I1756, Quotations!$J$2:J1756, "")
</f>
        <v>137.52</v>
      </c>
      <c r="G310" s="9">
        <f t="array" ref="G310">XLOOKUP($A310, Quotations!$K$2:K1756, Quotations!$L$2:L1756, "")
</f>
        <v>1433.764</v>
      </c>
    </row>
    <row r="311">
      <c r="A311" s="8">
        <v>42088.0</v>
      </c>
      <c r="B311" s="9">
        <f t="array" ref="B311">XLOOKUP($A311, Quotations!$A$2:A1756, Quotations!$B$2:B1756, "")
</f>
        <v>128.46001</v>
      </c>
      <c r="C311" s="9">
        <f t="array" ref="C311">XLOOKUP($A311, Quotations!$C$2:C1756, Quotations!$D$2:D1756, "")</f>
        <v>24.71</v>
      </c>
      <c r="D311" s="9">
        <f t="array" ref="D311">XLOOKUP($A311, Quotations!$E$2:E1756, Quotations!$F$2:F1756, "")
</f>
        <v>112.74</v>
      </c>
      <c r="E311" s="9">
        <f t="array" ref="E311">XLOOKUP($A311, Quotations!$G$2:G1756, Quotations!$H$2:H1756, "")
</f>
        <v>132.92</v>
      </c>
      <c r="F311" s="9">
        <f t="array" ref="F311">XLOOKUP($A311, Quotations!$I$2:I1756, Quotations!$J$2:J1756, "")
</f>
        <v>137.59</v>
      </c>
      <c r="G311" s="9">
        <f t="array" ref="G311">XLOOKUP($A311, Quotations!$K$2:K1756, Quotations!$L$2:L1756, "")
</f>
        <v>1433.8949</v>
      </c>
    </row>
    <row r="312">
      <c r="A312" s="8">
        <v>42089.0</v>
      </c>
      <c r="B312" s="9">
        <f t="array" ref="B312">XLOOKUP($A312, Quotations!$A$2:A1756, Quotations!$B$2:B1756, "")
</f>
        <v>128.05</v>
      </c>
      <c r="C312" s="9">
        <f t="array" ref="C312">XLOOKUP($A312, Quotations!$C$2:C1756, Quotations!$D$2:D1756, "")</f>
        <v>24.71</v>
      </c>
      <c r="D312" s="9">
        <f t="array" ref="D312">XLOOKUP($A312, Quotations!$E$2:E1756, Quotations!$F$2:F1756, "")
</f>
        <v>112.73</v>
      </c>
      <c r="E312" s="9">
        <f t="array" ref="E312">XLOOKUP($A312, Quotations!$G$2:G1756, Quotations!$H$2:H1756, "")
</f>
        <v>132.41</v>
      </c>
      <c r="F312" s="9">
        <f t="array" ref="F312">XLOOKUP($A312, Quotations!$I$2:I1756, Quotations!$J$2:J1756, "")
</f>
        <v>136.97</v>
      </c>
      <c r="G312" s="9">
        <f t="array" ref="G312">XLOOKUP($A312, Quotations!$K$2:K1756, Quotations!$L$2:L1756, "")
</f>
        <v>1423.7943</v>
      </c>
    </row>
    <row r="313">
      <c r="A313" s="8">
        <v>42090.0</v>
      </c>
      <c r="B313" s="9">
        <f t="array" ref="B313">XLOOKUP($A313, Quotations!$A$2:A1756, Quotations!$B$2:B1756, "")
</f>
        <v>128.24001</v>
      </c>
      <c r="C313" s="9">
        <f t="array" ref="C313">XLOOKUP($A313, Quotations!$C$2:C1756, Quotations!$D$2:D1756, "")</f>
        <v>24.7</v>
      </c>
      <c r="D313" s="9">
        <f t="array" ref="D313">XLOOKUP($A313, Quotations!$E$2:E1756, Quotations!$F$2:F1756, "")
</f>
        <v>112.78</v>
      </c>
      <c r="E313" s="9">
        <f t="array" ref="E313">XLOOKUP($A313, Quotations!$G$2:G1756, Quotations!$H$2:H1756, "")
</f>
        <v>132.25999</v>
      </c>
      <c r="F313" s="9">
        <f t="array" ref="F313">XLOOKUP($A313, Quotations!$I$2:I1756, Quotations!$J$2:J1756, "")
</f>
        <v>136.77</v>
      </c>
      <c r="G313" s="9">
        <f t="array" ref="G313">XLOOKUP($A313, Quotations!$K$2:K1756, Quotations!$L$2:L1756, "")
</f>
        <v>1418.8014</v>
      </c>
    </row>
    <row r="314">
      <c r="A314" s="8">
        <v>42093.0</v>
      </c>
      <c r="B314" s="9">
        <f t="array" ref="B314">XLOOKUP($A314, Quotations!$A$2:A1756, Quotations!$B$2:B1756, "")
</f>
        <v>128.77</v>
      </c>
      <c r="C314" s="9">
        <f t="array" ref="C314">XLOOKUP($A314, Quotations!$C$2:C1756, Quotations!$D$2:D1756, "")</f>
        <v>24.71</v>
      </c>
      <c r="D314" s="9">
        <f t="array" ref="D314">XLOOKUP($A314, Quotations!$E$2:E1756, Quotations!$F$2:F1756, "")
</f>
        <v>112.79</v>
      </c>
      <c r="E314" s="9">
        <f t="array" ref="E314">XLOOKUP($A314, Quotations!$G$2:G1756, Quotations!$H$2:H1756, "")
</f>
        <v>132.31</v>
      </c>
      <c r="F314" s="9">
        <f t="array" ref="F314">XLOOKUP($A314, Quotations!$I$2:I1756, Quotations!$J$2:J1756, "")
</f>
        <v>136.9</v>
      </c>
      <c r="G314" s="9">
        <f t="array" ref="G314">XLOOKUP($A314, Quotations!$K$2:K1756, Quotations!$L$2:L1756, "")
</f>
        <v>1424.9048</v>
      </c>
    </row>
    <row r="315">
      <c r="A315" s="8">
        <v>42094.0</v>
      </c>
      <c r="B315" s="9">
        <f t="array" ref="B315">XLOOKUP($A315, Quotations!$A$2:A1756, Quotations!$B$2:B1756, "")
</f>
        <v>128.46001</v>
      </c>
      <c r="C315" s="9">
        <f t="array" ref="C315">XLOOKUP($A315, Quotations!$C$2:C1756, Quotations!$D$2:D1756, "")</f>
        <v>24.72</v>
      </c>
      <c r="D315" s="9">
        <f t="array" ref="D315">XLOOKUP($A315, Quotations!$E$2:E1756, Quotations!$F$2:F1756, "")
</f>
        <v>112.77</v>
      </c>
      <c r="E315" s="9">
        <f t="array" ref="E315">XLOOKUP($A315, Quotations!$G$2:G1756, Quotations!$H$2:H1756, "")
</f>
        <v>133.23</v>
      </c>
      <c r="F315" s="9">
        <f t="array" ref="F315">XLOOKUP($A315, Quotations!$I$2:I1756, Quotations!$J$2:J1756, "")
</f>
        <v>137.53</v>
      </c>
      <c r="G315" s="9">
        <f t="array" ref="G315">XLOOKUP($A315, Quotations!$K$2:K1756, Quotations!$L$2:L1756, "")
</f>
        <v>1429.6718</v>
      </c>
    </row>
    <row r="316">
      <c r="A316" s="8">
        <v>42095.0</v>
      </c>
      <c r="B316" s="9">
        <f t="array" ref="B316">XLOOKUP($A316, Quotations!$A$2:A1756, Quotations!$B$2:B1756, "")
</f>
        <v>128.74001</v>
      </c>
      <c r="C316" s="9">
        <f t="array" ref="C316">XLOOKUP($A316, Quotations!$C$2:C1756, Quotations!$D$2:D1756, "")</f>
        <v>24.72</v>
      </c>
      <c r="D316" s="9">
        <f t="array" ref="D316">XLOOKUP($A316, Quotations!$E$2:E1756, Quotations!$F$2:F1756, "")
</f>
        <v>112.77</v>
      </c>
      <c r="E316" s="9">
        <f t="array" ref="E316">XLOOKUP($A316, Quotations!$G$2:G1756, Quotations!$H$2:H1756, "")
</f>
        <v>132.95</v>
      </c>
      <c r="F316" s="9">
        <f t="array" ref="F316">XLOOKUP($A316, Quotations!$I$2:I1756, Quotations!$J$2:J1756, "")
</f>
        <v>137.33</v>
      </c>
      <c r="G316" s="9">
        <f t="array" ref="G316">XLOOKUP($A316, Quotations!$K$2:K1756, Quotations!$L$2:L1756, "")
</f>
        <v>1426.8221</v>
      </c>
    </row>
    <row r="317">
      <c r="A317" s="8">
        <v>42096.0</v>
      </c>
      <c r="B317" s="9">
        <f t="array" ref="B317">XLOOKUP($A317, Quotations!$A$2:A1756, Quotations!$B$2:B1756, "")
</f>
        <v>128.84</v>
      </c>
      <c r="C317" s="9">
        <f t="array" ref="C317">XLOOKUP($A317, Quotations!$C$2:C1756, Quotations!$D$2:D1756, "")</f>
        <v>24.7</v>
      </c>
      <c r="D317" s="9">
        <f t="array" ref="D317">XLOOKUP($A317, Quotations!$E$2:E1756, Quotations!$F$2:F1756, "")
</f>
        <v>112.81</v>
      </c>
      <c r="E317" s="9">
        <f t="array" ref="E317">XLOOKUP($A317, Quotations!$G$2:G1756, Quotations!$H$2:H1756, "")
</f>
        <v>133.14999</v>
      </c>
      <c r="F317" s="9">
        <f t="array" ref="F317">XLOOKUP($A317, Quotations!$I$2:I1756, Quotations!$J$2:J1756, "")
</f>
        <v>137.34</v>
      </c>
      <c r="G317" s="9">
        <f t="array" ref="G317">XLOOKUP($A317, Quotations!$K$2:K1756, Quotations!$L$2:L1756, "")
</f>
        <v>1429.4659</v>
      </c>
    </row>
    <row r="318">
      <c r="A318" s="8">
        <v>42101.0</v>
      </c>
      <c r="B318" s="9">
        <f t="array" ref="B318">XLOOKUP($A318, Quotations!$A$2:A1756, Quotations!$B$2:B1756, "")
</f>
        <v>129.5</v>
      </c>
      <c r="C318" s="9">
        <f t="array" ref="C318">XLOOKUP($A318, Quotations!$C$2:C1756, Quotations!$D$2:D1756, "")</f>
        <v>24.71</v>
      </c>
      <c r="D318" s="9">
        <f t="array" ref="D318">XLOOKUP($A318, Quotations!$E$2:E1756, Quotations!$F$2:F1756, "")
</f>
        <v>112.86</v>
      </c>
      <c r="E318" s="9">
        <f t="array" ref="E318">XLOOKUP($A318, Quotations!$G$2:G1756, Quotations!$H$2:H1756, "")
</f>
        <v>132.85001</v>
      </c>
      <c r="F318" s="9">
        <f t="array" ref="F318">XLOOKUP($A318, Quotations!$I$2:I1756, Quotations!$J$2:J1756, "")
</f>
        <v>136.83</v>
      </c>
      <c r="G318" s="9">
        <f t="array" ref="G318">XLOOKUP($A318, Quotations!$K$2:K1756, Quotations!$L$2:L1756, "")
</f>
        <v>1436.4027</v>
      </c>
    </row>
    <row r="319">
      <c r="A319" s="8">
        <v>42102.0</v>
      </c>
      <c r="B319" s="9">
        <f t="array" ref="B319">XLOOKUP($A319, Quotations!$A$2:A1756, Quotations!$B$2:B1756, "")
</f>
        <v>129.55</v>
      </c>
      <c r="C319" s="9">
        <f t="array" ref="C319">XLOOKUP($A319, Quotations!$C$2:C1756, Quotations!$D$2:D1756, "")</f>
        <v>24.73</v>
      </c>
      <c r="D319" s="9">
        <f t="array" ref="D319">XLOOKUP($A319, Quotations!$E$2:E1756, Quotations!$F$2:F1756, "")
</f>
        <v>112.89</v>
      </c>
      <c r="E319" s="9">
        <f t="array" ref="E319">XLOOKUP($A319, Quotations!$G$2:G1756, Quotations!$H$2:H1756, "")
</f>
        <v>133.52</v>
      </c>
      <c r="F319" s="9">
        <f t="array" ref="F319">XLOOKUP($A319, Quotations!$I$2:I1756, Quotations!$J$2:J1756, "")
</f>
        <v>137.62</v>
      </c>
      <c r="G319" s="9">
        <f t="array" ref="G319">XLOOKUP($A319, Quotations!$K$2:K1756, Quotations!$L$2:L1756, "")
</f>
        <v>1443.2501</v>
      </c>
    </row>
    <row r="320">
      <c r="A320" s="8">
        <v>42103.0</v>
      </c>
      <c r="B320" s="9">
        <f t="array" ref="B320">XLOOKUP($A320, Quotations!$A$2:A1756, Quotations!$B$2:B1756, "")
</f>
        <v>130.00999</v>
      </c>
      <c r="C320" s="9">
        <f t="array" ref="C320">XLOOKUP($A320, Quotations!$C$2:C1756, Quotations!$D$2:D1756, "")</f>
        <v>24.76</v>
      </c>
      <c r="D320" s="9">
        <f t="array" ref="D320">XLOOKUP($A320, Quotations!$E$2:E1756, Quotations!$F$2:F1756, "")
</f>
        <v>112.92</v>
      </c>
      <c r="E320" s="9">
        <f t="array" ref="E320">XLOOKUP($A320, Quotations!$G$2:G1756, Quotations!$H$2:H1756, "")
</f>
        <v>133.41</v>
      </c>
      <c r="F320" s="9">
        <f t="array" ref="F320">XLOOKUP($A320, Quotations!$I$2:I1756, Quotations!$J$2:J1756, "")
</f>
        <v>138.09</v>
      </c>
      <c r="G320" s="9">
        <f t="array" ref="G320">XLOOKUP($A320, Quotations!$K$2:K1756, Quotations!$L$2:L1756, "")
</f>
        <v>1448.7056</v>
      </c>
    </row>
    <row r="321">
      <c r="A321" s="8">
        <v>42104.0</v>
      </c>
      <c r="B321" s="9">
        <f t="array" ref="B321">XLOOKUP($A321, Quotations!$A$2:A1756, Quotations!$B$2:B1756, "")
</f>
        <v>130.57001</v>
      </c>
      <c r="C321" s="9">
        <f t="array" ref="C321">XLOOKUP($A321, Quotations!$C$2:C1756, Quotations!$D$2:D1756, "")</f>
        <v>24.74</v>
      </c>
      <c r="D321" s="9">
        <f t="array" ref="D321">XLOOKUP($A321, Quotations!$E$2:E1756, Quotations!$F$2:F1756, "")
</f>
        <v>112.94</v>
      </c>
      <c r="E321" s="9">
        <f t="array" ref="E321">XLOOKUP($A321, Quotations!$G$2:G1756, Quotations!$H$2:H1756, "")
</f>
        <v>133.94</v>
      </c>
      <c r="F321" s="9">
        <f t="array" ref="F321">XLOOKUP($A321, Quotations!$I$2:I1756, Quotations!$J$2:J1756, "")
</f>
        <v>138.8</v>
      </c>
      <c r="G321" s="9">
        <f t="array" ref="G321">XLOOKUP($A321, Quotations!$K$2:K1756, Quotations!$L$2:L1756, "")
</f>
        <v>1452.9871</v>
      </c>
    </row>
    <row r="322">
      <c r="A322" s="8">
        <v>42107.0</v>
      </c>
      <c r="B322" s="9">
        <f t="array" ref="B322">XLOOKUP($A322, Quotations!$A$2:A1756, Quotations!$B$2:B1756, "")
</f>
        <v>130.78</v>
      </c>
      <c r="C322" s="9">
        <f t="array" ref="C322">XLOOKUP($A322, Quotations!$C$2:C1756, Quotations!$D$2:D1756, "")</f>
        <v>24.74</v>
      </c>
      <c r="D322" s="9">
        <f t="array" ref="D322">XLOOKUP($A322, Quotations!$E$2:E1756, Quotations!$F$2:F1756, "")
</f>
        <v>112.96</v>
      </c>
      <c r="E322" s="9">
        <f t="array" ref="E322">XLOOKUP($A322, Quotations!$G$2:G1756, Quotations!$H$2:H1756, "")
</f>
        <v>134.92999</v>
      </c>
      <c r="F322" s="9">
        <f t="array" ref="F322">XLOOKUP($A322, Quotations!$I$2:I1756, Quotations!$J$2:J1756, "")
</f>
        <v>139.07</v>
      </c>
      <c r="G322" s="9">
        <f t="array" ref="G322">XLOOKUP($A322, Quotations!$K$2:K1756, Quotations!$L$2:L1756, "")
</f>
        <v>1459.3023</v>
      </c>
    </row>
    <row r="323">
      <c r="A323" s="8">
        <v>42108.0</v>
      </c>
      <c r="B323" s="9">
        <f t="array" ref="B323">XLOOKUP($A323, Quotations!$A$2:A1756, Quotations!$B$2:B1756, "")
</f>
        <v>130.75</v>
      </c>
      <c r="C323" s="9">
        <f t="array" ref="C323">XLOOKUP($A323, Quotations!$C$2:C1756, Quotations!$D$2:D1756, "")</f>
        <v>24.74</v>
      </c>
      <c r="D323" s="9">
        <f t="array" ref="D323">XLOOKUP($A323, Quotations!$E$2:E1756, Quotations!$F$2:F1756, "")
</f>
        <v>112.98</v>
      </c>
      <c r="E323" s="9">
        <f t="array" ref="E323">XLOOKUP($A323, Quotations!$G$2:G1756, Quotations!$H$2:H1756, "")
</f>
        <v>134.89</v>
      </c>
      <c r="F323" s="9">
        <f t="array" ref="F323">XLOOKUP($A323, Quotations!$I$2:I1756, Quotations!$J$2:J1756, "")
</f>
        <v>139.09</v>
      </c>
      <c r="G323" s="9">
        <f t="array" ref="G323">XLOOKUP($A323, Quotations!$K$2:K1756, Quotations!$L$2:L1756, "")
</f>
        <v>1459.0835</v>
      </c>
    </row>
    <row r="324">
      <c r="A324" s="8">
        <v>42109.0</v>
      </c>
      <c r="B324" s="9">
        <f t="array" ref="B324">XLOOKUP($A324, Quotations!$A$2:A1756, Quotations!$B$2:B1756, "")
</f>
        <v>130.71001</v>
      </c>
      <c r="C324" s="9">
        <f t="array" ref="C324">XLOOKUP($A324, Quotations!$C$2:C1756, Quotations!$D$2:D1756, "")</f>
        <v>24.75</v>
      </c>
      <c r="D324" s="9">
        <f t="array" ref="D324">XLOOKUP($A324, Quotations!$E$2:E1756, Quotations!$F$2:F1756, "")
</f>
        <v>113.02</v>
      </c>
      <c r="E324" s="9">
        <f t="array" ref="E324">XLOOKUP($A324, Quotations!$G$2:G1756, Quotations!$H$2:H1756, "")
</f>
        <v>134.53</v>
      </c>
      <c r="F324" s="9">
        <f t="array" ref="F324">XLOOKUP($A324, Quotations!$I$2:I1756, Quotations!$J$2:J1756, "")
</f>
        <v>138.9</v>
      </c>
      <c r="G324" s="9">
        <f t="array" ref="G324">XLOOKUP($A324, Quotations!$K$2:K1756, Quotations!$L$2:L1756, "")
</f>
        <v>1457.0288</v>
      </c>
    </row>
    <row r="325">
      <c r="A325" s="8">
        <v>42110.0</v>
      </c>
      <c r="B325" s="9">
        <f t="array" ref="B325">XLOOKUP($A325, Quotations!$A$2:A1756, Quotations!$B$2:B1756, "")
</f>
        <v>130.37</v>
      </c>
      <c r="C325" s="9">
        <f t="array" ref="C325">XLOOKUP($A325, Quotations!$C$2:C1756, Quotations!$D$2:D1756, "")</f>
        <v>24.75</v>
      </c>
      <c r="D325" s="9">
        <f t="array" ref="D325">XLOOKUP($A325, Quotations!$E$2:E1756, Quotations!$F$2:F1756, "")
</f>
        <v>113.01</v>
      </c>
      <c r="E325" s="9">
        <f t="array" ref="E325">XLOOKUP($A325, Quotations!$G$2:G1756, Quotations!$H$2:H1756, "")
</f>
        <v>134.78999</v>
      </c>
      <c r="F325" s="9">
        <f t="array" ref="F325">XLOOKUP($A325, Quotations!$I$2:I1756, Quotations!$J$2:J1756, "")
</f>
        <v>139.38</v>
      </c>
      <c r="G325" s="9">
        <f t="array" ref="G325">XLOOKUP($A325, Quotations!$K$2:K1756, Quotations!$L$2:L1756, "")
</f>
        <v>1461.5822</v>
      </c>
    </row>
    <row r="326">
      <c r="A326" s="8">
        <v>42111.0</v>
      </c>
      <c r="B326" s="9">
        <f t="array" ref="B326">XLOOKUP($A326, Quotations!$A$2:A1756, Quotations!$B$2:B1756, "")
</f>
        <v>129.69</v>
      </c>
      <c r="C326" s="9">
        <f t="array" ref="C326">XLOOKUP($A326, Quotations!$C$2:C1756, Quotations!$D$2:D1756, "")</f>
        <v>24.74</v>
      </c>
      <c r="D326" s="9">
        <f t="array" ref="D326">XLOOKUP($A326, Quotations!$E$2:E1756, Quotations!$F$2:F1756, "")
</f>
        <v>112.99</v>
      </c>
      <c r="E326" s="9">
        <f t="array" ref="E326">XLOOKUP($A326, Quotations!$G$2:G1756, Quotations!$H$2:H1756, "")
</f>
        <v>133.88</v>
      </c>
      <c r="F326" s="9">
        <f t="array" ref="F326">XLOOKUP($A326, Quotations!$I$2:I1756, Quotations!$J$2:J1756, "")
</f>
        <v>138.74</v>
      </c>
      <c r="G326" s="9">
        <f t="array" ref="G326">XLOOKUP($A326, Quotations!$K$2:K1756, Quotations!$L$2:L1756, "")
</f>
        <v>1458.3117</v>
      </c>
    </row>
    <row r="327">
      <c r="A327" s="8">
        <v>42114.0</v>
      </c>
      <c r="B327" s="9">
        <f t="array" ref="B327">XLOOKUP($A327, Quotations!$A$2:A1756, Quotations!$B$2:B1756, "")
</f>
        <v>129.91</v>
      </c>
      <c r="C327" s="9">
        <f t="array" ref="C327">XLOOKUP($A327, Quotations!$C$2:C1756, Quotations!$D$2:D1756, "")</f>
        <v>24.74</v>
      </c>
      <c r="D327" s="9">
        <f t="array" ref="D327">XLOOKUP($A327, Quotations!$E$2:E1756, Quotations!$F$2:F1756, "")
</f>
        <v>113.03</v>
      </c>
      <c r="E327" s="9">
        <f t="array" ref="E327">XLOOKUP($A327, Quotations!$G$2:G1756, Quotations!$H$2:H1756, "")
</f>
        <v>132.60001</v>
      </c>
      <c r="F327" s="9">
        <f t="array" ref="F327">XLOOKUP($A327, Quotations!$I$2:I1756, Quotations!$J$2:J1756, "")
</f>
        <v>137.9</v>
      </c>
      <c r="G327" s="9">
        <f t="array" ref="G327">XLOOKUP($A327, Quotations!$K$2:K1756, Quotations!$L$2:L1756, "")
</f>
        <v>1448.5084</v>
      </c>
    </row>
    <row r="328">
      <c r="A328" s="8">
        <v>42115.0</v>
      </c>
      <c r="B328" s="9">
        <f t="array" ref="B328">XLOOKUP($A328, Quotations!$A$2:A1756, Quotations!$B$2:B1756, "")
</f>
        <v>130.13</v>
      </c>
      <c r="C328" s="9">
        <f t="array" ref="C328">XLOOKUP($A328, Quotations!$C$2:C1756, Quotations!$D$2:D1756, "")</f>
        <v>24.74</v>
      </c>
      <c r="D328" s="9">
        <f t="array" ref="D328">XLOOKUP($A328, Quotations!$E$2:E1756, Quotations!$F$2:F1756, "")
</f>
        <v>113.02</v>
      </c>
      <c r="E328" s="9">
        <f t="array" ref="E328">XLOOKUP($A328, Quotations!$G$2:G1756, Quotations!$H$2:H1756, "")
</f>
        <v>133.5</v>
      </c>
      <c r="F328" s="9">
        <f t="array" ref="F328">XLOOKUP($A328, Quotations!$I$2:I1756, Quotations!$J$2:J1756, "")
</f>
        <v>138.5</v>
      </c>
      <c r="G328" s="9">
        <f t="array" ref="G328">XLOOKUP($A328, Quotations!$K$2:K1756, Quotations!$L$2:L1756, "")
</f>
        <v>1453.3337</v>
      </c>
    </row>
    <row r="329">
      <c r="A329" s="8">
        <v>42116.0</v>
      </c>
      <c r="B329" s="9">
        <f t="array" ref="B329">XLOOKUP($A329, Quotations!$A$2:A1756, Quotations!$B$2:B1756, "")
</f>
        <v>130.03999</v>
      </c>
      <c r="C329" s="9">
        <f t="array" ref="C329">XLOOKUP($A329, Quotations!$C$2:C1756, Quotations!$D$2:D1756, "")</f>
        <v>24.75</v>
      </c>
      <c r="D329" s="9">
        <f t="array" ref="D329">XLOOKUP($A329, Quotations!$E$2:E1756, Quotations!$F$2:F1756, "")
</f>
        <v>113.01</v>
      </c>
      <c r="E329" s="9">
        <f t="array" ref="E329">XLOOKUP($A329, Quotations!$G$2:G1756, Quotations!$H$2:H1756, "")
</f>
        <v>133.53999</v>
      </c>
      <c r="F329" s="9">
        <f t="array" ref="F329">XLOOKUP($A329, Quotations!$I$2:I1756, Quotations!$J$2:J1756, "")
</f>
        <v>138.74</v>
      </c>
      <c r="G329" s="9">
        <f t="array" ref="G329">XLOOKUP($A329, Quotations!$K$2:K1756, Quotations!$L$2:L1756, "")
</f>
        <v>1456.9056</v>
      </c>
    </row>
    <row r="330">
      <c r="A330" s="8">
        <v>42117.0</v>
      </c>
      <c r="B330" s="9">
        <f t="array" ref="B330">XLOOKUP($A330, Quotations!$A$2:A1756, Quotations!$B$2:B1756, "")
</f>
        <v>129.78</v>
      </c>
      <c r="C330" s="9">
        <f t="array" ref="C330">XLOOKUP($A330, Quotations!$C$2:C1756, Quotations!$D$2:D1756, "")</f>
        <v>24.74</v>
      </c>
      <c r="D330" s="9">
        <f t="array" ref="D330">XLOOKUP($A330, Quotations!$E$2:E1756, Quotations!$F$2:F1756, "")
</f>
        <v>113.01</v>
      </c>
      <c r="E330" s="9">
        <f t="array" ref="E330">XLOOKUP($A330, Quotations!$G$2:G1756, Quotations!$H$2:H1756, "")
</f>
        <v>132.75999</v>
      </c>
      <c r="F330" s="9">
        <f t="array" ref="F330">XLOOKUP($A330, Quotations!$I$2:I1756, Quotations!$J$2:J1756, "")
</f>
        <v>138.94</v>
      </c>
      <c r="G330" s="9">
        <f t="array" ref="G330">XLOOKUP($A330, Quotations!$K$2:K1756, Quotations!$L$2:L1756, "")
</f>
        <v>1458.5574</v>
      </c>
    </row>
    <row r="331">
      <c r="A331" s="8">
        <v>42118.0</v>
      </c>
      <c r="B331" s="9">
        <f t="array" ref="B331">XLOOKUP($A331, Quotations!$A$2:A1756, Quotations!$B$2:B1756, "")
</f>
        <v>129.96001</v>
      </c>
      <c r="C331" s="9">
        <f t="array" ref="C331">XLOOKUP($A331, Quotations!$C$2:C1756, Quotations!$D$2:D1756, "")</f>
        <v>24.73</v>
      </c>
      <c r="D331" s="9">
        <f t="array" ref="D331">XLOOKUP($A331, Quotations!$E$2:E1756, Quotations!$F$2:F1756, "")
</f>
        <v>113.06</v>
      </c>
      <c r="E331" s="9">
        <f t="array" ref="E331">XLOOKUP($A331, Quotations!$G$2:G1756, Quotations!$H$2:H1756, "")
</f>
        <v>131.99001</v>
      </c>
      <c r="F331" s="9">
        <f t="array" ref="F331">XLOOKUP($A331, Quotations!$I$2:I1756, Quotations!$J$2:J1756, "")
</f>
        <v>138.77</v>
      </c>
      <c r="G331" s="9">
        <f t="array" ref="G331">XLOOKUP($A331, Quotations!$K$2:K1756, Quotations!$L$2:L1756, "")
</f>
        <v>1459.5255</v>
      </c>
    </row>
    <row r="332">
      <c r="A332" s="8">
        <v>42121.0</v>
      </c>
      <c r="B332" s="9">
        <f t="array" ref="B332">XLOOKUP($A332, Quotations!$A$2:A1756, Quotations!$B$2:B1756, "")
</f>
        <v>130.59</v>
      </c>
      <c r="C332" s="9">
        <f t="array" ref="C332">XLOOKUP($A332, Quotations!$C$2:C1756, Quotations!$D$2:D1756, "")</f>
        <v>24.73</v>
      </c>
      <c r="D332" s="9">
        <f t="array" ref="D332">XLOOKUP($A332, Quotations!$E$2:E1756, Quotations!$F$2:F1756, "")
</f>
        <v>113.15</v>
      </c>
      <c r="E332" s="9">
        <f t="array" ref="E332">XLOOKUP($A332, Quotations!$G$2:G1756, Quotations!$H$2:H1756, "")
</f>
        <v>132.35001</v>
      </c>
      <c r="F332" s="9">
        <f t="array" ref="F332">XLOOKUP($A332, Quotations!$I$2:I1756, Quotations!$J$2:J1756, "")
</f>
        <v>138.9</v>
      </c>
      <c r="G332" s="9">
        <f t="array" ref="G332">XLOOKUP($A332, Quotations!$K$2:K1756, Quotations!$L$2:L1756, "")
</f>
        <v>1461.4066</v>
      </c>
    </row>
    <row r="333">
      <c r="A333" s="8">
        <v>42122.0</v>
      </c>
      <c r="B333" s="9">
        <f t="array" ref="B333">XLOOKUP($A333, Quotations!$A$2:A1756, Quotations!$B$2:B1756, "")
</f>
        <v>130.10001</v>
      </c>
      <c r="C333" s="9">
        <f t="array" ref="C333">XLOOKUP($A333, Quotations!$C$2:C1756, Quotations!$D$2:D1756, "")</f>
        <v>24.73</v>
      </c>
      <c r="D333" s="9">
        <f t="array" ref="D333">XLOOKUP($A333, Quotations!$E$2:E1756, Quotations!$F$2:F1756, "")
</f>
        <v>113.19</v>
      </c>
      <c r="E333" s="9">
        <f t="array" ref="E333">XLOOKUP($A333, Quotations!$G$2:G1756, Quotations!$H$2:H1756, "")
</f>
        <v>133.32001</v>
      </c>
      <c r="F333" s="9">
        <f t="array" ref="F333">XLOOKUP($A333, Quotations!$I$2:I1756, Quotations!$J$2:J1756, "")
</f>
        <v>138.81</v>
      </c>
      <c r="G333" s="9">
        <f t="array" ref="G333">XLOOKUP($A333, Quotations!$K$2:K1756, Quotations!$L$2:L1756, "")
</f>
        <v>1464.1216</v>
      </c>
    </row>
    <row r="334">
      <c r="A334" s="8">
        <v>42123.0</v>
      </c>
      <c r="B334" s="9">
        <f t="array" ref="B334">XLOOKUP($A334, Quotations!$A$2:A1756, Quotations!$B$2:B1756, "")
</f>
        <v>129.32001</v>
      </c>
      <c r="C334" s="9">
        <f t="array" ref="C334">XLOOKUP($A334, Quotations!$C$2:C1756, Quotations!$D$2:D1756, "")</f>
        <v>24.72</v>
      </c>
      <c r="D334" s="9">
        <f t="array" ref="D334">XLOOKUP($A334, Quotations!$E$2:E1756, Quotations!$F$2:F1756, "")
</f>
        <v>113.19</v>
      </c>
      <c r="E334" s="9">
        <f t="array" ref="E334">XLOOKUP($A334, Quotations!$G$2:G1756, Quotations!$H$2:H1756, "")
</f>
        <v>132.33</v>
      </c>
      <c r="F334" s="9">
        <f t="array" ref="F334">XLOOKUP($A334, Quotations!$I$2:I1756, Quotations!$J$2:J1756, "")
</f>
        <v>138.27</v>
      </c>
      <c r="G334" s="9">
        <f t="array" ref="G334">XLOOKUP($A334, Quotations!$K$2:K1756, Quotations!$L$2:L1756, "")
</f>
        <v>1459.9992</v>
      </c>
    </row>
    <row r="335">
      <c r="A335" s="8">
        <v>42124.0</v>
      </c>
      <c r="B335" s="9">
        <f t="array" ref="B335">XLOOKUP($A335, Quotations!$A$2:A1756, Quotations!$B$2:B1756, "")
</f>
        <v>129.13</v>
      </c>
      <c r="C335" s="9">
        <f t="array" ref="C335">XLOOKUP($A335, Quotations!$C$2:C1756, Quotations!$D$2:D1756, "")</f>
        <v>24.69</v>
      </c>
      <c r="D335" s="9">
        <f t="array" ref="D335">XLOOKUP($A335, Quotations!$E$2:E1756, Quotations!$F$2:F1756, "")
</f>
        <v>113.2</v>
      </c>
      <c r="E335" s="9">
        <f t="array" ref="E335">XLOOKUP($A335, Quotations!$G$2:G1756, Quotations!$H$2:H1756, "")
</f>
        <v>129.96001</v>
      </c>
      <c r="F335" s="9">
        <f t="array" ref="F335">XLOOKUP($A335, Quotations!$I$2:I1756, Quotations!$J$2:J1756, "")
</f>
        <v>137.25</v>
      </c>
      <c r="G335" s="9">
        <f t="array" ref="G335">XLOOKUP($A335, Quotations!$K$2:K1756, Quotations!$L$2:L1756, "")
</f>
        <v>1453.8678</v>
      </c>
    </row>
    <row r="336">
      <c r="A336" s="8">
        <v>42128.0</v>
      </c>
      <c r="B336" s="9">
        <f t="array" ref="B336">XLOOKUP($A336, Quotations!$A$2:A1756, Quotations!$B$2:B1756, "")
</f>
        <v>129.13</v>
      </c>
      <c r="C336" s="9">
        <f t="array" ref="C336">XLOOKUP($A336, Quotations!$C$2:C1756, Quotations!$D$2:D1756, "")</f>
        <v>24.69</v>
      </c>
      <c r="D336" s="9">
        <f t="array" ref="D336">XLOOKUP($A336, Quotations!$E$2:E1756, Quotations!$F$2:F1756, "")
</f>
        <v>113.24</v>
      </c>
      <c r="E336" s="9">
        <f t="array" ref="E336">XLOOKUP($A336, Quotations!$G$2:G1756, Quotations!$H$2:H1756, "")
</f>
        <v>129.39999</v>
      </c>
      <c r="F336" s="9">
        <f t="array" ref="F336">XLOOKUP($A336, Quotations!$I$2:I1756, Quotations!$J$2:J1756, "")
</f>
        <v>137</v>
      </c>
      <c r="G336" s="9">
        <f t="array" ref="G336">XLOOKUP($A336, Quotations!$K$2:K1756, Quotations!$L$2:L1756, "")
</f>
        <v>1450.8668</v>
      </c>
    </row>
    <row r="337">
      <c r="A337" s="8">
        <v>42129.0</v>
      </c>
      <c r="B337" s="9">
        <f t="array" ref="B337">XLOOKUP($A337, Quotations!$A$2:A1756, Quotations!$B$2:B1756, "")
</f>
        <v>128.5</v>
      </c>
      <c r="C337" s="9">
        <f t="array" ref="C337">XLOOKUP($A337, Quotations!$C$2:C1756, Quotations!$D$2:D1756, "")</f>
        <v>24.69</v>
      </c>
      <c r="D337" s="9">
        <f t="array" ref="D337">XLOOKUP($A337, Quotations!$E$2:E1756, Quotations!$F$2:F1756, "")
</f>
        <v>113.23</v>
      </c>
      <c r="E337" s="9">
        <f t="array" ref="E337">XLOOKUP($A337, Quotations!$G$2:G1756, Quotations!$H$2:H1756, "")
</f>
        <v>129.14</v>
      </c>
      <c r="F337" s="9">
        <f t="array" ref="F337">XLOOKUP($A337, Quotations!$I$2:I1756, Quotations!$J$2:J1756, "")
</f>
        <v>137.17</v>
      </c>
      <c r="G337" s="9">
        <f t="array" ref="G337">XLOOKUP($A337, Quotations!$K$2:K1756, Quotations!$L$2:L1756, "")
</f>
        <v>1452.6924</v>
      </c>
    </row>
    <row r="338">
      <c r="A338" s="8">
        <v>42130.0</v>
      </c>
      <c r="B338" s="9">
        <f t="array" ref="B338">XLOOKUP($A338, Quotations!$A$2:A1756, Quotations!$B$2:B1756, "")
</f>
        <v>128.50999</v>
      </c>
      <c r="C338" s="9">
        <f t="array" ref="C338">XLOOKUP($A338, Quotations!$C$2:C1756, Quotations!$D$2:D1756, "")</f>
        <v>24.67</v>
      </c>
      <c r="D338" s="9">
        <f t="array" ref="D338">XLOOKUP($A338, Quotations!$E$2:E1756, Quotations!$F$2:F1756, "")
</f>
        <v>113.23</v>
      </c>
      <c r="E338" s="9">
        <f t="array" ref="E338">XLOOKUP($A338, Quotations!$G$2:G1756, Quotations!$H$2:H1756, "")
</f>
        <v>128.3</v>
      </c>
      <c r="F338" s="9">
        <f t="array" ref="F338">XLOOKUP($A338, Quotations!$I$2:I1756, Quotations!$J$2:J1756, "")
</f>
        <v>136.42</v>
      </c>
      <c r="G338" s="9">
        <f t="array" ref="G338">XLOOKUP($A338, Quotations!$K$2:K1756, Quotations!$L$2:L1756, "")
</f>
        <v>1444.1873</v>
      </c>
    </row>
    <row r="339">
      <c r="A339" s="8">
        <v>42131.0</v>
      </c>
      <c r="B339" s="9">
        <f t="array" ref="B339">XLOOKUP($A339, Quotations!$A$2:A1756, Quotations!$B$2:B1756, "")
</f>
        <v>128.3</v>
      </c>
      <c r="C339" s="9">
        <f t="array" ref="C339">XLOOKUP($A339, Quotations!$C$2:C1756, Quotations!$D$2:D1756, "")</f>
        <v>24.67</v>
      </c>
      <c r="D339" s="9">
        <f t="array" ref="D339">XLOOKUP($A339, Quotations!$E$2:E1756, Quotations!$F$2:F1756, "")
</f>
        <v>113.25</v>
      </c>
      <c r="E339" s="9">
        <f t="array" ref="E339">XLOOKUP($A339, Quotations!$G$2:G1756, Quotations!$H$2:H1756, "")
</f>
        <v>128.28</v>
      </c>
      <c r="F339" s="9">
        <f t="array" ref="F339">XLOOKUP($A339, Quotations!$I$2:I1756, Quotations!$J$2:J1756, "")
</f>
        <v>136.05</v>
      </c>
      <c r="G339" s="9">
        <f t="array" ref="G339">XLOOKUP($A339, Quotations!$K$2:K1756, Quotations!$L$2:L1756, "")
</f>
        <v>1439.0623</v>
      </c>
    </row>
    <row r="340">
      <c r="A340" s="8">
        <v>42132.0</v>
      </c>
      <c r="B340" s="9" t="str">
        <f t="array" ref="B340">XLOOKUP($A340, Quotations!$A$2:A1756, Quotations!$B$2:B1756, "")
</f>
        <v/>
      </c>
      <c r="C340" s="9">
        <f t="array" ref="C340">XLOOKUP($A340, Quotations!$C$2:C1756, Quotations!$D$2:D1756, "")</f>
        <v>24.69</v>
      </c>
      <c r="D340" s="9">
        <f t="array" ref="D340">XLOOKUP($A340, Quotations!$E$2:E1756, Quotations!$F$2:F1756, "")
</f>
        <v>113.32</v>
      </c>
      <c r="E340" s="9">
        <f t="array" ref="E340">XLOOKUP($A340, Quotations!$G$2:G1756, Quotations!$H$2:H1756, "")
</f>
        <v>128.25999</v>
      </c>
      <c r="F340" s="9">
        <f t="array" ref="F340">XLOOKUP($A340, Quotations!$I$2:I1756, Quotations!$J$2:J1756, "")
</f>
        <v>136.16</v>
      </c>
      <c r="G340" s="9">
        <f t="array" ref="G340">XLOOKUP($A340, Quotations!$K$2:K1756, Quotations!$L$2:L1756, "")
</f>
        <v>1441.2743</v>
      </c>
    </row>
    <row r="341">
      <c r="A341" s="8">
        <v>42135.0</v>
      </c>
      <c r="B341" s="9">
        <f t="array" ref="B341">XLOOKUP($A341, Quotations!$A$2:A1756, Quotations!$B$2:B1756, "")
</f>
        <v>129.53</v>
      </c>
      <c r="C341" s="9">
        <f t="array" ref="C341">XLOOKUP($A341, Quotations!$C$2:C1756, Quotations!$D$2:D1756, "")</f>
        <v>24.7</v>
      </c>
      <c r="D341" s="9">
        <f t="array" ref="D341">XLOOKUP($A341, Quotations!$E$2:E1756, Quotations!$F$2:F1756, "")
</f>
        <v>113.35</v>
      </c>
      <c r="E341" s="9">
        <f t="array" ref="E341">XLOOKUP($A341, Quotations!$G$2:G1756, Quotations!$H$2:H1756, "")
</f>
        <v>128.96001</v>
      </c>
      <c r="F341" s="9">
        <f t="array" ref="F341">XLOOKUP($A341, Quotations!$I$2:I1756, Quotations!$J$2:J1756, "")
</f>
        <v>136.83</v>
      </c>
      <c r="G341" s="9">
        <f t="array" ref="G341">XLOOKUP($A341, Quotations!$K$2:K1756, Quotations!$L$2:L1756, "")
</f>
        <v>1450.1668</v>
      </c>
    </row>
    <row r="342">
      <c r="A342" s="8">
        <v>42136.0</v>
      </c>
      <c r="B342" s="9">
        <f t="array" ref="B342">XLOOKUP($A342, Quotations!$A$2:A1756, Quotations!$B$2:B1756, "")
</f>
        <v>129.13</v>
      </c>
      <c r="C342" s="9">
        <f t="array" ref="C342">XLOOKUP($A342, Quotations!$C$2:C1756, Quotations!$D$2:D1756, "")</f>
        <v>24.69</v>
      </c>
      <c r="D342" s="9">
        <f t="array" ref="D342">XLOOKUP($A342, Quotations!$E$2:E1756, Quotations!$F$2:F1756, "")
</f>
        <v>113.36</v>
      </c>
      <c r="E342" s="9">
        <f t="array" ref="E342">XLOOKUP($A342, Quotations!$G$2:G1756, Quotations!$H$2:H1756, "")
</f>
        <v>128.78999</v>
      </c>
      <c r="F342" s="9">
        <f t="array" ref="F342">XLOOKUP($A342, Quotations!$I$2:I1756, Quotations!$J$2:J1756, "")
</f>
        <v>136.71</v>
      </c>
      <c r="G342" s="9">
        <f t="array" ref="G342">XLOOKUP($A342, Quotations!$K$2:K1756, Quotations!$L$2:L1756, "")
</f>
        <v>1449.7764</v>
      </c>
    </row>
    <row r="343">
      <c r="A343" s="8">
        <v>42137.0</v>
      </c>
      <c r="B343" s="9">
        <f t="array" ref="B343">XLOOKUP($A343, Quotations!$A$2:A1756, Quotations!$B$2:B1756, "")
</f>
        <v>129.14</v>
      </c>
      <c r="C343" s="9">
        <f t="array" ref="C343">XLOOKUP($A343, Quotations!$C$2:C1756, Quotations!$D$2:D1756, "")</f>
        <v>24.68</v>
      </c>
      <c r="D343" s="9">
        <f t="array" ref="D343">XLOOKUP($A343, Quotations!$E$2:E1756, Quotations!$F$2:F1756, "")
</f>
        <v>113.28</v>
      </c>
      <c r="E343" s="9">
        <f t="array" ref="E343">XLOOKUP($A343, Quotations!$G$2:G1756, Quotations!$H$2:H1756, "")
</f>
        <v>127.81</v>
      </c>
      <c r="F343" s="9">
        <f t="array" ref="F343">XLOOKUP($A343, Quotations!$I$2:I1756, Quotations!$J$2:J1756, "")
</f>
        <v>136.22</v>
      </c>
      <c r="G343" s="9">
        <f t="array" ref="G343">XLOOKUP($A343, Quotations!$K$2:K1756, Quotations!$L$2:L1756, "")
</f>
        <v>1447.2701</v>
      </c>
    </row>
    <row r="344">
      <c r="A344" s="8">
        <v>42139.0</v>
      </c>
      <c r="B344" s="9">
        <f t="array" ref="B344">XLOOKUP($A344, Quotations!$A$2:A1756, Quotations!$B$2:B1756, "")
</f>
        <v>129.41</v>
      </c>
      <c r="C344" s="9">
        <f t="array" ref="C344">XLOOKUP($A344, Quotations!$C$2:C1756, Quotations!$D$2:D1756, "")</f>
        <v>24.67</v>
      </c>
      <c r="D344" s="9">
        <f t="array" ref="D344">XLOOKUP($A344, Quotations!$E$2:E1756, Quotations!$F$2:F1756, "")
</f>
        <v>113.37</v>
      </c>
      <c r="E344" s="9">
        <f t="array" ref="E344">XLOOKUP($A344, Quotations!$G$2:G1756, Quotations!$H$2:H1756, "")
</f>
        <v>127.25</v>
      </c>
      <c r="F344" s="9">
        <f t="array" ref="F344">XLOOKUP($A344, Quotations!$I$2:I1756, Quotations!$J$2:J1756, "")
</f>
        <v>136.44</v>
      </c>
      <c r="G344" s="9">
        <f t="array" ref="G344">XLOOKUP($A344, Quotations!$K$2:K1756, Quotations!$L$2:L1756, "")
</f>
        <v>1452.5739</v>
      </c>
    </row>
    <row r="345">
      <c r="A345" s="8">
        <v>42142.0</v>
      </c>
      <c r="B345" s="9">
        <f t="array" ref="B345">XLOOKUP($A345, Quotations!$A$2:A1756, Quotations!$B$2:B1756, "")
</f>
        <v>129.45</v>
      </c>
      <c r="C345" s="9">
        <f t="array" ref="C345">XLOOKUP($A345, Quotations!$C$2:C1756, Quotations!$D$2:D1756, "")</f>
        <v>24.68</v>
      </c>
      <c r="D345" s="9">
        <f t="array" ref="D345">XLOOKUP($A345, Quotations!$E$2:E1756, Quotations!$F$2:F1756, "")
</f>
        <v>113.31</v>
      </c>
      <c r="E345" s="9">
        <f t="array" ref="E345">XLOOKUP($A345, Quotations!$G$2:G1756, Quotations!$H$2:H1756, "")
</f>
        <v>127.63</v>
      </c>
      <c r="F345" s="9">
        <f t="array" ref="F345">XLOOKUP($A345, Quotations!$I$2:I1756, Quotations!$J$2:J1756, "")
</f>
        <v>136.43</v>
      </c>
      <c r="G345" s="9">
        <f t="array" ref="G345">XLOOKUP($A345, Quotations!$K$2:K1756, Quotations!$L$2:L1756, "")
</f>
        <v>1454.701</v>
      </c>
    </row>
    <row r="346">
      <c r="A346" s="8">
        <v>42143.0</v>
      </c>
      <c r="B346" s="9">
        <f t="array" ref="B346">XLOOKUP($A346, Quotations!$A$2:A1756, Quotations!$B$2:B1756, "")
</f>
        <v>130.13</v>
      </c>
      <c r="C346" s="9">
        <f t="array" ref="C346">XLOOKUP($A346, Quotations!$C$2:C1756, Quotations!$D$2:D1756, "")</f>
        <v>24.7</v>
      </c>
      <c r="D346" s="9">
        <f t="array" ref="D346">XLOOKUP($A346, Quotations!$E$2:E1756, Quotations!$F$2:F1756, "")
</f>
        <v>113.29</v>
      </c>
      <c r="E346" s="9">
        <f t="array" ref="E346">XLOOKUP($A346, Quotations!$G$2:G1756, Quotations!$H$2:H1756, "")
</f>
        <v>128.31</v>
      </c>
      <c r="F346" s="9">
        <f t="array" ref="F346">XLOOKUP($A346, Quotations!$I$2:I1756, Quotations!$J$2:J1756, "")
</f>
        <v>136.55</v>
      </c>
      <c r="G346" s="9">
        <f t="array" ref="G346">XLOOKUP($A346, Quotations!$K$2:K1756, Quotations!$L$2:L1756, "")
</f>
        <v>1457.4031</v>
      </c>
    </row>
    <row r="347">
      <c r="A347" s="8">
        <v>42144.0</v>
      </c>
      <c r="B347" s="9">
        <f t="array" ref="B347">XLOOKUP($A347, Quotations!$A$2:A1756, Quotations!$B$2:B1756, "")
</f>
        <v>130.08</v>
      </c>
      <c r="C347" s="9">
        <f t="array" ref="C347">XLOOKUP($A347, Quotations!$C$2:C1756, Quotations!$D$2:D1756, "")</f>
        <v>24.71</v>
      </c>
      <c r="D347" s="9">
        <f t="array" ref="D347">XLOOKUP($A347, Quotations!$E$2:E1756, Quotations!$F$2:F1756, "")
</f>
        <v>113.28</v>
      </c>
      <c r="E347" s="9">
        <f t="array" ref="E347">XLOOKUP($A347, Quotations!$G$2:G1756, Quotations!$H$2:H1756, "")
</f>
        <v>129.64999</v>
      </c>
      <c r="F347" s="9">
        <f t="array" ref="F347">XLOOKUP($A347, Quotations!$I$2:I1756, Quotations!$J$2:J1756, "")
</f>
        <v>137.15</v>
      </c>
      <c r="G347" s="9">
        <f t="array" ref="G347">XLOOKUP($A347, Quotations!$K$2:K1756, Quotations!$L$2:L1756, "")
</f>
        <v>1459.5625</v>
      </c>
    </row>
    <row r="348">
      <c r="A348" s="8">
        <v>42145.0</v>
      </c>
      <c r="B348" s="9">
        <f t="array" ref="B348">XLOOKUP($A348, Quotations!$A$2:A1756, Quotations!$B$2:B1756, "")
</f>
        <v>130.12</v>
      </c>
      <c r="C348" s="9">
        <f t="array" ref="C348">XLOOKUP($A348, Quotations!$C$2:C1756, Quotations!$D$2:D1756, "")</f>
        <v>24.71</v>
      </c>
      <c r="D348" s="9">
        <f t="array" ref="D348">XLOOKUP($A348, Quotations!$E$2:E1756, Quotations!$F$2:F1756, "")
</f>
        <v>113.29</v>
      </c>
      <c r="E348" s="9">
        <f t="array" ref="E348">XLOOKUP($A348, Quotations!$G$2:G1756, Quotations!$H$2:H1756, "")
</f>
        <v>129.53</v>
      </c>
      <c r="F348" s="9">
        <f t="array" ref="F348">XLOOKUP($A348, Quotations!$I$2:I1756, Quotations!$J$2:J1756, "")
</f>
        <v>137.14</v>
      </c>
      <c r="G348" s="9">
        <f t="array" ref="G348">XLOOKUP($A348, Quotations!$K$2:K1756, Quotations!$L$2:L1756, "")
</f>
        <v>1456.3718</v>
      </c>
    </row>
    <row r="349">
      <c r="A349" s="8">
        <v>42146.0</v>
      </c>
      <c r="B349" s="9">
        <f t="array" ref="B349">XLOOKUP($A349, Quotations!$A$2:A1756, Quotations!$B$2:B1756, "")
</f>
        <v>130.08</v>
      </c>
      <c r="C349" s="9">
        <f t="array" ref="C349">XLOOKUP($A349, Quotations!$C$2:C1756, Quotations!$D$2:D1756, "")</f>
        <v>24.72</v>
      </c>
      <c r="D349" s="9">
        <f t="array" ref="D349">XLOOKUP($A349, Quotations!$E$2:E1756, Quotations!$F$2:F1756, "")
</f>
        <v>113.31</v>
      </c>
      <c r="E349" s="9">
        <f t="array" ref="E349">XLOOKUP($A349, Quotations!$G$2:G1756, Quotations!$H$2:H1756, "")
</f>
        <v>129.48</v>
      </c>
      <c r="F349" s="9">
        <f t="array" ref="F349">XLOOKUP($A349, Quotations!$I$2:I1756, Quotations!$J$2:J1756, "")
</f>
        <v>137.28</v>
      </c>
      <c r="G349" s="9">
        <f t="array" ref="G349">XLOOKUP($A349, Quotations!$K$2:K1756, Quotations!$L$2:L1756, "")
</f>
        <v>1458.1847</v>
      </c>
    </row>
    <row r="350">
      <c r="A350" s="8">
        <v>42150.0</v>
      </c>
      <c r="B350" s="9">
        <f t="array" ref="B350">XLOOKUP($A350, Quotations!$A$2:A1756, Quotations!$B$2:B1756, "")
</f>
        <v>129.38</v>
      </c>
      <c r="C350" s="9">
        <f t="array" ref="C350">XLOOKUP($A350, Quotations!$C$2:C1756, Quotations!$D$2:D1756, "")</f>
        <v>24.72</v>
      </c>
      <c r="D350" s="9">
        <f t="array" ref="D350">XLOOKUP($A350, Quotations!$E$2:E1756, Quotations!$F$2:F1756, "")
</f>
        <v>113.36</v>
      </c>
      <c r="E350" s="9">
        <f t="array" ref="E350">XLOOKUP($A350, Quotations!$G$2:G1756, Quotations!$H$2:H1756, "")
</f>
        <v>129.3</v>
      </c>
      <c r="F350" s="9">
        <f t="array" ref="F350">XLOOKUP($A350, Quotations!$I$2:I1756, Quotations!$J$2:J1756, "")
</f>
        <v>137.38</v>
      </c>
      <c r="G350" s="9">
        <f t="array" ref="G350">XLOOKUP($A350, Quotations!$K$2:K1756, Quotations!$L$2:L1756, "")
</f>
        <v>1459.3969</v>
      </c>
    </row>
    <row r="351">
      <c r="A351" s="8">
        <v>42151.0</v>
      </c>
      <c r="B351" s="9">
        <f t="array" ref="B351">XLOOKUP($A351, Quotations!$A$2:A1756, Quotations!$B$2:B1756, "")
</f>
        <v>129.88</v>
      </c>
      <c r="C351" s="9">
        <f t="array" ref="C351">XLOOKUP($A351, Quotations!$C$2:C1756, Quotations!$D$2:D1756, "")</f>
        <v>24.72</v>
      </c>
      <c r="D351" s="9">
        <f t="array" ref="D351">XLOOKUP($A351, Quotations!$E$2:E1756, Quotations!$F$2:F1756, "")
</f>
        <v>113.34</v>
      </c>
      <c r="E351" s="9">
        <f t="array" ref="E351">XLOOKUP($A351, Quotations!$G$2:G1756, Quotations!$H$2:H1756, "")
</f>
        <v>128.37</v>
      </c>
      <c r="F351" s="9">
        <f t="array" ref="F351">XLOOKUP($A351, Quotations!$I$2:I1756, Quotations!$J$2:J1756, "")
</f>
        <v>137.18</v>
      </c>
      <c r="G351" s="9">
        <f t="array" ref="G351">XLOOKUP($A351, Quotations!$K$2:K1756, Quotations!$L$2:L1756, "")
</f>
        <v>1453.73</v>
      </c>
    </row>
    <row r="352">
      <c r="A352" s="8">
        <v>42152.0</v>
      </c>
      <c r="B352" s="9">
        <f t="array" ref="B352">XLOOKUP($A352, Quotations!$A$2:A1756, Quotations!$B$2:B1756, "")
</f>
        <v>129.74001</v>
      </c>
      <c r="C352" s="9">
        <f t="array" ref="C352">XLOOKUP($A352, Quotations!$C$2:C1756, Quotations!$D$2:D1756, "")</f>
        <v>24.71</v>
      </c>
      <c r="D352" s="9">
        <f t="array" ref="D352">XLOOKUP($A352, Quotations!$E$2:E1756, Quotations!$F$2:F1756, "")
</f>
        <v>113.33</v>
      </c>
      <c r="E352" s="9">
        <f t="array" ref="E352">XLOOKUP($A352, Quotations!$G$2:G1756, Quotations!$H$2:H1756, "")
</f>
        <v>129.05</v>
      </c>
      <c r="F352" s="9">
        <f t="array" ref="F352">XLOOKUP($A352, Quotations!$I$2:I1756, Quotations!$J$2:J1756, "")
</f>
        <v>137.68</v>
      </c>
      <c r="G352" s="9">
        <f t="array" ref="G352">XLOOKUP($A352, Quotations!$K$2:K1756, Quotations!$L$2:L1756, "")
</f>
        <v>1457.7185</v>
      </c>
    </row>
    <row r="353">
      <c r="A353" s="8">
        <v>42153.0</v>
      </c>
      <c r="B353" s="9">
        <f t="array" ref="B353">XLOOKUP($A353, Quotations!$A$2:A1756, Quotations!$B$2:B1756, "")
</f>
        <v>129.14</v>
      </c>
      <c r="C353" s="9">
        <f t="array" ref="C353">XLOOKUP($A353, Quotations!$C$2:C1756, Quotations!$D$2:D1756, "")</f>
        <v>24.7</v>
      </c>
      <c r="D353" s="9">
        <f t="array" ref="D353">XLOOKUP($A353, Quotations!$E$2:E1756, Quotations!$F$2:F1756, "")
</f>
        <v>113.33</v>
      </c>
      <c r="E353" s="9">
        <f t="array" ref="E353">XLOOKUP($A353, Quotations!$G$2:G1756, Quotations!$H$2:H1756, "")
</f>
        <v>128.64</v>
      </c>
      <c r="F353" s="9">
        <f t="array" ref="F353">XLOOKUP($A353, Quotations!$I$2:I1756, Quotations!$J$2:J1756, "")
</f>
        <v>137.44</v>
      </c>
      <c r="G353" s="9">
        <f t="array" ref="G353">XLOOKUP($A353, Quotations!$K$2:K1756, Quotations!$L$2:L1756, "")
</f>
        <v>1456.1414</v>
      </c>
    </row>
    <row r="354">
      <c r="A354" s="8">
        <v>42156.0</v>
      </c>
      <c r="B354" s="9">
        <f t="array" ref="B354">XLOOKUP($A354, Quotations!$A$2:A1756, Quotations!$B$2:B1756, "")
</f>
        <v>129.12</v>
      </c>
      <c r="C354" s="9">
        <f t="array" ref="C354">XLOOKUP($A354, Quotations!$C$2:C1756, Quotations!$D$2:D1756, "")</f>
        <v>24.7</v>
      </c>
      <c r="D354" s="9">
        <f t="array" ref="D354">XLOOKUP($A354, Quotations!$E$2:E1756, Quotations!$F$2:F1756, "")
</f>
        <v>113.34</v>
      </c>
      <c r="E354" s="9">
        <f t="array" ref="E354">XLOOKUP($A354, Quotations!$G$2:G1756, Quotations!$H$2:H1756, "")
</f>
        <v>127.64</v>
      </c>
      <c r="F354" s="9">
        <f t="array" ref="F354">XLOOKUP($A354, Quotations!$I$2:I1756, Quotations!$J$2:J1756, "")
</f>
        <v>136.94</v>
      </c>
      <c r="G354" s="9">
        <f t="array" ref="G354">XLOOKUP($A354, Quotations!$K$2:K1756, Quotations!$L$2:L1756, "")
</f>
        <v>1453.0624</v>
      </c>
    </row>
    <row r="355">
      <c r="A355" s="8">
        <v>42157.0</v>
      </c>
      <c r="B355" s="9">
        <f t="array" ref="B355">XLOOKUP($A355, Quotations!$A$2:A1756, Quotations!$B$2:B1756, "")
</f>
        <v>128.83</v>
      </c>
      <c r="C355" s="9">
        <f t="array" ref="C355">XLOOKUP($A355, Quotations!$C$2:C1756, Quotations!$D$2:D1756, "")</f>
        <v>24.68</v>
      </c>
      <c r="D355" s="9">
        <f t="array" ref="D355">XLOOKUP($A355, Quotations!$E$2:E1756, Quotations!$F$2:F1756, "")
</f>
        <v>113.3</v>
      </c>
      <c r="E355" s="9">
        <f t="array" ref="E355">XLOOKUP($A355, Quotations!$G$2:G1756, Quotations!$H$2:H1756, "")
</f>
        <v>127.71</v>
      </c>
      <c r="F355" s="9">
        <f t="array" ref="F355">XLOOKUP($A355, Quotations!$I$2:I1756, Quotations!$J$2:J1756, "")
</f>
        <v>137.19</v>
      </c>
      <c r="G355" s="9">
        <f t="array" ref="G355">XLOOKUP($A355, Quotations!$K$2:K1756, Quotations!$L$2:L1756, "")
</f>
        <v>1453.3367</v>
      </c>
    </row>
    <row r="356">
      <c r="A356" s="8">
        <v>42158.0</v>
      </c>
      <c r="B356" s="9">
        <f t="array" ref="B356">XLOOKUP($A356, Quotations!$A$2:A1756, Quotations!$B$2:B1756, "")
</f>
        <v>128.73</v>
      </c>
      <c r="C356" s="9">
        <f t="array" ref="C356">XLOOKUP($A356, Quotations!$C$2:C1756, Quotations!$D$2:D1756, "")</f>
        <v>24.66</v>
      </c>
      <c r="D356" s="9">
        <f t="array" ref="D356">XLOOKUP($A356, Quotations!$E$2:E1756, Quotations!$F$2:F1756, "")
</f>
        <v>113.26</v>
      </c>
      <c r="E356" s="9">
        <f t="array" ref="E356">XLOOKUP($A356, Quotations!$G$2:G1756, Quotations!$H$2:H1756, "")
</f>
        <v>127.5</v>
      </c>
      <c r="F356" s="9">
        <f t="array" ref="F356">XLOOKUP($A356, Quotations!$I$2:I1756, Quotations!$J$2:J1756, "")
</f>
        <v>136.57</v>
      </c>
      <c r="G356" s="9">
        <f t="array" ref="G356">XLOOKUP($A356, Quotations!$K$2:K1756, Quotations!$L$2:L1756, "")
</f>
        <v>1451.3336</v>
      </c>
    </row>
    <row r="357">
      <c r="A357" s="8">
        <v>42159.0</v>
      </c>
      <c r="B357" s="9">
        <f t="array" ref="B357">XLOOKUP($A357, Quotations!$A$2:A1756, Quotations!$B$2:B1756, "")
</f>
        <v>128.5</v>
      </c>
      <c r="C357" s="9">
        <f t="array" ref="C357">XLOOKUP($A357, Quotations!$C$2:C1756, Quotations!$D$2:D1756, "")</f>
        <v>24.65</v>
      </c>
      <c r="D357" s="9">
        <f t="array" ref="D357">XLOOKUP($A357, Quotations!$E$2:E1756, Quotations!$F$2:F1756, "")
</f>
        <v>113.27</v>
      </c>
      <c r="E357" s="9">
        <f t="array" ref="E357">XLOOKUP($A357, Quotations!$G$2:G1756, Quotations!$H$2:H1756, "")
</f>
        <v>126.92</v>
      </c>
      <c r="F357" s="9">
        <f t="array" ref="F357">XLOOKUP($A357, Quotations!$I$2:I1756, Quotations!$J$2:J1756, "")
</f>
        <v>136.52</v>
      </c>
      <c r="G357" s="9">
        <f t="array" ref="G357">XLOOKUP($A357, Quotations!$K$2:K1756, Quotations!$L$2:L1756, "")
</f>
        <v>1449.4656</v>
      </c>
    </row>
    <row r="358">
      <c r="A358" s="8">
        <v>42160.0</v>
      </c>
      <c r="B358" s="9">
        <f t="array" ref="B358">XLOOKUP($A358, Quotations!$A$2:A1756, Quotations!$B$2:B1756, "")
</f>
        <v>127.87</v>
      </c>
      <c r="C358" s="9">
        <f t="array" ref="C358">XLOOKUP($A358, Quotations!$C$2:C1756, Quotations!$D$2:D1756, "")</f>
        <v>24.67</v>
      </c>
      <c r="D358" s="9">
        <f t="array" ref="D358">XLOOKUP($A358, Quotations!$E$2:E1756, Quotations!$F$2:F1756, "")
</f>
        <v>113.24</v>
      </c>
      <c r="E358" s="9">
        <f t="array" ref="E358">XLOOKUP($A358, Quotations!$G$2:G1756, Quotations!$H$2:H1756, "")
</f>
        <v>126.95</v>
      </c>
      <c r="F358" s="9">
        <f t="array" ref="F358">XLOOKUP($A358, Quotations!$I$2:I1756, Quotations!$J$2:J1756, "")
</f>
        <v>136.17</v>
      </c>
      <c r="G358" s="9">
        <f t="array" ref="G358">XLOOKUP($A358, Quotations!$K$2:K1756, Quotations!$L$2:L1756, "")
</f>
        <v>1445.0837</v>
      </c>
    </row>
    <row r="359">
      <c r="A359" s="8">
        <v>42163.0</v>
      </c>
      <c r="B359" s="9">
        <f t="array" ref="B359">XLOOKUP($A359, Quotations!$A$2:A1756, Quotations!$B$2:B1756, "")
</f>
        <v>127.46</v>
      </c>
      <c r="C359" s="9">
        <f t="array" ref="C359">XLOOKUP($A359, Quotations!$C$2:C1756, Quotations!$D$2:D1756, "")</f>
        <v>24.65</v>
      </c>
      <c r="D359" s="9">
        <f t="array" ref="D359">XLOOKUP($A359, Quotations!$E$2:E1756, Quotations!$F$2:F1756, "")
</f>
        <v>113.24</v>
      </c>
      <c r="E359" s="9">
        <f t="array" ref="E359">XLOOKUP($A359, Quotations!$G$2:G1756, Quotations!$H$2:H1756, "")
</f>
        <v>126.81</v>
      </c>
      <c r="F359" s="9">
        <f t="array" ref="F359">XLOOKUP($A359, Quotations!$I$2:I1756, Quotations!$J$2:J1756, "")
</f>
        <v>136.19</v>
      </c>
      <c r="G359" s="9">
        <f t="array" ref="G359">XLOOKUP($A359, Quotations!$K$2:K1756, Quotations!$L$2:L1756, "")
</f>
        <v>1442.224</v>
      </c>
    </row>
    <row r="360">
      <c r="A360" s="8">
        <v>42164.0</v>
      </c>
      <c r="B360" s="9">
        <f t="array" ref="B360">XLOOKUP($A360, Quotations!$A$2:A1756, Quotations!$B$2:B1756, "")
</f>
        <v>127.24</v>
      </c>
      <c r="C360" s="9">
        <f t="array" ref="C360">XLOOKUP($A360, Quotations!$C$2:C1756, Quotations!$D$2:D1756, "")</f>
        <v>24.65</v>
      </c>
      <c r="D360" s="9">
        <f t="array" ref="D360">XLOOKUP($A360, Quotations!$E$2:E1756, Quotations!$F$2:F1756, "")
</f>
        <v>113.23</v>
      </c>
      <c r="E360" s="9">
        <f t="array" ref="E360">XLOOKUP($A360, Quotations!$G$2:G1756, Quotations!$H$2:H1756, "")
</f>
        <v>126.84</v>
      </c>
      <c r="F360" s="9">
        <f t="array" ref="F360">XLOOKUP($A360, Quotations!$I$2:I1756, Quotations!$J$2:J1756, "")
</f>
        <v>135.84</v>
      </c>
      <c r="G360" s="9">
        <f t="array" ref="G360">XLOOKUP($A360, Quotations!$K$2:K1756, Quotations!$L$2:L1756, "")
</f>
        <v>1434.3604</v>
      </c>
    </row>
    <row r="361">
      <c r="A361" s="8">
        <v>42165.0</v>
      </c>
      <c r="B361" s="9">
        <f t="array" ref="B361">XLOOKUP($A361, Quotations!$A$2:A1756, Quotations!$B$2:B1756, "")
</f>
        <v>127.73</v>
      </c>
      <c r="C361" s="9">
        <f t="array" ref="C361">XLOOKUP($A361, Quotations!$C$2:C1756, Quotations!$D$2:D1756, "")</f>
        <v>24.65</v>
      </c>
      <c r="D361" s="9">
        <f t="array" ref="D361">XLOOKUP($A361, Quotations!$E$2:E1756, Quotations!$F$2:F1756, "")
</f>
        <v>113.21</v>
      </c>
      <c r="E361" s="9">
        <f t="array" ref="E361">XLOOKUP($A361, Quotations!$G$2:G1756, Quotations!$H$2:H1756, "")
</f>
        <v>126.75</v>
      </c>
      <c r="F361" s="9">
        <f t="array" ref="F361">XLOOKUP($A361, Quotations!$I$2:I1756, Quotations!$J$2:J1756, "")
</f>
        <v>135.67</v>
      </c>
      <c r="G361" s="9">
        <f t="array" ref="G361">XLOOKUP($A361, Quotations!$K$2:K1756, Quotations!$L$2:L1756, "")
</f>
        <v>1430.4606</v>
      </c>
    </row>
    <row r="362">
      <c r="A362" s="8">
        <v>42166.0</v>
      </c>
      <c r="B362" s="9">
        <f t="array" ref="B362">XLOOKUP($A362, Quotations!$A$2:A1756, Quotations!$B$2:B1756, "")
</f>
        <v>127.99</v>
      </c>
      <c r="C362" s="9">
        <f t="array" ref="C362">XLOOKUP($A362, Quotations!$C$2:C1756, Quotations!$D$2:D1756, "")</f>
        <v>24.65</v>
      </c>
      <c r="D362" s="9">
        <f t="array" ref="D362">XLOOKUP($A362, Quotations!$E$2:E1756, Quotations!$F$2:F1756, "")
</f>
        <v>113.26</v>
      </c>
      <c r="E362" s="9">
        <f t="array" ref="E362">XLOOKUP($A362, Quotations!$G$2:G1756, Quotations!$H$2:H1756, "")
</f>
        <v>126.86</v>
      </c>
      <c r="F362" s="9">
        <f t="array" ref="F362">XLOOKUP($A362, Quotations!$I$2:I1756, Quotations!$J$2:J1756, "")
</f>
        <v>136.16</v>
      </c>
      <c r="G362" s="9">
        <f t="array" ref="G362">XLOOKUP($A362, Quotations!$K$2:K1756, Quotations!$L$2:L1756, "")
</f>
        <v>1436.4724</v>
      </c>
    </row>
    <row r="363">
      <c r="A363" s="8">
        <v>42167.0</v>
      </c>
      <c r="B363" s="9">
        <f t="array" ref="B363">XLOOKUP($A363, Quotations!$A$2:A1756, Quotations!$B$2:B1756, "")
</f>
        <v>127.61</v>
      </c>
      <c r="C363" s="9">
        <f t="array" ref="C363">XLOOKUP($A363, Quotations!$C$2:C1756, Quotations!$D$2:D1756, "")</f>
        <v>24.65</v>
      </c>
      <c r="D363" s="9">
        <f t="array" ref="D363">XLOOKUP($A363, Quotations!$E$2:E1756, Quotations!$F$2:F1756, "")
</f>
        <v>113.26</v>
      </c>
      <c r="E363" s="9">
        <f t="array" ref="E363">XLOOKUP($A363, Quotations!$G$2:G1756, Quotations!$H$2:H1756, "")
</f>
        <v>126.65</v>
      </c>
      <c r="F363" s="9">
        <f t="array" ref="F363">XLOOKUP($A363, Quotations!$I$2:I1756, Quotations!$J$2:J1756, "")
</f>
        <v>136.22</v>
      </c>
      <c r="G363" s="9">
        <f t="array" ref="G363">XLOOKUP($A363, Quotations!$K$2:K1756, Quotations!$L$2:L1756, "")
</f>
        <v>1440.0352</v>
      </c>
    </row>
    <row r="364">
      <c r="A364" s="8">
        <v>42170.0</v>
      </c>
      <c r="B364" s="9">
        <f t="array" ref="B364">XLOOKUP($A364, Quotations!$A$2:A1756, Quotations!$B$2:B1756, "")
</f>
        <v>126.99</v>
      </c>
      <c r="C364" s="9">
        <f t="array" ref="C364">XLOOKUP($A364, Quotations!$C$2:C1756, Quotations!$D$2:D1756, "")</f>
        <v>24.65</v>
      </c>
      <c r="D364" s="9">
        <f t="array" ref="D364">XLOOKUP($A364, Quotations!$E$2:E1756, Quotations!$F$2:F1756, "")
</f>
        <v>113.26</v>
      </c>
      <c r="E364" s="9">
        <f t="array" ref="E364">XLOOKUP($A364, Quotations!$G$2:G1756, Quotations!$H$2:H1756, "")
</f>
        <v>126.62</v>
      </c>
      <c r="F364" s="9">
        <f t="array" ref="F364">XLOOKUP($A364, Quotations!$I$2:I1756, Quotations!$J$2:J1756, "")
</f>
        <v>135.91</v>
      </c>
      <c r="G364" s="9">
        <f t="array" ref="G364">XLOOKUP($A364, Quotations!$K$2:K1756, Quotations!$L$2:L1756, "")
</f>
        <v>1436.419</v>
      </c>
    </row>
    <row r="365">
      <c r="A365" s="8">
        <v>42171.0</v>
      </c>
      <c r="B365" s="9">
        <f t="array" ref="B365">XLOOKUP($A365, Quotations!$A$2:A1756, Quotations!$B$2:B1756, "")
</f>
        <v>127</v>
      </c>
      <c r="C365" s="9">
        <f t="array" ref="C365">XLOOKUP($A365, Quotations!$C$2:C1756, Quotations!$D$2:D1756, "")</f>
        <v>24.65</v>
      </c>
      <c r="D365" s="9">
        <f t="array" ref="D365">XLOOKUP($A365, Quotations!$E$2:E1756, Quotations!$F$2:F1756, "")
</f>
        <v>113.22</v>
      </c>
      <c r="E365" s="9">
        <f t="array" ref="E365">XLOOKUP($A365, Quotations!$G$2:G1756, Quotations!$H$2:H1756, "")
</f>
        <v>126.63</v>
      </c>
      <c r="F365" s="9">
        <f t="array" ref="F365">XLOOKUP($A365, Quotations!$I$2:I1756, Quotations!$J$2:J1756, "")
</f>
        <v>135.34</v>
      </c>
      <c r="G365" s="9">
        <f t="array" ref="G365">XLOOKUP($A365, Quotations!$K$2:K1756, Quotations!$L$2:L1756, "")
</f>
        <v>1429.887</v>
      </c>
    </row>
    <row r="366">
      <c r="A366" s="8">
        <v>42172.0</v>
      </c>
      <c r="B366" s="9">
        <f t="array" ref="B366">XLOOKUP($A366, Quotations!$A$2:A1756, Quotations!$B$2:B1756, "")
</f>
        <v>126.72</v>
      </c>
      <c r="C366" s="9">
        <f t="array" ref="C366">XLOOKUP($A366, Quotations!$C$2:C1756, Quotations!$D$2:D1756, "")</f>
        <v>24.65</v>
      </c>
      <c r="D366" s="9">
        <f t="array" ref="D366">XLOOKUP($A366, Quotations!$E$2:E1756, Quotations!$F$2:F1756, "")
</f>
        <v>113.19</v>
      </c>
      <c r="E366" s="9">
        <f t="array" ref="E366">XLOOKUP($A366, Quotations!$G$2:G1756, Quotations!$H$2:H1756, "")
</f>
        <v>126.56</v>
      </c>
      <c r="F366" s="9">
        <f t="array" ref="F366">XLOOKUP($A366, Quotations!$I$2:I1756, Quotations!$J$2:J1756, "")
</f>
        <v>135.41</v>
      </c>
      <c r="G366" s="9">
        <f t="array" ref="G366">XLOOKUP($A366, Quotations!$K$2:K1756, Quotations!$L$2:L1756, "")
</f>
        <v>1431.6007</v>
      </c>
    </row>
    <row r="367">
      <c r="A367" s="8">
        <v>42173.0</v>
      </c>
      <c r="B367" s="9">
        <f t="array" ref="B367">XLOOKUP($A367, Quotations!$A$2:A1756, Quotations!$B$2:B1756, "")
</f>
        <v>126.89</v>
      </c>
      <c r="C367" s="9">
        <f t="array" ref="C367">XLOOKUP($A367, Quotations!$C$2:C1756, Quotations!$D$2:D1756, "")</f>
        <v>24.63</v>
      </c>
      <c r="D367" s="9">
        <f t="array" ref="D367">XLOOKUP($A367, Quotations!$E$2:E1756, Quotations!$F$2:F1756, "")
</f>
        <v>113.1</v>
      </c>
      <c r="E367" s="9">
        <f t="array" ref="E367">XLOOKUP($A367, Quotations!$G$2:G1756, Quotations!$H$2:H1756, "")
</f>
        <v>126.55</v>
      </c>
      <c r="F367" s="9">
        <f t="array" ref="F367">XLOOKUP($A367, Quotations!$I$2:I1756, Quotations!$J$2:J1756, "")
</f>
        <v>135.31</v>
      </c>
      <c r="G367" s="9">
        <f t="array" ref="G367">XLOOKUP($A367, Quotations!$K$2:K1756, Quotations!$L$2:L1756, "")
</f>
        <v>1430.9119</v>
      </c>
    </row>
    <row r="368">
      <c r="A368" s="8">
        <v>42174.0</v>
      </c>
      <c r="B368" s="9">
        <f t="array" ref="B368">XLOOKUP($A368, Quotations!$A$2:A1756, Quotations!$B$2:B1756, "")
</f>
        <v>126.89</v>
      </c>
      <c r="C368" s="9">
        <f t="array" ref="C368">XLOOKUP($A368, Quotations!$C$2:C1756, Quotations!$D$2:D1756, "")</f>
        <v>24.64</v>
      </c>
      <c r="D368" s="9">
        <f t="array" ref="D368">XLOOKUP($A368, Quotations!$E$2:E1756, Quotations!$F$2:F1756, "")
</f>
        <v>113.12</v>
      </c>
      <c r="E368" s="9">
        <f t="array" ref="E368">XLOOKUP($A368, Quotations!$G$2:G1756, Quotations!$H$2:H1756, "")
</f>
        <v>126.56</v>
      </c>
      <c r="F368" s="9">
        <f t="array" ref="F368">XLOOKUP($A368, Quotations!$I$2:I1756, Quotations!$J$2:J1756, "")
</f>
        <v>135.41</v>
      </c>
      <c r="G368" s="9">
        <f t="array" ref="G368">XLOOKUP($A368, Quotations!$K$2:K1756, Quotations!$L$2:L1756, "")
</f>
        <v>1436.1351</v>
      </c>
    </row>
    <row r="369">
      <c r="A369" s="8">
        <v>42177.0</v>
      </c>
      <c r="B369" s="9">
        <f t="array" ref="B369">XLOOKUP($A369, Quotations!$A$2:A1756, Quotations!$B$2:B1756, "")
</f>
        <v>127.97</v>
      </c>
      <c r="C369" s="9">
        <f t="array" ref="C369">XLOOKUP($A369, Quotations!$C$2:C1756, Quotations!$D$2:D1756, "")</f>
        <v>24.63</v>
      </c>
      <c r="D369" s="9">
        <f t="array" ref="D369">XLOOKUP($A369, Quotations!$E$2:E1756, Quotations!$F$2:F1756, "")
</f>
        <v>113.21</v>
      </c>
      <c r="E369" s="9">
        <f t="array" ref="E369">XLOOKUP($A369, Quotations!$G$2:G1756, Quotations!$H$2:H1756, "")
</f>
        <v>126.5</v>
      </c>
      <c r="F369" s="9">
        <f t="array" ref="F369">XLOOKUP($A369, Quotations!$I$2:I1756, Quotations!$J$2:J1756, "")
</f>
        <v>135.49</v>
      </c>
      <c r="G369" s="9">
        <f t="array" ref="G369">XLOOKUP($A369, Quotations!$K$2:K1756, Quotations!$L$2:L1756, "")
</f>
        <v>1436.5302</v>
      </c>
    </row>
    <row r="370">
      <c r="A370" s="8">
        <v>42179.0</v>
      </c>
      <c r="B370" s="9">
        <f t="array" ref="B370">XLOOKUP($A370, Quotations!$A$2:A1756, Quotations!$B$2:B1756, "")
</f>
        <v>128.24001</v>
      </c>
      <c r="C370" s="9">
        <f t="array" ref="C370">XLOOKUP($A370, Quotations!$C$2:C1756, Quotations!$D$2:D1756, "")</f>
        <v>24.65</v>
      </c>
      <c r="D370" s="9">
        <f t="array" ref="D370">XLOOKUP($A370, Quotations!$E$2:E1756, Quotations!$F$2:F1756, "")
</f>
        <v>113.29</v>
      </c>
      <c r="E370" s="9">
        <f t="array" ref="E370">XLOOKUP($A370, Quotations!$G$2:G1756, Quotations!$H$2:H1756, "")
</f>
        <v>126.63</v>
      </c>
      <c r="F370" s="9">
        <f t="array" ref="F370">XLOOKUP($A370, Quotations!$I$2:I1756, Quotations!$J$2:J1756, "")
</f>
        <v>136.34</v>
      </c>
      <c r="G370" s="9">
        <f t="array" ref="G370">XLOOKUP($A370, Quotations!$K$2:K1756, Quotations!$L$2:L1756, "")
</f>
        <v>1445.936</v>
      </c>
    </row>
    <row r="371">
      <c r="A371" s="8">
        <v>42180.0</v>
      </c>
      <c r="B371" s="9">
        <f t="array" ref="B371">XLOOKUP($A371, Quotations!$A$2:A1756, Quotations!$B$2:B1756, "")
</f>
        <v>128.23</v>
      </c>
      <c r="C371" s="9">
        <f t="array" ref="C371">XLOOKUP($A371, Quotations!$C$2:C1756, Quotations!$D$2:D1756, "")</f>
        <v>24.66</v>
      </c>
      <c r="D371" s="9">
        <f t="array" ref="D371">XLOOKUP($A371, Quotations!$E$2:E1756, Quotations!$F$2:F1756, "")
</f>
        <v>113.27</v>
      </c>
      <c r="E371" s="9">
        <f t="array" ref="E371">XLOOKUP($A371, Quotations!$G$2:G1756, Quotations!$H$2:H1756, "")
</f>
        <v>126.57</v>
      </c>
      <c r="F371" s="9">
        <f t="array" ref="F371">XLOOKUP($A371, Quotations!$I$2:I1756, Quotations!$J$2:J1756, "")
</f>
        <v>136.07</v>
      </c>
      <c r="G371" s="9">
        <f t="array" ref="G371">XLOOKUP($A371, Quotations!$K$2:K1756, Quotations!$L$2:L1756, "")
</f>
        <v>1441.7072</v>
      </c>
    </row>
    <row r="372">
      <c r="A372" s="8">
        <v>42181.0</v>
      </c>
      <c r="B372" s="9">
        <f t="array" ref="B372">XLOOKUP($A372, Quotations!$A$2:A1756, Quotations!$B$2:B1756, "")
</f>
        <v>128.39</v>
      </c>
      <c r="C372" s="9">
        <f t="array" ref="C372">XLOOKUP($A372, Quotations!$C$2:C1756, Quotations!$D$2:D1756, "")</f>
        <v>24.65</v>
      </c>
      <c r="D372" s="9">
        <f t="array" ref="D372">XLOOKUP($A372, Quotations!$E$2:E1756, Quotations!$F$2:F1756, "")
</f>
        <v>113.24</v>
      </c>
      <c r="E372" s="9">
        <f t="array" ref="E372">XLOOKUP($A372, Quotations!$G$2:G1756, Quotations!$H$2:H1756, "")
</f>
        <v>126.56</v>
      </c>
      <c r="F372" s="9">
        <f t="array" ref="F372">XLOOKUP($A372, Quotations!$I$2:I1756, Quotations!$J$2:J1756, "")
</f>
        <v>136</v>
      </c>
      <c r="G372" s="9">
        <f t="array" ref="G372">XLOOKUP($A372, Quotations!$K$2:K1756, Quotations!$L$2:L1756, "")
</f>
        <v>1441.4602</v>
      </c>
    </row>
    <row r="373">
      <c r="A373" s="8">
        <v>42184.0</v>
      </c>
      <c r="B373" s="9">
        <f t="array" ref="B373">XLOOKUP($A373, Quotations!$A$2:A1756, Quotations!$B$2:B1756, "")
</f>
        <v>127</v>
      </c>
      <c r="C373" s="9">
        <f t="array" ref="C373">XLOOKUP($A373, Quotations!$C$2:C1756, Quotations!$D$2:D1756, "")</f>
        <v>24.64</v>
      </c>
      <c r="D373" s="9">
        <f t="array" ref="D373">XLOOKUP($A373, Quotations!$E$2:E1756, Quotations!$F$2:F1756, "")
</f>
        <v>112.99</v>
      </c>
      <c r="E373" s="9">
        <f t="array" ref="E373">XLOOKUP($A373, Quotations!$G$2:G1756, Quotations!$H$2:H1756, "")
</f>
        <v>126.56</v>
      </c>
      <c r="F373" s="9">
        <f t="array" ref="F373">XLOOKUP($A373, Quotations!$I$2:I1756, Quotations!$J$2:J1756, "")
</f>
        <v>136.08</v>
      </c>
      <c r="G373" s="9">
        <f t="array" ref="G373">XLOOKUP($A373, Quotations!$K$2:K1756, Quotations!$L$2:L1756, "")
</f>
        <v>1433.4028</v>
      </c>
    </row>
    <row r="374">
      <c r="A374" s="8">
        <v>42185.0</v>
      </c>
      <c r="B374" s="9">
        <f t="array" ref="B374">XLOOKUP($A374, Quotations!$A$2:A1756, Quotations!$B$2:B1756, "")
</f>
        <v>126.96</v>
      </c>
      <c r="C374" s="9">
        <f t="array" ref="C374">XLOOKUP($A374, Quotations!$C$2:C1756, Quotations!$D$2:D1756, "")</f>
        <v>24.64</v>
      </c>
      <c r="D374" s="9">
        <f t="array" ref="D374">XLOOKUP($A374, Quotations!$E$2:E1756, Quotations!$F$2:F1756, "")
</f>
        <v>113</v>
      </c>
      <c r="E374" s="9">
        <f t="array" ref="E374">XLOOKUP($A374, Quotations!$G$2:G1756, Quotations!$H$2:H1756, "")
</f>
        <v>126.44</v>
      </c>
      <c r="F374" s="9">
        <f t="array" ref="F374">XLOOKUP($A374, Quotations!$I$2:I1756, Quotations!$J$2:J1756, "")
</f>
        <v>135.11</v>
      </c>
      <c r="G374" s="9">
        <f t="array" ref="G374">XLOOKUP($A374, Quotations!$K$2:K1756, Quotations!$L$2:L1756, "")
</f>
        <v>1419.8113</v>
      </c>
    </row>
    <row r="375">
      <c r="A375" s="8">
        <v>42186.0</v>
      </c>
      <c r="B375" s="9">
        <f t="array" ref="B375">XLOOKUP($A375, Quotations!$A$2:A1756, Quotations!$B$2:B1756, "")
</f>
        <v>127.16</v>
      </c>
      <c r="C375" s="9">
        <f t="array" ref="C375">XLOOKUP($A375, Quotations!$C$2:C1756, Quotations!$D$2:D1756, "")</f>
        <v>24.64</v>
      </c>
      <c r="D375" s="9">
        <f t="array" ref="D375">XLOOKUP($A375, Quotations!$E$2:E1756, Quotations!$F$2:F1756, "")
</f>
        <v>113.05</v>
      </c>
      <c r="E375" s="9">
        <f t="array" ref="E375">XLOOKUP($A375, Quotations!$G$2:G1756, Quotations!$H$2:H1756, "")
</f>
        <v>126.49</v>
      </c>
      <c r="F375" s="9">
        <f t="array" ref="F375">XLOOKUP($A375, Quotations!$I$2:I1756, Quotations!$J$2:J1756, "")
</f>
        <v>135.01</v>
      </c>
      <c r="G375" s="9">
        <f t="array" ref="G375">XLOOKUP($A375, Quotations!$K$2:K1756, Quotations!$L$2:L1756, "")
</f>
        <v>1421.0356</v>
      </c>
    </row>
    <row r="376">
      <c r="A376" s="8">
        <v>42187.0</v>
      </c>
      <c r="B376" s="9">
        <f t="array" ref="B376">XLOOKUP($A376, Quotations!$A$2:A1756, Quotations!$B$2:B1756, "")
</f>
        <v>126.99</v>
      </c>
      <c r="C376" s="9">
        <f t="array" ref="C376">XLOOKUP($A376, Quotations!$C$2:C1756, Quotations!$D$2:D1756, "")</f>
        <v>24.64</v>
      </c>
      <c r="D376" s="9">
        <f t="array" ref="D376">XLOOKUP($A376, Quotations!$E$2:E1756, Quotations!$F$2:F1756, "")
</f>
        <v>113.09</v>
      </c>
      <c r="E376" s="9">
        <f t="array" ref="E376">XLOOKUP($A376, Quotations!$G$2:G1756, Quotations!$H$2:H1756, "")
</f>
        <v>126.45</v>
      </c>
      <c r="F376" s="9">
        <f t="array" ref="F376">XLOOKUP($A376, Quotations!$I$2:I1756, Quotations!$J$2:J1756, "")
</f>
        <v>135.33</v>
      </c>
      <c r="G376" s="9">
        <f t="array" ref="G376">XLOOKUP($A376, Quotations!$K$2:K1756, Quotations!$L$2:L1756, "")
</f>
        <v>1422.4692</v>
      </c>
    </row>
    <row r="377">
      <c r="A377" s="8">
        <v>42188.0</v>
      </c>
      <c r="B377" s="9">
        <f t="array" ref="B377">XLOOKUP($A377, Quotations!$A$2:A1756, Quotations!$B$2:B1756, "")
</f>
        <v>126.87</v>
      </c>
      <c r="C377" s="9">
        <f t="array" ref="C377">XLOOKUP($A377, Quotations!$C$2:C1756, Quotations!$D$2:D1756, "")</f>
        <v>24.64</v>
      </c>
      <c r="D377" s="9">
        <f t="array" ref="D377">XLOOKUP($A377, Quotations!$E$2:E1756, Quotations!$F$2:F1756, "")
</f>
        <v>113.11</v>
      </c>
      <c r="E377" s="9">
        <f t="array" ref="E377">XLOOKUP($A377, Quotations!$G$2:G1756, Quotations!$H$2:H1756, "")
</f>
        <v>126.46</v>
      </c>
      <c r="F377" s="9">
        <f t="array" ref="F377">XLOOKUP($A377, Quotations!$I$2:I1756, Quotations!$J$2:J1756, "")
</f>
        <v>135.36</v>
      </c>
      <c r="G377" s="9">
        <f t="array" ref="G377">XLOOKUP($A377, Quotations!$K$2:K1756, Quotations!$L$2:L1756, "")
</f>
        <v>1420.771</v>
      </c>
    </row>
    <row r="378">
      <c r="A378" s="8">
        <v>42191.0</v>
      </c>
      <c r="B378" s="9">
        <f t="array" ref="B378">XLOOKUP($A378, Quotations!$A$2:A1756, Quotations!$B$2:B1756, "")
</f>
        <v>126.13</v>
      </c>
      <c r="C378" s="9">
        <f t="array" ref="C378">XLOOKUP($A378, Quotations!$C$2:C1756, Quotations!$D$2:D1756, "")</f>
        <v>24.64</v>
      </c>
      <c r="D378" s="9">
        <f t="array" ref="D378">XLOOKUP($A378, Quotations!$E$2:E1756, Quotations!$F$2:F1756, "")
</f>
        <v>113.04</v>
      </c>
      <c r="E378" s="9">
        <f t="array" ref="E378">XLOOKUP($A378, Quotations!$G$2:G1756, Quotations!$H$2:H1756, "")
</f>
        <v>126.46</v>
      </c>
      <c r="F378" s="9">
        <f t="array" ref="F378">XLOOKUP($A378, Quotations!$I$2:I1756, Quotations!$J$2:J1756, "")
</f>
        <v>135.35</v>
      </c>
      <c r="G378" s="9">
        <f t="array" ref="G378">XLOOKUP($A378, Quotations!$K$2:K1756, Quotations!$L$2:L1756, "")
</f>
        <v>1417.8846</v>
      </c>
    </row>
    <row r="379">
      <c r="A379" s="8">
        <v>42192.0</v>
      </c>
      <c r="B379" s="9">
        <f t="array" ref="B379">XLOOKUP($A379, Quotations!$A$2:A1756, Quotations!$B$2:B1756, "")
</f>
        <v>125.51</v>
      </c>
      <c r="C379" s="9">
        <f t="array" ref="C379">XLOOKUP($A379, Quotations!$C$2:C1756, Quotations!$D$2:D1756, "")</f>
        <v>24.65</v>
      </c>
      <c r="D379" s="9">
        <f t="array" ref="D379">XLOOKUP($A379, Quotations!$E$2:E1756, Quotations!$F$2:F1756, "")
</f>
        <v>113.1</v>
      </c>
      <c r="E379" s="9">
        <f t="array" ref="E379">XLOOKUP($A379, Quotations!$G$2:G1756, Quotations!$H$2:H1756, "")
</f>
        <v>126.35</v>
      </c>
      <c r="F379" s="9">
        <f t="array" ref="F379">XLOOKUP($A379, Quotations!$I$2:I1756, Quotations!$J$2:J1756, "")
</f>
        <v>135.13</v>
      </c>
      <c r="G379" s="9">
        <f t="array" ref="G379">XLOOKUP($A379, Quotations!$K$2:K1756, Quotations!$L$2:L1756, "")
</f>
        <v>1411.6613</v>
      </c>
    </row>
    <row r="380">
      <c r="A380" s="8">
        <v>42193.0</v>
      </c>
      <c r="B380" s="9">
        <f t="array" ref="B380">XLOOKUP($A380, Quotations!$A$2:A1756, Quotations!$B$2:B1756, "")
</f>
        <v>125.58</v>
      </c>
      <c r="C380" s="9">
        <f t="array" ref="C380">XLOOKUP($A380, Quotations!$C$2:C1756, Quotations!$D$2:D1756, "")</f>
        <v>24.63</v>
      </c>
      <c r="D380" s="9">
        <f t="array" ref="D380">XLOOKUP($A380, Quotations!$E$2:E1756, Quotations!$F$2:F1756, "")
</f>
        <v>112.99</v>
      </c>
      <c r="E380" s="9">
        <f t="array" ref="E380">XLOOKUP($A380, Quotations!$G$2:G1756, Quotations!$H$2:H1756, "")
</f>
        <v>126.24</v>
      </c>
      <c r="F380" s="9">
        <f t="array" ref="F380">XLOOKUP($A380, Quotations!$I$2:I1756, Quotations!$J$2:J1756, "")
</f>
        <v>135.28</v>
      </c>
      <c r="G380" s="9">
        <f t="array" ref="G380">XLOOKUP($A380, Quotations!$K$2:K1756, Quotations!$L$2:L1756, "")
</f>
        <v>1404.457</v>
      </c>
    </row>
    <row r="381">
      <c r="A381" s="8">
        <v>42194.0</v>
      </c>
      <c r="B381" s="9">
        <f t="array" ref="B381">XLOOKUP($A381, Quotations!$A$2:A1756, Quotations!$B$2:B1756, "")
</f>
        <v>126.33</v>
      </c>
      <c r="C381" s="9">
        <f t="array" ref="C381">XLOOKUP($A381, Quotations!$C$2:C1756, Quotations!$D$2:D1756, "")</f>
        <v>24.63</v>
      </c>
      <c r="D381" s="9">
        <f t="array" ref="D381">XLOOKUP($A381, Quotations!$E$2:E1756, Quotations!$F$2:F1756, "")
</f>
        <v>113.02</v>
      </c>
      <c r="E381" s="9">
        <f t="array" ref="E381">XLOOKUP($A381, Quotations!$G$2:G1756, Quotations!$H$2:H1756, "")
</f>
        <v>126.29</v>
      </c>
      <c r="F381" s="9">
        <f t="array" ref="F381">XLOOKUP($A381, Quotations!$I$2:I1756, Quotations!$J$2:J1756, "")
</f>
        <v>134.88</v>
      </c>
      <c r="G381" s="9">
        <f t="array" ref="G381">XLOOKUP($A381, Quotations!$K$2:K1756, Quotations!$L$2:L1756, "")
</f>
        <v>1400.0641</v>
      </c>
    </row>
    <row r="382">
      <c r="A382" s="8">
        <v>42195.0</v>
      </c>
      <c r="B382" s="9">
        <f t="array" ref="B382">XLOOKUP($A382, Quotations!$A$2:A1756, Quotations!$B$2:B1756, "")
</f>
        <v>127.18</v>
      </c>
      <c r="C382" s="9">
        <f t="array" ref="C382">XLOOKUP($A382, Quotations!$C$2:C1756, Quotations!$D$2:D1756, "")</f>
        <v>24.62</v>
      </c>
      <c r="D382" s="9">
        <f t="array" ref="D382">XLOOKUP($A382, Quotations!$E$2:E1756, Quotations!$F$2:F1756, "")
</f>
        <v>113.12</v>
      </c>
      <c r="E382" s="9">
        <f t="array" ref="E382">XLOOKUP($A382, Quotations!$G$2:G1756, Quotations!$H$2:H1756, "")
</f>
        <v>126.35</v>
      </c>
      <c r="F382" s="9">
        <f t="array" ref="F382">XLOOKUP($A382, Quotations!$I$2:I1756, Quotations!$J$2:J1756, "")
</f>
        <v>135.17</v>
      </c>
      <c r="G382" s="9">
        <f t="array" ref="G382">XLOOKUP($A382, Quotations!$K$2:K1756, Quotations!$L$2:L1756, "")
</f>
        <v>1405.264</v>
      </c>
    </row>
    <row r="383">
      <c r="A383" s="8">
        <v>42198.0</v>
      </c>
      <c r="B383" s="9">
        <f t="array" ref="B383">XLOOKUP($A383, Quotations!$A$2:A1756, Quotations!$B$2:B1756, "")
</f>
        <v>127.7</v>
      </c>
      <c r="C383" s="9">
        <f t="array" ref="C383">XLOOKUP($A383, Quotations!$C$2:C1756, Quotations!$D$2:D1756, "")</f>
        <v>24.64</v>
      </c>
      <c r="D383" s="9">
        <f t="array" ref="D383">XLOOKUP($A383, Quotations!$E$2:E1756, Quotations!$F$2:F1756, "")
</f>
        <v>113.35</v>
      </c>
      <c r="E383" s="9">
        <f t="array" ref="E383">XLOOKUP($A383, Quotations!$G$2:G1756, Quotations!$H$2:H1756, "")
</f>
        <v>126.3</v>
      </c>
      <c r="F383" s="9">
        <f t="array" ref="F383">XLOOKUP($A383, Quotations!$I$2:I1756, Quotations!$J$2:J1756, "")
</f>
        <v>135.14</v>
      </c>
      <c r="G383" s="9">
        <f t="array" ref="G383">XLOOKUP($A383, Quotations!$K$2:K1756, Quotations!$L$2:L1756, "")
</f>
        <v>1415.9133</v>
      </c>
    </row>
    <row r="384">
      <c r="A384" s="8">
        <v>42199.0</v>
      </c>
      <c r="B384" s="9" t="str">
        <f t="array" ref="B384">XLOOKUP($A384, Quotations!$A$2:A1756, Quotations!$B$2:B1756, "")
</f>
        <v/>
      </c>
      <c r="C384" s="9">
        <f t="array" ref="C384">XLOOKUP($A384, Quotations!$C$2:C1756, Quotations!$D$2:D1756, "")</f>
        <v>24.65</v>
      </c>
      <c r="D384" s="9">
        <f t="array" ref="D384">XLOOKUP($A384, Quotations!$E$2:E1756, Quotations!$F$2:F1756, "")
</f>
        <v>113.37</v>
      </c>
      <c r="E384" s="9">
        <f t="array" ref="E384">XLOOKUP($A384, Quotations!$G$2:G1756, Quotations!$H$2:H1756, "")
</f>
        <v>126.29</v>
      </c>
      <c r="F384" s="9">
        <f t="array" ref="F384">XLOOKUP($A384, Quotations!$I$2:I1756, Quotations!$J$2:J1756, "")
</f>
        <v>135.73</v>
      </c>
      <c r="G384" s="9">
        <f t="array" ref="G384">XLOOKUP($A384, Quotations!$K$2:K1756, Quotations!$L$2:L1756, "")
</f>
        <v>1422.4009</v>
      </c>
    </row>
    <row r="385">
      <c r="A385" s="8">
        <v>42200.0</v>
      </c>
      <c r="B385" s="9">
        <f t="array" ref="B385">XLOOKUP($A385, Quotations!$A$2:A1756, Quotations!$B$2:B1756, "")
</f>
        <v>127.91</v>
      </c>
      <c r="C385" s="9">
        <f t="array" ref="C385">XLOOKUP($A385, Quotations!$C$2:C1756, Quotations!$D$2:D1756, "")</f>
        <v>24.65</v>
      </c>
      <c r="D385" s="9">
        <f t="array" ref="D385">XLOOKUP($A385, Quotations!$E$2:E1756, Quotations!$F$2:F1756, "")
</f>
        <v>113.38</v>
      </c>
      <c r="E385" s="9">
        <f t="array" ref="E385">XLOOKUP($A385, Quotations!$G$2:G1756, Quotations!$H$2:H1756, "")
</f>
        <v>126.3</v>
      </c>
      <c r="F385" s="9">
        <f t="array" ref="F385">XLOOKUP($A385, Quotations!$I$2:I1756, Quotations!$J$2:J1756, "")
</f>
        <v>135.92</v>
      </c>
      <c r="G385" s="9">
        <f t="array" ref="G385">XLOOKUP($A385, Quotations!$K$2:K1756, Quotations!$L$2:L1756, "")
</f>
        <v>1425.7249</v>
      </c>
    </row>
    <row r="386">
      <c r="A386" s="8">
        <v>42201.0</v>
      </c>
      <c r="B386" s="9">
        <f t="array" ref="B386">XLOOKUP($A386, Quotations!$A$2:A1756, Quotations!$B$2:B1756, "")
</f>
        <v>128.41</v>
      </c>
      <c r="C386" s="9">
        <f t="array" ref="C386">XLOOKUP($A386, Quotations!$C$2:C1756, Quotations!$D$2:D1756, "")</f>
        <v>24.66</v>
      </c>
      <c r="D386" s="9">
        <f t="array" ref="D386">XLOOKUP($A386, Quotations!$E$2:E1756, Quotations!$F$2:F1756, "")
</f>
        <v>113.39</v>
      </c>
      <c r="E386" s="9">
        <f t="array" ref="E386">XLOOKUP($A386, Quotations!$G$2:G1756, Quotations!$H$2:H1756, "")
</f>
        <v>126.34</v>
      </c>
      <c r="F386" s="9">
        <f t="array" ref="F386">XLOOKUP($A386, Quotations!$I$2:I1756, Quotations!$J$2:J1756, "")
</f>
        <v>136.08</v>
      </c>
      <c r="G386" s="9">
        <f t="array" ref="G386">XLOOKUP($A386, Quotations!$K$2:K1756, Quotations!$L$2:L1756, "")
</f>
        <v>1425.5521</v>
      </c>
    </row>
    <row r="387">
      <c r="A387" s="8">
        <v>42202.0</v>
      </c>
      <c r="B387" s="9">
        <f t="array" ref="B387">XLOOKUP($A387, Quotations!$A$2:A1756, Quotations!$B$2:B1756, "")
</f>
        <v>128.55</v>
      </c>
      <c r="C387" s="9">
        <f t="array" ref="C387">XLOOKUP($A387, Quotations!$C$2:C1756, Quotations!$D$2:D1756, "")</f>
        <v>24.66</v>
      </c>
      <c r="D387" s="9">
        <f t="array" ref="D387">XLOOKUP($A387, Quotations!$E$2:E1756, Quotations!$F$2:F1756, "")
</f>
        <v>113.4</v>
      </c>
      <c r="E387" s="9">
        <f t="array" ref="E387">XLOOKUP($A387, Quotations!$G$2:G1756, Quotations!$H$2:H1756, "")
</f>
        <v>126.76</v>
      </c>
      <c r="F387" s="9">
        <f t="array" ref="F387">XLOOKUP($A387, Quotations!$I$2:I1756, Quotations!$J$2:J1756, "")
</f>
        <v>136.43</v>
      </c>
      <c r="G387" s="9">
        <f t="array" ref="G387">XLOOKUP($A387, Quotations!$K$2:K1756, Quotations!$L$2:L1756, "")
</f>
        <v>1427.6106</v>
      </c>
    </row>
    <row r="388">
      <c r="A388" s="8">
        <v>42205.0</v>
      </c>
      <c r="B388" s="9">
        <f t="array" ref="B388">XLOOKUP($A388, Quotations!$A$2:A1756, Quotations!$B$2:B1756, "")
</f>
        <v>128.66</v>
      </c>
      <c r="C388" s="9">
        <f t="array" ref="C388">XLOOKUP($A388, Quotations!$C$2:C1756, Quotations!$D$2:D1756, "")</f>
        <v>24.66</v>
      </c>
      <c r="D388" s="9">
        <f t="array" ref="D388">XLOOKUP($A388, Quotations!$E$2:E1756, Quotations!$F$2:F1756, "")
</f>
        <v>113.43</v>
      </c>
      <c r="E388" s="9">
        <f t="array" ref="E388">XLOOKUP($A388, Quotations!$G$2:G1756, Quotations!$H$2:H1756, "")
</f>
        <v>126.64</v>
      </c>
      <c r="F388" s="9">
        <f t="array" ref="F388">XLOOKUP($A388, Quotations!$I$2:I1756, Quotations!$J$2:J1756, "")
</f>
        <v>136.61</v>
      </c>
      <c r="G388" s="9">
        <f t="array" ref="G388">XLOOKUP($A388, Quotations!$K$2:K1756, Quotations!$L$2:L1756, "")
</f>
        <v>1429.3012</v>
      </c>
    </row>
    <row r="389">
      <c r="A389" s="8">
        <v>42206.0</v>
      </c>
      <c r="B389" s="9">
        <f t="array" ref="B389">XLOOKUP($A389, Quotations!$A$2:A1756, Quotations!$B$2:B1756, "")
</f>
        <v>128.34</v>
      </c>
      <c r="C389" s="9">
        <f t="array" ref="C389">XLOOKUP($A389, Quotations!$C$2:C1756, Quotations!$D$2:D1756, "")</f>
        <v>24.66</v>
      </c>
      <c r="D389" s="9">
        <f t="array" ref="D389">XLOOKUP($A389, Quotations!$E$2:E1756, Quotations!$F$2:F1756, "")
</f>
        <v>113.44</v>
      </c>
      <c r="E389" s="9">
        <f t="array" ref="E389">XLOOKUP($A389, Quotations!$G$2:G1756, Quotations!$H$2:H1756, "")
</f>
        <v>126.88</v>
      </c>
      <c r="F389" s="9">
        <f t="array" ref="F389">XLOOKUP($A389, Quotations!$I$2:I1756, Quotations!$J$2:J1756, "")
</f>
        <v>136.47</v>
      </c>
      <c r="G389" s="9">
        <f t="array" ref="G389">XLOOKUP($A389, Quotations!$K$2:K1756, Quotations!$L$2:L1756, "")
</f>
        <v>1432.4406</v>
      </c>
    </row>
    <row r="390">
      <c r="A390" s="8">
        <v>42207.0</v>
      </c>
      <c r="B390" s="9">
        <f t="array" ref="B390">XLOOKUP($A390, Quotations!$A$2:A1756, Quotations!$B$2:B1756, "")
</f>
        <v>128.09</v>
      </c>
      <c r="C390" s="9">
        <f t="array" ref="C390">XLOOKUP($A390, Quotations!$C$2:C1756, Quotations!$D$2:D1756, "")</f>
        <v>24.66</v>
      </c>
      <c r="D390" s="9">
        <f t="array" ref="D390">XLOOKUP($A390, Quotations!$E$2:E1756, Quotations!$F$2:F1756, "")
</f>
        <v>113.43</v>
      </c>
      <c r="E390" s="9">
        <f t="array" ref="E390">XLOOKUP($A390, Quotations!$G$2:G1756, Quotations!$H$2:H1756, "")
</f>
        <v>126.09</v>
      </c>
      <c r="F390" s="9">
        <f t="array" ref="F390">XLOOKUP($A390, Quotations!$I$2:I1756, Quotations!$J$2:J1756, "")
</f>
        <v>136.26</v>
      </c>
      <c r="G390" s="9">
        <f t="array" ref="G390">XLOOKUP($A390, Quotations!$K$2:K1756, Quotations!$L$2:L1756, "")
</f>
        <v>1427.4678</v>
      </c>
    </row>
    <row r="391">
      <c r="A391" s="8">
        <v>42208.0</v>
      </c>
      <c r="B391" s="9">
        <f t="array" ref="B391">XLOOKUP($A391, Quotations!$A$2:A1756, Quotations!$B$2:B1756, "")
</f>
        <v>127.99</v>
      </c>
      <c r="C391" s="9">
        <f t="array" ref="C391">XLOOKUP($A391, Quotations!$C$2:C1756, Quotations!$D$2:D1756, "")</f>
        <v>24.64</v>
      </c>
      <c r="D391" s="9">
        <f t="array" ref="D391">XLOOKUP($A391, Quotations!$E$2:E1756, Quotations!$F$2:F1756, "")
</f>
        <v>113.38</v>
      </c>
      <c r="E391" s="9">
        <f t="array" ref="E391">XLOOKUP($A391, Quotations!$G$2:G1756, Quotations!$H$2:H1756, "")
</f>
        <v>125.75</v>
      </c>
      <c r="F391" s="9">
        <f t="array" ref="F391">XLOOKUP($A391, Quotations!$I$2:I1756, Quotations!$J$2:J1756, "")
</f>
        <v>136.15</v>
      </c>
      <c r="G391" s="9">
        <f t="array" ref="G391">XLOOKUP($A391, Quotations!$K$2:K1756, Quotations!$L$2:L1756, "")
</f>
        <v>1424.3168</v>
      </c>
    </row>
    <row r="392">
      <c r="A392" s="8">
        <v>42209.0</v>
      </c>
      <c r="B392" s="9">
        <f t="array" ref="B392">XLOOKUP($A392, Quotations!$A$2:A1756, Quotations!$B$2:B1756, "")
</f>
        <v>127.66</v>
      </c>
      <c r="C392" s="9">
        <f t="array" ref="C392">XLOOKUP($A392, Quotations!$C$2:C1756, Quotations!$D$2:D1756, "")</f>
        <v>24.64</v>
      </c>
      <c r="D392" s="9">
        <f t="array" ref="D392">XLOOKUP($A392, Quotations!$E$2:E1756, Quotations!$F$2:F1756, "")
</f>
        <v>113.36</v>
      </c>
      <c r="E392" s="9">
        <f t="array" ref="E392">XLOOKUP($A392, Quotations!$G$2:G1756, Quotations!$H$2:H1756, "")
</f>
        <v>125.66</v>
      </c>
      <c r="F392" s="9">
        <f t="array" ref="F392">XLOOKUP($A392, Quotations!$I$2:I1756, Quotations!$J$2:J1756, "")
</f>
        <v>135.82</v>
      </c>
      <c r="G392" s="9">
        <f t="array" ref="G392">XLOOKUP($A392, Quotations!$K$2:K1756, Quotations!$L$2:L1756, "")
</f>
        <v>1423.0209</v>
      </c>
    </row>
    <row r="393">
      <c r="A393" s="8">
        <v>42212.0</v>
      </c>
      <c r="B393" s="9">
        <f t="array" ref="B393">XLOOKUP($A393, Quotations!$A$2:A1756, Quotations!$B$2:B1756, "")
</f>
        <v>126.94</v>
      </c>
      <c r="C393" s="9">
        <f t="array" ref="C393">XLOOKUP($A393, Quotations!$C$2:C1756, Quotations!$D$2:D1756, "")</f>
        <v>24.62</v>
      </c>
      <c r="D393" s="9">
        <f t="array" ref="D393">XLOOKUP($A393, Quotations!$E$2:E1756, Quotations!$F$2:F1756, "")
</f>
        <v>113.35</v>
      </c>
      <c r="E393" s="9">
        <f t="array" ref="E393">XLOOKUP($A393, Quotations!$G$2:G1756, Quotations!$H$2:H1756, "")
</f>
        <v>125.05</v>
      </c>
      <c r="F393" s="9">
        <f t="array" ref="F393">XLOOKUP($A393, Quotations!$I$2:I1756, Quotations!$J$2:J1756, "")
</f>
        <v>135.4</v>
      </c>
      <c r="G393" s="9">
        <f t="array" ref="G393">XLOOKUP($A393, Quotations!$K$2:K1756, Quotations!$L$2:L1756, "")
</f>
        <v>1415.6035</v>
      </c>
    </row>
    <row r="394">
      <c r="A394" s="8">
        <v>42213.0</v>
      </c>
      <c r="B394" s="9">
        <f t="array" ref="B394">XLOOKUP($A394, Quotations!$A$2:A1756, Quotations!$B$2:B1756, "")
</f>
        <v>127.13</v>
      </c>
      <c r="C394" s="9">
        <f t="array" ref="C394">XLOOKUP($A394, Quotations!$C$2:C1756, Quotations!$D$2:D1756, "")</f>
        <v>24.63</v>
      </c>
      <c r="D394" s="9">
        <f t="array" ref="D394">XLOOKUP($A394, Quotations!$E$2:E1756, Quotations!$F$2:F1756, "")
</f>
        <v>113.34</v>
      </c>
      <c r="E394" s="9">
        <f t="array" ref="E394">XLOOKUP($A394, Quotations!$G$2:G1756, Quotations!$H$2:H1756, "")
</f>
        <v>123.84</v>
      </c>
      <c r="F394" s="9">
        <f t="array" ref="F394">XLOOKUP($A394, Quotations!$I$2:I1756, Quotations!$J$2:J1756, "")
</f>
        <v>134.62</v>
      </c>
      <c r="G394" s="9">
        <f t="array" ref="G394">XLOOKUP($A394, Quotations!$K$2:K1756, Quotations!$L$2:L1756, "")
</f>
        <v>1407.5565</v>
      </c>
    </row>
    <row r="395">
      <c r="A395" s="8">
        <v>42214.0</v>
      </c>
      <c r="B395" s="9">
        <f t="array" ref="B395">XLOOKUP($A395, Quotations!$A$2:A1756, Quotations!$B$2:B1756, "")
</f>
        <v>127.37</v>
      </c>
      <c r="C395" s="9">
        <f t="array" ref="C395">XLOOKUP($A395, Quotations!$C$2:C1756, Quotations!$D$2:D1756, "")</f>
        <v>24.63</v>
      </c>
      <c r="D395" s="9">
        <f t="array" ref="D395">XLOOKUP($A395, Quotations!$E$2:E1756, Quotations!$F$2:F1756, "")
</f>
        <v>113.35</v>
      </c>
      <c r="E395" s="9">
        <f t="array" ref="E395">XLOOKUP($A395, Quotations!$G$2:G1756, Quotations!$H$2:H1756, "")
</f>
        <v>124.06</v>
      </c>
      <c r="F395" s="9">
        <f t="array" ref="F395">XLOOKUP($A395, Quotations!$I$2:I1756, Quotations!$J$2:J1756, "")
</f>
        <v>135.13</v>
      </c>
      <c r="G395" s="9">
        <f t="array" ref="G395">XLOOKUP($A395, Quotations!$K$2:K1756, Quotations!$L$2:L1756, "")
</f>
        <v>1413.339</v>
      </c>
    </row>
    <row r="396">
      <c r="A396" s="8">
        <v>42215.0</v>
      </c>
      <c r="B396" s="9">
        <f t="array" ref="B396">XLOOKUP($A396, Quotations!$A$2:A1756, Quotations!$B$2:B1756, "")
</f>
        <v>127.46</v>
      </c>
      <c r="C396" s="9">
        <f t="array" ref="C396">XLOOKUP($A396, Quotations!$C$2:C1756, Quotations!$D$2:D1756, "")</f>
        <v>24.64</v>
      </c>
      <c r="D396" s="9">
        <f t="array" ref="D396">XLOOKUP($A396, Quotations!$E$2:E1756, Quotations!$F$2:F1756, "")
</f>
        <v>113.35</v>
      </c>
      <c r="E396" s="9">
        <f t="array" ref="E396">XLOOKUP($A396, Quotations!$G$2:G1756, Quotations!$H$2:H1756, "")
</f>
        <v>124.06</v>
      </c>
      <c r="F396" s="9">
        <f t="array" ref="F396">XLOOKUP($A396, Quotations!$I$2:I1756, Quotations!$J$2:J1756, "")
</f>
        <v>135.23</v>
      </c>
      <c r="G396" s="9">
        <f t="array" ref="G396">XLOOKUP($A396, Quotations!$K$2:K1756, Quotations!$L$2:L1756, "")
</f>
        <v>1417.421</v>
      </c>
    </row>
    <row r="397">
      <c r="A397" s="8">
        <v>42216.0</v>
      </c>
      <c r="B397" s="9">
        <f t="array" ref="B397">XLOOKUP($A397, Quotations!$A$2:A1756, Quotations!$B$2:B1756, "")
</f>
        <v>127.48</v>
      </c>
      <c r="C397" s="9">
        <f t="array" ref="C397">XLOOKUP($A397, Quotations!$C$2:C1756, Quotations!$D$2:D1756, "")</f>
        <v>24.63</v>
      </c>
      <c r="D397" s="9">
        <f t="array" ref="D397">XLOOKUP($A397, Quotations!$E$2:E1756, Quotations!$F$2:F1756, "")
</f>
        <v>113.34316</v>
      </c>
      <c r="E397" s="9">
        <f t="array" ref="E397">XLOOKUP($A397, Quotations!$G$2:G1756, Quotations!$H$2:H1756, "")
</f>
        <v>124.09</v>
      </c>
      <c r="F397" s="9">
        <f t="array" ref="F397">XLOOKUP($A397, Quotations!$I$2:I1756, Quotations!$J$2:J1756, "")
</f>
        <v>135.33</v>
      </c>
      <c r="G397" s="9">
        <f t="array" ref="G397">XLOOKUP($A397, Quotations!$K$2:K1756, Quotations!$L$2:L1756, "")
</f>
        <v>1418.127</v>
      </c>
    </row>
    <row r="398">
      <c r="A398" s="8">
        <v>42219.0</v>
      </c>
      <c r="B398" s="9">
        <f t="array" ref="B398">XLOOKUP($A398, Quotations!$A$2:A1756, Quotations!$B$2:B1756, "")
</f>
        <v>127.65</v>
      </c>
      <c r="C398" s="9">
        <f t="array" ref="C398">XLOOKUP($A398, Quotations!$C$2:C1756, Quotations!$D$2:D1756, "")</f>
        <v>24.64</v>
      </c>
      <c r="D398" s="9">
        <f t="array" ref="D398">XLOOKUP($A398, Quotations!$E$2:E1756, Quotations!$F$2:F1756, "")
</f>
        <v>113.25</v>
      </c>
      <c r="E398" s="9">
        <f t="array" ref="E398">XLOOKUP($A398, Quotations!$G$2:G1756, Quotations!$H$2:H1756, "")
</f>
        <v>124.18</v>
      </c>
      <c r="F398" s="9">
        <f t="array" ref="F398">XLOOKUP($A398, Quotations!$I$2:I1756, Quotations!$J$2:J1756, "")
</f>
        <v>135.33</v>
      </c>
      <c r="G398" s="9">
        <f t="array" ref="G398">XLOOKUP($A398, Quotations!$K$2:K1756, Quotations!$L$2:L1756, "")
</f>
        <v>1415.7982</v>
      </c>
    </row>
    <row r="399">
      <c r="A399" s="8">
        <v>42220.0</v>
      </c>
      <c r="B399" s="9">
        <f t="array" ref="B399">XLOOKUP($A399, Quotations!$A$2:A1756, Quotations!$B$2:B1756, "")
</f>
        <v>127.47</v>
      </c>
      <c r="C399" s="9">
        <f t="array" ref="C399">XLOOKUP($A399, Quotations!$C$2:C1756, Quotations!$D$2:D1756, "")</f>
        <v>24.64</v>
      </c>
      <c r="D399" s="9">
        <f t="array" ref="D399">XLOOKUP($A399, Quotations!$E$2:E1756, Quotations!$F$2:F1756, "")
</f>
        <v>113.08</v>
      </c>
      <c r="E399" s="9">
        <f t="array" ref="E399">XLOOKUP($A399, Quotations!$G$2:G1756, Quotations!$H$2:H1756, "")
</f>
        <v>124.1</v>
      </c>
      <c r="F399" s="9">
        <f t="array" ref="F399">XLOOKUP($A399, Quotations!$I$2:I1756, Quotations!$J$2:J1756, "")
</f>
        <v>135.63</v>
      </c>
      <c r="G399" s="9">
        <f t="array" ref="G399">XLOOKUP($A399, Quotations!$K$2:K1756, Quotations!$L$2:L1756, "")
</f>
        <v>1415.3339</v>
      </c>
    </row>
    <row r="400">
      <c r="A400" s="8">
        <v>42221.0</v>
      </c>
      <c r="B400" s="9">
        <f t="array" ref="B400">XLOOKUP($A400, Quotations!$A$2:A1756, Quotations!$B$2:B1756, "")
</f>
        <v>127.9</v>
      </c>
      <c r="C400" s="9">
        <f t="array" ref="C400">XLOOKUP($A400, Quotations!$C$2:C1756, Quotations!$D$2:D1756, "")</f>
        <v>24.65</v>
      </c>
      <c r="D400" s="9">
        <f t="array" ref="D400">XLOOKUP($A400, Quotations!$E$2:E1756, Quotations!$F$2:F1756, "")
</f>
        <v>113.07</v>
      </c>
      <c r="E400" s="9">
        <f t="array" ref="E400">XLOOKUP($A400, Quotations!$G$2:G1756, Quotations!$H$2:H1756, "")
</f>
        <v>124.1</v>
      </c>
      <c r="F400" s="9">
        <f t="array" ref="F400">XLOOKUP($A400, Quotations!$I$2:I1756, Quotations!$J$2:J1756, "")
</f>
        <v>135.49</v>
      </c>
      <c r="G400" s="9">
        <f t="array" ref="G400">XLOOKUP($A400, Quotations!$K$2:K1756, Quotations!$L$2:L1756, "")
</f>
        <v>1417.3313</v>
      </c>
    </row>
    <row r="401">
      <c r="A401" s="8">
        <v>42222.0</v>
      </c>
      <c r="B401" s="9">
        <f t="array" ref="B401">XLOOKUP($A401, Quotations!$A$2:A1756, Quotations!$B$2:B1756, "")
</f>
        <v>127.84</v>
      </c>
      <c r="C401" s="9">
        <f t="array" ref="C401">XLOOKUP($A401, Quotations!$C$2:C1756, Quotations!$D$2:D1756, "")</f>
        <v>24.64</v>
      </c>
      <c r="D401" s="9">
        <f t="array" ref="D401">XLOOKUP($A401, Quotations!$E$2:E1756, Quotations!$F$2:F1756, "")
</f>
        <v>112.99</v>
      </c>
      <c r="E401" s="9">
        <f t="array" ref="E401">XLOOKUP($A401, Quotations!$G$2:G1756, Quotations!$H$2:H1756, "")
</f>
        <v>123.9</v>
      </c>
      <c r="F401" s="9">
        <f t="array" ref="F401">XLOOKUP($A401, Quotations!$I$2:I1756, Quotations!$J$2:J1756, "")
</f>
        <v>135.8</v>
      </c>
      <c r="G401" s="9">
        <f t="array" ref="G401">XLOOKUP($A401, Quotations!$K$2:K1756, Quotations!$L$2:L1756, "")
</f>
        <v>1422.6758</v>
      </c>
    </row>
    <row r="402">
      <c r="A402" s="8">
        <v>42223.0</v>
      </c>
      <c r="B402" s="9">
        <f t="array" ref="B402">XLOOKUP($A402, Quotations!$A$2:A1756, Quotations!$B$2:B1756, "")
</f>
        <v>127.66</v>
      </c>
      <c r="C402" s="9">
        <f t="array" ref="C402">XLOOKUP($A402, Quotations!$C$2:C1756, Quotations!$D$2:D1756, "")</f>
        <v>24.64</v>
      </c>
      <c r="D402" s="9">
        <f t="array" ref="D402">XLOOKUP($A402, Quotations!$E$2:E1756, Quotations!$F$2:F1756, "")
</f>
        <v>112.94</v>
      </c>
      <c r="E402" s="9">
        <f t="array" ref="E402">XLOOKUP($A402, Quotations!$G$2:G1756, Quotations!$H$2:H1756, "")
</f>
        <v>123.94</v>
      </c>
      <c r="F402" s="9">
        <f t="array" ref="F402">XLOOKUP($A402, Quotations!$I$2:I1756, Quotations!$J$2:J1756, "")
</f>
        <v>135.13</v>
      </c>
      <c r="G402" s="9">
        <f t="array" ref="G402">XLOOKUP($A402, Quotations!$K$2:K1756, Quotations!$L$2:L1756, "")
</f>
        <v>1417.7954</v>
      </c>
    </row>
    <row r="403">
      <c r="A403" s="8">
        <v>42226.0</v>
      </c>
      <c r="B403" s="9">
        <f t="array" ref="B403">XLOOKUP($A403, Quotations!$A$2:A1756, Quotations!$B$2:B1756, "")
</f>
        <v>127.94</v>
      </c>
      <c r="C403" s="9">
        <f t="array" ref="C403">XLOOKUP($A403, Quotations!$C$2:C1756, Quotations!$D$2:D1756, "")</f>
        <v>24.64</v>
      </c>
      <c r="D403" s="9">
        <f t="array" ref="D403">XLOOKUP($A403, Quotations!$E$2:E1756, Quotations!$F$2:F1756, "")
</f>
        <v>112.94</v>
      </c>
      <c r="E403" s="9">
        <f t="array" ref="E403">XLOOKUP($A403, Quotations!$G$2:G1756, Quotations!$H$2:H1756, "")
</f>
        <v>124.02</v>
      </c>
      <c r="F403" s="9">
        <f t="array" ref="F403">XLOOKUP($A403, Quotations!$I$2:I1756, Quotations!$J$2:J1756, "")
</f>
        <v>134.9</v>
      </c>
      <c r="G403" s="9">
        <f t="array" ref="G403">XLOOKUP($A403, Quotations!$K$2:K1756, Quotations!$L$2:L1756, "")
</f>
        <v>1418.324</v>
      </c>
    </row>
    <row r="404">
      <c r="A404" s="8">
        <v>42227.0</v>
      </c>
      <c r="B404" s="9">
        <f t="array" ref="B404">XLOOKUP($A404, Quotations!$A$2:A1756, Quotations!$B$2:B1756, "")
</f>
        <v>127.45</v>
      </c>
      <c r="C404" s="9">
        <f t="array" ref="C404">XLOOKUP($A404, Quotations!$C$2:C1756, Quotations!$D$2:D1756, "")</f>
        <v>24.62</v>
      </c>
      <c r="D404" s="9">
        <f t="array" ref="D404">XLOOKUP($A404, Quotations!$E$2:E1756, Quotations!$F$2:F1756, "")
</f>
        <v>112.89</v>
      </c>
      <c r="E404" s="9">
        <f t="array" ref="E404">XLOOKUP($A404, Quotations!$G$2:G1756, Quotations!$H$2:H1756, "")
</f>
        <v>123.99</v>
      </c>
      <c r="F404" s="9">
        <f t="array" ref="F404">XLOOKUP($A404, Quotations!$I$2:I1756, Quotations!$J$2:J1756, "")
</f>
        <v>135.08</v>
      </c>
      <c r="G404" s="9">
        <f t="array" ref="G404">XLOOKUP($A404, Quotations!$K$2:K1756, Quotations!$L$2:L1756, "")
</f>
        <v>1423.2842</v>
      </c>
    </row>
    <row r="405">
      <c r="A405" s="8">
        <v>42228.0</v>
      </c>
      <c r="B405" s="9">
        <f t="array" ref="B405">XLOOKUP($A405, Quotations!$A$2:A1756, Quotations!$B$2:B1756, "")
</f>
        <v>126.55</v>
      </c>
      <c r="C405" s="9">
        <f t="array" ref="C405">XLOOKUP($A405, Quotations!$C$2:C1756, Quotations!$D$2:D1756, "")</f>
        <v>24.61</v>
      </c>
      <c r="D405" s="9">
        <f t="array" ref="D405">XLOOKUP($A405, Quotations!$E$2:E1756, Quotations!$F$2:F1756, "")
</f>
        <v>112.8</v>
      </c>
      <c r="E405" s="9">
        <f t="array" ref="E405">XLOOKUP($A405, Quotations!$G$2:G1756, Quotations!$H$2:H1756, "")
</f>
        <v>124</v>
      </c>
      <c r="F405" s="9">
        <f t="array" ref="F405">XLOOKUP($A405, Quotations!$I$2:I1756, Quotations!$J$2:J1756, "")
</f>
        <v>134.65</v>
      </c>
      <c r="G405" s="9">
        <f t="array" ref="G405">XLOOKUP($A405, Quotations!$K$2:K1756, Quotations!$L$2:L1756, "")
</f>
        <v>1415.2915</v>
      </c>
    </row>
    <row r="406">
      <c r="A406" s="8">
        <v>42229.0</v>
      </c>
      <c r="B406" s="9">
        <f t="array" ref="B406">XLOOKUP($A406, Quotations!$A$2:A1756, Quotations!$B$2:B1756, "")
</f>
        <v>126.72</v>
      </c>
      <c r="C406" s="9">
        <f t="array" ref="C406">XLOOKUP($A406, Quotations!$C$2:C1756, Quotations!$D$2:D1756, "")</f>
        <v>24.62</v>
      </c>
      <c r="D406" s="9">
        <f t="array" ref="D406">XLOOKUP($A406, Quotations!$E$2:E1756, Quotations!$F$2:F1756, "")
</f>
        <v>112.87</v>
      </c>
      <c r="E406" s="9">
        <f t="array" ref="E406">XLOOKUP($A406, Quotations!$G$2:G1756, Quotations!$H$2:H1756, "")
</f>
        <v>123.89</v>
      </c>
      <c r="F406" s="9">
        <f t="array" ref="F406">XLOOKUP($A406, Quotations!$I$2:I1756, Quotations!$J$2:J1756, "")
</f>
        <v>133.96</v>
      </c>
      <c r="G406" s="9">
        <f t="array" ref="G406">XLOOKUP($A406, Quotations!$K$2:K1756, Quotations!$L$2:L1756, "")
</f>
        <v>1409.6956</v>
      </c>
    </row>
    <row r="407">
      <c r="A407" s="8">
        <v>42230.0</v>
      </c>
      <c r="B407" s="9">
        <f t="array" ref="B407">XLOOKUP($A407, Quotations!$A$2:A1756, Quotations!$B$2:B1756, "")
</f>
        <v>126.72</v>
      </c>
      <c r="C407" s="9">
        <f t="array" ref="C407">XLOOKUP($A407, Quotations!$C$2:C1756, Quotations!$D$2:D1756, "")</f>
        <v>24.62</v>
      </c>
      <c r="D407" s="9">
        <f t="array" ref="D407">XLOOKUP($A407, Quotations!$E$2:E1756, Quotations!$F$2:F1756, "")
</f>
        <v>112.9</v>
      </c>
      <c r="E407" s="9">
        <f t="array" ref="E407">XLOOKUP($A407, Quotations!$G$2:G1756, Quotations!$H$2:H1756, "")
</f>
        <v>123.9</v>
      </c>
      <c r="F407" s="9">
        <f t="array" ref="F407">XLOOKUP($A407, Quotations!$I$2:I1756, Quotations!$J$2:J1756, "")
</f>
        <v>133.71</v>
      </c>
      <c r="G407" s="9">
        <f t="array" ref="G407">XLOOKUP($A407, Quotations!$K$2:K1756, Quotations!$L$2:L1756, "")
</f>
        <v>1411.5336</v>
      </c>
    </row>
    <row r="408">
      <c r="A408" s="8">
        <v>42233.0</v>
      </c>
      <c r="B408" s="9">
        <f t="array" ref="B408">XLOOKUP($A408, Quotations!$A$2:A1756, Quotations!$B$2:B1756, "")
</f>
        <v>126.77</v>
      </c>
      <c r="C408" s="9">
        <f t="array" ref="C408">XLOOKUP($A408, Quotations!$C$2:C1756, Quotations!$D$2:D1756, "")</f>
        <v>24.62</v>
      </c>
      <c r="D408" s="9">
        <f t="array" ref="D408">XLOOKUP($A408, Quotations!$E$2:E1756, Quotations!$F$2:F1756, "")
</f>
        <v>112.94</v>
      </c>
      <c r="E408" s="9">
        <f t="array" ref="E408">XLOOKUP($A408, Quotations!$G$2:G1756, Quotations!$H$2:H1756, "")
</f>
        <v>123.85</v>
      </c>
      <c r="F408" s="9">
        <f t="array" ref="F408">XLOOKUP($A408, Quotations!$I$2:I1756, Quotations!$J$2:J1756, "")
</f>
        <v>133.78</v>
      </c>
      <c r="G408" s="9">
        <f t="array" ref="G408">XLOOKUP($A408, Quotations!$K$2:K1756, Quotations!$L$2:L1756, "")
</f>
        <v>1413.1023</v>
      </c>
    </row>
    <row r="409">
      <c r="A409" s="8">
        <v>42234.0</v>
      </c>
      <c r="B409" s="9">
        <f t="array" ref="B409">XLOOKUP($A409, Quotations!$A$2:A1756, Quotations!$B$2:B1756, "")
</f>
        <v>126.68</v>
      </c>
      <c r="C409" s="9">
        <f t="array" ref="C409">XLOOKUP($A409, Quotations!$C$2:C1756, Quotations!$D$2:D1756, "")</f>
        <v>24.63</v>
      </c>
      <c r="D409" s="9">
        <f t="array" ref="D409">XLOOKUP($A409, Quotations!$E$2:E1756, Quotations!$F$2:F1756, "")
</f>
        <v>112.9</v>
      </c>
      <c r="E409" s="9">
        <f t="array" ref="E409">XLOOKUP($A409, Quotations!$G$2:G1756, Quotations!$H$2:H1756, "")
</f>
        <v>123.92</v>
      </c>
      <c r="F409" s="9">
        <f t="array" ref="F409">XLOOKUP($A409, Quotations!$I$2:I1756, Quotations!$J$2:J1756, "")
</f>
        <v>134.18</v>
      </c>
      <c r="G409" s="9">
        <f t="array" ref="G409">XLOOKUP($A409, Quotations!$K$2:K1756, Quotations!$L$2:L1756, "")
</f>
        <v>1413.9382</v>
      </c>
    </row>
    <row r="410">
      <c r="A410" s="8">
        <v>42235.0</v>
      </c>
      <c r="B410" s="9">
        <f t="array" ref="B410">XLOOKUP($A410, Quotations!$A$2:A1756, Quotations!$B$2:B1756, "")
</f>
        <v>126.11</v>
      </c>
      <c r="C410" s="9">
        <f t="array" ref="C410">XLOOKUP($A410, Quotations!$C$2:C1756, Quotations!$D$2:D1756, "")</f>
        <v>24.62</v>
      </c>
      <c r="D410" s="9">
        <f t="array" ref="D410">XLOOKUP($A410, Quotations!$E$2:E1756, Quotations!$F$2:F1756, "")
</f>
        <v>112.84</v>
      </c>
      <c r="E410" s="9">
        <f t="array" ref="E410">XLOOKUP($A410, Quotations!$G$2:G1756, Quotations!$H$2:H1756, "")
</f>
        <v>123.85</v>
      </c>
      <c r="F410" s="9">
        <f t="array" ref="F410">XLOOKUP($A410, Quotations!$I$2:I1756, Quotations!$J$2:J1756, "")
</f>
        <v>134.16</v>
      </c>
      <c r="G410" s="9">
        <f t="array" ref="G410">XLOOKUP($A410, Quotations!$K$2:K1756, Quotations!$L$2:L1756, "")
</f>
        <v>1409.598</v>
      </c>
    </row>
    <row r="411">
      <c r="A411" s="8">
        <v>42236.0</v>
      </c>
      <c r="B411" s="9">
        <f t="array" ref="B411">XLOOKUP($A411, Quotations!$A$2:A1756, Quotations!$B$2:B1756, "")
</f>
        <v>125.49</v>
      </c>
      <c r="C411" s="9">
        <f t="array" ref="C411">XLOOKUP($A411, Quotations!$C$2:C1756, Quotations!$D$2:D1756, "")</f>
        <v>24.6</v>
      </c>
      <c r="D411" s="9">
        <f t="array" ref="D411">XLOOKUP($A411, Quotations!$E$2:E1756, Quotations!$F$2:F1756, "")
</f>
        <v>112.79</v>
      </c>
      <c r="E411" s="9">
        <f t="array" ref="E411">XLOOKUP($A411, Quotations!$G$2:G1756, Quotations!$H$2:H1756, "")
</f>
        <v>123.83</v>
      </c>
      <c r="F411" s="9">
        <f t="array" ref="F411">XLOOKUP($A411, Quotations!$I$2:I1756, Quotations!$J$2:J1756, "")
</f>
        <v>134.03</v>
      </c>
      <c r="G411" s="9">
        <f t="array" ref="G411">XLOOKUP($A411, Quotations!$K$2:K1756, Quotations!$L$2:L1756, "")
</f>
        <v>1401.8948</v>
      </c>
    </row>
    <row r="412">
      <c r="A412" s="8">
        <v>42237.0</v>
      </c>
      <c r="B412" s="9">
        <f t="array" ref="B412">XLOOKUP($A412, Quotations!$A$2:A1756, Quotations!$B$2:B1756, "")
</f>
        <v>124.69</v>
      </c>
      <c r="C412" s="9">
        <f t="array" ref="C412">XLOOKUP($A412, Quotations!$C$2:C1756, Quotations!$D$2:D1756, "")</f>
        <v>24.59</v>
      </c>
      <c r="D412" s="9">
        <f t="array" ref="D412">XLOOKUP($A412, Quotations!$E$2:E1756, Quotations!$F$2:F1756, "")
</f>
        <v>112.74</v>
      </c>
      <c r="E412" s="9">
        <f t="array" ref="E412">XLOOKUP($A412, Quotations!$G$2:G1756, Quotations!$H$2:H1756, "")
</f>
        <v>123.88</v>
      </c>
      <c r="F412" s="9">
        <f t="array" ref="F412">XLOOKUP($A412, Quotations!$I$2:I1756, Quotations!$J$2:J1756, "")
</f>
        <v>133.05</v>
      </c>
      <c r="G412" s="9">
        <f t="array" ref="G412">XLOOKUP($A412, Quotations!$K$2:K1756, Quotations!$L$2:L1756, "")
</f>
        <v>1386.8016</v>
      </c>
    </row>
    <row r="413">
      <c r="A413" s="8">
        <v>42240.0</v>
      </c>
      <c r="B413" s="9">
        <f t="array" ref="B413">XLOOKUP($A413, Quotations!$A$2:A1756, Quotations!$B$2:B1756, "")
</f>
        <v>122.96</v>
      </c>
      <c r="C413" s="9">
        <f t="array" ref="C413">XLOOKUP($A413, Quotations!$C$2:C1756, Quotations!$D$2:D1756, "")</f>
        <v>24.54</v>
      </c>
      <c r="D413" s="9">
        <f t="array" ref="D413">XLOOKUP($A413, Quotations!$E$2:E1756, Quotations!$F$2:F1756, "")
</f>
        <v>112.64</v>
      </c>
      <c r="E413" s="9">
        <f t="array" ref="E413">XLOOKUP($A413, Quotations!$G$2:G1756, Quotations!$H$2:H1756, "")
</f>
        <v>123.81</v>
      </c>
      <c r="F413" s="9">
        <f t="array" ref="F413">XLOOKUP($A413, Quotations!$I$2:I1756, Quotations!$J$2:J1756, "")
</f>
        <v>132.28</v>
      </c>
      <c r="G413" s="9">
        <f t="array" ref="G413">XLOOKUP($A413, Quotations!$K$2:K1756, Quotations!$L$2:L1756, "")
</f>
        <v>1370.0254</v>
      </c>
    </row>
    <row r="414">
      <c r="A414" s="8">
        <v>42241.0</v>
      </c>
      <c r="B414" s="9">
        <f t="array" ref="B414">XLOOKUP($A414, Quotations!$A$2:A1756, Quotations!$B$2:B1756, "")
</f>
        <v>124.11</v>
      </c>
      <c r="C414" s="9">
        <f t="array" ref="C414">XLOOKUP($A414, Quotations!$C$2:C1756, Quotations!$D$2:D1756, "")</f>
        <v>24.55</v>
      </c>
      <c r="D414" s="9">
        <f t="array" ref="D414">XLOOKUP($A414, Quotations!$E$2:E1756, Quotations!$F$2:F1756, "")
</f>
        <v>112.71</v>
      </c>
      <c r="E414" s="9">
        <f t="array" ref="E414">XLOOKUP($A414, Quotations!$G$2:G1756, Quotations!$H$2:H1756, "")
</f>
        <v>123.76</v>
      </c>
      <c r="F414" s="9">
        <f t="array" ref="F414">XLOOKUP($A414, Quotations!$I$2:I1756, Quotations!$J$2:J1756, "")
</f>
        <v>131.05</v>
      </c>
      <c r="G414" s="9">
        <f t="array" ref="G414">XLOOKUP($A414, Quotations!$K$2:K1756, Quotations!$L$2:L1756, "")
</f>
        <v>1350.9399</v>
      </c>
    </row>
    <row r="415">
      <c r="A415" s="8">
        <v>42242.0</v>
      </c>
      <c r="B415" s="9">
        <f t="array" ref="B415">XLOOKUP($A415, Quotations!$A$2:A1756, Quotations!$B$2:B1756, "")
</f>
        <v>123.82</v>
      </c>
      <c r="C415" s="9">
        <f t="array" ref="C415">XLOOKUP($A415, Quotations!$C$2:C1756, Quotations!$D$2:D1756, "")</f>
        <v>24.54</v>
      </c>
      <c r="D415" s="9">
        <f t="array" ref="D415">XLOOKUP($A415, Quotations!$E$2:E1756, Quotations!$F$2:F1756, "")
</f>
        <v>112.81</v>
      </c>
      <c r="E415" s="9">
        <f t="array" ref="E415">XLOOKUP($A415, Quotations!$G$2:G1756, Quotations!$H$2:H1756, "")
</f>
        <v>123.46</v>
      </c>
      <c r="F415" s="9">
        <f t="array" ref="F415">XLOOKUP($A415, Quotations!$I$2:I1756, Quotations!$J$2:J1756, "")
</f>
        <v>131.44</v>
      </c>
      <c r="G415" s="9">
        <f t="array" ref="G415">XLOOKUP($A415, Quotations!$K$2:K1756, Quotations!$L$2:L1756, "")
</f>
        <v>1361.2028</v>
      </c>
    </row>
    <row r="416">
      <c r="A416" s="8">
        <v>42243.0</v>
      </c>
      <c r="B416" s="9">
        <f t="array" ref="B416">XLOOKUP($A416, Quotations!$A$2:A1756, Quotations!$B$2:B1756, "")
</f>
        <v>124.64</v>
      </c>
      <c r="C416" s="9">
        <f t="array" ref="C416">XLOOKUP($A416, Quotations!$C$2:C1756, Quotations!$D$2:D1756, "")</f>
        <v>24.57</v>
      </c>
      <c r="D416" s="9">
        <f t="array" ref="D416">XLOOKUP($A416, Quotations!$E$2:E1756, Quotations!$F$2:F1756, "")
</f>
        <v>112.93</v>
      </c>
      <c r="E416" s="9">
        <f t="array" ref="E416">XLOOKUP($A416, Quotations!$G$2:G1756, Quotations!$H$2:H1756, "")
</f>
        <v>123.5</v>
      </c>
      <c r="F416" s="9">
        <f t="array" ref="F416">XLOOKUP($A416, Quotations!$I$2:I1756, Quotations!$J$2:J1756, "")
</f>
        <v>131.98</v>
      </c>
      <c r="G416" s="9">
        <f t="array" ref="G416">XLOOKUP($A416, Quotations!$K$2:K1756, Quotations!$L$2:L1756, "")
</f>
        <v>1367.9498</v>
      </c>
    </row>
    <row r="417">
      <c r="A417" s="8">
        <v>42244.0</v>
      </c>
      <c r="B417" s="9">
        <f t="array" ref="B417">XLOOKUP($A417, Quotations!$A$2:A1756, Quotations!$B$2:B1756, "")
</f>
        <v>124.69</v>
      </c>
      <c r="C417" s="9">
        <f t="array" ref="C417">XLOOKUP($A417, Quotations!$C$2:C1756, Quotations!$D$2:D1756, "")</f>
        <v>24.57</v>
      </c>
      <c r="D417" s="9">
        <f t="array" ref="D417">XLOOKUP($A417, Quotations!$E$2:E1756, Quotations!$F$2:F1756, "")
</f>
        <v>112.97</v>
      </c>
      <c r="E417" s="9">
        <f t="array" ref="E417">XLOOKUP($A417, Quotations!$G$2:G1756, Quotations!$H$2:H1756, "")
</f>
        <v>123.44</v>
      </c>
      <c r="F417" s="9">
        <f t="array" ref="F417">XLOOKUP($A417, Quotations!$I$2:I1756, Quotations!$J$2:J1756, "")
</f>
        <v>133.04</v>
      </c>
      <c r="G417" s="9">
        <f t="array" ref="G417">XLOOKUP($A417, Quotations!$K$2:K1756, Quotations!$L$2:L1756, "")
</f>
        <v>1384.1194</v>
      </c>
    </row>
    <row r="418">
      <c r="A418" s="8">
        <v>42247.0</v>
      </c>
      <c r="B418" s="9">
        <f t="array" ref="B418">XLOOKUP($A418, Quotations!$A$2:A1756, Quotations!$B$2:B1756, "")
</f>
        <v>124.56</v>
      </c>
      <c r="C418" s="9">
        <f t="array" ref="C418">XLOOKUP($A418, Quotations!$C$2:C1756, Quotations!$D$2:D1756, "")</f>
        <v>24.57</v>
      </c>
      <c r="D418" s="9">
        <f t="array" ref="D418">XLOOKUP($A418, Quotations!$E$2:E1756, Quotations!$F$2:F1756, "")
</f>
        <v>112.97</v>
      </c>
      <c r="E418" s="9">
        <f t="array" ref="E418">XLOOKUP($A418, Quotations!$G$2:G1756, Quotations!$H$2:H1756, "")
</f>
        <v>123.52</v>
      </c>
      <c r="F418" s="9">
        <f t="array" ref="F418">XLOOKUP($A418, Quotations!$I$2:I1756, Quotations!$J$2:J1756, "")
</f>
        <v>133.15</v>
      </c>
      <c r="G418" s="9">
        <f t="array" ref="G418">XLOOKUP($A418, Quotations!$K$2:K1756, Quotations!$L$2:L1756, "")
</f>
        <v>1385.0156</v>
      </c>
    </row>
    <row r="419">
      <c r="A419" s="8">
        <v>42248.0</v>
      </c>
      <c r="B419" s="9">
        <f t="array" ref="B419">XLOOKUP($A419, Quotations!$A$2:A1756, Quotations!$B$2:B1756, "")
</f>
        <v>123.94</v>
      </c>
      <c r="C419" s="9">
        <f t="array" ref="C419">XLOOKUP($A419, Quotations!$C$2:C1756, Quotations!$D$2:D1756, "")</f>
        <v>24.55</v>
      </c>
      <c r="D419" s="9">
        <f t="array" ref="D419">XLOOKUP($A419, Quotations!$E$2:E1756, Quotations!$F$2:F1756, "")
</f>
        <v>112.95</v>
      </c>
      <c r="E419" s="9">
        <f t="array" ref="E419">XLOOKUP($A419, Quotations!$G$2:G1756, Quotations!$H$2:H1756, "")
</f>
        <v>123.47</v>
      </c>
      <c r="F419" s="9">
        <f t="array" ref="F419">XLOOKUP($A419, Quotations!$I$2:I1756, Quotations!$J$2:J1756, "")
</f>
        <v>132.97</v>
      </c>
      <c r="G419" s="9">
        <f t="array" ref="G419">XLOOKUP($A419, Quotations!$K$2:K1756, Quotations!$L$2:L1756, "")
</f>
        <v>1380.2829</v>
      </c>
    </row>
    <row r="420">
      <c r="A420" s="8">
        <v>42249.0</v>
      </c>
      <c r="B420" s="9">
        <f t="array" ref="B420">XLOOKUP($A420, Quotations!$A$2:A1756, Quotations!$B$2:B1756, "")
</f>
        <v>124.13</v>
      </c>
      <c r="C420" s="9">
        <f t="array" ref="C420">XLOOKUP($A420, Quotations!$C$2:C1756, Quotations!$D$2:D1756, "")</f>
        <v>24.55</v>
      </c>
      <c r="D420" s="9">
        <f t="array" ref="D420">XLOOKUP($A420, Quotations!$E$2:E1756, Quotations!$F$2:F1756, "")
</f>
        <v>112.88</v>
      </c>
      <c r="E420" s="9">
        <f t="array" ref="E420">XLOOKUP($A420, Quotations!$G$2:G1756, Quotations!$H$2:H1756, "")
</f>
        <v>123.41</v>
      </c>
      <c r="F420" s="9">
        <f t="array" ref="F420">XLOOKUP($A420, Quotations!$I$2:I1756, Quotations!$J$2:J1756, "")
</f>
        <v>132.1</v>
      </c>
      <c r="G420" s="9">
        <f t="array" ref="G420">XLOOKUP($A420, Quotations!$K$2:K1756, Quotations!$L$2:L1756, "")
</f>
        <v>1368.6773</v>
      </c>
    </row>
    <row r="421">
      <c r="A421" s="8">
        <v>42250.0</v>
      </c>
      <c r="B421" s="9">
        <f t="array" ref="B421">XLOOKUP($A421, Quotations!$A$2:A1756, Quotations!$B$2:B1756, "")
</f>
        <v>124.68</v>
      </c>
      <c r="C421" s="9">
        <f t="array" ref="C421">XLOOKUP($A421, Quotations!$C$2:C1756, Quotations!$D$2:D1756, "")</f>
        <v>24.57</v>
      </c>
      <c r="D421" s="9">
        <f t="array" ref="D421">XLOOKUP($A421, Quotations!$E$2:E1756, Quotations!$F$2:F1756, "")
</f>
        <v>112.78</v>
      </c>
      <c r="E421" s="9">
        <f t="array" ref="E421">XLOOKUP($A421, Quotations!$G$2:G1756, Quotations!$H$2:H1756, "")
</f>
        <v>123.39</v>
      </c>
      <c r="F421" s="9">
        <f t="array" ref="F421">XLOOKUP($A421, Quotations!$I$2:I1756, Quotations!$J$2:J1756, "")
</f>
        <v>132.39</v>
      </c>
      <c r="G421" s="9">
        <f t="array" ref="G421">XLOOKUP($A421, Quotations!$K$2:K1756, Quotations!$L$2:L1756, "")
</f>
        <v>1374.0199</v>
      </c>
    </row>
    <row r="422">
      <c r="A422" s="8">
        <v>42251.0</v>
      </c>
      <c r="B422" s="9">
        <f t="array" ref="B422">XLOOKUP($A422, Quotations!$A$2:A1756, Quotations!$B$2:B1756, "")
</f>
        <v>124.04</v>
      </c>
      <c r="C422" s="9">
        <f t="array" ref="C422">XLOOKUP($A422, Quotations!$C$2:C1756, Quotations!$D$2:D1756, "")</f>
        <v>24.56</v>
      </c>
      <c r="D422" s="9">
        <f t="array" ref="D422">XLOOKUP($A422, Quotations!$E$2:E1756, Quotations!$F$2:F1756, "")
</f>
        <v>112.65</v>
      </c>
      <c r="E422" s="9">
        <f t="array" ref="E422">XLOOKUP($A422, Quotations!$G$2:G1756, Quotations!$H$2:H1756, "")
</f>
        <v>123.52</v>
      </c>
      <c r="F422" s="9">
        <f t="array" ref="F422">XLOOKUP($A422, Quotations!$I$2:I1756, Quotations!$J$2:J1756, "")
</f>
        <v>132.69</v>
      </c>
      <c r="G422" s="9">
        <f t="array" ref="G422">XLOOKUP($A422, Quotations!$K$2:K1756, Quotations!$L$2:L1756, "")
</f>
        <v>1379.0192</v>
      </c>
    </row>
    <row r="423">
      <c r="A423" s="8">
        <v>42254.0</v>
      </c>
      <c r="B423" s="9">
        <f t="array" ref="B423">XLOOKUP($A423, Quotations!$A$2:A1756, Quotations!$B$2:B1756, "")
</f>
        <v>123.96</v>
      </c>
      <c r="C423" s="9">
        <f t="array" ref="C423">XLOOKUP($A423, Quotations!$C$2:C1756, Quotations!$D$2:D1756, "")</f>
        <v>24.55</v>
      </c>
      <c r="D423" s="9">
        <f t="array" ref="D423">XLOOKUP($A423, Quotations!$E$2:E1756, Quotations!$F$2:F1756, "")
</f>
        <v>112.67</v>
      </c>
      <c r="E423" s="9">
        <f t="array" ref="E423">XLOOKUP($A423, Quotations!$G$2:G1756, Quotations!$H$2:H1756, "")
</f>
        <v>123.59</v>
      </c>
      <c r="F423" s="9">
        <f t="array" ref="F423">XLOOKUP($A423, Quotations!$I$2:I1756, Quotations!$J$2:J1756, "")
</f>
        <v>132.46</v>
      </c>
      <c r="G423" s="9">
        <f t="array" ref="G423">XLOOKUP($A423, Quotations!$K$2:K1756, Quotations!$L$2:L1756, "")
</f>
        <v>1372.4583</v>
      </c>
    </row>
    <row r="424">
      <c r="A424" s="8">
        <v>42255.0</v>
      </c>
      <c r="B424" s="9">
        <f t="array" ref="B424">XLOOKUP($A424, Quotations!$A$2:A1756, Quotations!$B$2:B1756, "")
</f>
        <v>124.23</v>
      </c>
      <c r="C424" s="9">
        <f t="array" ref="C424">XLOOKUP($A424, Quotations!$C$2:C1756, Quotations!$D$2:D1756, "")</f>
        <v>24.55</v>
      </c>
      <c r="D424" s="9">
        <f t="array" ref="D424">XLOOKUP($A424, Quotations!$E$2:E1756, Quotations!$F$2:F1756, "")
</f>
        <v>112.65</v>
      </c>
      <c r="E424" s="9">
        <f t="array" ref="E424">XLOOKUP($A424, Quotations!$G$2:G1756, Quotations!$H$2:H1756, "")
</f>
        <v>123.51</v>
      </c>
      <c r="F424" s="9">
        <f t="array" ref="F424">XLOOKUP($A424, Quotations!$I$2:I1756, Quotations!$J$2:J1756, "")
</f>
        <v>132.45</v>
      </c>
      <c r="G424" s="9">
        <f t="array" ref="G424">XLOOKUP($A424, Quotations!$K$2:K1756, Quotations!$L$2:L1756, "")
</f>
        <v>1371.8909</v>
      </c>
    </row>
    <row r="425">
      <c r="A425" s="8">
        <v>42256.0</v>
      </c>
      <c r="B425" s="9">
        <f t="array" ref="B425">XLOOKUP($A425, Quotations!$A$2:A1756, Quotations!$B$2:B1756, "")
</f>
        <v>124.52</v>
      </c>
      <c r="C425" s="9">
        <f t="array" ref="C425">XLOOKUP($A425, Quotations!$C$2:C1756, Quotations!$D$2:D1756, "")</f>
        <v>24.55</v>
      </c>
      <c r="D425" s="9">
        <f t="array" ref="D425">XLOOKUP($A425, Quotations!$E$2:E1756, Quotations!$F$2:F1756, "")
</f>
        <v>112.71</v>
      </c>
      <c r="E425" s="9">
        <f t="array" ref="E425">XLOOKUP($A425, Quotations!$G$2:G1756, Quotations!$H$2:H1756, "")
</f>
        <v>123.49</v>
      </c>
      <c r="F425" s="9">
        <f t="array" ref="F425">XLOOKUP($A425, Quotations!$I$2:I1756, Quotations!$J$2:J1756, "")
</f>
        <v>132.76</v>
      </c>
      <c r="G425" s="9">
        <f t="array" ref="G425">XLOOKUP($A425, Quotations!$K$2:K1756, Quotations!$L$2:L1756, "")
</f>
        <v>1384.8827</v>
      </c>
    </row>
    <row r="426">
      <c r="A426" s="8">
        <v>42257.0</v>
      </c>
      <c r="B426" s="9">
        <f t="array" ref="B426">XLOOKUP($A426, Quotations!$A$2:A1756, Quotations!$B$2:B1756, "")
</f>
        <v>124.24</v>
      </c>
      <c r="C426" s="9">
        <f t="array" ref="C426">XLOOKUP($A426, Quotations!$C$2:C1756, Quotations!$D$2:D1756, "")</f>
        <v>24.54</v>
      </c>
      <c r="D426" s="9">
        <f t="array" ref="D426">XLOOKUP($A426, Quotations!$E$2:E1756, Quotations!$F$2:F1756, "")
</f>
        <v>112.65</v>
      </c>
      <c r="E426" s="9">
        <f t="array" ref="E426">XLOOKUP($A426, Quotations!$G$2:G1756, Quotations!$H$2:H1756, "")
</f>
        <v>123.46</v>
      </c>
      <c r="F426" s="9">
        <f t="array" ref="F426">XLOOKUP($A426, Quotations!$I$2:I1756, Quotations!$J$2:J1756, "")
</f>
        <v>132.73</v>
      </c>
      <c r="G426" s="9">
        <f t="array" ref="G426">XLOOKUP($A426, Quotations!$K$2:K1756, Quotations!$L$2:L1756, "")
</f>
        <v>1384.9425</v>
      </c>
    </row>
    <row r="427">
      <c r="A427" s="8">
        <v>42258.0</v>
      </c>
      <c r="B427" s="9">
        <f t="array" ref="B427">XLOOKUP($A427, Quotations!$A$2:A1756, Quotations!$B$2:B1756, "")
</f>
        <v>123.89</v>
      </c>
      <c r="C427" s="9">
        <f t="array" ref="C427">XLOOKUP($A427, Quotations!$C$2:C1756, Quotations!$D$2:D1756, "")</f>
        <v>24.53</v>
      </c>
      <c r="D427" s="9">
        <f t="array" ref="D427">XLOOKUP($A427, Quotations!$E$2:E1756, Quotations!$F$2:F1756, "")
</f>
        <v>112.72</v>
      </c>
      <c r="E427" s="9">
        <f t="array" ref="E427">XLOOKUP($A427, Quotations!$G$2:G1756, Quotations!$H$2:H1756, "")
</f>
        <v>123.42</v>
      </c>
      <c r="F427" s="9">
        <f t="array" ref="F427">XLOOKUP($A427, Quotations!$I$2:I1756, Quotations!$J$2:J1756, "")
</f>
        <v>132.63</v>
      </c>
      <c r="G427" s="9">
        <f t="array" ref="G427">XLOOKUP($A427, Quotations!$K$2:K1756, Quotations!$L$2:L1756, "")
</f>
        <v>1383.9509</v>
      </c>
    </row>
    <row r="428">
      <c r="A428" s="8">
        <v>42261.0</v>
      </c>
      <c r="B428" s="9">
        <f t="array" ref="B428">XLOOKUP($A428, Quotations!$A$2:A1756, Quotations!$B$2:B1756, "")
</f>
        <v>123.66</v>
      </c>
      <c r="C428" s="9">
        <f t="array" ref="C428">XLOOKUP($A428, Quotations!$C$2:C1756, Quotations!$D$2:D1756, "")</f>
        <v>24.53</v>
      </c>
      <c r="D428" s="9">
        <f t="array" ref="D428">XLOOKUP($A428, Quotations!$E$2:E1756, Quotations!$F$2:F1756, "")
</f>
        <v>112.7</v>
      </c>
      <c r="E428" s="9">
        <f t="array" ref="E428">XLOOKUP($A428, Quotations!$G$2:G1756, Quotations!$H$2:H1756, "")
</f>
        <v>123.46</v>
      </c>
      <c r="F428" s="9">
        <f t="array" ref="F428">XLOOKUP($A428, Quotations!$I$2:I1756, Quotations!$J$2:J1756, "")
</f>
        <v>132.52</v>
      </c>
      <c r="G428" s="9">
        <f t="array" ref="G428">XLOOKUP($A428, Quotations!$K$2:K1756, Quotations!$L$2:L1756, "")
</f>
        <v>1383.6679</v>
      </c>
    </row>
    <row r="429">
      <c r="A429" s="8">
        <v>42262.0</v>
      </c>
      <c r="B429" s="9">
        <f t="array" ref="B429">XLOOKUP($A429, Quotations!$A$2:A1756, Quotations!$B$2:B1756, "")
</f>
        <v>123.69</v>
      </c>
      <c r="C429" s="9">
        <f t="array" ref="C429">XLOOKUP($A429, Quotations!$C$2:C1756, Quotations!$D$2:D1756, "")</f>
        <v>24.53</v>
      </c>
      <c r="D429" s="9">
        <f t="array" ref="D429">XLOOKUP($A429, Quotations!$E$2:E1756, Quotations!$F$2:F1756, "")
</f>
        <v>112.71</v>
      </c>
      <c r="E429" s="9">
        <f t="array" ref="E429">XLOOKUP($A429, Quotations!$G$2:G1756, Quotations!$H$2:H1756, "")
</f>
        <v>123.42</v>
      </c>
      <c r="F429" s="9">
        <f t="array" ref="F429">XLOOKUP($A429, Quotations!$I$2:I1756, Quotations!$J$2:J1756, "")
</f>
        <v>132.5</v>
      </c>
      <c r="G429" s="9">
        <f t="array" ref="G429">XLOOKUP($A429, Quotations!$K$2:K1756, Quotations!$L$2:L1756, "")
</f>
        <v>1382.5247</v>
      </c>
    </row>
    <row r="430">
      <c r="A430" s="8">
        <v>42263.0</v>
      </c>
      <c r="B430" s="9">
        <f t="array" ref="B430">XLOOKUP($A430, Quotations!$A$2:A1756, Quotations!$B$2:B1756, "")
</f>
        <v>123.86</v>
      </c>
      <c r="C430" s="9">
        <f t="array" ref="C430">XLOOKUP($A430, Quotations!$C$2:C1756, Quotations!$D$2:D1756, "")</f>
        <v>24.53</v>
      </c>
      <c r="D430" s="9">
        <f t="array" ref="D430">XLOOKUP($A430, Quotations!$E$2:E1756, Quotations!$F$2:F1756, "")
</f>
        <v>112.72</v>
      </c>
      <c r="E430" s="9">
        <f t="array" ref="E430">XLOOKUP($A430, Quotations!$G$2:G1756, Quotations!$H$2:H1756, "")
</f>
        <v>123.21</v>
      </c>
      <c r="F430" s="9">
        <f t="array" ref="F430">XLOOKUP($A430, Quotations!$I$2:I1756, Quotations!$J$2:J1756, "")
</f>
        <v>132.55</v>
      </c>
      <c r="G430" s="9">
        <f t="array" ref="G430">XLOOKUP($A430, Quotations!$K$2:K1756, Quotations!$L$2:L1756, "")
</f>
        <v>1386.0831</v>
      </c>
    </row>
    <row r="431">
      <c r="A431" s="8">
        <v>42264.0</v>
      </c>
      <c r="B431" s="9">
        <f t="array" ref="B431">XLOOKUP($A431, Quotations!$A$2:A1756, Quotations!$B$2:B1756, "")
</f>
        <v>123.81</v>
      </c>
      <c r="C431" s="9">
        <f t="array" ref="C431">XLOOKUP($A431, Quotations!$C$2:C1756, Quotations!$D$2:D1756, "")</f>
        <v>24.52</v>
      </c>
      <c r="D431" s="9">
        <f t="array" ref="D431">XLOOKUP($A431, Quotations!$E$2:E1756, Quotations!$F$2:F1756, "")
</f>
        <v>112.75</v>
      </c>
      <c r="E431" s="9">
        <f t="array" ref="E431">XLOOKUP($A431, Quotations!$G$2:G1756, Quotations!$H$2:H1756, "")
</f>
        <v>123.17</v>
      </c>
      <c r="F431" s="9">
        <f t="array" ref="F431">XLOOKUP($A431, Quotations!$I$2:I1756, Quotations!$J$2:J1756, "")
</f>
        <v>132.6</v>
      </c>
      <c r="G431" s="9">
        <f t="array" ref="G431">XLOOKUP($A431, Quotations!$K$2:K1756, Quotations!$L$2:L1756, "")
</f>
        <v>1390.614</v>
      </c>
    </row>
    <row r="432">
      <c r="A432" s="8">
        <v>42265.0</v>
      </c>
      <c r="B432" s="9">
        <f t="array" ref="B432">XLOOKUP($A432, Quotations!$A$2:A1756, Quotations!$B$2:B1756, "")
</f>
        <v>123.13</v>
      </c>
      <c r="C432" s="9">
        <f t="array" ref="C432">XLOOKUP($A432, Quotations!$C$2:C1756, Quotations!$D$2:D1756, "")</f>
        <v>24.53</v>
      </c>
      <c r="D432" s="9">
        <f t="array" ref="D432">XLOOKUP($A432, Quotations!$E$2:E1756, Quotations!$F$2:F1756, "")
</f>
        <v>112.63</v>
      </c>
      <c r="E432" s="9">
        <f t="array" ref="E432">XLOOKUP($A432, Quotations!$G$2:G1756, Quotations!$H$2:H1756, "")
</f>
        <v>123.14</v>
      </c>
      <c r="F432" s="9">
        <f t="array" ref="F432">XLOOKUP($A432, Quotations!$I$2:I1756, Quotations!$J$2:J1756, "")
</f>
        <v>132.65</v>
      </c>
      <c r="G432" s="9">
        <f t="array" ref="G432">XLOOKUP($A432, Quotations!$K$2:K1756, Quotations!$L$2:L1756, "")
</f>
        <v>1390.0137</v>
      </c>
    </row>
    <row r="433">
      <c r="A433" s="8">
        <v>42268.0</v>
      </c>
      <c r="B433" s="9">
        <f t="array" ref="B433">XLOOKUP($A433, Quotations!$A$2:A1756, Quotations!$B$2:B1756, "")
</f>
        <v>123.56</v>
      </c>
      <c r="C433" s="9">
        <f t="array" ref="C433">XLOOKUP($A433, Quotations!$C$2:C1756, Quotations!$D$2:D1756, "")</f>
        <v>24.54</v>
      </c>
      <c r="D433" s="9">
        <f t="array" ref="D433">XLOOKUP($A433, Quotations!$E$2:E1756, Quotations!$F$2:F1756, "")
</f>
        <v>112.41</v>
      </c>
      <c r="E433" s="9">
        <f t="array" ref="E433">XLOOKUP($A433, Quotations!$G$2:G1756, Quotations!$H$2:H1756, "")
</f>
        <v>123.36</v>
      </c>
      <c r="F433" s="9">
        <f t="array" ref="F433">XLOOKUP($A433, Quotations!$I$2:I1756, Quotations!$J$2:J1756, "")
</f>
        <v>132.36</v>
      </c>
      <c r="G433" s="9">
        <f t="array" ref="G433">XLOOKUP($A433, Quotations!$K$2:K1756, Quotations!$L$2:L1756, "")
</f>
        <v>1385.0681</v>
      </c>
    </row>
    <row r="434">
      <c r="A434" s="8">
        <v>42269.0</v>
      </c>
      <c r="B434" s="9">
        <f t="array" ref="B434">XLOOKUP($A434, Quotations!$A$2:A1756, Quotations!$B$2:B1756, "")
</f>
        <v>122.9</v>
      </c>
      <c r="C434" s="9">
        <f t="array" ref="C434">XLOOKUP($A434, Quotations!$C$2:C1756, Quotations!$D$2:D1756, "")</f>
        <v>24.54</v>
      </c>
      <c r="D434" s="9">
        <f t="array" ref="D434">XLOOKUP($A434, Quotations!$E$2:E1756, Quotations!$F$2:F1756, "")
</f>
        <v>112.37</v>
      </c>
      <c r="E434" s="9">
        <f t="array" ref="E434">XLOOKUP($A434, Quotations!$G$2:G1756, Quotations!$H$2:H1756, "")
</f>
        <v>123.3</v>
      </c>
      <c r="F434" s="9">
        <f t="array" ref="F434">XLOOKUP($A434, Quotations!$I$2:I1756, Quotations!$J$2:J1756, "")
</f>
        <v>132.27</v>
      </c>
      <c r="G434" s="9">
        <f t="array" ref="G434">XLOOKUP($A434, Quotations!$K$2:K1756, Quotations!$L$2:L1756, "")
</f>
        <v>1385.7063</v>
      </c>
    </row>
    <row r="435">
      <c r="A435" s="8">
        <v>42270.0</v>
      </c>
      <c r="B435" s="9">
        <f t="array" ref="B435">XLOOKUP($A435, Quotations!$A$2:A1756, Quotations!$B$2:B1756, "")
</f>
        <v>122.91</v>
      </c>
      <c r="C435" s="9">
        <f t="array" ref="C435">XLOOKUP($A435, Quotations!$C$2:C1756, Quotations!$D$2:D1756, "")</f>
        <v>24.53</v>
      </c>
      <c r="D435" s="9">
        <f t="array" ref="D435">XLOOKUP($A435, Quotations!$E$2:E1756, Quotations!$F$2:F1756, "")
</f>
        <v>112.52</v>
      </c>
      <c r="E435" s="9">
        <f t="array" ref="E435">XLOOKUP($A435, Quotations!$G$2:G1756, Quotations!$H$2:H1756, "")
</f>
        <v>123.53</v>
      </c>
      <c r="F435" s="9">
        <f t="array" ref="F435">XLOOKUP($A435, Quotations!$I$2:I1756, Quotations!$J$2:J1756, "")
</f>
        <v>131.8</v>
      </c>
      <c r="G435" s="9">
        <f t="array" ref="G435">XLOOKUP($A435, Quotations!$K$2:K1756, Quotations!$L$2:L1756, "")
</f>
        <v>1376.2806</v>
      </c>
    </row>
    <row r="436">
      <c r="A436" s="8">
        <v>42271.0</v>
      </c>
      <c r="B436" s="9">
        <f t="array" ref="B436">XLOOKUP($A436, Quotations!$A$2:A1756, Quotations!$B$2:B1756, "")
</f>
        <v>122.47</v>
      </c>
      <c r="C436" s="9">
        <f t="array" ref="C436">XLOOKUP($A436, Quotations!$C$2:C1756, Quotations!$D$2:D1756, "")</f>
        <v>24.5</v>
      </c>
      <c r="D436" s="9">
        <f t="array" ref="D436">XLOOKUP($A436, Quotations!$E$2:E1756, Quotations!$F$2:F1756, "")
</f>
        <v>112.99</v>
      </c>
      <c r="E436" s="9">
        <f t="array" ref="E436">XLOOKUP($A436, Quotations!$G$2:G1756, Quotations!$H$2:H1756, "")
</f>
        <v>123.47</v>
      </c>
      <c r="F436" s="9">
        <f t="array" ref="F436">XLOOKUP($A436, Quotations!$I$2:I1756, Quotations!$J$2:J1756, "")
</f>
        <v>131.64</v>
      </c>
      <c r="G436" s="9">
        <f t="array" ref="G436">XLOOKUP($A436, Quotations!$K$2:K1756, Quotations!$L$2:L1756, "")
</f>
        <v>1374.093</v>
      </c>
    </row>
    <row r="437">
      <c r="A437" s="8">
        <v>42272.0</v>
      </c>
      <c r="B437" s="9">
        <f t="array" ref="B437">XLOOKUP($A437, Quotations!$A$2:A1756, Quotations!$B$2:B1756, "")
</f>
        <v>122.95</v>
      </c>
      <c r="C437" s="9">
        <f t="array" ref="C437">XLOOKUP($A437, Quotations!$C$2:C1756, Quotations!$D$2:D1756, "")</f>
        <v>24.51</v>
      </c>
      <c r="D437" s="9">
        <f t="array" ref="D437">XLOOKUP($A437, Quotations!$E$2:E1756, Quotations!$F$2:F1756, "")
</f>
        <v>112.94</v>
      </c>
      <c r="E437" s="9">
        <f t="array" ref="E437">XLOOKUP($A437, Quotations!$G$2:G1756, Quotations!$H$2:H1756, "")
</f>
        <v>123.48</v>
      </c>
      <c r="F437" s="9">
        <f t="array" ref="F437">XLOOKUP($A437, Quotations!$I$2:I1756, Quotations!$J$2:J1756, "")
</f>
        <v>131.24</v>
      </c>
      <c r="G437" s="9">
        <f t="array" ref="G437">XLOOKUP($A437, Quotations!$K$2:K1756, Quotations!$L$2:L1756, "")
</f>
        <v>1370.8932</v>
      </c>
    </row>
    <row r="438">
      <c r="A438" s="8">
        <v>42275.0</v>
      </c>
      <c r="B438" s="9">
        <f t="array" ref="B438">XLOOKUP($A438, Quotations!$A$2:A1756, Quotations!$B$2:B1756, "")
</f>
        <v>122.23</v>
      </c>
      <c r="C438" s="9">
        <f t="array" ref="C438">XLOOKUP($A438, Quotations!$C$2:C1756, Quotations!$D$2:D1756, "")</f>
        <v>24.5</v>
      </c>
      <c r="D438" s="9">
        <f t="array" ref="D438">XLOOKUP($A438, Quotations!$E$2:E1756, Quotations!$F$2:F1756, "")
</f>
        <v>112.84</v>
      </c>
      <c r="E438" s="9">
        <f t="array" ref="E438">XLOOKUP($A438, Quotations!$G$2:G1756, Quotations!$H$2:H1756, "")
</f>
        <v>123.34</v>
      </c>
      <c r="F438" s="9">
        <f t="array" ref="F438">XLOOKUP($A438, Quotations!$I$2:I1756, Quotations!$J$2:J1756, "")
</f>
        <v>130.99</v>
      </c>
      <c r="G438" s="9">
        <f t="array" ref="G438">XLOOKUP($A438, Quotations!$K$2:K1756, Quotations!$L$2:L1756, "")
</f>
        <v>1373.8123</v>
      </c>
    </row>
    <row r="439">
      <c r="A439" s="8">
        <v>42276.0</v>
      </c>
      <c r="B439" s="9">
        <f t="array" ref="B439">XLOOKUP($A439, Quotations!$A$2:A1756, Quotations!$B$2:B1756, "")
</f>
        <v>121.82</v>
      </c>
      <c r="C439" s="9">
        <f t="array" ref="C439">XLOOKUP($A439, Quotations!$C$2:C1756, Quotations!$D$2:D1756, "")</f>
        <v>24.5</v>
      </c>
      <c r="D439" s="9">
        <f t="array" ref="D439">XLOOKUP($A439, Quotations!$E$2:E1756, Quotations!$F$2:F1756, "")
</f>
        <v>112.64</v>
      </c>
      <c r="E439" s="9">
        <f t="array" ref="E439">XLOOKUP($A439, Quotations!$G$2:G1756, Quotations!$H$2:H1756, "")
</f>
        <v>123.37</v>
      </c>
      <c r="F439" s="9">
        <f t="array" ref="F439">XLOOKUP($A439, Quotations!$I$2:I1756, Quotations!$J$2:J1756, "")
</f>
        <v>130.27</v>
      </c>
      <c r="G439" s="9">
        <f t="array" ref="G439">XLOOKUP($A439, Quotations!$K$2:K1756, Quotations!$L$2:L1756, "")
</f>
        <v>1358.1242</v>
      </c>
    </row>
    <row r="440">
      <c r="A440" s="8">
        <v>42277.0</v>
      </c>
      <c r="B440" s="9">
        <f t="array" ref="B440">XLOOKUP($A440, Quotations!$A$2:A1756, Quotations!$B$2:B1756, "")
</f>
        <v>122.22</v>
      </c>
      <c r="C440" s="9">
        <f t="array" ref="C440">XLOOKUP($A440, Quotations!$C$2:C1756, Quotations!$D$2:D1756, "")</f>
        <v>24.45</v>
      </c>
      <c r="D440" s="9">
        <f t="array" ref="D440">XLOOKUP($A440, Quotations!$E$2:E1756, Quotations!$F$2:F1756, "")
</f>
        <v>112.65</v>
      </c>
      <c r="E440" s="9">
        <f t="array" ref="E440">XLOOKUP($A440, Quotations!$G$2:G1756, Quotations!$H$2:H1756, "")
</f>
        <v>123.31</v>
      </c>
      <c r="F440" s="9">
        <f t="array" ref="F440">XLOOKUP($A440, Quotations!$I$2:I1756, Quotations!$J$2:J1756, "")
</f>
        <v>130.04</v>
      </c>
      <c r="G440" s="9">
        <f t="array" ref="G440">XLOOKUP($A440, Quotations!$K$2:K1756, Quotations!$L$2:L1756, "")
</f>
        <v>1355.8882</v>
      </c>
    </row>
    <row r="441">
      <c r="A441" s="8">
        <v>42278.0</v>
      </c>
      <c r="B441" s="9">
        <f t="array" ref="B441">XLOOKUP($A441, Quotations!$A$2:A1756, Quotations!$B$2:B1756, "")
</f>
        <v>121.98</v>
      </c>
      <c r="C441" s="9">
        <f t="array" ref="C441">XLOOKUP($A441, Quotations!$C$2:C1756, Quotations!$D$2:D1756, "")</f>
        <v>24.45</v>
      </c>
      <c r="D441" s="9">
        <f t="array" ref="D441">XLOOKUP($A441, Quotations!$E$2:E1756, Quotations!$F$2:F1756, "")
</f>
        <v>112.75</v>
      </c>
      <c r="E441" s="9">
        <f t="array" ref="E441">XLOOKUP($A441, Quotations!$G$2:G1756, Quotations!$H$2:H1756, "")
</f>
        <v>123.31</v>
      </c>
      <c r="F441" s="9">
        <f t="array" ref="F441">XLOOKUP($A441, Quotations!$I$2:I1756, Quotations!$J$2:J1756, "")
</f>
        <v>130.25</v>
      </c>
      <c r="G441" s="9">
        <f t="array" ref="G441">XLOOKUP($A441, Quotations!$K$2:K1756, Quotations!$L$2:L1756, "")
</f>
        <v>1367.7524</v>
      </c>
    </row>
    <row r="442">
      <c r="A442" s="8">
        <v>42279.0</v>
      </c>
      <c r="B442" s="9">
        <f t="array" ref="B442">XLOOKUP($A442, Quotations!$A$2:A1756, Quotations!$B$2:B1756, "")
</f>
        <v>122.09</v>
      </c>
      <c r="C442" s="9">
        <f t="array" ref="C442">XLOOKUP($A442, Quotations!$C$2:C1756, Quotations!$D$2:D1756, "")</f>
        <v>24.44</v>
      </c>
      <c r="D442" s="9">
        <f t="array" ref="D442">XLOOKUP($A442, Quotations!$E$2:E1756, Quotations!$F$2:F1756, "")
</f>
        <v>112.51</v>
      </c>
      <c r="E442" s="9">
        <f t="array" ref="E442">XLOOKUP($A442, Quotations!$G$2:G1756, Quotations!$H$2:H1756, "")
</f>
        <v>123.44</v>
      </c>
      <c r="F442" s="9">
        <f t="array" ref="F442">XLOOKUP($A442, Quotations!$I$2:I1756, Quotations!$J$2:J1756, "")
</f>
        <v>130.28</v>
      </c>
      <c r="G442" s="9">
        <f t="array" ref="G442">XLOOKUP($A442, Quotations!$K$2:K1756, Quotations!$L$2:L1756, "")
</f>
        <v>1366.5399</v>
      </c>
    </row>
    <row r="443">
      <c r="A443" s="8">
        <v>42282.0</v>
      </c>
      <c r="B443" s="9">
        <f t="array" ref="B443">XLOOKUP($A443, Quotations!$A$2:A1756, Quotations!$B$2:B1756, "")
</f>
        <v>122.86</v>
      </c>
      <c r="C443" s="9">
        <f t="array" ref="C443">XLOOKUP($A443, Quotations!$C$2:C1756, Quotations!$D$2:D1756, "")</f>
        <v>24.45</v>
      </c>
      <c r="D443" s="9">
        <f t="array" ref="D443">XLOOKUP($A443, Quotations!$E$2:E1756, Quotations!$F$2:F1756, "")
</f>
        <v>112.62</v>
      </c>
      <c r="E443" s="9">
        <f t="array" ref="E443">XLOOKUP($A443, Quotations!$G$2:G1756, Quotations!$H$2:H1756, "")
</f>
        <v>123.56</v>
      </c>
      <c r="F443" s="9">
        <f t="array" ref="F443">XLOOKUP($A443, Quotations!$I$2:I1756, Quotations!$J$2:J1756, "")
</f>
        <v>130.4</v>
      </c>
      <c r="G443" s="9">
        <f t="array" ref="G443">XLOOKUP($A443, Quotations!$K$2:K1756, Quotations!$L$2:L1756, "")
</f>
        <v>1373.528</v>
      </c>
    </row>
    <row r="444">
      <c r="A444" s="8">
        <v>42283.0</v>
      </c>
      <c r="B444" s="9">
        <f t="array" ref="B444">XLOOKUP($A444, Quotations!$A$2:A1756, Quotations!$B$2:B1756, "")
</f>
        <v>123.17</v>
      </c>
      <c r="C444" s="9">
        <f t="array" ref="C444">XLOOKUP($A444, Quotations!$C$2:C1756, Quotations!$D$2:D1756, "")</f>
        <v>24.45</v>
      </c>
      <c r="D444" s="9">
        <f t="array" ref="D444">XLOOKUP($A444, Quotations!$E$2:E1756, Quotations!$F$2:F1756, "")
</f>
        <v>112.65</v>
      </c>
      <c r="E444" s="9">
        <f t="array" ref="E444">XLOOKUP($A444, Quotations!$G$2:G1756, Quotations!$H$2:H1756, "")
</f>
        <v>123.33</v>
      </c>
      <c r="F444" s="9">
        <f t="array" ref="F444">XLOOKUP($A444, Quotations!$I$2:I1756, Quotations!$J$2:J1756, "")
</f>
        <v>130.46</v>
      </c>
      <c r="G444" s="9">
        <f t="array" ref="G444">XLOOKUP($A444, Quotations!$K$2:K1756, Quotations!$L$2:L1756, "")
</f>
        <v>1383.0659</v>
      </c>
    </row>
    <row r="445">
      <c r="A445" s="8">
        <v>42284.0</v>
      </c>
      <c r="B445" s="9">
        <f t="array" ref="B445">XLOOKUP($A445, Quotations!$A$2:A1756, Quotations!$B$2:B1756, "")
</f>
        <v>123.24</v>
      </c>
      <c r="C445" s="9">
        <f t="array" ref="C445">XLOOKUP($A445, Quotations!$C$2:C1756, Quotations!$D$2:D1756, "")</f>
        <v>24.48</v>
      </c>
      <c r="D445" s="9">
        <f t="array" ref="D445">XLOOKUP($A445, Quotations!$E$2:E1756, Quotations!$F$2:F1756, "")
</f>
        <v>112.71</v>
      </c>
      <c r="E445" s="9">
        <f t="array" ref="E445">XLOOKUP($A445, Quotations!$G$2:G1756, Quotations!$H$2:H1756, "")
</f>
        <v>123.24</v>
      </c>
      <c r="F445" s="9">
        <f t="array" ref="F445">XLOOKUP($A445, Quotations!$I$2:I1756, Quotations!$J$2:J1756, "")
</f>
        <v>130.46</v>
      </c>
      <c r="G445" s="9">
        <f t="array" ref="G445">XLOOKUP($A445, Quotations!$K$2:K1756, Quotations!$L$2:L1756, "")
</f>
        <v>1386.0225</v>
      </c>
    </row>
    <row r="446">
      <c r="A446" s="8">
        <v>42285.0</v>
      </c>
      <c r="B446" s="9">
        <f t="array" ref="B446">XLOOKUP($A446, Quotations!$A$2:A1756, Quotations!$B$2:B1756, "")
</f>
        <v>123.31</v>
      </c>
      <c r="C446" s="9">
        <f t="array" ref="C446">XLOOKUP($A446, Quotations!$C$2:C1756, Quotations!$D$2:D1756, "")</f>
        <v>24.47</v>
      </c>
      <c r="D446" s="9">
        <f t="array" ref="D446">XLOOKUP($A446, Quotations!$E$2:E1756, Quotations!$F$2:F1756, "")
</f>
        <v>112.74</v>
      </c>
      <c r="E446" s="9">
        <f t="array" ref="E446">XLOOKUP($A446, Quotations!$G$2:G1756, Quotations!$H$2:H1756, "")
</f>
        <v>123.23</v>
      </c>
      <c r="F446" s="9">
        <f t="array" ref="F446">XLOOKUP($A446, Quotations!$I$2:I1756, Quotations!$J$2:J1756, "")
</f>
        <v>130.68</v>
      </c>
      <c r="G446" s="9">
        <f t="array" ref="G446">XLOOKUP($A446, Quotations!$K$2:K1756, Quotations!$L$2:L1756, "")
</f>
        <v>1387.2809</v>
      </c>
    </row>
    <row r="447">
      <c r="A447" s="8">
        <v>42286.0</v>
      </c>
      <c r="B447" s="9">
        <f t="array" ref="B447">XLOOKUP($A447, Quotations!$A$2:A1756, Quotations!$B$2:B1756, "")
</f>
        <v>123.46</v>
      </c>
      <c r="C447" s="9">
        <f t="array" ref="C447">XLOOKUP($A447, Quotations!$C$2:C1756, Quotations!$D$2:D1756, "")</f>
        <v>24.46</v>
      </c>
      <c r="D447" s="9">
        <f t="array" ref="D447">XLOOKUP($A447, Quotations!$E$2:E1756, Quotations!$F$2:F1756, "")
</f>
        <v>112.77</v>
      </c>
      <c r="E447" s="9">
        <f t="array" ref="E447">XLOOKUP($A447, Quotations!$G$2:G1756, Quotations!$H$2:H1756, "")
</f>
        <v>123.29</v>
      </c>
      <c r="F447" s="9">
        <f t="array" ref="F447">XLOOKUP($A447, Quotations!$I$2:I1756, Quotations!$J$2:J1756, "")
</f>
        <v>130.62</v>
      </c>
      <c r="G447" s="9">
        <f t="array" ref="G447">XLOOKUP($A447, Quotations!$K$2:K1756, Quotations!$L$2:L1756, "")
</f>
        <v>1392.1285</v>
      </c>
    </row>
    <row r="448">
      <c r="A448" s="8">
        <v>42289.0</v>
      </c>
      <c r="B448" s="9">
        <f t="array" ref="B448">XLOOKUP($A448, Quotations!$A$2:A1756, Quotations!$B$2:B1756, "")
</f>
        <v>123.32</v>
      </c>
      <c r="C448" s="9">
        <f t="array" ref="C448">XLOOKUP($A448, Quotations!$C$2:C1756, Quotations!$D$2:D1756, "")</f>
        <v>24.46</v>
      </c>
      <c r="D448" s="9">
        <f t="array" ref="D448">XLOOKUP($A448, Quotations!$E$2:E1756, Quotations!$F$2:F1756, "")
</f>
        <v>112.82</v>
      </c>
      <c r="E448" s="9">
        <f t="array" ref="E448">XLOOKUP($A448, Quotations!$G$2:G1756, Quotations!$H$2:H1756, "")
</f>
        <v>123.14</v>
      </c>
      <c r="F448" s="9">
        <f t="array" ref="F448">XLOOKUP($A448, Quotations!$I$2:I1756, Quotations!$J$2:J1756, "")
</f>
        <v>130.69</v>
      </c>
      <c r="G448" s="9">
        <f t="array" ref="G448">XLOOKUP($A448, Quotations!$K$2:K1756, Quotations!$L$2:L1756, "")
</f>
        <v>1392.8058</v>
      </c>
    </row>
    <row r="449">
      <c r="A449" s="8">
        <v>42290.0</v>
      </c>
      <c r="B449" s="9">
        <f t="array" ref="B449">XLOOKUP($A449, Quotations!$A$2:A1756, Quotations!$B$2:B1756, "")
</f>
        <v>123.07</v>
      </c>
      <c r="C449" s="9">
        <f t="array" ref="C449">XLOOKUP($A449, Quotations!$C$2:C1756, Quotations!$D$2:D1756, "")</f>
        <v>24.45</v>
      </c>
      <c r="D449" s="9">
        <f t="array" ref="D449">XLOOKUP($A449, Quotations!$E$2:E1756, Quotations!$F$2:F1756, "")
</f>
        <v>112.82</v>
      </c>
      <c r="E449" s="9">
        <f t="array" ref="E449">XLOOKUP($A449, Quotations!$G$2:G1756, Quotations!$H$2:H1756, "")
</f>
        <v>123.3</v>
      </c>
      <c r="F449" s="9">
        <f t="array" ref="F449">XLOOKUP($A449, Quotations!$I$2:I1756, Quotations!$J$2:J1756, "")
</f>
        <v>130.88</v>
      </c>
      <c r="G449" s="9">
        <f t="array" ref="G449">XLOOKUP($A449, Quotations!$K$2:K1756, Quotations!$L$2:L1756, "")
</f>
        <v>1392.8093</v>
      </c>
    </row>
    <row r="450">
      <c r="A450" s="8">
        <v>42291.0</v>
      </c>
      <c r="B450" s="9">
        <f t="array" ref="B450">XLOOKUP($A450, Quotations!$A$2:A1756, Quotations!$B$2:B1756, "")
</f>
        <v>122.92</v>
      </c>
      <c r="C450" s="9">
        <f t="array" ref="C450">XLOOKUP($A450, Quotations!$C$2:C1756, Quotations!$D$2:D1756, "")</f>
        <v>24.45</v>
      </c>
      <c r="D450" s="9">
        <f t="array" ref="D450">XLOOKUP($A450, Quotations!$E$2:E1756, Quotations!$F$2:F1756, "")
</f>
        <v>112.82</v>
      </c>
      <c r="E450" s="9">
        <f t="array" ref="E450">XLOOKUP($A450, Quotations!$G$2:G1756, Quotations!$H$2:H1756, "")
</f>
        <v>123.22</v>
      </c>
      <c r="F450" s="9">
        <f t="array" ref="F450">XLOOKUP($A450, Quotations!$I$2:I1756, Quotations!$J$2:J1756, "")
</f>
        <v>130.94</v>
      </c>
      <c r="G450" s="9">
        <f t="array" ref="G450">XLOOKUP($A450, Quotations!$K$2:K1756, Quotations!$L$2:L1756, "")
</f>
        <v>1388.4833</v>
      </c>
    </row>
    <row r="451">
      <c r="A451" s="8">
        <v>42292.0</v>
      </c>
      <c r="B451" s="9">
        <f t="array" ref="B451">XLOOKUP($A451, Quotations!$A$2:A1756, Quotations!$B$2:B1756, "")
</f>
        <v>123.27</v>
      </c>
      <c r="C451" s="9">
        <f t="array" ref="C451">XLOOKUP($A451, Quotations!$C$2:C1756, Quotations!$D$2:D1756, "")</f>
        <v>24.45</v>
      </c>
      <c r="D451" s="9">
        <f t="array" ref="D451">XLOOKUP($A451, Quotations!$E$2:E1756, Quotations!$F$2:F1756, "")
</f>
        <v>112.85</v>
      </c>
      <c r="E451" s="9">
        <f t="array" ref="E451">XLOOKUP($A451, Quotations!$G$2:G1756, Quotations!$H$2:H1756, "")
</f>
        <v>123.44</v>
      </c>
      <c r="F451" s="9">
        <f t="array" ref="F451">XLOOKUP($A451, Quotations!$I$2:I1756, Quotations!$J$2:J1756, "")
</f>
        <v>130.98</v>
      </c>
      <c r="G451" s="9">
        <f t="array" ref="G451">XLOOKUP($A451, Quotations!$K$2:K1756, Quotations!$L$2:L1756, "")
</f>
        <v>1392.0107</v>
      </c>
    </row>
    <row r="452">
      <c r="A452" s="8">
        <v>42293.0</v>
      </c>
      <c r="B452" s="9">
        <f t="array" ref="B452">XLOOKUP($A452, Quotations!$A$2:A1756, Quotations!$B$2:B1756, "")
</f>
        <v>123.49</v>
      </c>
      <c r="C452" s="9">
        <f t="array" ref="C452">XLOOKUP($A452, Quotations!$C$2:C1756, Quotations!$D$2:D1756, "")</f>
        <v>24.45</v>
      </c>
      <c r="D452" s="9">
        <f t="array" ref="D452">XLOOKUP($A452, Quotations!$E$2:E1756, Quotations!$F$2:F1756, "")
</f>
        <v>112.88</v>
      </c>
      <c r="E452" s="9">
        <f t="array" ref="E452">XLOOKUP($A452, Quotations!$G$2:G1756, Quotations!$H$2:H1756, "")
</f>
        <v>123.38</v>
      </c>
      <c r="F452" s="9">
        <f t="array" ref="F452">XLOOKUP($A452, Quotations!$I$2:I1756, Quotations!$J$2:J1756, "")
</f>
        <v>131.07</v>
      </c>
      <c r="G452" s="9">
        <f t="array" ref="G452">XLOOKUP($A452, Quotations!$K$2:K1756, Quotations!$L$2:L1756, "")
</f>
        <v>1398.0237</v>
      </c>
    </row>
    <row r="453">
      <c r="A453" s="8">
        <v>42296.0</v>
      </c>
      <c r="B453" s="9">
        <f t="array" ref="B453">XLOOKUP($A453, Quotations!$A$2:A1756, Quotations!$B$2:B1756, "")
</f>
        <v>123.61</v>
      </c>
      <c r="C453" s="9">
        <f t="array" ref="C453">XLOOKUP($A453, Quotations!$C$2:C1756, Quotations!$D$2:D1756, "")</f>
        <v>24.46</v>
      </c>
      <c r="D453" s="9">
        <f t="array" ref="D453">XLOOKUP($A453, Quotations!$E$2:E1756, Quotations!$F$2:F1756, "")
</f>
        <v>112.89</v>
      </c>
      <c r="E453" s="9">
        <f t="array" ref="E453">XLOOKUP($A453, Quotations!$G$2:G1756, Quotations!$H$2:H1756, "")
</f>
        <v>123.44</v>
      </c>
      <c r="F453" s="9">
        <f t="array" ref="F453">XLOOKUP($A453, Quotations!$I$2:I1756, Quotations!$J$2:J1756, "")
</f>
        <v>131.32</v>
      </c>
      <c r="G453" s="9">
        <f t="array" ref="G453">XLOOKUP($A453, Quotations!$K$2:K1756, Quotations!$L$2:L1756, "")
</f>
        <v>1400.7376</v>
      </c>
    </row>
    <row r="454">
      <c r="A454" s="8">
        <v>42297.0</v>
      </c>
      <c r="B454" s="9">
        <f t="array" ref="B454">XLOOKUP($A454, Quotations!$A$2:A1756, Quotations!$B$2:B1756, "")
</f>
        <v>123.52</v>
      </c>
      <c r="C454" s="9">
        <f t="array" ref="C454">XLOOKUP($A454, Quotations!$C$2:C1756, Quotations!$D$2:D1756, "")</f>
        <v>24.45</v>
      </c>
      <c r="D454" s="9">
        <f t="array" ref="D454">XLOOKUP($A454, Quotations!$E$2:E1756, Quotations!$F$2:F1756, "")
</f>
        <v>112.88</v>
      </c>
      <c r="E454" s="9">
        <f t="array" ref="E454">XLOOKUP($A454, Quotations!$G$2:G1756, Quotations!$H$2:H1756, "")
</f>
        <v>123.37</v>
      </c>
      <c r="F454" s="9">
        <f t="array" ref="F454">XLOOKUP($A454, Quotations!$I$2:I1756, Quotations!$J$2:J1756, "")
</f>
        <v>131.4</v>
      </c>
      <c r="G454" s="9">
        <f t="array" ref="G454">XLOOKUP($A454, Quotations!$K$2:K1756, Quotations!$L$2:L1756, "")
</f>
        <v>1404.349</v>
      </c>
    </row>
    <row r="455">
      <c r="A455" s="8">
        <v>42298.0</v>
      </c>
      <c r="B455" s="9">
        <f t="array" ref="B455">XLOOKUP($A455, Quotations!$A$2:A1756, Quotations!$B$2:B1756, "")
</f>
        <v>123.61</v>
      </c>
      <c r="C455" s="9">
        <f t="array" ref="C455">XLOOKUP($A455, Quotations!$C$2:C1756, Quotations!$D$2:D1756, "")</f>
        <v>24.45</v>
      </c>
      <c r="D455" s="9">
        <f t="array" ref="D455">XLOOKUP($A455, Quotations!$E$2:E1756, Quotations!$F$2:F1756, "")
</f>
        <v>112.9</v>
      </c>
      <c r="E455" s="9">
        <f t="array" ref="E455">XLOOKUP($A455, Quotations!$G$2:G1756, Quotations!$H$2:H1756, "")
</f>
        <v>123.05</v>
      </c>
      <c r="F455" s="9">
        <f t="array" ref="F455">XLOOKUP($A455, Quotations!$I$2:I1756, Quotations!$J$2:J1756, "")
</f>
        <v>131.33</v>
      </c>
      <c r="G455" s="9">
        <f t="array" ref="G455">XLOOKUP($A455, Quotations!$K$2:K1756, Quotations!$L$2:L1756, "")
</f>
        <v>1404.1025</v>
      </c>
    </row>
    <row r="456">
      <c r="A456" s="8">
        <v>42299.0</v>
      </c>
      <c r="B456" s="9">
        <f t="array" ref="B456">XLOOKUP($A456, Quotations!$A$2:A1756, Quotations!$B$2:B1756, "")
</f>
        <v>124.33</v>
      </c>
      <c r="C456" s="9">
        <f t="array" ref="C456">XLOOKUP($A456, Quotations!$C$2:C1756, Quotations!$D$2:D1756, "")</f>
        <v>24.48</v>
      </c>
      <c r="D456" s="9">
        <f t="array" ref="D456">XLOOKUP($A456, Quotations!$E$2:E1756, Quotations!$F$2:F1756, "")
</f>
        <v>112.81</v>
      </c>
      <c r="E456" s="9">
        <f t="array" ref="E456">XLOOKUP($A456, Quotations!$G$2:G1756, Quotations!$H$2:H1756, "")
</f>
        <v>123.28</v>
      </c>
      <c r="F456" s="9">
        <f t="array" ref="F456">XLOOKUP($A456, Quotations!$I$2:I1756, Quotations!$J$2:J1756, "")
</f>
        <v>130.96</v>
      </c>
      <c r="G456" s="9">
        <f t="array" ref="G456">XLOOKUP($A456, Quotations!$K$2:K1756, Quotations!$L$2:L1756, "")
</f>
        <v>1401.6248</v>
      </c>
    </row>
    <row r="457">
      <c r="A457" s="8">
        <v>42300.0</v>
      </c>
      <c r="B457" s="9">
        <f t="array" ref="B457">XLOOKUP($A457, Quotations!$A$2:A1756, Quotations!$B$2:B1756, "")
</f>
        <v>125.07</v>
      </c>
      <c r="C457" s="9">
        <f t="array" ref="C457">XLOOKUP($A457, Quotations!$C$2:C1756, Quotations!$D$2:D1756, "")</f>
        <v>24.51</v>
      </c>
      <c r="D457" s="9">
        <f t="array" ref="D457">XLOOKUP($A457, Quotations!$E$2:E1756, Quotations!$F$2:F1756, "")
</f>
        <v>112.86</v>
      </c>
      <c r="E457" s="9">
        <f t="array" ref="E457">XLOOKUP($A457, Quotations!$G$2:G1756, Quotations!$H$2:H1756, "")
</f>
        <v>123.69</v>
      </c>
      <c r="F457" s="9">
        <f t="array" ref="F457">XLOOKUP($A457, Quotations!$I$2:I1756, Quotations!$J$2:J1756, "")
</f>
        <v>131.08</v>
      </c>
      <c r="G457" s="9">
        <f t="array" ref="G457">XLOOKUP($A457, Quotations!$K$2:K1756, Quotations!$L$2:L1756, "")
</f>
        <v>1412.578</v>
      </c>
    </row>
    <row r="458">
      <c r="A458" s="8">
        <v>42303.0</v>
      </c>
      <c r="B458" s="9">
        <f t="array" ref="B458">XLOOKUP($A458, Quotations!$A$2:A1756, Quotations!$B$2:B1756, "")
</f>
        <v>125.08</v>
      </c>
      <c r="C458" s="9">
        <f t="array" ref="C458">XLOOKUP($A458, Quotations!$C$2:C1756, Quotations!$D$2:D1756, "")</f>
        <v>24.51</v>
      </c>
      <c r="D458" s="9">
        <f t="array" ref="D458">XLOOKUP($A458, Quotations!$E$2:E1756, Quotations!$F$2:F1756, "")
</f>
        <v>112.92</v>
      </c>
      <c r="E458" s="9">
        <f t="array" ref="E458">XLOOKUP($A458, Quotations!$G$2:G1756, Quotations!$H$2:H1756, "")
</f>
        <v>123.68</v>
      </c>
      <c r="F458" s="9">
        <f t="array" ref="F458">XLOOKUP($A458, Quotations!$I$2:I1756, Quotations!$J$2:J1756, "")
</f>
        <v>131.54</v>
      </c>
      <c r="G458" s="9">
        <f t="array" ref="G458">XLOOKUP($A458, Quotations!$K$2:K1756, Quotations!$L$2:L1756, "")
</f>
        <v>1420.6121</v>
      </c>
    </row>
    <row r="459">
      <c r="A459" s="8">
        <v>42304.0</v>
      </c>
      <c r="B459" s="9">
        <f t="array" ref="B459">XLOOKUP($A459, Quotations!$A$2:A1756, Quotations!$B$2:B1756, "")
</f>
        <v>124.84</v>
      </c>
      <c r="C459" s="9">
        <f t="array" ref="C459">XLOOKUP($A459, Quotations!$C$2:C1756, Quotations!$D$2:D1756, "")</f>
        <v>24.5</v>
      </c>
      <c r="D459" s="9">
        <f t="array" ref="D459">XLOOKUP($A459, Quotations!$E$2:E1756, Quotations!$F$2:F1756, "")
</f>
        <v>112.91</v>
      </c>
      <c r="E459" s="9">
        <f t="array" ref="E459">XLOOKUP($A459, Quotations!$G$2:G1756, Quotations!$H$2:H1756, "")
</f>
        <v>123.73</v>
      </c>
      <c r="F459" s="9">
        <f t="array" ref="F459">XLOOKUP($A459, Quotations!$I$2:I1756, Quotations!$J$2:J1756, "")
</f>
        <v>131.69</v>
      </c>
      <c r="G459" s="9">
        <f t="array" ref="G459">XLOOKUP($A459, Quotations!$K$2:K1756, Quotations!$L$2:L1756, "")
</f>
        <v>1422.4163</v>
      </c>
    </row>
    <row r="460">
      <c r="A460" s="8">
        <v>42305.0</v>
      </c>
      <c r="B460" s="9">
        <f t="array" ref="B460">XLOOKUP($A460, Quotations!$A$2:A1756, Quotations!$B$2:B1756, "")
</f>
        <v>125.21</v>
      </c>
      <c r="C460" s="9">
        <f t="array" ref="C460">XLOOKUP($A460, Quotations!$C$2:C1756, Quotations!$D$2:D1756, "")</f>
        <v>24.49</v>
      </c>
      <c r="D460" s="9">
        <f t="array" ref="D460">XLOOKUP($A460, Quotations!$E$2:E1756, Quotations!$F$2:F1756, "")
</f>
        <v>112.88</v>
      </c>
      <c r="E460" s="9">
        <f t="array" ref="E460">XLOOKUP($A460, Quotations!$G$2:G1756, Quotations!$H$2:H1756, "")
</f>
        <v>123.76</v>
      </c>
      <c r="F460" s="9">
        <f t="array" ref="F460">XLOOKUP($A460, Quotations!$I$2:I1756, Quotations!$J$2:J1756, "")
</f>
        <v>131.93</v>
      </c>
      <c r="G460" s="9">
        <f t="array" ref="G460">XLOOKUP($A460, Quotations!$K$2:K1756, Quotations!$L$2:L1756, "")
</f>
        <v>1420.9678</v>
      </c>
    </row>
    <row r="461">
      <c r="A461" s="8">
        <v>42306.0</v>
      </c>
      <c r="B461" s="9">
        <f t="array" ref="B461">XLOOKUP($A461, Quotations!$A$2:A1756, Quotations!$B$2:B1756, "")
</f>
        <v>125.45</v>
      </c>
      <c r="C461" s="9">
        <f t="array" ref="C461">XLOOKUP($A461, Quotations!$C$2:C1756, Quotations!$D$2:D1756, "")</f>
        <v>24.5</v>
      </c>
      <c r="D461" s="9">
        <f t="array" ref="D461">XLOOKUP($A461, Quotations!$E$2:E1756, Quotations!$F$2:F1756, "")
</f>
        <v>112.83</v>
      </c>
      <c r="E461" s="9">
        <f t="array" ref="E461">XLOOKUP($A461, Quotations!$G$2:G1756, Quotations!$H$2:H1756, "")
</f>
        <v>124.09</v>
      </c>
      <c r="F461" s="9">
        <f t="array" ref="F461">XLOOKUP($A461, Quotations!$I$2:I1756, Quotations!$J$2:J1756, "")
</f>
        <v>132.13</v>
      </c>
      <c r="G461" s="9">
        <f t="array" ref="G461">XLOOKUP($A461, Quotations!$K$2:K1756, Quotations!$L$2:L1756, "")
</f>
        <v>1424.1327</v>
      </c>
    </row>
    <row r="462">
      <c r="A462" s="8">
        <v>42307.0</v>
      </c>
      <c r="B462" s="9">
        <f t="array" ref="B462">XLOOKUP($A462, Quotations!$A$2:A1756, Quotations!$B$2:B1756, "")
</f>
        <v>125.67</v>
      </c>
      <c r="C462" s="9">
        <f t="array" ref="C462">XLOOKUP($A462, Quotations!$C$2:C1756, Quotations!$D$2:D1756, "")</f>
        <v>24.5</v>
      </c>
      <c r="D462" s="9">
        <f t="array" ref="D462">XLOOKUP($A462, Quotations!$E$2:E1756, Quotations!$F$2:F1756, "")
</f>
        <v>112.83</v>
      </c>
      <c r="E462" s="9">
        <f t="array" ref="E462">XLOOKUP($A462, Quotations!$G$2:G1756, Quotations!$H$2:H1756, "")
</f>
        <v>123.51</v>
      </c>
      <c r="F462" s="9">
        <f t="array" ref="F462">XLOOKUP($A462, Quotations!$I$2:I1756, Quotations!$J$2:J1756, "")
</f>
        <v>132.33</v>
      </c>
      <c r="G462" s="9">
        <f t="array" ref="G462">XLOOKUP($A462, Quotations!$K$2:K1756, Quotations!$L$2:L1756, "")
</f>
        <v>1421.4951</v>
      </c>
    </row>
    <row r="463">
      <c r="A463" s="8">
        <v>42310.0</v>
      </c>
      <c r="B463" s="9">
        <f t="array" ref="B463">XLOOKUP($A463, Quotations!$A$2:A1756, Quotations!$B$2:B1756, "")
</f>
        <v>125.89</v>
      </c>
      <c r="C463" s="9">
        <f t="array" ref="C463">XLOOKUP($A463, Quotations!$C$2:C1756, Quotations!$D$2:D1756, "")</f>
        <v>24.5</v>
      </c>
      <c r="D463" s="9">
        <f t="array" ref="D463">XLOOKUP($A463, Quotations!$E$2:E1756, Quotations!$F$2:F1756, "")
</f>
        <v>112.89</v>
      </c>
      <c r="E463" s="9">
        <f t="array" ref="E463">XLOOKUP($A463, Quotations!$G$2:G1756, Quotations!$H$2:H1756, "")
</f>
        <v>123.58</v>
      </c>
      <c r="F463" s="9">
        <f t="array" ref="F463">XLOOKUP($A463, Quotations!$I$2:I1756, Quotations!$J$2:J1756, "")
</f>
        <v>131.97</v>
      </c>
      <c r="G463" s="9">
        <f t="array" ref="G463">XLOOKUP($A463, Quotations!$K$2:K1756, Quotations!$L$2:L1756, "")
</f>
        <v>1422.9398</v>
      </c>
    </row>
    <row r="464">
      <c r="A464" s="8">
        <v>42311.0</v>
      </c>
      <c r="B464" s="9">
        <f t="array" ref="B464">XLOOKUP($A464, Quotations!$A$2:A1756, Quotations!$B$2:B1756, "")
</f>
        <v>125.95</v>
      </c>
      <c r="C464" s="9">
        <f t="array" ref="C464">XLOOKUP($A464, Quotations!$C$2:C1756, Quotations!$D$2:D1756, "")</f>
        <v>24.52</v>
      </c>
      <c r="D464" s="9">
        <f t="array" ref="D464">XLOOKUP($A464, Quotations!$E$2:E1756, Quotations!$F$2:F1756, "")
</f>
        <v>112.93</v>
      </c>
      <c r="E464" s="9">
        <f t="array" ref="E464">XLOOKUP($A464, Quotations!$G$2:G1756, Quotations!$H$2:H1756, "")
</f>
        <v>123.83</v>
      </c>
      <c r="F464" s="9">
        <f t="array" ref="F464">XLOOKUP($A464, Quotations!$I$2:I1756, Quotations!$J$2:J1756, "")
</f>
        <v>132.36</v>
      </c>
      <c r="G464" s="9">
        <f t="array" ref="G464">XLOOKUP($A464, Quotations!$K$2:K1756, Quotations!$L$2:L1756, "")
</f>
        <v>1428.2821</v>
      </c>
    </row>
    <row r="465">
      <c r="A465" s="8">
        <v>42312.0</v>
      </c>
      <c r="B465" s="9">
        <f t="array" ref="B465">XLOOKUP($A465, Quotations!$A$2:A1756, Quotations!$B$2:B1756, "")
</f>
        <v>125.99</v>
      </c>
      <c r="C465" s="9">
        <f t="array" ref="C465">XLOOKUP($A465, Quotations!$C$2:C1756, Quotations!$D$2:D1756, "")</f>
        <v>24.54</v>
      </c>
      <c r="D465" s="9">
        <f t="array" ref="D465">XLOOKUP($A465, Quotations!$E$2:E1756, Quotations!$F$2:F1756, "")
</f>
        <v>113</v>
      </c>
      <c r="E465" s="9">
        <f t="array" ref="E465">XLOOKUP($A465, Quotations!$G$2:G1756, Quotations!$H$2:H1756, "")
</f>
        <v>123.78</v>
      </c>
      <c r="F465" s="9">
        <f t="array" ref="F465">XLOOKUP($A465, Quotations!$I$2:I1756, Quotations!$J$2:J1756, "")
</f>
        <v>132.56</v>
      </c>
      <c r="G465" s="9">
        <f t="array" ref="G465">XLOOKUP($A465, Quotations!$K$2:K1756, Quotations!$L$2:L1756, "")
</f>
        <v>1429.5048</v>
      </c>
    </row>
    <row r="466">
      <c r="A466" s="8">
        <v>42313.0</v>
      </c>
      <c r="B466" s="9">
        <f t="array" ref="B466">XLOOKUP($A466, Quotations!$A$2:A1756, Quotations!$B$2:B1756, "")
</f>
        <v>125.98</v>
      </c>
      <c r="C466" s="9">
        <f t="array" ref="C466">XLOOKUP($A466, Quotations!$C$2:C1756, Quotations!$D$2:D1756, "")</f>
        <v>24.53</v>
      </c>
      <c r="D466" s="9">
        <f t="array" ref="D466">XLOOKUP($A466, Quotations!$E$2:E1756, Quotations!$F$2:F1756, "")
</f>
        <v>113.02</v>
      </c>
      <c r="E466" s="9">
        <f t="array" ref="E466">XLOOKUP($A466, Quotations!$G$2:G1756, Quotations!$H$2:H1756, "")
</f>
        <v>123.21</v>
      </c>
      <c r="F466" s="9">
        <f t="array" ref="F466">XLOOKUP($A466, Quotations!$I$2:I1756, Quotations!$J$2:J1756, "")
</f>
        <v>132.56</v>
      </c>
      <c r="G466" s="9">
        <f t="array" ref="G466">XLOOKUP($A466, Quotations!$K$2:K1756, Quotations!$L$2:L1756, "")
</f>
        <v>1431.8925</v>
      </c>
    </row>
    <row r="467">
      <c r="A467" s="8">
        <v>42314.0</v>
      </c>
      <c r="B467" s="9">
        <f t="array" ref="B467">XLOOKUP($A467, Quotations!$A$2:A1756, Quotations!$B$2:B1756, "")
</f>
        <v>126.15</v>
      </c>
      <c r="C467" s="9">
        <f t="array" ref="C467">XLOOKUP($A467, Quotations!$C$2:C1756, Quotations!$D$2:D1756, "")</f>
        <v>24.54</v>
      </c>
      <c r="D467" s="9">
        <f t="array" ref="D467">XLOOKUP($A467, Quotations!$E$2:E1756, Quotations!$F$2:F1756, "")
</f>
        <v>113.04</v>
      </c>
      <c r="E467" s="9">
        <f t="array" ref="E467">XLOOKUP($A467, Quotations!$G$2:G1756, Quotations!$H$2:H1756, "")
</f>
        <v>123.45</v>
      </c>
      <c r="F467" s="9">
        <f t="array" ref="F467">XLOOKUP($A467, Quotations!$I$2:I1756, Quotations!$J$2:J1756, "")
</f>
        <v>132.34</v>
      </c>
      <c r="G467" s="9">
        <f t="array" ref="G467">XLOOKUP($A467, Quotations!$K$2:K1756, Quotations!$L$2:L1756, "")
</f>
        <v>1431.8785</v>
      </c>
    </row>
    <row r="468">
      <c r="A468" s="8">
        <v>42317.0</v>
      </c>
      <c r="B468" s="9">
        <f t="array" ref="B468">XLOOKUP($A468, Quotations!$A$2:A1756, Quotations!$B$2:B1756, "")
</f>
        <v>125.6</v>
      </c>
      <c r="C468" s="9">
        <f t="array" ref="C468">XLOOKUP($A468, Quotations!$C$2:C1756, Quotations!$D$2:D1756, "")</f>
        <v>24.54</v>
      </c>
      <c r="D468" s="9">
        <f t="array" ref="D468">XLOOKUP($A468, Quotations!$E$2:E1756, Quotations!$F$2:F1756, "")
</f>
        <v>113.14</v>
      </c>
      <c r="E468" s="9">
        <f t="array" ref="E468">XLOOKUP($A468, Quotations!$G$2:G1756, Quotations!$H$2:H1756, "")
</f>
        <v>123.48</v>
      </c>
      <c r="F468" s="9">
        <f t="array" ref="F468">XLOOKUP($A468, Quotations!$I$2:I1756, Quotations!$J$2:J1756, "")
</f>
        <v>132.21</v>
      </c>
      <c r="G468" s="9">
        <f t="array" ref="G468">XLOOKUP($A468, Quotations!$K$2:K1756, Quotations!$L$2:L1756, "")
</f>
        <v>1433.2742</v>
      </c>
    </row>
    <row r="469">
      <c r="A469" s="8">
        <v>42318.0</v>
      </c>
      <c r="B469" s="9">
        <f t="array" ref="B469">XLOOKUP($A469, Quotations!$A$2:A1756, Quotations!$B$2:B1756, "")
</f>
        <v>125.61</v>
      </c>
      <c r="C469" s="9">
        <f t="array" ref="C469">XLOOKUP($A469, Quotations!$C$2:C1756, Quotations!$D$2:D1756, "")</f>
        <v>24.55</v>
      </c>
      <c r="D469" s="9">
        <f t="array" ref="D469">XLOOKUP($A469, Quotations!$E$2:E1756, Quotations!$F$2:F1756, "")
</f>
        <v>113.2</v>
      </c>
      <c r="E469" s="9">
        <f t="array" ref="E469">XLOOKUP($A469, Quotations!$G$2:G1756, Quotations!$H$2:H1756, "")
</f>
        <v>122.77</v>
      </c>
      <c r="F469" s="9">
        <f t="array" ref="F469">XLOOKUP($A469, Quotations!$I$2:I1756, Quotations!$J$2:J1756, "")
</f>
        <v>131.66</v>
      </c>
      <c r="G469" s="9">
        <f t="array" ref="G469">XLOOKUP($A469, Quotations!$K$2:K1756, Quotations!$L$2:L1756, "")
</f>
        <v>1426.3112</v>
      </c>
    </row>
    <row r="470">
      <c r="A470" s="8">
        <v>42319.0</v>
      </c>
      <c r="B470" s="9" t="str">
        <f t="array" ref="B470">XLOOKUP($A470, Quotations!$A$2:A1756, Quotations!$B$2:B1756, "")
</f>
        <v/>
      </c>
      <c r="C470" s="9">
        <f t="array" ref="C470">XLOOKUP($A470, Quotations!$C$2:C1756, Quotations!$D$2:D1756, "")</f>
        <v>24.55</v>
      </c>
      <c r="D470" s="9">
        <f t="array" ref="D470">XLOOKUP($A470, Quotations!$E$2:E1756, Quotations!$F$2:F1756, "")
</f>
        <v>113.24</v>
      </c>
      <c r="E470" s="9">
        <f t="array" ref="E470">XLOOKUP($A470, Quotations!$G$2:G1756, Quotations!$H$2:H1756, "")
</f>
        <v>123.17</v>
      </c>
      <c r="F470" s="9">
        <f t="array" ref="F470">XLOOKUP($A470, Quotations!$I$2:I1756, Quotations!$J$2:J1756, "")
</f>
        <v>131.76</v>
      </c>
      <c r="G470" s="9">
        <f t="array" ref="G470">XLOOKUP($A470, Quotations!$K$2:K1756, Quotations!$L$2:L1756, "")
</f>
        <v>1426.4469</v>
      </c>
    </row>
    <row r="471">
      <c r="A471" s="8">
        <v>42320.0</v>
      </c>
      <c r="B471" s="9">
        <f t="array" ref="B471">XLOOKUP($A471, Quotations!$A$2:A1756, Quotations!$B$2:B1756, "")
</f>
        <v>125.24</v>
      </c>
      <c r="C471" s="9">
        <f t="array" ref="C471">XLOOKUP($A471, Quotations!$C$2:C1756, Quotations!$D$2:D1756, "")</f>
        <v>24.55</v>
      </c>
      <c r="D471" s="9">
        <f t="array" ref="D471">XLOOKUP($A471, Quotations!$E$2:E1756, Quotations!$F$2:F1756, "")
</f>
        <v>113.21</v>
      </c>
      <c r="E471" s="9">
        <f t="array" ref="E471">XLOOKUP($A471, Quotations!$G$2:G1756, Quotations!$H$2:H1756, "")
</f>
        <v>123.57</v>
      </c>
      <c r="F471" s="9">
        <f t="array" ref="F471">XLOOKUP($A471, Quotations!$I$2:I1756, Quotations!$J$2:J1756, "")
</f>
        <v>131.68</v>
      </c>
      <c r="G471" s="9">
        <f t="array" ref="G471">XLOOKUP($A471, Quotations!$K$2:K1756, Quotations!$L$2:L1756, "")
</f>
        <v>1426.0133</v>
      </c>
    </row>
    <row r="472">
      <c r="A472" s="8">
        <v>42321.0</v>
      </c>
      <c r="B472" s="9">
        <f t="array" ref="B472">XLOOKUP($A472, Quotations!$A$2:A1756, Quotations!$B$2:B1756, "")
</f>
        <v>124.93</v>
      </c>
      <c r="C472" s="9">
        <f t="array" ref="C472">XLOOKUP($A472, Quotations!$C$2:C1756, Quotations!$D$2:D1756, "")</f>
        <v>24.55</v>
      </c>
      <c r="D472" s="9">
        <f t="array" ref="D472">XLOOKUP($A472, Quotations!$E$2:E1756, Quotations!$F$2:F1756, "")
</f>
        <v>113.14</v>
      </c>
      <c r="E472" s="9">
        <f t="array" ref="E472">XLOOKUP($A472, Quotations!$G$2:G1756, Quotations!$H$2:H1756, "")
</f>
        <v>122.97</v>
      </c>
      <c r="F472" s="9">
        <f t="array" ref="F472">XLOOKUP($A472, Quotations!$I$2:I1756, Quotations!$J$2:J1756, "")
</f>
        <v>130.96</v>
      </c>
      <c r="G472" s="9">
        <f t="array" ref="G472">XLOOKUP($A472, Quotations!$K$2:K1756, Quotations!$L$2:L1756, "")
</f>
        <v>1419.4091</v>
      </c>
    </row>
    <row r="473">
      <c r="A473" s="8">
        <v>42324.0</v>
      </c>
      <c r="B473" s="9">
        <f t="array" ref="B473">XLOOKUP($A473, Quotations!$A$2:A1756, Quotations!$B$2:B1756, "")
</f>
        <v>124.96</v>
      </c>
      <c r="C473" s="9">
        <f t="array" ref="C473">XLOOKUP($A473, Quotations!$C$2:C1756, Quotations!$D$2:D1756, "")</f>
        <v>24.54</v>
      </c>
      <c r="D473" s="9">
        <f t="array" ref="D473">XLOOKUP($A473, Quotations!$E$2:E1756, Quotations!$F$2:F1756, "")
</f>
        <v>113.14</v>
      </c>
      <c r="E473" s="9">
        <f t="array" ref="E473">XLOOKUP($A473, Quotations!$G$2:G1756, Quotations!$H$2:H1756, "")
</f>
        <v>122.75</v>
      </c>
      <c r="F473" s="9">
        <f t="array" ref="F473">XLOOKUP($A473, Quotations!$I$2:I1756, Quotations!$J$2:J1756, "")
</f>
        <v>130.86</v>
      </c>
      <c r="G473" s="9">
        <f t="array" ref="G473">XLOOKUP($A473, Quotations!$K$2:K1756, Quotations!$L$2:L1756, "")
</f>
        <v>1410.4519</v>
      </c>
    </row>
    <row r="474">
      <c r="A474" s="8">
        <v>42325.0</v>
      </c>
      <c r="B474" s="9">
        <f t="array" ref="B474">XLOOKUP($A474, Quotations!$A$2:A1756, Quotations!$B$2:B1756, "")
</f>
        <v>125.72</v>
      </c>
      <c r="C474" s="9">
        <f t="array" ref="C474">XLOOKUP($A474, Quotations!$C$2:C1756, Quotations!$D$2:D1756, "")</f>
        <v>24.55</v>
      </c>
      <c r="D474" s="9">
        <f t="array" ref="D474">XLOOKUP($A474, Quotations!$E$2:E1756, Quotations!$F$2:F1756, "")
</f>
        <v>113.14</v>
      </c>
      <c r="E474" s="9">
        <f t="array" ref="E474">XLOOKUP($A474, Quotations!$G$2:G1756, Quotations!$H$2:H1756, "")
</f>
        <v>122.82</v>
      </c>
      <c r="F474" s="9">
        <f t="array" ref="F474">XLOOKUP($A474, Quotations!$I$2:I1756, Quotations!$J$2:J1756, "")
</f>
        <v>131.09</v>
      </c>
      <c r="G474" s="9">
        <f t="array" ref="G474">XLOOKUP($A474, Quotations!$K$2:K1756, Quotations!$L$2:L1756, "")
</f>
        <v>1412.5906</v>
      </c>
    </row>
    <row r="475">
      <c r="A475" s="8">
        <v>42326.0</v>
      </c>
      <c r="B475" s="9">
        <f t="array" ref="B475">XLOOKUP($A475, Quotations!$A$2:A1756, Quotations!$B$2:B1756, "")
</f>
        <v>125.62</v>
      </c>
      <c r="C475" s="9">
        <f t="array" ref="C475">XLOOKUP($A475, Quotations!$C$2:C1756, Quotations!$D$2:D1756, "")</f>
        <v>24.55</v>
      </c>
      <c r="D475" s="9">
        <f t="array" ref="D475">XLOOKUP($A475, Quotations!$E$2:E1756, Quotations!$F$2:F1756, "")
</f>
        <v>113.11</v>
      </c>
      <c r="E475" s="9">
        <f t="array" ref="E475">XLOOKUP($A475, Quotations!$G$2:G1756, Quotations!$H$2:H1756, "")
</f>
        <v>124.11</v>
      </c>
      <c r="F475" s="9">
        <f t="array" ref="F475">XLOOKUP($A475, Quotations!$I$2:I1756, Quotations!$J$2:J1756, "")
</f>
        <v>131.27</v>
      </c>
      <c r="G475" s="9">
        <f t="array" ref="G475">XLOOKUP($A475, Quotations!$K$2:K1756, Quotations!$L$2:L1756, "")
</f>
        <v>1417.8558</v>
      </c>
    </row>
    <row r="476">
      <c r="A476" s="8">
        <v>42327.0</v>
      </c>
      <c r="B476" s="9">
        <f t="array" ref="B476">XLOOKUP($A476, Quotations!$A$2:A1756, Quotations!$B$2:B1756, "")
</f>
        <v>125.89</v>
      </c>
      <c r="C476" s="9">
        <f t="array" ref="C476">XLOOKUP($A476, Quotations!$C$2:C1756, Quotations!$D$2:D1756, "")</f>
        <v>24.55</v>
      </c>
      <c r="D476" s="9">
        <f t="array" ref="D476">XLOOKUP($A476, Quotations!$E$2:E1756, Quotations!$F$2:F1756, "")
</f>
        <v>113.18</v>
      </c>
      <c r="E476" s="9">
        <f t="array" ref="E476">XLOOKUP($A476, Quotations!$G$2:G1756, Quotations!$H$2:H1756, "")
</f>
        <v>124.2</v>
      </c>
      <c r="F476" s="9">
        <f t="array" ref="F476">XLOOKUP($A476, Quotations!$I$2:I1756, Quotations!$J$2:J1756, "")
</f>
        <v>131.91</v>
      </c>
      <c r="G476" s="9">
        <f t="array" ref="G476">XLOOKUP($A476, Quotations!$K$2:K1756, Quotations!$L$2:L1756, "")
</f>
        <v>1420.5745</v>
      </c>
    </row>
    <row r="477">
      <c r="A477" s="8">
        <v>42328.0</v>
      </c>
      <c r="B477" s="9">
        <f t="array" ref="B477">XLOOKUP($A477, Quotations!$A$2:A1756, Quotations!$B$2:B1756, "")
</f>
        <v>125.74</v>
      </c>
      <c r="C477" s="9">
        <f t="array" ref="C477">XLOOKUP($A477, Quotations!$C$2:C1756, Quotations!$D$2:D1756, "")</f>
        <v>24.57</v>
      </c>
      <c r="D477" s="9">
        <f t="array" ref="D477">XLOOKUP($A477, Quotations!$E$2:E1756, Quotations!$F$2:F1756, "")
</f>
        <v>113.19</v>
      </c>
      <c r="E477" s="9">
        <f t="array" ref="E477">XLOOKUP($A477, Quotations!$G$2:G1756, Quotations!$H$2:H1756, "")
</f>
        <v>124.88</v>
      </c>
      <c r="F477" s="9">
        <f t="array" ref="F477">XLOOKUP($A477, Quotations!$I$2:I1756, Quotations!$J$2:J1756, "")
</f>
        <v>131.91</v>
      </c>
      <c r="G477" s="9">
        <f t="array" ref="G477">XLOOKUP($A477, Quotations!$K$2:K1756, Quotations!$L$2:L1756, "")
</f>
        <v>1425.2487</v>
      </c>
    </row>
    <row r="478">
      <c r="A478" s="8">
        <v>42331.0</v>
      </c>
      <c r="B478" s="9">
        <f t="array" ref="B478">XLOOKUP($A478, Quotations!$A$2:A1756, Quotations!$B$2:B1756, "")
</f>
        <v>125.53</v>
      </c>
      <c r="C478" s="9">
        <f t="array" ref="C478">XLOOKUP($A478, Quotations!$C$2:C1756, Quotations!$D$2:D1756, "")</f>
        <v>24.57</v>
      </c>
      <c r="D478" s="9">
        <f t="array" ref="D478">XLOOKUP($A478, Quotations!$E$2:E1756, Quotations!$F$2:F1756, "")
</f>
        <v>113.21</v>
      </c>
      <c r="E478" s="9">
        <f t="array" ref="E478">XLOOKUP($A478, Quotations!$G$2:G1756, Quotations!$H$2:H1756, "")
</f>
        <v>125.05</v>
      </c>
      <c r="F478" s="9">
        <f t="array" ref="F478">XLOOKUP($A478, Quotations!$I$2:I1756, Quotations!$J$2:J1756, "")
</f>
        <v>132.05</v>
      </c>
      <c r="G478" s="9">
        <f t="array" ref="G478">XLOOKUP($A478, Quotations!$K$2:K1756, Quotations!$L$2:L1756, "")
</f>
        <v>1426.6492</v>
      </c>
    </row>
    <row r="479">
      <c r="A479" s="8">
        <v>42332.0</v>
      </c>
      <c r="B479" s="9">
        <f t="array" ref="B479">XLOOKUP($A479, Quotations!$A$2:A1756, Quotations!$B$2:B1756, "")
</f>
        <v>125.01</v>
      </c>
      <c r="C479" s="9">
        <f t="array" ref="C479">XLOOKUP($A479, Quotations!$C$2:C1756, Quotations!$D$2:D1756, "")</f>
        <v>24.56</v>
      </c>
      <c r="D479" s="9">
        <f t="array" ref="D479">XLOOKUP($A479, Quotations!$E$2:E1756, Quotations!$F$2:F1756, "")
</f>
        <v>113.24</v>
      </c>
      <c r="E479" s="9">
        <f t="array" ref="E479">XLOOKUP($A479, Quotations!$G$2:G1756, Quotations!$H$2:H1756, "")
</f>
        <v>124.72</v>
      </c>
      <c r="F479" s="9">
        <f t="array" ref="F479">XLOOKUP($A479, Quotations!$I$2:I1756, Quotations!$J$2:J1756, "")
</f>
        <v>131.79</v>
      </c>
      <c r="G479" s="9">
        <f t="array" ref="G479">XLOOKUP($A479, Quotations!$K$2:K1756, Quotations!$L$2:L1756, "")
</f>
        <v>1424.5624</v>
      </c>
    </row>
    <row r="480">
      <c r="A480" s="8">
        <v>42333.0</v>
      </c>
      <c r="B480" s="9">
        <f t="array" ref="B480">XLOOKUP($A480, Quotations!$A$2:A1756, Quotations!$B$2:B1756, "")
</f>
        <v>125.29</v>
      </c>
      <c r="C480" s="9">
        <f t="array" ref="C480">XLOOKUP($A480, Quotations!$C$2:C1756, Quotations!$D$2:D1756, "")</f>
        <v>24.57</v>
      </c>
      <c r="D480" s="9">
        <f t="array" ref="D480">XLOOKUP($A480, Quotations!$E$2:E1756, Quotations!$F$2:F1756, "")
</f>
        <v>112.78</v>
      </c>
      <c r="E480" s="9">
        <f t="array" ref="E480">XLOOKUP($A480, Quotations!$G$2:G1756, Quotations!$H$2:H1756, "")
</f>
        <v>124.01</v>
      </c>
      <c r="F480" s="9">
        <f t="array" ref="F480">XLOOKUP($A480, Quotations!$I$2:I1756, Quotations!$J$2:J1756, "")
</f>
        <v>131.92</v>
      </c>
      <c r="G480" s="9">
        <f t="array" ref="G480">XLOOKUP($A480, Quotations!$K$2:K1756, Quotations!$L$2:L1756, "")
</f>
        <v>1420.428</v>
      </c>
    </row>
    <row r="481">
      <c r="A481" s="8">
        <v>42334.0</v>
      </c>
      <c r="B481" s="9">
        <f t="array" ref="B481">XLOOKUP($A481, Quotations!$A$2:A1756, Quotations!$B$2:B1756, "")
</f>
        <v>125.51</v>
      </c>
      <c r="C481" s="9">
        <f t="array" ref="C481">XLOOKUP($A481, Quotations!$C$2:C1756, Quotations!$D$2:D1756, "")</f>
        <v>24.57</v>
      </c>
      <c r="D481" s="9">
        <f t="array" ref="D481">XLOOKUP($A481, Quotations!$E$2:E1756, Quotations!$F$2:F1756, "")
</f>
        <v>112.82</v>
      </c>
      <c r="E481" s="9">
        <f t="array" ref="E481">XLOOKUP($A481, Quotations!$G$2:G1756, Quotations!$H$2:H1756, "")
</f>
        <v>125.31</v>
      </c>
      <c r="F481" s="9">
        <f t="array" ref="F481">XLOOKUP($A481, Quotations!$I$2:I1756, Quotations!$J$2:J1756, "")
</f>
        <v>132.41</v>
      </c>
      <c r="G481" s="9">
        <f t="array" ref="G481">XLOOKUP($A481, Quotations!$K$2:K1756, Quotations!$L$2:L1756, "")
</f>
        <v>1422.1093</v>
      </c>
    </row>
    <row r="482">
      <c r="A482" s="8">
        <v>42335.0</v>
      </c>
      <c r="B482" s="9">
        <f t="array" ref="B482">XLOOKUP($A482, Quotations!$A$2:A1756, Quotations!$B$2:B1756, "")
</f>
        <v>125.49</v>
      </c>
      <c r="C482" s="9">
        <f t="array" ref="C482">XLOOKUP($A482, Quotations!$C$2:C1756, Quotations!$D$2:D1756, "")</f>
        <v>24.56</v>
      </c>
      <c r="D482" s="9">
        <f t="array" ref="D482">XLOOKUP($A482, Quotations!$E$2:E1756, Quotations!$F$2:F1756, "")
</f>
        <v>112.8</v>
      </c>
      <c r="E482" s="9">
        <f t="array" ref="E482">XLOOKUP($A482, Quotations!$G$2:G1756, Quotations!$H$2:H1756, "")
</f>
        <v>125.98</v>
      </c>
      <c r="F482" s="9">
        <f t="array" ref="F482">XLOOKUP($A482, Quotations!$I$2:I1756, Quotations!$J$2:J1756, "")
</f>
        <v>132.57</v>
      </c>
      <c r="G482" s="9">
        <f t="array" ref="G482">XLOOKUP($A482, Quotations!$K$2:K1756, Quotations!$L$2:L1756, "")
</f>
        <v>1421.993</v>
      </c>
    </row>
    <row r="483">
      <c r="A483" s="8">
        <v>42338.0</v>
      </c>
      <c r="B483" s="9">
        <f t="array" ref="B483">XLOOKUP($A483, Quotations!$A$2:A1756, Quotations!$B$2:B1756, "")
</f>
        <v>125.52</v>
      </c>
      <c r="C483" s="9">
        <f t="array" ref="C483">XLOOKUP($A483, Quotations!$C$2:C1756, Quotations!$D$2:D1756, "")</f>
        <v>24.57</v>
      </c>
      <c r="D483" s="9">
        <f t="array" ref="D483">XLOOKUP($A483, Quotations!$E$2:E1756, Quotations!$F$2:F1756, "")
</f>
        <v>112.81</v>
      </c>
      <c r="E483" s="9">
        <f t="array" ref="E483">XLOOKUP($A483, Quotations!$G$2:G1756, Quotations!$H$2:H1756, "")
</f>
        <v>126.06</v>
      </c>
      <c r="F483" s="9">
        <f t="array" ref="F483">XLOOKUP($A483, Quotations!$I$2:I1756, Quotations!$J$2:J1756, "")
</f>
        <v>132.75</v>
      </c>
      <c r="G483" s="9">
        <f t="array" ref="G483">XLOOKUP($A483, Quotations!$K$2:K1756, Quotations!$L$2:L1756, "")
</f>
        <v>1420.6741</v>
      </c>
    </row>
    <row r="484">
      <c r="A484" s="8">
        <v>42339.0</v>
      </c>
      <c r="B484" s="9">
        <f t="array" ref="B484">XLOOKUP($A484, Quotations!$A$2:A1756, Quotations!$B$2:B1756, "")
</f>
        <v>125.49</v>
      </c>
      <c r="C484" s="9">
        <f t="array" ref="C484">XLOOKUP($A484, Quotations!$C$2:C1756, Quotations!$D$2:D1756, "")</f>
        <v>24.56</v>
      </c>
      <c r="D484" s="9">
        <f t="array" ref="D484">XLOOKUP($A484, Quotations!$E$2:E1756, Quotations!$F$2:F1756, "")
</f>
        <v>112.83</v>
      </c>
      <c r="E484" s="9">
        <f t="array" ref="E484">XLOOKUP($A484, Quotations!$G$2:G1756, Quotations!$H$2:H1756, "")
</f>
        <v>126.32</v>
      </c>
      <c r="F484" s="9">
        <f t="array" ref="F484">XLOOKUP($A484, Quotations!$I$2:I1756, Quotations!$J$2:J1756, "")
</f>
        <v>132.51</v>
      </c>
      <c r="G484" s="9">
        <f t="array" ref="G484">XLOOKUP($A484, Quotations!$K$2:K1756, Quotations!$L$2:L1756, "")
</f>
        <v>1423.478</v>
      </c>
    </row>
    <row r="485">
      <c r="A485" s="8">
        <v>42340.0</v>
      </c>
      <c r="B485" s="9">
        <f t="array" ref="B485">XLOOKUP($A485, Quotations!$A$2:A1756, Quotations!$B$2:B1756, "")
</f>
        <v>125.22</v>
      </c>
      <c r="C485" s="9">
        <f t="array" ref="C485">XLOOKUP($A485, Quotations!$C$2:C1756, Quotations!$D$2:D1756, "")</f>
        <v>24.56</v>
      </c>
      <c r="D485" s="9">
        <f t="array" ref="D485">XLOOKUP($A485, Quotations!$E$2:E1756, Quotations!$F$2:F1756, "")
</f>
        <v>112.77</v>
      </c>
      <c r="E485" s="9">
        <f t="array" ref="E485">XLOOKUP($A485, Quotations!$G$2:G1756, Quotations!$H$2:H1756, "")
</f>
        <v>125.89</v>
      </c>
      <c r="F485" s="9">
        <f t="array" ref="F485">XLOOKUP($A485, Quotations!$I$2:I1756, Quotations!$J$2:J1756, "")
</f>
        <v>133.07</v>
      </c>
      <c r="G485" s="9">
        <f t="array" ref="G485">XLOOKUP($A485, Quotations!$K$2:K1756, Quotations!$L$2:L1756, "")
</f>
        <v>1425.8669</v>
      </c>
    </row>
    <row r="486">
      <c r="A486" s="8">
        <v>42341.0</v>
      </c>
      <c r="B486" s="9">
        <f t="array" ref="B486">XLOOKUP($A486, Quotations!$A$2:A1756, Quotations!$B$2:B1756, "")
</f>
        <v>124.24</v>
      </c>
      <c r="C486" s="9">
        <f t="array" ref="C486">XLOOKUP($A486, Quotations!$C$2:C1756, Quotations!$D$2:D1756, "")</f>
        <v>24.52</v>
      </c>
      <c r="D486" s="9">
        <f t="array" ref="D486">XLOOKUP($A486, Quotations!$E$2:E1756, Quotations!$F$2:F1756, "")
</f>
        <v>112.77</v>
      </c>
      <c r="E486" s="9">
        <f t="array" ref="E486">XLOOKUP($A486, Quotations!$G$2:G1756, Quotations!$H$2:H1756, "")
</f>
        <v>125.5</v>
      </c>
      <c r="F486" s="9">
        <f t="array" ref="F486">XLOOKUP($A486, Quotations!$I$2:I1756, Quotations!$J$2:J1756, "")
</f>
        <v>132.68</v>
      </c>
      <c r="G486" s="9">
        <f t="array" ref="G486">XLOOKUP($A486, Quotations!$K$2:K1756, Quotations!$L$2:L1756, "")
</f>
        <v>1421.0697</v>
      </c>
    </row>
    <row r="487">
      <c r="A487" s="8">
        <v>42342.0</v>
      </c>
      <c r="B487" s="9">
        <f t="array" ref="B487">XLOOKUP($A487, Quotations!$A$2:A1756, Quotations!$B$2:B1756, "")
</f>
        <v>124.18</v>
      </c>
      <c r="C487" s="9">
        <f t="array" ref="C487">XLOOKUP($A487, Quotations!$C$2:C1756, Quotations!$D$2:D1756, "")</f>
        <v>24.52</v>
      </c>
      <c r="D487" s="9">
        <f t="array" ref="D487">XLOOKUP($A487, Quotations!$E$2:E1756, Quotations!$F$2:F1756, "")
</f>
        <v>112.75</v>
      </c>
      <c r="E487" s="9">
        <f t="array" ref="E487">XLOOKUP($A487, Quotations!$G$2:G1756, Quotations!$H$2:H1756, "")
</f>
        <v>122.79</v>
      </c>
      <c r="F487" s="9">
        <f t="array" ref="F487">XLOOKUP($A487, Quotations!$I$2:I1756, Quotations!$J$2:J1756, "")
</f>
        <v>131.57</v>
      </c>
      <c r="G487" s="9">
        <f t="array" ref="G487">XLOOKUP($A487, Quotations!$K$2:K1756, Quotations!$L$2:L1756, "")
</f>
        <v>1410.356</v>
      </c>
    </row>
    <row r="488">
      <c r="A488" s="8">
        <v>42345.0</v>
      </c>
      <c r="B488" s="9">
        <f t="array" ref="B488">XLOOKUP($A488, Quotations!$A$2:A1756, Quotations!$B$2:B1756, "")
</f>
        <v>124.2</v>
      </c>
      <c r="C488" s="9">
        <f t="array" ref="C488">XLOOKUP($A488, Quotations!$C$2:C1756, Quotations!$D$2:D1756, "")</f>
        <v>24.52</v>
      </c>
      <c r="D488" s="9">
        <f t="array" ref="D488">XLOOKUP($A488, Quotations!$E$2:E1756, Quotations!$F$2:F1756, "")
</f>
        <v>112.79</v>
      </c>
      <c r="E488" s="9">
        <f t="array" ref="E488">XLOOKUP($A488, Quotations!$G$2:G1756, Quotations!$H$2:H1756, "")
</f>
        <v>122.22</v>
      </c>
      <c r="F488" s="9">
        <f t="array" ref="F488">XLOOKUP($A488, Quotations!$I$2:I1756, Quotations!$J$2:J1756, "")
</f>
        <v>132.14</v>
      </c>
      <c r="G488" s="9">
        <f t="array" ref="G488">XLOOKUP($A488, Quotations!$K$2:K1756, Quotations!$L$2:L1756, "")
</f>
        <v>1413.1981</v>
      </c>
    </row>
    <row r="489">
      <c r="A489" s="8">
        <v>42346.0</v>
      </c>
      <c r="B489" s="9">
        <f t="array" ref="B489">XLOOKUP($A489, Quotations!$A$2:A1756, Quotations!$B$2:B1756, "")
</f>
        <v>123.64</v>
      </c>
      <c r="C489" s="9">
        <f t="array" ref="C489">XLOOKUP($A489, Quotations!$C$2:C1756, Quotations!$D$2:D1756, "")</f>
        <v>24.51</v>
      </c>
      <c r="D489" s="9">
        <f t="array" ref="D489">XLOOKUP($A489, Quotations!$E$2:E1756, Quotations!$F$2:F1756, "")
</f>
        <v>112.74</v>
      </c>
      <c r="E489" s="9">
        <f t="array" ref="E489">XLOOKUP($A489, Quotations!$G$2:G1756, Quotations!$H$2:H1756, "")
</f>
        <v>123.18</v>
      </c>
      <c r="F489" s="9">
        <f t="array" ref="F489">XLOOKUP($A489, Quotations!$I$2:I1756, Quotations!$J$2:J1756, "")
</f>
        <v>132.01</v>
      </c>
      <c r="G489" s="9">
        <f t="array" ref="G489">XLOOKUP($A489, Quotations!$K$2:K1756, Quotations!$L$2:L1756, "")
</f>
        <v>1411.0907</v>
      </c>
    </row>
    <row r="490">
      <c r="A490" s="8">
        <v>42347.0</v>
      </c>
      <c r="B490" s="9">
        <f t="array" ref="B490">XLOOKUP($A490, Quotations!$A$2:A1756, Quotations!$B$2:B1756, "")
</f>
        <v>123.32</v>
      </c>
      <c r="C490" s="9">
        <f t="array" ref="C490">XLOOKUP($A490, Quotations!$C$2:C1756, Quotations!$D$2:D1756, "")</f>
        <v>24.49</v>
      </c>
      <c r="D490" s="9">
        <f t="array" ref="D490">XLOOKUP($A490, Quotations!$E$2:E1756, Quotations!$F$2:F1756, "")
</f>
        <v>112.7</v>
      </c>
      <c r="E490" s="9">
        <f t="array" ref="E490">XLOOKUP($A490, Quotations!$G$2:G1756, Quotations!$H$2:H1756, "")
</f>
        <v>122.44</v>
      </c>
      <c r="F490" s="9">
        <f t="array" ref="F490">XLOOKUP($A490, Quotations!$I$2:I1756, Quotations!$J$2:J1756, "")
</f>
        <v>131.65</v>
      </c>
      <c r="G490" s="9">
        <f t="array" ref="G490">XLOOKUP($A490, Quotations!$K$2:K1756, Quotations!$L$2:L1756, "")
</f>
        <v>1407.21</v>
      </c>
    </row>
    <row r="491">
      <c r="A491" s="8">
        <v>42348.0</v>
      </c>
      <c r="B491" s="9">
        <f t="array" ref="B491">XLOOKUP($A491, Quotations!$A$2:A1756, Quotations!$B$2:B1756, "")
</f>
        <v>123.08</v>
      </c>
      <c r="C491" s="9">
        <f t="array" ref="C491">XLOOKUP($A491, Quotations!$C$2:C1756, Quotations!$D$2:D1756, "")</f>
        <v>24.5</v>
      </c>
      <c r="D491" s="9">
        <f t="array" ref="D491">XLOOKUP($A491, Quotations!$E$2:E1756, Quotations!$F$2:F1756, "")
</f>
        <v>112.67</v>
      </c>
      <c r="E491" s="9">
        <f t="array" ref="E491">XLOOKUP($A491, Quotations!$G$2:G1756, Quotations!$H$2:H1756, "")
</f>
        <v>121.98</v>
      </c>
      <c r="F491" s="9">
        <f t="array" ref="F491">XLOOKUP($A491, Quotations!$I$2:I1756, Quotations!$J$2:J1756, "")
</f>
        <v>131.08</v>
      </c>
      <c r="G491" s="9">
        <f t="array" ref="G491">XLOOKUP($A491, Quotations!$K$2:K1756, Quotations!$L$2:L1756, "")
</f>
        <v>1400.8521</v>
      </c>
    </row>
    <row r="492">
      <c r="A492" s="8">
        <v>42349.0</v>
      </c>
      <c r="B492" s="9">
        <f t="array" ref="B492">XLOOKUP($A492, Quotations!$A$2:A1756, Quotations!$B$2:B1756, "")
</f>
        <v>122.3</v>
      </c>
      <c r="C492" s="9">
        <f t="array" ref="C492">XLOOKUP($A492, Quotations!$C$2:C1756, Quotations!$D$2:D1756, "")</f>
        <v>24.48</v>
      </c>
      <c r="D492" s="9">
        <f t="array" ref="D492">XLOOKUP($A492, Quotations!$E$2:E1756, Quotations!$F$2:F1756, "")
</f>
        <v>112.64</v>
      </c>
      <c r="E492" s="9">
        <f t="array" ref="E492">XLOOKUP($A492, Quotations!$G$2:G1756, Quotations!$H$2:H1756, "")
</f>
        <v>122.2</v>
      </c>
      <c r="F492" s="9">
        <f t="array" ref="F492">XLOOKUP($A492, Quotations!$I$2:I1756, Quotations!$J$2:J1756, "")
</f>
        <v>131.25</v>
      </c>
      <c r="G492" s="9">
        <f t="array" ref="G492">XLOOKUP($A492, Quotations!$K$2:K1756, Quotations!$L$2:L1756, "")
</f>
        <v>1400.2124</v>
      </c>
    </row>
    <row r="493">
      <c r="A493" s="8">
        <v>42352.0</v>
      </c>
      <c r="B493" s="9">
        <f t="array" ref="B493">XLOOKUP($A493, Quotations!$A$2:A1756, Quotations!$B$2:B1756, "")
</f>
        <v>121.83</v>
      </c>
      <c r="C493" s="9">
        <f t="array" ref="C493">XLOOKUP($A493, Quotations!$C$2:C1756, Quotations!$D$2:D1756, "")</f>
        <v>24.46</v>
      </c>
      <c r="D493" s="9">
        <f t="array" ref="D493">XLOOKUP($A493, Quotations!$E$2:E1756, Quotations!$F$2:F1756, "")
</f>
        <v>112.55</v>
      </c>
      <c r="E493" s="9">
        <f t="array" ref="E493">XLOOKUP($A493, Quotations!$G$2:G1756, Quotations!$H$2:H1756, "")
</f>
        <v>121.03</v>
      </c>
      <c r="F493" s="9">
        <f t="array" ref="F493">XLOOKUP($A493, Quotations!$I$2:I1756, Quotations!$J$2:J1756, "")
</f>
        <v>130.12</v>
      </c>
      <c r="G493" s="9">
        <f t="array" ref="G493">XLOOKUP($A493, Quotations!$K$2:K1756, Quotations!$L$2:L1756, "")
</f>
        <v>1389.3746</v>
      </c>
    </row>
    <row r="494">
      <c r="A494" s="8">
        <v>42353.0</v>
      </c>
      <c r="B494" s="9">
        <f t="array" ref="B494">XLOOKUP($A494, Quotations!$A$2:A1756, Quotations!$B$2:B1756, "")
</f>
        <v>122.49</v>
      </c>
      <c r="C494" s="9">
        <f t="array" ref="C494">XLOOKUP($A494, Quotations!$C$2:C1756, Quotations!$D$2:D1756, "")</f>
        <v>24.48</v>
      </c>
      <c r="D494" s="9">
        <f t="array" ref="D494">XLOOKUP($A494, Quotations!$E$2:E1756, Quotations!$F$2:F1756, "")
</f>
        <v>112.53</v>
      </c>
      <c r="E494" s="9">
        <f t="array" ref="E494">XLOOKUP($A494, Quotations!$G$2:G1756, Quotations!$H$2:H1756, "")
</f>
        <v>120.44</v>
      </c>
      <c r="F494" s="9">
        <f t="array" ref="F494">XLOOKUP($A494, Quotations!$I$2:I1756, Quotations!$J$2:J1756, "")
</f>
        <v>129.67</v>
      </c>
      <c r="G494" s="9">
        <f t="array" ref="G494">XLOOKUP($A494, Quotations!$K$2:K1756, Quotations!$L$2:L1756, "")
</f>
        <v>1382.9031</v>
      </c>
    </row>
    <row r="495">
      <c r="A495" s="8">
        <v>42354.0</v>
      </c>
      <c r="B495" s="9">
        <f t="array" ref="B495">XLOOKUP($A495, Quotations!$A$2:A1756, Quotations!$B$2:B1756, "")
</f>
        <v>122.62</v>
      </c>
      <c r="C495" s="9">
        <f t="array" ref="C495">XLOOKUP($A495, Quotations!$C$2:C1756, Quotations!$D$2:D1756, "")</f>
        <v>24.48</v>
      </c>
      <c r="D495" s="9">
        <f t="array" ref="D495">XLOOKUP($A495, Quotations!$E$2:E1756, Quotations!$F$2:F1756, "")
</f>
        <v>112.48</v>
      </c>
      <c r="E495" s="9">
        <f t="array" ref="E495">XLOOKUP($A495, Quotations!$G$2:G1756, Quotations!$H$2:H1756, "")
</f>
        <v>120.75</v>
      </c>
      <c r="F495" s="9">
        <f t="array" ref="F495">XLOOKUP($A495, Quotations!$I$2:I1756, Quotations!$J$2:J1756, "")
</f>
        <v>130.51</v>
      </c>
      <c r="G495" s="9">
        <f t="array" ref="G495">XLOOKUP($A495, Quotations!$K$2:K1756, Quotations!$L$2:L1756, "")
</f>
        <v>1391.646</v>
      </c>
    </row>
    <row r="496">
      <c r="A496" s="8">
        <v>42355.0</v>
      </c>
      <c r="B496" s="9">
        <f t="array" ref="B496">XLOOKUP($A496, Quotations!$A$2:A1756, Quotations!$B$2:B1756, "")
</f>
        <v>123.18</v>
      </c>
      <c r="C496" s="9">
        <f t="array" ref="C496">XLOOKUP($A496, Quotations!$C$2:C1756, Quotations!$D$2:D1756, "")</f>
        <v>24.5</v>
      </c>
      <c r="D496" s="9">
        <f t="array" ref="D496">XLOOKUP($A496, Quotations!$E$2:E1756, Quotations!$F$2:F1756, "")
</f>
        <v>112.52</v>
      </c>
      <c r="E496" s="9">
        <f t="array" ref="E496">XLOOKUP($A496, Quotations!$G$2:G1756, Quotations!$H$2:H1756, "")
</f>
        <v>120.65</v>
      </c>
      <c r="F496" s="9">
        <f t="array" ref="F496">XLOOKUP($A496, Quotations!$I$2:I1756, Quotations!$J$2:J1756, "")
</f>
        <v>131.23</v>
      </c>
      <c r="G496" s="9">
        <f t="array" ref="G496">XLOOKUP($A496, Quotations!$K$2:K1756, Quotations!$L$2:L1756, "")
</f>
        <v>1398.3662</v>
      </c>
    </row>
    <row r="497">
      <c r="A497" s="8">
        <v>42356.0</v>
      </c>
      <c r="B497" s="9">
        <f t="array" ref="B497">XLOOKUP($A497, Quotations!$A$2:A1756, Quotations!$B$2:B1756, "")
</f>
        <v>122.66</v>
      </c>
      <c r="C497" s="9">
        <f t="array" ref="C497">XLOOKUP($A497, Quotations!$C$2:C1756, Quotations!$D$2:D1756, "")</f>
        <v>24.5</v>
      </c>
      <c r="D497" s="9">
        <f t="array" ref="D497">XLOOKUP($A497, Quotations!$E$2:E1756, Quotations!$F$2:F1756, "")
</f>
        <v>112.5</v>
      </c>
      <c r="E497" s="9">
        <f t="array" ref="E497">XLOOKUP($A497, Quotations!$G$2:G1756, Quotations!$H$2:H1756, "")
</f>
        <v>121.57</v>
      </c>
      <c r="F497" s="9">
        <f t="array" ref="F497">XLOOKUP($A497, Quotations!$I$2:I1756, Quotations!$J$2:J1756, "")
</f>
        <v>130.77</v>
      </c>
      <c r="G497" s="9">
        <f t="array" ref="G497">XLOOKUP($A497, Quotations!$K$2:K1756, Quotations!$L$2:L1756, "")
</f>
        <v>1398.5935</v>
      </c>
    </row>
    <row r="498">
      <c r="A498" s="8">
        <v>42359.0</v>
      </c>
      <c r="B498" s="9">
        <f t="array" ref="B498">XLOOKUP($A498, Quotations!$A$2:A1756, Quotations!$B$2:B1756, "")
</f>
        <v>122.37</v>
      </c>
      <c r="C498" s="9">
        <f t="array" ref="C498">XLOOKUP($A498, Quotations!$C$2:C1756, Quotations!$D$2:D1756, "")</f>
        <v>24.48</v>
      </c>
      <c r="D498" s="9">
        <f t="array" ref="D498">XLOOKUP($A498, Quotations!$E$2:E1756, Quotations!$F$2:F1756, "")
</f>
        <v>112.47</v>
      </c>
      <c r="E498" s="9">
        <f t="array" ref="E498">XLOOKUP($A498, Quotations!$G$2:G1756, Quotations!$H$2:H1756, "")
</f>
        <v>121.2</v>
      </c>
      <c r="F498" s="9">
        <f t="array" ref="F498">XLOOKUP($A498, Quotations!$I$2:I1756, Quotations!$J$2:J1756, "")
</f>
        <v>130.11</v>
      </c>
      <c r="G498" s="9">
        <f t="array" ref="G498">XLOOKUP($A498, Quotations!$K$2:K1756, Quotations!$L$2:L1756, "")
</f>
        <v>1394.4291</v>
      </c>
    </row>
    <row r="499">
      <c r="A499" s="8">
        <v>42360.0</v>
      </c>
      <c r="B499" s="9">
        <f t="array" ref="B499">XLOOKUP($A499, Quotations!$A$2:A1756, Quotations!$B$2:B1756, "")
</f>
        <v>122.25</v>
      </c>
      <c r="C499" s="9">
        <f t="array" ref="C499">XLOOKUP($A499, Quotations!$C$2:C1756, Quotations!$D$2:D1756, "")</f>
        <v>24.47</v>
      </c>
      <c r="D499" s="9">
        <f t="array" ref="D499">XLOOKUP($A499, Quotations!$E$2:E1756, Quotations!$F$2:F1756, "")
</f>
        <v>112.52</v>
      </c>
      <c r="E499" s="9">
        <f t="array" ref="E499">XLOOKUP($A499, Quotations!$G$2:G1756, Quotations!$H$2:H1756, "")
</f>
        <v>120.89</v>
      </c>
      <c r="F499" s="9">
        <f t="array" ref="F499">XLOOKUP($A499, Quotations!$I$2:I1756, Quotations!$J$2:J1756, "")
</f>
        <v>130.5</v>
      </c>
      <c r="G499" s="9">
        <f t="array" ref="G499">XLOOKUP($A499, Quotations!$K$2:K1756, Quotations!$L$2:L1756, "")
</f>
        <v>1392.582</v>
      </c>
    </row>
    <row r="500">
      <c r="A500" s="8">
        <v>42361.0</v>
      </c>
      <c r="B500" s="9">
        <f t="array" ref="B500">XLOOKUP($A500, Quotations!$A$2:A1756, Quotations!$B$2:B1756, "")
</f>
        <v>122.93</v>
      </c>
      <c r="C500" s="9">
        <f t="array" ref="C500">XLOOKUP($A500, Quotations!$C$2:C1756, Quotations!$D$2:D1756, "")</f>
        <v>24.49</v>
      </c>
      <c r="D500" s="9">
        <f t="array" ref="D500">XLOOKUP($A500, Quotations!$E$2:E1756, Quotations!$F$2:F1756, "")
</f>
        <v>112.53</v>
      </c>
      <c r="E500" s="9">
        <f t="array" ref="E500">XLOOKUP($A500, Quotations!$G$2:G1756, Quotations!$H$2:H1756, "")
</f>
        <v>120.32</v>
      </c>
      <c r="F500" s="9">
        <f t="array" ref="F500">XLOOKUP($A500, Quotations!$I$2:I1756, Quotations!$J$2:J1756, "")
</f>
        <v>130.84</v>
      </c>
      <c r="G500" s="9">
        <f t="array" ref="G500">XLOOKUP($A500, Quotations!$K$2:K1756, Quotations!$L$2:L1756, "")
</f>
        <v>1394.3781</v>
      </c>
    </row>
    <row r="501">
      <c r="A501" s="8">
        <v>42366.0</v>
      </c>
      <c r="B501" s="9">
        <f t="array" ref="B501">XLOOKUP($A501, Quotations!$A$2:A1756, Quotations!$B$2:B1756, "")
</f>
        <v>122.8</v>
      </c>
      <c r="C501" s="9">
        <f t="array" ref="C501">XLOOKUP($A501, Quotations!$C$2:C1756, Quotations!$D$2:D1756, "")</f>
        <v>24.48</v>
      </c>
      <c r="D501" s="9">
        <f t="array" ref="D501">XLOOKUP($A501, Quotations!$E$2:E1756, Quotations!$F$2:F1756, "")
</f>
        <v>112.59</v>
      </c>
      <c r="E501" s="9">
        <f t="array" ref="E501">XLOOKUP($A501, Quotations!$G$2:G1756, Quotations!$H$2:H1756, "")
</f>
        <v>121.37</v>
      </c>
      <c r="F501" s="9">
        <f t="array" ref="F501">XLOOKUP($A501, Quotations!$I$2:I1756, Quotations!$J$2:J1756, "")
</f>
        <v>131.57</v>
      </c>
      <c r="G501" s="9" t="str">
        <f t="array" ref="G501">XLOOKUP($A501, Quotations!$K$2:K1756, Quotations!$L$2:L1756, "")
</f>
        <v/>
      </c>
    </row>
    <row r="502">
      <c r="A502" s="8">
        <v>42367.0</v>
      </c>
      <c r="B502" s="9">
        <f t="array" ref="B502">XLOOKUP($A502, Quotations!$A$2:A1756, Quotations!$B$2:B1756, "")
</f>
        <v>123.27</v>
      </c>
      <c r="C502" s="9">
        <f t="array" ref="C502">XLOOKUP($A502, Quotations!$C$2:C1756, Quotations!$D$2:D1756, "")</f>
        <v>24.49</v>
      </c>
      <c r="D502" s="9">
        <f t="array" ref="D502">XLOOKUP($A502, Quotations!$E$2:E1756, Quotations!$F$2:F1756, "")
</f>
        <v>112.56</v>
      </c>
      <c r="E502" s="9">
        <f t="array" ref="E502">XLOOKUP($A502, Quotations!$G$2:G1756, Quotations!$H$2:H1756, "")
</f>
        <v>120.74</v>
      </c>
      <c r="F502" s="9">
        <f t="array" ref="F502">XLOOKUP($A502, Quotations!$I$2:I1756, Quotations!$J$2:J1756, "")
</f>
        <v>131.42</v>
      </c>
      <c r="G502" s="9">
        <f t="array" ref="G502">XLOOKUP($A502, Quotations!$K$2:K1756, Quotations!$L$2:L1756, "")
</f>
        <v>1399.6639</v>
      </c>
    </row>
    <row r="503">
      <c r="A503" s="8">
        <v>42368.0</v>
      </c>
      <c r="B503" s="9">
        <f t="array" ref="B503">XLOOKUP($A503, Quotations!$A$2:A1756, Quotations!$B$2:B1756, "")
</f>
        <v>123.19</v>
      </c>
      <c r="C503" s="9">
        <f t="array" ref="C503">XLOOKUP($A503, Quotations!$C$2:C1756, Quotations!$D$2:D1756, "")</f>
        <v>24.49</v>
      </c>
      <c r="D503" s="9">
        <f t="array" ref="D503">XLOOKUP($A503, Quotations!$E$2:E1756, Quotations!$F$2:F1756, "")
</f>
        <v>112.55</v>
      </c>
      <c r="E503" s="9">
        <f t="array" ref="E503">XLOOKUP($A503, Quotations!$G$2:G1756, Quotations!$H$2:H1756, "")
</f>
        <v>121.81</v>
      </c>
      <c r="F503" s="9">
        <f t="array" ref="F503">XLOOKUP($A503, Quotations!$I$2:I1756, Quotations!$J$2:J1756, "")
</f>
        <v>132.49</v>
      </c>
      <c r="G503" s="9">
        <f t="array" ref="G503">XLOOKUP($A503, Quotations!$K$2:K1756, Quotations!$L$2:L1756, "")
</f>
        <v>1405.0303</v>
      </c>
    </row>
    <row r="504">
      <c r="A504" s="8">
        <v>42369.0</v>
      </c>
      <c r="B504" s="9">
        <f t="array" ref="B504">XLOOKUP($A504, Quotations!$A$2:A1756, Quotations!$B$2:B1756, "")
</f>
        <v>123.06</v>
      </c>
      <c r="C504" s="9">
        <f t="array" ref="C504">XLOOKUP($A504, Quotations!$C$2:C1756, Quotations!$D$2:D1756, "")</f>
        <v>24.49</v>
      </c>
      <c r="D504" s="9">
        <f t="array" ref="D504">XLOOKUP($A504, Quotations!$E$2:E1756, Quotations!$F$2:F1756, "")
</f>
        <v>112.56</v>
      </c>
      <c r="E504" s="9" t="str">
        <f t="array" ref="E504">XLOOKUP($A504, Quotations!$G$2:G1756, Quotations!$H$2:H1756, "")
</f>
        <v/>
      </c>
      <c r="F504" s="9" t="str">
        <f t="array" ref="F504">XLOOKUP($A504, Quotations!$I$2:I1756, Quotations!$J$2:J1756, "")
</f>
        <v/>
      </c>
      <c r="G504" s="9">
        <f t="array" ref="G504">XLOOKUP($A504, Quotations!$K$2:K1756, Quotations!$L$2:L1756, "")
</f>
        <v>1402.6639</v>
      </c>
    </row>
    <row r="505">
      <c r="A505" s="8">
        <v>42373.0</v>
      </c>
      <c r="B505" s="9">
        <f t="array" ref="B505">XLOOKUP($A505, Quotations!$A$2:A1756, Quotations!$B$2:B1756, "")
</f>
        <v>122.17</v>
      </c>
      <c r="C505" s="9">
        <f t="array" ref="C505">XLOOKUP($A505, Quotations!$C$2:C1756, Quotations!$D$2:D1756, "")</f>
        <v>24.49</v>
      </c>
      <c r="D505" s="9">
        <f t="array" ref="D505">XLOOKUP($A505, Quotations!$E$2:E1756, Quotations!$F$2:F1756, "")
</f>
        <v>112.57</v>
      </c>
      <c r="E505" s="9">
        <f t="array" ref="E505">XLOOKUP($A505, Quotations!$G$2:G1756, Quotations!$H$2:H1756, "")
</f>
        <v>121.43</v>
      </c>
      <c r="F505" s="9">
        <f t="array" ref="F505">XLOOKUP($A505, Quotations!$I$2:I1756, Quotations!$J$2:J1756, "")
</f>
        <v>131.48</v>
      </c>
      <c r="G505" s="9">
        <f t="array" ref="G505">XLOOKUP($A505, Quotations!$K$2:K1756, Quotations!$L$2:L1756, "")
</f>
        <v>1397.1853</v>
      </c>
    </row>
    <row r="506">
      <c r="A506" s="8">
        <v>42374.0</v>
      </c>
      <c r="B506" s="9">
        <f t="array" ref="B506">XLOOKUP($A506, Quotations!$A$2:A1756, Quotations!$B$2:B1756, "")
</f>
        <v>122.34</v>
      </c>
      <c r="C506" s="9">
        <f t="array" ref="C506">XLOOKUP($A506, Quotations!$C$2:C1756, Quotations!$D$2:D1756, "")</f>
        <v>24.5</v>
      </c>
      <c r="D506" s="9">
        <f t="array" ref="D506">XLOOKUP($A506, Quotations!$E$2:E1756, Quotations!$F$2:F1756, "")
</f>
        <v>112.61</v>
      </c>
      <c r="E506" s="9">
        <f t="array" ref="E506">XLOOKUP($A506, Quotations!$G$2:G1756, Quotations!$H$2:H1756, "")
</f>
        <v>119.45</v>
      </c>
      <c r="F506" s="9">
        <f t="array" ref="F506">XLOOKUP($A506, Quotations!$I$2:I1756, Quotations!$J$2:J1756, "")
</f>
        <v>130.24</v>
      </c>
      <c r="G506" s="9">
        <f t="array" ref="G506">XLOOKUP($A506, Quotations!$K$2:K1756, Quotations!$L$2:L1756, "")
</f>
        <v>1387.9377</v>
      </c>
    </row>
    <row r="507">
      <c r="A507" s="8">
        <v>42375.0</v>
      </c>
      <c r="B507" s="9">
        <f t="array" ref="B507">XLOOKUP($A507, Quotations!$A$2:A1756, Quotations!$B$2:B1756, "")
</f>
        <v>122</v>
      </c>
      <c r="C507" s="9">
        <f t="array" ref="C507">XLOOKUP($A507, Quotations!$C$2:C1756, Quotations!$D$2:D1756, "")</f>
        <v>24.49</v>
      </c>
      <c r="D507" s="9">
        <f t="array" ref="D507">XLOOKUP($A507, Quotations!$E$2:E1756, Quotations!$F$2:F1756, "")
</f>
        <v>112.63</v>
      </c>
      <c r="E507" s="9">
        <f t="array" ref="E507">XLOOKUP($A507, Quotations!$G$2:G1756, Quotations!$H$2:H1756, "")
</f>
        <v>119.62</v>
      </c>
      <c r="F507" s="9">
        <f t="array" ref="F507">XLOOKUP($A507, Quotations!$I$2:I1756, Quotations!$J$2:J1756, "")
</f>
        <v>130.17</v>
      </c>
      <c r="G507" s="9">
        <f t="array" ref="G507">XLOOKUP($A507, Quotations!$K$2:K1756, Quotations!$L$2:L1756, "")
</f>
        <v>1388.1224</v>
      </c>
    </row>
    <row r="508">
      <c r="A508" s="8">
        <v>42376.0</v>
      </c>
      <c r="B508" s="9">
        <f t="array" ref="B508">XLOOKUP($A508, Quotations!$A$2:A1756, Quotations!$B$2:B1756, "")
</f>
        <v>121.17</v>
      </c>
      <c r="C508" s="9">
        <f t="array" ref="C508">XLOOKUP($A508, Quotations!$C$2:C1756, Quotations!$D$2:D1756, "")</f>
        <v>24.47</v>
      </c>
      <c r="D508" s="9">
        <f t="array" ref="D508">XLOOKUP($A508, Quotations!$E$2:E1756, Quotations!$F$2:F1756, "")
</f>
        <v>112.79</v>
      </c>
      <c r="E508" s="9">
        <f t="array" ref="E508">XLOOKUP($A508, Quotations!$G$2:G1756, Quotations!$H$2:H1756, "")
</f>
        <v>119.37</v>
      </c>
      <c r="F508" s="9">
        <f t="array" ref="F508">XLOOKUP($A508, Quotations!$I$2:I1756, Quotations!$J$2:J1756, "")
</f>
        <v>129.52</v>
      </c>
      <c r="G508" s="9">
        <f t="array" ref="G508">XLOOKUP($A508, Quotations!$K$2:K1756, Quotations!$L$2:L1756, "")
</f>
        <v>1379.4089</v>
      </c>
    </row>
    <row r="509">
      <c r="A509" s="8">
        <v>42377.0</v>
      </c>
      <c r="B509" s="9">
        <f t="array" ref="B509">XLOOKUP($A509, Quotations!$A$2:A1756, Quotations!$B$2:B1756, "")
</f>
        <v>120.83</v>
      </c>
      <c r="C509" s="9">
        <f t="array" ref="C509">XLOOKUP($A509, Quotations!$C$2:C1756, Quotations!$D$2:D1756, "")</f>
        <v>24.45</v>
      </c>
      <c r="D509" s="9">
        <f t="array" ref="D509">XLOOKUP($A509, Quotations!$E$2:E1756, Quotations!$F$2:F1756, "")
</f>
        <v>112.79</v>
      </c>
      <c r="E509" s="9">
        <f t="array" ref="E509">XLOOKUP($A509, Quotations!$G$2:G1756, Quotations!$H$2:H1756, "")
</f>
        <v>118.43</v>
      </c>
      <c r="F509" s="9">
        <f t="array" ref="F509">XLOOKUP($A509, Quotations!$I$2:I1756, Quotations!$J$2:J1756, "")
</f>
        <v>128.21</v>
      </c>
      <c r="G509" s="9">
        <f t="array" ref="G509">XLOOKUP($A509, Quotations!$K$2:K1756, Quotations!$L$2:L1756, "")
</f>
        <v>1367.25</v>
      </c>
    </row>
    <row r="510">
      <c r="A510" s="8">
        <v>42380.0</v>
      </c>
      <c r="B510" s="9">
        <f t="array" ref="B510">XLOOKUP($A510, Quotations!$A$2:A1756, Quotations!$B$2:B1756, "")
</f>
        <v>120.59</v>
      </c>
      <c r="C510" s="9">
        <f t="array" ref="C510">XLOOKUP($A510, Quotations!$C$2:C1756, Quotations!$D$2:D1756, "")</f>
        <v>24.46</v>
      </c>
      <c r="D510" s="9">
        <f t="array" ref="D510">XLOOKUP($A510, Quotations!$E$2:E1756, Quotations!$F$2:F1756, "")
</f>
        <v>112.76</v>
      </c>
      <c r="E510" s="9">
        <f t="array" ref="E510">XLOOKUP($A510, Quotations!$G$2:G1756, Quotations!$H$2:H1756, "")
</f>
        <v>118.58</v>
      </c>
      <c r="F510" s="9">
        <f t="array" ref="F510">XLOOKUP($A510, Quotations!$I$2:I1756, Quotations!$J$2:J1756, "")
</f>
        <v>127.7</v>
      </c>
      <c r="G510" s="9">
        <f t="array" ref="G510">XLOOKUP($A510, Quotations!$K$2:K1756, Quotations!$L$2:L1756, "")
</f>
        <v>1360.2747</v>
      </c>
    </row>
    <row r="511">
      <c r="A511" s="8">
        <v>42381.0</v>
      </c>
      <c r="B511" s="9">
        <f t="array" ref="B511">XLOOKUP($A511, Quotations!$A$2:A1756, Quotations!$B$2:B1756, "")
</f>
        <v>120.81</v>
      </c>
      <c r="C511" s="9">
        <f t="array" ref="C511">XLOOKUP($A511, Quotations!$C$2:C1756, Quotations!$D$2:D1756, "")</f>
        <v>24.46</v>
      </c>
      <c r="D511" s="9">
        <f t="array" ref="D511">XLOOKUP($A511, Quotations!$E$2:E1756, Quotations!$F$2:F1756, "")
</f>
        <v>112.79</v>
      </c>
      <c r="E511" s="9">
        <f t="array" ref="E511">XLOOKUP($A511, Quotations!$G$2:G1756, Quotations!$H$2:H1756, "")
</f>
        <v>118.41</v>
      </c>
      <c r="F511" s="9">
        <f t="array" ref="F511">XLOOKUP($A511, Quotations!$I$2:I1756, Quotations!$J$2:J1756, "")
</f>
        <v>127.7</v>
      </c>
      <c r="G511" s="9">
        <f t="array" ref="G511">XLOOKUP($A511, Quotations!$K$2:K1756, Quotations!$L$2:L1756, "")
</f>
        <v>1354.4927</v>
      </c>
    </row>
    <row r="512">
      <c r="A512" s="8">
        <v>42382.0</v>
      </c>
      <c r="B512" s="9">
        <f t="array" ref="B512">XLOOKUP($A512, Quotations!$A$2:A1756, Quotations!$B$2:B1756, "")
</f>
        <v>120.82</v>
      </c>
      <c r="C512" s="9">
        <f t="array" ref="C512">XLOOKUP($A512, Quotations!$C$2:C1756, Quotations!$D$2:D1756, "")</f>
        <v>24.46</v>
      </c>
      <c r="D512" s="9">
        <f t="array" ref="D512">XLOOKUP($A512, Quotations!$E$2:E1756, Quotations!$F$2:F1756, "")
</f>
        <v>112.76</v>
      </c>
      <c r="E512" s="9">
        <f t="array" ref="E512">XLOOKUP($A512, Quotations!$G$2:G1756, Quotations!$H$2:H1756, "")
</f>
        <v>118.37</v>
      </c>
      <c r="F512" s="9">
        <f t="array" ref="F512">XLOOKUP($A512, Quotations!$I$2:I1756, Quotations!$J$2:J1756, "")
</f>
        <v>127.97</v>
      </c>
      <c r="G512" s="9">
        <f t="array" ref="G512">XLOOKUP($A512, Quotations!$K$2:K1756, Quotations!$L$2:L1756, "")
</f>
        <v>1359.1835</v>
      </c>
    </row>
    <row r="513">
      <c r="A513" s="8">
        <v>42383.0</v>
      </c>
      <c r="B513" s="9">
        <f t="array" ref="B513">XLOOKUP($A513, Quotations!$A$2:A1756, Quotations!$B$2:B1756, "")
</f>
        <v>120.28</v>
      </c>
      <c r="C513" s="9">
        <f t="array" ref="C513">XLOOKUP($A513, Quotations!$C$2:C1756, Quotations!$D$2:D1756, "")</f>
        <v>24.46</v>
      </c>
      <c r="D513" s="9">
        <f t="array" ref="D513">XLOOKUP($A513, Quotations!$E$2:E1756, Quotations!$F$2:F1756, "")
</f>
        <v>112.7</v>
      </c>
      <c r="E513" s="9">
        <f t="array" ref="E513">XLOOKUP($A513, Quotations!$G$2:G1756, Quotations!$H$2:H1756, "")
</f>
        <v>118.54</v>
      </c>
      <c r="F513" s="9">
        <f t="array" ref="F513">XLOOKUP($A513, Quotations!$I$2:I1756, Quotations!$J$2:J1756, "")
</f>
        <v>128.06</v>
      </c>
      <c r="G513" s="9">
        <f t="array" ref="G513">XLOOKUP($A513, Quotations!$K$2:K1756, Quotations!$L$2:L1756, "")
</f>
        <v>1350.5013</v>
      </c>
    </row>
    <row r="514">
      <c r="A514" s="8">
        <v>42384.0</v>
      </c>
      <c r="B514" s="9">
        <f t="array" ref="B514">XLOOKUP($A514, Quotations!$A$2:A1756, Quotations!$B$2:B1756, "")
</f>
        <v>119.53</v>
      </c>
      <c r="C514" s="9">
        <f t="array" ref="C514">XLOOKUP($A514, Quotations!$C$2:C1756, Quotations!$D$2:D1756, "")</f>
        <v>24.42</v>
      </c>
      <c r="D514" s="9">
        <f t="array" ref="D514">XLOOKUP($A514, Quotations!$E$2:E1756, Quotations!$F$2:F1756, "")
</f>
        <v>112.63</v>
      </c>
      <c r="E514" s="9">
        <f t="array" ref="E514">XLOOKUP($A514, Quotations!$G$2:G1756, Quotations!$H$2:H1756, "")
</f>
        <v>118.47</v>
      </c>
      <c r="F514" s="9">
        <f t="array" ref="F514">XLOOKUP($A514, Quotations!$I$2:I1756, Quotations!$J$2:J1756, "")
</f>
        <v>127.62</v>
      </c>
      <c r="G514" s="9">
        <f t="array" ref="G514">XLOOKUP($A514, Quotations!$K$2:K1756, Quotations!$L$2:L1756, "")
</f>
        <v>1349.8758</v>
      </c>
    </row>
    <row r="515">
      <c r="A515" s="8">
        <v>42387.0</v>
      </c>
      <c r="B515" s="9">
        <f t="array" ref="B515">XLOOKUP($A515, Quotations!$A$2:A1756, Quotations!$B$2:B1756, "")
</f>
        <v>118.8</v>
      </c>
      <c r="C515" s="9">
        <f t="array" ref="C515">XLOOKUP($A515, Quotations!$C$2:C1756, Quotations!$D$2:D1756, "")</f>
        <v>24.44</v>
      </c>
      <c r="D515" s="9">
        <f t="array" ref="D515">XLOOKUP($A515, Quotations!$E$2:E1756, Quotations!$F$2:F1756, "")
</f>
        <v>112.62</v>
      </c>
      <c r="E515" s="9">
        <f t="array" ref="E515">XLOOKUP($A515, Quotations!$G$2:G1756, Quotations!$H$2:H1756, "")
</f>
        <v>118.64</v>
      </c>
      <c r="F515" s="9">
        <f t="array" ref="F515">XLOOKUP($A515, Quotations!$I$2:I1756, Quotations!$J$2:J1756, "")
</f>
        <v>127.38</v>
      </c>
      <c r="G515" s="9">
        <f t="array" ref="G515">XLOOKUP($A515, Quotations!$K$2:K1756, Quotations!$L$2:L1756, "")
</f>
        <v>1337.7152</v>
      </c>
    </row>
    <row r="516">
      <c r="A516" s="8">
        <v>42388.0</v>
      </c>
      <c r="B516" s="9">
        <f t="array" ref="B516">XLOOKUP($A516, Quotations!$A$2:A1756, Quotations!$B$2:B1756, "")
</f>
        <v>118.92</v>
      </c>
      <c r="C516" s="9">
        <f t="array" ref="C516">XLOOKUP($A516, Quotations!$C$2:C1756, Quotations!$D$2:D1756, "")</f>
        <v>24.43</v>
      </c>
      <c r="D516" s="9">
        <f t="array" ref="D516">XLOOKUP($A516, Quotations!$E$2:E1756, Quotations!$F$2:F1756, "")
</f>
        <v>112.7</v>
      </c>
      <c r="E516" s="9">
        <f t="array" ref="E516">XLOOKUP($A516, Quotations!$G$2:G1756, Quotations!$H$2:H1756, "")
</f>
        <v>118.6</v>
      </c>
      <c r="F516" s="9">
        <f t="array" ref="F516">XLOOKUP($A516, Quotations!$I$2:I1756, Quotations!$J$2:J1756, "")
</f>
        <v>127.34</v>
      </c>
      <c r="G516" s="9">
        <f t="array" ref="G516">XLOOKUP($A516, Quotations!$K$2:K1756, Quotations!$L$2:L1756, "")
</f>
        <v>1334.7085</v>
      </c>
    </row>
    <row r="517">
      <c r="A517" s="8">
        <v>42389.0</v>
      </c>
      <c r="B517" s="9">
        <f t="array" ref="B517">XLOOKUP($A517, Quotations!$A$2:A1756, Quotations!$B$2:B1756, "")
</f>
        <v>117.6</v>
      </c>
      <c r="C517" s="9">
        <f t="array" ref="C517">XLOOKUP($A517, Quotations!$C$2:C1756, Quotations!$D$2:D1756, "")</f>
        <v>24.42</v>
      </c>
      <c r="D517" s="9">
        <f t="array" ref="D517">XLOOKUP($A517, Quotations!$E$2:E1756, Quotations!$F$2:F1756, "")
</f>
        <v>112.61</v>
      </c>
      <c r="E517" s="9">
        <f t="array" ref="E517">XLOOKUP($A517, Quotations!$G$2:G1756, Quotations!$H$2:H1756, "")
</f>
        <v>118.6</v>
      </c>
      <c r="F517" s="9">
        <f t="array" ref="F517">XLOOKUP($A517, Quotations!$I$2:I1756, Quotations!$J$2:J1756, "")
</f>
        <v>127.13</v>
      </c>
      <c r="G517" s="9">
        <f t="array" ref="G517">XLOOKUP($A517, Quotations!$K$2:K1756, Quotations!$L$2:L1756, "")
</f>
        <v>1329.8431</v>
      </c>
    </row>
    <row r="518">
      <c r="A518" s="8">
        <v>42390.0</v>
      </c>
      <c r="B518" s="9">
        <f t="array" ref="B518">XLOOKUP($A518, Quotations!$A$2:A1756, Quotations!$B$2:B1756, "")
</f>
        <v>117.55</v>
      </c>
      <c r="C518" s="9">
        <f t="array" ref="C518">XLOOKUP($A518, Quotations!$C$2:C1756, Quotations!$D$2:D1756, "")</f>
        <v>24.44</v>
      </c>
      <c r="D518" s="9">
        <f t="array" ref="D518">XLOOKUP($A518, Quotations!$E$2:E1756, Quotations!$F$2:F1756, "")
</f>
        <v>112.6</v>
      </c>
      <c r="E518" s="9">
        <f t="array" ref="E518">XLOOKUP($A518, Quotations!$G$2:G1756, Quotations!$H$2:H1756, "")
</f>
        <v>118.86</v>
      </c>
      <c r="F518" s="9">
        <f t="array" ref="F518">XLOOKUP($A518, Quotations!$I$2:I1756, Quotations!$J$2:J1756, "")
</f>
        <v>126.65</v>
      </c>
      <c r="G518" s="9">
        <f t="array" ref="G518">XLOOKUP($A518, Quotations!$K$2:K1756, Quotations!$L$2:L1756, "")
</f>
        <v>1317.4768</v>
      </c>
    </row>
    <row r="519">
      <c r="A519" s="8">
        <v>42391.0</v>
      </c>
      <c r="B519" s="9">
        <f t="array" ref="B519">XLOOKUP($A519, Quotations!$A$2:A1756, Quotations!$B$2:B1756, "")
</f>
        <v>118.29</v>
      </c>
      <c r="C519" s="9">
        <f t="array" ref="C519">XLOOKUP($A519, Quotations!$C$2:C1756, Quotations!$D$2:D1756, "")</f>
        <v>24.45</v>
      </c>
      <c r="D519" s="9">
        <f t="array" ref="D519">XLOOKUP($A519, Quotations!$E$2:E1756, Quotations!$F$2:F1756, "")
</f>
        <v>112.68</v>
      </c>
      <c r="E519" s="9">
        <f t="array" ref="E519">XLOOKUP($A519, Quotations!$G$2:G1756, Quotations!$H$2:H1756, "")
</f>
        <v>119.04</v>
      </c>
      <c r="F519" s="9">
        <f t="array" ref="F519">XLOOKUP($A519, Quotations!$I$2:I1756, Quotations!$J$2:J1756, "")
</f>
        <v>126.62</v>
      </c>
      <c r="G519" s="9">
        <f t="array" ref="G519">XLOOKUP($A519, Quotations!$K$2:K1756, Quotations!$L$2:L1756, "")
</f>
        <v>1323.6338</v>
      </c>
    </row>
    <row r="520">
      <c r="A520" s="8">
        <v>42394.0</v>
      </c>
      <c r="B520" s="9">
        <f t="array" ref="B520">XLOOKUP($A520, Quotations!$A$2:A1756, Quotations!$B$2:B1756, "")
</f>
        <v>118.06</v>
      </c>
      <c r="C520" s="9">
        <f t="array" ref="C520">XLOOKUP($A520, Quotations!$C$2:C1756, Quotations!$D$2:D1756, "")</f>
        <v>24.45</v>
      </c>
      <c r="D520" s="9">
        <f t="array" ref="D520">XLOOKUP($A520, Quotations!$E$2:E1756, Quotations!$F$2:F1756, "")
</f>
        <v>112.68</v>
      </c>
      <c r="E520" s="9">
        <f t="array" ref="E520">XLOOKUP($A520, Quotations!$G$2:G1756, Quotations!$H$2:H1756, "")
</f>
        <v>118.91</v>
      </c>
      <c r="F520" s="9">
        <f t="array" ref="F520">XLOOKUP($A520, Quotations!$I$2:I1756, Quotations!$J$2:J1756, "")
</f>
        <v>126.88</v>
      </c>
      <c r="G520" s="9">
        <f t="array" ref="G520">XLOOKUP($A520, Quotations!$K$2:K1756, Quotations!$L$2:L1756, "")
</f>
        <v>1334.5206</v>
      </c>
    </row>
    <row r="521">
      <c r="A521" s="8">
        <v>42395.0</v>
      </c>
      <c r="B521" s="9">
        <f t="array" ref="B521">XLOOKUP($A521, Quotations!$A$2:A1756, Quotations!$B$2:B1756, "")
</f>
        <v>118.37</v>
      </c>
      <c r="C521" s="9">
        <f t="array" ref="C521">XLOOKUP($A521, Quotations!$C$2:C1756, Quotations!$D$2:D1756, "")</f>
        <v>24.45</v>
      </c>
      <c r="D521" s="9">
        <f t="array" ref="D521">XLOOKUP($A521, Quotations!$E$2:E1756, Quotations!$F$2:F1756, "")
</f>
        <v>112.62</v>
      </c>
      <c r="E521" s="9">
        <f t="array" ref="E521">XLOOKUP($A521, Quotations!$G$2:G1756, Quotations!$H$2:H1756, "")
</f>
        <v>118.94</v>
      </c>
      <c r="F521" s="9">
        <f t="array" ref="F521">XLOOKUP($A521, Quotations!$I$2:I1756, Quotations!$J$2:J1756, "")
</f>
        <v>126.73</v>
      </c>
      <c r="G521" s="9">
        <f t="array" ref="G521">XLOOKUP($A521, Quotations!$K$2:K1756, Quotations!$L$2:L1756, "")
</f>
        <v>1328.9977</v>
      </c>
    </row>
    <row r="522">
      <c r="A522" s="8">
        <v>42396.0</v>
      </c>
      <c r="B522" s="9">
        <f t="array" ref="B522">XLOOKUP($A522, Quotations!$A$2:A1756, Quotations!$B$2:B1756, "")
</f>
        <v>118.31</v>
      </c>
      <c r="C522" s="9">
        <f t="array" ref="C522">XLOOKUP($A522, Quotations!$C$2:C1756, Quotations!$D$2:D1756, "")</f>
        <v>24.43</v>
      </c>
      <c r="D522" s="9">
        <f t="array" ref="D522">XLOOKUP($A522, Quotations!$E$2:E1756, Quotations!$F$2:F1756, "")
</f>
        <v>112.67</v>
      </c>
      <c r="E522" s="9">
        <f t="array" ref="E522">XLOOKUP($A522, Quotations!$G$2:G1756, Quotations!$H$2:H1756, "")
</f>
        <v>119.05</v>
      </c>
      <c r="F522" s="9">
        <f t="array" ref="F522">XLOOKUP($A522, Quotations!$I$2:I1756, Quotations!$J$2:J1756, "")
</f>
        <v>126.72</v>
      </c>
      <c r="G522" s="9">
        <f t="array" ref="G522">XLOOKUP($A522, Quotations!$K$2:K1756, Quotations!$L$2:L1756, "")
</f>
        <v>1334.4037</v>
      </c>
    </row>
    <row r="523">
      <c r="A523" s="8">
        <v>42397.0</v>
      </c>
      <c r="B523" s="9">
        <f t="array" ref="B523">XLOOKUP($A523, Quotations!$A$2:A1756, Quotations!$B$2:B1756, "")
</f>
        <v>118.04</v>
      </c>
      <c r="C523" s="9">
        <f t="array" ref="C523">XLOOKUP($A523, Quotations!$C$2:C1756, Quotations!$D$2:D1756, "")</f>
        <v>24.42</v>
      </c>
      <c r="D523" s="9">
        <f t="array" ref="D523">XLOOKUP($A523, Quotations!$E$2:E1756, Quotations!$F$2:F1756, "")
</f>
        <v>112.68</v>
      </c>
      <c r="E523" s="9">
        <f t="array" ref="E523">XLOOKUP($A523, Quotations!$G$2:G1756, Quotations!$H$2:H1756, "")
</f>
        <v>119.04</v>
      </c>
      <c r="F523" s="9">
        <f t="array" ref="F523">XLOOKUP($A523, Quotations!$I$2:I1756, Quotations!$J$2:J1756, "")
</f>
        <v>126.64</v>
      </c>
      <c r="G523" s="9">
        <f t="array" ref="G523">XLOOKUP($A523, Quotations!$K$2:K1756, Quotations!$L$2:L1756, "")
</f>
        <v>1330.627</v>
      </c>
    </row>
    <row r="524">
      <c r="A524" s="8">
        <v>42398.0</v>
      </c>
      <c r="B524" s="9">
        <f t="array" ref="B524">XLOOKUP($A524, Quotations!$A$2:A1756, Quotations!$B$2:B1756, "")
</f>
        <v>118.5</v>
      </c>
      <c r="C524" s="9">
        <f t="array" ref="C524">XLOOKUP($A524, Quotations!$C$2:C1756, Quotations!$D$2:D1756, "")</f>
        <v>24.44</v>
      </c>
      <c r="D524" s="9">
        <f t="array" ref="D524">XLOOKUP($A524, Quotations!$E$2:E1756, Quotations!$F$2:F1756, "")
</f>
        <v>112.74</v>
      </c>
      <c r="E524" s="9">
        <f t="array" ref="E524">XLOOKUP($A524, Quotations!$G$2:G1756, Quotations!$H$2:H1756, "")
</f>
        <v>119.27</v>
      </c>
      <c r="F524" s="9">
        <f t="array" ref="F524">XLOOKUP($A524, Quotations!$I$2:I1756, Quotations!$J$2:J1756, "")
</f>
        <v>126.29</v>
      </c>
      <c r="G524" s="9">
        <f t="array" ref="G524">XLOOKUP($A524, Quotations!$K$2:K1756, Quotations!$L$2:L1756, "")
</f>
        <v>1331.2125</v>
      </c>
    </row>
    <row r="525">
      <c r="A525" s="8">
        <v>42401.0</v>
      </c>
      <c r="B525" s="9">
        <f t="array" ref="B525">XLOOKUP($A525, Quotations!$A$2:A1756, Quotations!$B$2:B1756, "")
</f>
        <v>118.36</v>
      </c>
      <c r="C525" s="9">
        <f t="array" ref="C525">XLOOKUP($A525, Quotations!$C$2:C1756, Quotations!$D$2:D1756, "")</f>
        <v>24.43</v>
      </c>
      <c r="D525" s="9">
        <f t="array" ref="D525">XLOOKUP($A525, Quotations!$E$2:E1756, Quotations!$F$2:F1756, "")
</f>
        <v>112.73</v>
      </c>
      <c r="E525" s="9">
        <f t="array" ref="E525">XLOOKUP($A525, Quotations!$G$2:G1756, Quotations!$H$2:H1756, "")
</f>
        <v>119.55</v>
      </c>
      <c r="F525" s="9">
        <f t="array" ref="F525">XLOOKUP($A525, Quotations!$I$2:I1756, Quotations!$J$2:J1756, "")
</f>
        <v>126.55</v>
      </c>
      <c r="G525" s="9">
        <f t="array" ref="G525">XLOOKUP($A525, Quotations!$K$2:K1756, Quotations!$L$2:L1756, "")
</f>
        <v>1342.7595</v>
      </c>
    </row>
    <row r="526">
      <c r="A526" s="8">
        <v>42402.0</v>
      </c>
      <c r="B526" s="9">
        <f t="array" ref="B526">XLOOKUP($A526, Quotations!$A$2:A1756, Quotations!$B$2:B1756, "")
</f>
        <v>117.78</v>
      </c>
      <c r="C526" s="9">
        <f t="array" ref="C526">XLOOKUP($A526, Quotations!$C$2:C1756, Quotations!$D$2:D1756, "")</f>
        <v>24.43</v>
      </c>
      <c r="D526" s="9">
        <f t="array" ref="D526">XLOOKUP($A526, Quotations!$E$2:E1756, Quotations!$F$2:F1756, "")
</f>
        <v>112.72</v>
      </c>
      <c r="E526" s="9">
        <f t="array" ref="E526">XLOOKUP($A526, Quotations!$G$2:G1756, Quotations!$H$2:H1756, "")
</f>
        <v>119.43</v>
      </c>
      <c r="F526" s="9">
        <f t="array" ref="F526">XLOOKUP($A526, Quotations!$I$2:I1756, Quotations!$J$2:J1756, "")
</f>
        <v>126.22</v>
      </c>
      <c r="G526" s="9">
        <f t="array" ref="G526">XLOOKUP($A526, Quotations!$K$2:K1756, Quotations!$L$2:L1756, "")
</f>
        <v>1343.8552</v>
      </c>
    </row>
    <row r="527">
      <c r="A527" s="8">
        <v>42403.0</v>
      </c>
      <c r="B527" s="9">
        <f t="array" ref="B527">XLOOKUP($A527, Quotations!$A$2:A1756, Quotations!$B$2:B1756, "")
</f>
        <v>117.3</v>
      </c>
      <c r="C527" s="9">
        <f t="array" ref="C527">XLOOKUP($A527, Quotations!$C$2:C1756, Quotations!$D$2:D1756, "")</f>
        <v>24.41</v>
      </c>
      <c r="D527" s="9">
        <f t="array" ref="D527">XLOOKUP($A527, Quotations!$E$2:E1756, Quotations!$F$2:F1756, "")
</f>
        <v>112.71</v>
      </c>
      <c r="E527" s="9">
        <f t="array" ref="E527">XLOOKUP($A527, Quotations!$G$2:G1756, Quotations!$H$2:H1756, "")
</f>
        <v>119.52</v>
      </c>
      <c r="F527" s="9">
        <f t="array" ref="F527">XLOOKUP($A527, Quotations!$I$2:I1756, Quotations!$J$2:J1756, "")
</f>
        <v>126.17</v>
      </c>
      <c r="G527" s="9">
        <f t="array" ref="G527">XLOOKUP($A527, Quotations!$K$2:K1756, Quotations!$L$2:L1756, "")
</f>
        <v>1332.3521</v>
      </c>
    </row>
    <row r="528">
      <c r="A528" s="8">
        <v>42404.0</v>
      </c>
      <c r="B528" s="9">
        <f t="array" ref="B528">XLOOKUP($A528, Quotations!$A$2:A1756, Quotations!$B$2:B1756, "")
</f>
        <v>117.24</v>
      </c>
      <c r="C528" s="9">
        <f t="array" ref="C528">XLOOKUP($A528, Quotations!$C$2:C1756, Quotations!$D$2:D1756, "")</f>
        <v>24.4</v>
      </c>
      <c r="D528" s="9">
        <f t="array" ref="D528">XLOOKUP($A528, Quotations!$E$2:E1756, Quotations!$F$2:F1756, "")
</f>
        <v>112.73</v>
      </c>
      <c r="E528" s="9">
        <f t="array" ref="E528">XLOOKUP($A528, Quotations!$G$2:G1756, Quotations!$H$2:H1756, "")
</f>
        <v>119.7</v>
      </c>
      <c r="F528" s="9">
        <f t="array" ref="F528">XLOOKUP($A528, Quotations!$I$2:I1756, Quotations!$J$2:J1756, "")
</f>
        <v>125.55</v>
      </c>
      <c r="G528" s="9">
        <f t="array" ref="G528">XLOOKUP($A528, Quotations!$K$2:K1756, Quotations!$L$2:L1756, "")
</f>
        <v>1326.7896</v>
      </c>
    </row>
    <row r="529">
      <c r="A529" s="8">
        <v>42405.0</v>
      </c>
      <c r="B529" s="9">
        <f t="array" ref="B529">XLOOKUP($A529, Quotations!$A$2:A1756, Quotations!$B$2:B1756, "")
</f>
        <v>116.87</v>
      </c>
      <c r="C529" s="9">
        <f t="array" ref="C529">XLOOKUP($A529, Quotations!$C$2:C1756, Quotations!$D$2:D1756, "")</f>
        <v>24.39</v>
      </c>
      <c r="D529" s="9">
        <f t="array" ref="D529">XLOOKUP($A529, Quotations!$E$2:E1756, Quotations!$F$2:F1756, "")
</f>
        <v>112.73</v>
      </c>
      <c r="E529" s="9">
        <f t="array" ref="E529">XLOOKUP($A529, Quotations!$G$2:G1756, Quotations!$H$2:H1756, "")
</f>
        <v>119.54</v>
      </c>
      <c r="F529" s="9">
        <f t="array" ref="F529">XLOOKUP($A529, Quotations!$I$2:I1756, Quotations!$J$2:J1756, "")
</f>
        <v>125.22</v>
      </c>
      <c r="G529" s="9">
        <f t="array" ref="G529">XLOOKUP($A529, Quotations!$K$2:K1756, Quotations!$L$2:L1756, "")
</f>
        <v>1327.1582</v>
      </c>
    </row>
    <row r="530">
      <c r="A530" s="8">
        <v>42408.0</v>
      </c>
      <c r="B530" s="9">
        <f t="array" ref="B530">XLOOKUP($A530, Quotations!$A$2:A1756, Quotations!$B$2:B1756, "")
</f>
        <v>115.66</v>
      </c>
      <c r="C530" s="9">
        <f t="array" ref="C530">XLOOKUP($A530, Quotations!$C$2:C1756, Quotations!$D$2:D1756, "")</f>
        <v>24.37</v>
      </c>
      <c r="D530" s="9">
        <f t="array" ref="D530">XLOOKUP($A530, Quotations!$E$2:E1756, Quotations!$F$2:F1756, "")
</f>
        <v>112.71</v>
      </c>
      <c r="E530" s="9">
        <f t="array" ref="E530">XLOOKUP($A530, Quotations!$G$2:G1756, Quotations!$H$2:H1756, "")
</f>
        <v>119.55</v>
      </c>
      <c r="F530" s="9">
        <f t="array" ref="F530">XLOOKUP($A530, Quotations!$I$2:I1756, Quotations!$J$2:J1756, "")
</f>
        <v>125.12</v>
      </c>
      <c r="G530" s="9">
        <f t="array" ref="G530">XLOOKUP($A530, Quotations!$K$2:K1756, Quotations!$L$2:L1756, "")
</f>
        <v>1315.049</v>
      </c>
    </row>
    <row r="531">
      <c r="A531" s="8">
        <v>42409.0</v>
      </c>
      <c r="B531" s="9">
        <f t="array" ref="B531">XLOOKUP($A531, Quotations!$A$2:A1756, Quotations!$B$2:B1756, "")
</f>
        <v>114.83</v>
      </c>
      <c r="C531" s="9">
        <f t="array" ref="C531">XLOOKUP($A531, Quotations!$C$2:C1756, Quotations!$D$2:D1756, "")</f>
        <v>24.34</v>
      </c>
      <c r="D531" s="9">
        <f t="array" ref="D531">XLOOKUP($A531, Quotations!$E$2:E1756, Quotations!$F$2:F1756, "")
</f>
        <v>112.6</v>
      </c>
      <c r="E531" s="9">
        <f t="array" ref="E531">XLOOKUP($A531, Quotations!$G$2:G1756, Quotations!$H$2:H1756, "")
</f>
        <v>119.79</v>
      </c>
      <c r="F531" s="9">
        <f t="array" ref="F531">XLOOKUP($A531, Quotations!$I$2:I1756, Quotations!$J$2:J1756, "")
</f>
        <v>124.68</v>
      </c>
      <c r="G531" s="9">
        <f t="array" ref="G531">XLOOKUP($A531, Quotations!$K$2:K1756, Quotations!$L$2:L1756, "")
</f>
        <v>1298.2454</v>
      </c>
    </row>
    <row r="532">
      <c r="A532" s="8">
        <v>42410.0</v>
      </c>
      <c r="B532" s="9">
        <f t="array" ref="B532">XLOOKUP($A532, Quotations!$A$2:A1756, Quotations!$B$2:B1756, "")
</f>
        <v>114.99</v>
      </c>
      <c r="C532" s="9">
        <f t="array" ref="C532">XLOOKUP($A532, Quotations!$C$2:C1756, Quotations!$D$2:D1756, "")</f>
        <v>24.36</v>
      </c>
      <c r="D532" s="9">
        <f t="array" ref="D532">XLOOKUP($A532, Quotations!$E$2:E1756, Quotations!$F$2:F1756, "")
</f>
        <v>112.61</v>
      </c>
      <c r="E532" s="9">
        <f t="array" ref="E532">XLOOKUP($A532, Quotations!$G$2:G1756, Quotations!$H$2:H1756, "")
</f>
        <v>119.73</v>
      </c>
      <c r="F532" s="9">
        <f t="array" ref="F532">XLOOKUP($A532, Quotations!$I$2:I1756, Quotations!$J$2:J1756, "")
</f>
        <v>124.53</v>
      </c>
      <c r="G532" s="9">
        <f t="array" ref="G532">XLOOKUP($A532, Quotations!$K$2:K1756, Quotations!$L$2:L1756, "")
</f>
        <v>1292.1727</v>
      </c>
    </row>
    <row r="533">
      <c r="A533" s="8">
        <v>42411.0</v>
      </c>
      <c r="B533" s="9">
        <f t="array" ref="B533">XLOOKUP($A533, Quotations!$A$2:A1756, Quotations!$B$2:B1756, "")
</f>
        <v>114.23</v>
      </c>
      <c r="C533" s="9">
        <f t="array" ref="C533">XLOOKUP($A533, Quotations!$C$2:C1756, Quotations!$D$2:D1756, "")</f>
        <v>24.33</v>
      </c>
      <c r="D533" s="9">
        <f t="array" ref="D533">XLOOKUP($A533, Quotations!$E$2:E1756, Quotations!$F$2:F1756, "")
</f>
        <v>112.52</v>
      </c>
      <c r="E533" s="9">
        <f t="array" ref="E533">XLOOKUP($A533, Quotations!$G$2:G1756, Quotations!$H$2:H1756, "")
</f>
        <v>119.7</v>
      </c>
      <c r="F533" s="9">
        <f t="array" ref="F533">XLOOKUP($A533, Quotations!$I$2:I1756, Quotations!$J$2:J1756, "")
</f>
        <v>124.73</v>
      </c>
      <c r="G533" s="9">
        <f t="array" ref="G533">XLOOKUP($A533, Quotations!$K$2:K1756, Quotations!$L$2:L1756, "")
</f>
        <v>1293.3617</v>
      </c>
    </row>
    <row r="534">
      <c r="A534" s="8">
        <v>42412.0</v>
      </c>
      <c r="B534" s="9">
        <f t="array" ref="B534">XLOOKUP($A534, Quotations!$A$2:A1756, Quotations!$B$2:B1756, "")
</f>
        <v>114.77</v>
      </c>
      <c r="C534" s="9">
        <f t="array" ref="C534">XLOOKUP($A534, Quotations!$C$2:C1756, Quotations!$D$2:D1756, "")</f>
        <v>24.34</v>
      </c>
      <c r="D534" s="9">
        <f t="array" ref="D534">XLOOKUP($A534, Quotations!$E$2:E1756, Quotations!$F$2:F1756, "")
</f>
        <v>112.53</v>
      </c>
      <c r="E534" s="9">
        <f t="array" ref="E534">XLOOKUP($A534, Quotations!$G$2:G1756, Quotations!$H$2:H1756, "")
</f>
        <v>119.88</v>
      </c>
      <c r="F534" s="9">
        <f t="array" ref="F534">XLOOKUP($A534, Quotations!$I$2:I1756, Quotations!$J$2:J1756, "")
</f>
        <v>124.69</v>
      </c>
      <c r="G534" s="9">
        <f t="array" ref="G534">XLOOKUP($A534, Quotations!$K$2:K1756, Quotations!$L$2:L1756, "")
</f>
        <v>1283.7113</v>
      </c>
    </row>
    <row r="535">
      <c r="A535" s="8">
        <v>42415.0</v>
      </c>
      <c r="B535" s="9">
        <f t="array" ref="B535">XLOOKUP($A535, Quotations!$A$2:A1756, Quotations!$B$2:B1756, "")
</f>
        <v>115.38</v>
      </c>
      <c r="C535" s="9">
        <f t="array" ref="C535">XLOOKUP($A535, Quotations!$C$2:C1756, Quotations!$D$2:D1756, "")</f>
        <v>24.36</v>
      </c>
      <c r="D535" s="9">
        <f t="array" ref="D535">XLOOKUP($A535, Quotations!$E$2:E1756, Quotations!$F$2:F1756, "")
</f>
        <v>112.57</v>
      </c>
      <c r="E535" s="9">
        <f t="array" ref="E535">XLOOKUP($A535, Quotations!$G$2:G1756, Quotations!$H$2:H1756, "")
</f>
        <v>119.59</v>
      </c>
      <c r="F535" s="9">
        <f t="array" ref="F535">XLOOKUP($A535, Quotations!$I$2:I1756, Quotations!$J$2:J1756, "")
</f>
        <v>124.55</v>
      </c>
      <c r="G535" s="9">
        <f t="array" ref="G535">XLOOKUP($A535, Quotations!$K$2:K1756, Quotations!$L$2:L1756, "")
</f>
        <v>1293.5225</v>
      </c>
    </row>
    <row r="536">
      <c r="A536" s="8">
        <v>42416.0</v>
      </c>
      <c r="B536" s="9">
        <f t="array" ref="B536">XLOOKUP($A536, Quotations!$A$2:A1756, Quotations!$B$2:B1756, "")
</f>
        <v>115.24</v>
      </c>
      <c r="C536" s="9">
        <f t="array" ref="C536">XLOOKUP($A536, Quotations!$C$2:C1756, Quotations!$D$2:D1756, "")</f>
        <v>24.35</v>
      </c>
      <c r="D536" s="9">
        <f t="array" ref="D536">XLOOKUP($A536, Quotations!$E$2:E1756, Quotations!$F$2:F1756, "")
</f>
        <v>112.66</v>
      </c>
      <c r="E536" s="9">
        <f t="array" ref="E536">XLOOKUP($A536, Quotations!$G$2:G1756, Quotations!$H$2:H1756, "")
</f>
        <v>119.76</v>
      </c>
      <c r="F536" s="9">
        <f t="array" ref="F536">XLOOKUP($A536, Quotations!$I$2:I1756, Quotations!$J$2:J1756, "")
</f>
        <v>124.65</v>
      </c>
      <c r="G536" s="9">
        <f t="array" ref="G536">XLOOKUP($A536, Quotations!$K$2:K1756, Quotations!$L$2:L1756, "")
</f>
        <v>1297.3243</v>
      </c>
    </row>
    <row r="537">
      <c r="A537" s="8">
        <v>42417.0</v>
      </c>
      <c r="B537" s="9">
        <f t="array" ref="B537">XLOOKUP($A537, Quotations!$A$2:A1756, Quotations!$B$2:B1756, "")
</f>
        <v>115.75</v>
      </c>
      <c r="C537" s="9">
        <f t="array" ref="C537">XLOOKUP($A537, Quotations!$C$2:C1756, Quotations!$D$2:D1756, "")</f>
        <v>24.38</v>
      </c>
      <c r="D537" s="9">
        <f t="array" ref="D537">XLOOKUP($A537, Quotations!$E$2:E1756, Quotations!$F$2:F1756, "")
</f>
        <v>112.69</v>
      </c>
      <c r="E537" s="9">
        <f t="array" ref="E537">XLOOKUP($A537, Quotations!$G$2:G1756, Quotations!$H$2:H1756, "")
</f>
        <v>119.56</v>
      </c>
      <c r="F537" s="9">
        <f t="array" ref="F537">XLOOKUP($A537, Quotations!$I$2:I1756, Quotations!$J$2:J1756, "")
</f>
        <v>124.68</v>
      </c>
      <c r="G537" s="9">
        <f t="array" ref="G537">XLOOKUP($A537, Quotations!$K$2:K1756, Quotations!$L$2:L1756, "")
</f>
        <v>1300.2922</v>
      </c>
    </row>
    <row r="538">
      <c r="A538" s="8">
        <v>42418.0</v>
      </c>
      <c r="B538" s="9">
        <f t="array" ref="B538">XLOOKUP($A538, Quotations!$A$2:A1756, Quotations!$B$2:B1756, "")
</f>
        <v>115.96</v>
      </c>
      <c r="C538" s="9">
        <f t="array" ref="C538">XLOOKUP($A538, Quotations!$C$2:C1756, Quotations!$D$2:D1756, "")</f>
        <v>24.4</v>
      </c>
      <c r="D538" s="9">
        <f t="array" ref="D538">XLOOKUP($A538, Quotations!$E$2:E1756, Quotations!$F$2:F1756, "")
</f>
        <v>112.74</v>
      </c>
      <c r="E538" s="9">
        <f t="array" ref="E538">XLOOKUP($A538, Quotations!$G$2:G1756, Quotations!$H$2:H1756, "")
</f>
        <v>119.57</v>
      </c>
      <c r="F538" s="9">
        <f t="array" ref="F538">XLOOKUP($A538, Quotations!$I$2:I1756, Quotations!$J$2:J1756, "")
</f>
        <v>124.63</v>
      </c>
      <c r="G538" s="9">
        <f t="array" ref="G538">XLOOKUP($A538, Quotations!$K$2:K1756, Quotations!$L$2:L1756, "")
</f>
        <v>1312.8785</v>
      </c>
    </row>
    <row r="539">
      <c r="A539" s="8">
        <v>42419.0</v>
      </c>
      <c r="B539" s="9">
        <f t="array" ref="B539">XLOOKUP($A539, Quotations!$A$2:A1756, Quotations!$B$2:B1756, "")
</f>
        <v>115.85</v>
      </c>
      <c r="C539" s="9">
        <f t="array" ref="C539">XLOOKUP($A539, Quotations!$C$2:C1756, Quotations!$D$2:D1756, "")</f>
        <v>24.39</v>
      </c>
      <c r="D539" s="9">
        <f t="array" ref="D539">XLOOKUP($A539, Quotations!$E$2:E1756, Quotations!$F$2:F1756, "")
</f>
        <v>112.74</v>
      </c>
      <c r="E539" s="9">
        <f t="array" ref="E539">XLOOKUP($A539, Quotations!$G$2:G1756, Quotations!$H$2:H1756, "")
</f>
        <v>119.76</v>
      </c>
      <c r="F539" s="9">
        <f t="array" ref="F539">XLOOKUP($A539, Quotations!$I$2:I1756, Quotations!$J$2:J1756, "")
</f>
        <v>124.97</v>
      </c>
      <c r="G539" s="9">
        <f t="array" ref="G539">XLOOKUP($A539, Quotations!$K$2:K1756, Quotations!$L$2:L1756, "")
</f>
        <v>1313.7472</v>
      </c>
    </row>
    <row r="540">
      <c r="A540" s="8">
        <v>42422.0</v>
      </c>
      <c r="B540" s="9">
        <f t="array" ref="B540">XLOOKUP($A540, Quotations!$A$2:A1756, Quotations!$B$2:B1756, "")
</f>
        <v>116.25</v>
      </c>
      <c r="C540" s="9">
        <f t="array" ref="C540">XLOOKUP($A540, Quotations!$C$2:C1756, Quotations!$D$2:D1756, "")</f>
        <v>24.42</v>
      </c>
      <c r="D540" s="9">
        <f t="array" ref="D540">XLOOKUP($A540, Quotations!$E$2:E1756, Quotations!$F$2:F1756, "")
</f>
        <v>112.78</v>
      </c>
      <c r="E540" s="9">
        <f t="array" ref="E540">XLOOKUP($A540, Quotations!$G$2:G1756, Quotations!$H$2:H1756, "")
</f>
        <v>119.84</v>
      </c>
      <c r="F540" s="9">
        <f t="array" ref="F540">XLOOKUP($A540, Quotations!$I$2:I1756, Quotations!$J$2:J1756, "")
</f>
        <v>125.01</v>
      </c>
      <c r="G540" s="9">
        <f t="array" ref="G540">XLOOKUP($A540, Quotations!$K$2:K1756, Quotations!$L$2:L1756, "")
</f>
        <v>1314.6171</v>
      </c>
    </row>
    <row r="541">
      <c r="A541" s="8">
        <v>42423.0</v>
      </c>
      <c r="B541" s="9">
        <f t="array" ref="B541">XLOOKUP($A541, Quotations!$A$2:A1756, Quotations!$B$2:B1756, "")
</f>
        <v>116.01</v>
      </c>
      <c r="C541" s="9">
        <f t="array" ref="C541">XLOOKUP($A541, Quotations!$C$2:C1756, Quotations!$D$2:D1756, "")</f>
        <v>24.42</v>
      </c>
      <c r="D541" s="9">
        <f t="array" ref="D541">XLOOKUP($A541, Quotations!$E$2:E1756, Quotations!$F$2:F1756, "")
</f>
        <v>112.83</v>
      </c>
      <c r="E541" s="9">
        <f t="array" ref="E541">XLOOKUP($A541, Quotations!$G$2:G1756, Quotations!$H$2:H1756, "")
</f>
        <v>119.95</v>
      </c>
      <c r="F541" s="9">
        <f t="array" ref="F541">XLOOKUP($A541, Quotations!$I$2:I1756, Quotations!$J$2:J1756, "")
</f>
        <v>124.93</v>
      </c>
      <c r="G541" s="9">
        <f t="array" ref="G541">XLOOKUP($A541, Quotations!$K$2:K1756, Quotations!$L$2:L1756, "")
</f>
        <v>1320.7856</v>
      </c>
    </row>
    <row r="542">
      <c r="A542" s="8">
        <v>42424.0</v>
      </c>
      <c r="B542" s="9">
        <f t="array" ref="B542">XLOOKUP($A542, Quotations!$A$2:A1756, Quotations!$B$2:B1756, "")
</f>
        <v>115.61</v>
      </c>
      <c r="C542" s="9">
        <f t="array" ref="C542">XLOOKUP($A542, Quotations!$C$2:C1756, Quotations!$D$2:D1756, "")</f>
        <v>24.41</v>
      </c>
      <c r="D542" s="9">
        <f t="array" ref="D542">XLOOKUP($A542, Quotations!$E$2:E1756, Quotations!$F$2:F1756, "")
</f>
        <v>112.86</v>
      </c>
      <c r="E542" s="9">
        <f t="array" ref="E542">XLOOKUP($A542, Quotations!$G$2:G1756, Quotations!$H$2:H1756, "")
</f>
        <v>119.87</v>
      </c>
      <c r="F542" s="9">
        <f t="array" ref="F542">XLOOKUP($A542, Quotations!$I$2:I1756, Quotations!$J$2:J1756, "")
</f>
        <v>125.18</v>
      </c>
      <c r="G542" s="9">
        <f t="array" ref="G542">XLOOKUP($A542, Quotations!$K$2:K1756, Quotations!$L$2:L1756, "")
</f>
        <v>1316.2192</v>
      </c>
    </row>
    <row r="543">
      <c r="A543" s="8">
        <v>42425.0</v>
      </c>
      <c r="B543" s="9">
        <f t="array" ref="B543">XLOOKUP($A543, Quotations!$A$2:A1756, Quotations!$B$2:B1756, "")
</f>
        <v>116.25</v>
      </c>
      <c r="C543" s="9">
        <f t="array" ref="C543">XLOOKUP($A543, Quotations!$C$2:C1756, Quotations!$D$2:D1756, "")</f>
        <v>24.42</v>
      </c>
      <c r="D543" s="9">
        <f t="array" ref="D543">XLOOKUP($A543, Quotations!$E$2:E1756, Quotations!$F$2:F1756, "")
</f>
        <v>112.86</v>
      </c>
      <c r="E543" s="9">
        <f t="array" ref="E543">XLOOKUP($A543, Quotations!$G$2:G1756, Quotations!$H$2:H1756, "")
</f>
        <v>120.02</v>
      </c>
      <c r="F543" s="9">
        <f t="array" ref="F543">XLOOKUP($A543, Quotations!$I$2:I1756, Quotations!$J$2:J1756, "")
</f>
        <v>125.22</v>
      </c>
      <c r="G543" s="9">
        <f t="array" ref="G543">XLOOKUP($A543, Quotations!$K$2:K1756, Quotations!$L$2:L1756, "")
</f>
        <v>1316.2137</v>
      </c>
    </row>
    <row r="544">
      <c r="A544" s="8">
        <v>42426.0</v>
      </c>
      <c r="B544" s="9">
        <f t="array" ref="B544">XLOOKUP($A544, Quotations!$A$2:A1756, Quotations!$B$2:B1756, "")
</f>
        <v>116.54</v>
      </c>
      <c r="C544" s="9">
        <f t="array" ref="C544">XLOOKUP($A544, Quotations!$C$2:C1756, Quotations!$D$2:D1756, "")</f>
        <v>24.43</v>
      </c>
      <c r="D544" s="9">
        <f t="array" ref="D544">XLOOKUP($A544, Quotations!$E$2:E1756, Quotations!$F$2:F1756, "")
</f>
        <v>112.9</v>
      </c>
      <c r="E544" s="9">
        <f t="array" ref="E544">XLOOKUP($A544, Quotations!$G$2:G1756, Quotations!$H$2:H1756, "")
</f>
        <v>119.94</v>
      </c>
      <c r="F544" s="9">
        <f t="array" ref="F544">XLOOKUP($A544, Quotations!$I$2:I1756, Quotations!$J$2:J1756, "")
</f>
        <v>125.29</v>
      </c>
      <c r="G544" s="9">
        <f t="array" ref="G544">XLOOKUP($A544, Quotations!$K$2:K1756, Quotations!$L$2:L1756, "")
</f>
        <v>1324.903</v>
      </c>
    </row>
    <row r="545">
      <c r="A545" s="8">
        <v>42429.0</v>
      </c>
      <c r="B545" s="9">
        <f t="array" ref="B545">XLOOKUP($A545, Quotations!$A$2:A1756, Quotations!$B$2:B1756, "")
</f>
        <v>116.45</v>
      </c>
      <c r="C545" s="9">
        <f t="array" ref="C545">XLOOKUP($A545, Quotations!$C$2:C1756, Quotations!$D$2:D1756, "")</f>
        <v>24.44</v>
      </c>
      <c r="D545" s="9">
        <f t="array" ref="D545">XLOOKUP($A545, Quotations!$E$2:E1756, Quotations!$F$2:F1756, "")
</f>
        <v>112.95</v>
      </c>
      <c r="E545" s="9">
        <f t="array" ref="E545">XLOOKUP($A545, Quotations!$G$2:G1756, Quotations!$H$2:H1756, "")
</f>
        <v>120.01</v>
      </c>
      <c r="F545" s="9">
        <f t="array" ref="F545">XLOOKUP($A545, Quotations!$I$2:I1756, Quotations!$J$2:J1756, "")
</f>
        <v>125.34</v>
      </c>
      <c r="G545" s="9">
        <f t="array" ref="G545">XLOOKUP($A545, Quotations!$K$2:K1756, Quotations!$L$2:L1756, "")
</f>
        <v>1326.9305</v>
      </c>
    </row>
    <row r="546">
      <c r="A546" s="8">
        <v>42430.0</v>
      </c>
      <c r="B546" s="9">
        <f t="array" ref="B546">XLOOKUP($A546, Quotations!$A$2:A1756, Quotations!$B$2:B1756, "")
</f>
        <v>116.95</v>
      </c>
      <c r="C546" s="9">
        <f t="array" ref="C546">XLOOKUP($A546, Quotations!$C$2:C1756, Quotations!$D$2:D1756, "")</f>
        <v>24.45</v>
      </c>
      <c r="D546" s="9">
        <f t="array" ref="D546">XLOOKUP($A546, Quotations!$E$2:E1756, Quotations!$F$2:F1756, "")
</f>
        <v>112.96</v>
      </c>
      <c r="E546" s="9">
        <f t="array" ref="E546">XLOOKUP($A546, Quotations!$G$2:G1756, Quotations!$H$2:H1756, "")
</f>
        <v>120.12</v>
      </c>
      <c r="F546" s="9">
        <f t="array" ref="F546">XLOOKUP($A546, Quotations!$I$2:I1756, Quotations!$J$2:J1756, "")
</f>
        <v>125.69</v>
      </c>
      <c r="G546" s="9">
        <f t="array" ref="G546">XLOOKUP($A546, Quotations!$K$2:K1756, Quotations!$L$2:L1756, "")
</f>
        <v>1326.1013</v>
      </c>
    </row>
    <row r="547">
      <c r="A547" s="8">
        <v>42431.0</v>
      </c>
      <c r="B547" s="9">
        <f t="array" ref="B547">XLOOKUP($A547, Quotations!$A$2:A1756, Quotations!$B$2:B1756, "")
</f>
        <v>117.15</v>
      </c>
      <c r="C547" s="9">
        <f t="array" ref="C547">XLOOKUP($A547, Quotations!$C$2:C1756, Quotations!$D$2:D1756, "")</f>
        <v>24.47</v>
      </c>
      <c r="D547" s="9">
        <f t="array" ref="D547">XLOOKUP($A547, Quotations!$E$2:E1756, Quotations!$F$2:F1756, "")
</f>
        <v>112.99</v>
      </c>
      <c r="E547" s="9">
        <f t="array" ref="E547">XLOOKUP($A547, Quotations!$G$2:G1756, Quotations!$H$2:H1756, "")
</f>
        <v>119.93</v>
      </c>
      <c r="F547" s="9">
        <f t="array" ref="F547">XLOOKUP($A547, Quotations!$I$2:I1756, Quotations!$J$2:J1756, "")
</f>
        <v>125.62</v>
      </c>
      <c r="G547" s="9">
        <f t="array" ref="G547">XLOOKUP($A547, Quotations!$K$2:K1756, Quotations!$L$2:L1756, "")
</f>
        <v>1337.3289</v>
      </c>
    </row>
    <row r="548">
      <c r="A548" s="8">
        <v>42432.0</v>
      </c>
      <c r="B548" s="9">
        <f t="array" ref="B548">XLOOKUP($A548, Quotations!$A$2:A1756, Quotations!$B$2:B1756, "")
</f>
        <v>117.23</v>
      </c>
      <c r="C548" s="9">
        <f t="array" ref="C548">XLOOKUP($A548, Quotations!$C$2:C1756, Quotations!$D$2:D1756, "")</f>
        <v>24.47</v>
      </c>
      <c r="D548" s="9">
        <f t="array" ref="D548">XLOOKUP($A548, Quotations!$E$2:E1756, Quotations!$F$2:F1756, "")
</f>
        <v>113</v>
      </c>
      <c r="E548" s="9">
        <f t="array" ref="E548">XLOOKUP($A548, Quotations!$G$2:G1756, Quotations!$H$2:H1756, "")
</f>
        <v>119.69</v>
      </c>
      <c r="F548" s="9">
        <f t="array" ref="F548">XLOOKUP($A548, Quotations!$I$2:I1756, Quotations!$J$2:J1756, "")
</f>
        <v>125.92</v>
      </c>
      <c r="G548" s="9">
        <f t="array" ref="G548">XLOOKUP($A548, Quotations!$K$2:K1756, Quotations!$L$2:L1756, "")
</f>
        <v>1340.1129</v>
      </c>
    </row>
    <row r="549">
      <c r="A549" s="8">
        <v>42433.0</v>
      </c>
      <c r="B549" s="9">
        <f t="array" ref="B549">XLOOKUP($A549, Quotations!$A$2:A1756, Quotations!$B$2:B1756, "")
</f>
        <v>117.36</v>
      </c>
      <c r="C549" s="9">
        <f t="array" ref="C549">XLOOKUP($A549, Quotations!$C$2:C1756, Quotations!$D$2:D1756, "")</f>
        <v>24.47</v>
      </c>
      <c r="D549" s="9">
        <f t="array" ref="D549">XLOOKUP($A549, Quotations!$E$2:E1756, Quotations!$F$2:F1756, "")
</f>
        <v>112.93</v>
      </c>
      <c r="E549" s="9">
        <f t="array" ref="E549">XLOOKUP($A549, Quotations!$G$2:G1756, Quotations!$H$2:H1756, "")
</f>
        <v>119.84</v>
      </c>
      <c r="F549" s="9">
        <f t="array" ref="F549">XLOOKUP($A549, Quotations!$I$2:I1756, Quotations!$J$2:J1756, "")
</f>
        <v>125.74</v>
      </c>
      <c r="G549" s="9">
        <f t="array" ref="G549">XLOOKUP($A549, Quotations!$K$2:K1756, Quotations!$L$2:L1756, "")
</f>
        <v>1342.2377</v>
      </c>
    </row>
    <row r="550">
      <c r="A550" s="8">
        <v>42436.0</v>
      </c>
      <c r="B550" s="9">
        <f t="array" ref="B550">XLOOKUP($A550, Quotations!$A$2:A1756, Quotations!$B$2:B1756, "")
</f>
        <v>117.39</v>
      </c>
      <c r="C550" s="9">
        <f t="array" ref="C550">XLOOKUP($A550, Quotations!$C$2:C1756, Quotations!$D$2:D1756, "")</f>
        <v>24.48</v>
      </c>
      <c r="D550" s="9">
        <f t="array" ref="D550">XLOOKUP($A550, Quotations!$E$2:E1756, Quotations!$F$2:F1756, "")
</f>
        <v>112.95</v>
      </c>
      <c r="E550" s="9">
        <f t="array" ref="E550">XLOOKUP($A550, Quotations!$G$2:G1756, Quotations!$H$2:H1756, "")
</f>
        <v>119.72</v>
      </c>
      <c r="F550" s="9">
        <f t="array" ref="F550">XLOOKUP($A550, Quotations!$I$2:I1756, Quotations!$J$2:J1756, "")
</f>
        <v>125.63</v>
      </c>
      <c r="G550" s="9">
        <f t="array" ref="G550">XLOOKUP($A550, Quotations!$K$2:K1756, Quotations!$L$2:L1756, "")
</f>
        <v>1342.931</v>
      </c>
    </row>
    <row r="551">
      <c r="A551" s="8">
        <v>42437.0</v>
      </c>
      <c r="B551" s="9">
        <f t="array" ref="B551">XLOOKUP($A551, Quotations!$A$2:A1756, Quotations!$B$2:B1756, "")
</f>
        <v>117.36</v>
      </c>
      <c r="C551" s="9">
        <f t="array" ref="C551">XLOOKUP($A551, Quotations!$C$2:C1756, Quotations!$D$2:D1756, "")</f>
        <v>24.46</v>
      </c>
      <c r="D551" s="9">
        <f t="array" ref="D551">XLOOKUP($A551, Quotations!$E$2:E1756, Quotations!$F$2:F1756, "")
</f>
        <v>112.94</v>
      </c>
      <c r="E551" s="9">
        <f t="array" ref="E551">XLOOKUP($A551, Quotations!$G$2:G1756, Quotations!$H$2:H1756, "")
</f>
        <v>119.79</v>
      </c>
      <c r="F551" s="9">
        <f t="array" ref="F551">XLOOKUP($A551, Quotations!$I$2:I1756, Quotations!$J$2:J1756, "")
</f>
        <v>125.75</v>
      </c>
      <c r="G551" s="9">
        <f t="array" ref="G551">XLOOKUP($A551, Quotations!$K$2:K1756, Quotations!$L$2:L1756, "")
</f>
        <v>1342.4987</v>
      </c>
    </row>
    <row r="552">
      <c r="A552" s="8">
        <v>42438.0</v>
      </c>
      <c r="B552" s="9">
        <f t="array" ref="B552">XLOOKUP($A552, Quotations!$A$2:A1756, Quotations!$B$2:B1756, "")
</f>
        <v>117.43</v>
      </c>
      <c r="C552" s="9">
        <f t="array" ref="C552">XLOOKUP($A552, Quotations!$C$2:C1756, Quotations!$D$2:D1756, "")</f>
        <v>24.47</v>
      </c>
      <c r="D552" s="9">
        <f t="array" ref="D552">XLOOKUP($A552, Quotations!$E$2:E1756, Quotations!$F$2:F1756, "")
</f>
        <v>112.97</v>
      </c>
      <c r="E552" s="9">
        <f t="array" ref="E552">XLOOKUP($A552, Quotations!$G$2:G1756, Quotations!$H$2:H1756, "")
</f>
        <v>120</v>
      </c>
      <c r="F552" s="9">
        <f t="array" ref="F552">XLOOKUP($A552, Quotations!$I$2:I1756, Quotations!$J$2:J1756, "")
</f>
        <v>126</v>
      </c>
      <c r="G552" s="9">
        <f t="array" ref="G552">XLOOKUP($A552, Quotations!$K$2:K1756, Quotations!$L$2:L1756, "")
</f>
        <v>1336.6831</v>
      </c>
    </row>
    <row r="553">
      <c r="A553" s="8">
        <v>42439.0</v>
      </c>
      <c r="B553" s="9">
        <f t="array" ref="B553">XLOOKUP($A553, Quotations!$A$2:A1756, Quotations!$B$2:B1756, "")
</f>
        <v>117.39</v>
      </c>
      <c r="C553" s="9">
        <f t="array" ref="C553">XLOOKUP($A553, Quotations!$C$2:C1756, Quotations!$D$2:D1756, "")</f>
        <v>24.44</v>
      </c>
      <c r="D553" s="9">
        <f t="array" ref="D553">XLOOKUP($A553, Quotations!$E$2:E1756, Quotations!$F$2:F1756, "")
</f>
        <v>113</v>
      </c>
      <c r="E553" s="9">
        <f t="array" ref="E553">XLOOKUP($A553, Quotations!$G$2:G1756, Quotations!$H$2:H1756, "")
</f>
        <v>119.7</v>
      </c>
      <c r="F553" s="9">
        <f t="array" ref="F553">XLOOKUP($A553, Quotations!$I$2:I1756, Quotations!$J$2:J1756, "")
</f>
        <v>125.98</v>
      </c>
      <c r="G553" s="9">
        <f t="array" ref="G553">XLOOKUP($A553, Quotations!$K$2:K1756, Quotations!$L$2:L1756, "")
</f>
        <v>1340.8674</v>
      </c>
    </row>
    <row r="554">
      <c r="A554" s="8">
        <v>42440.0</v>
      </c>
      <c r="B554" s="9">
        <f t="array" ref="B554">XLOOKUP($A554, Quotations!$A$2:A1756, Quotations!$B$2:B1756, "")
</f>
        <v>118.29</v>
      </c>
      <c r="C554" s="9">
        <f t="array" ref="C554">XLOOKUP($A554, Quotations!$C$2:C1756, Quotations!$D$2:D1756, "")</f>
        <v>24.46</v>
      </c>
      <c r="D554" s="9">
        <f t="array" ref="D554">XLOOKUP($A554, Quotations!$E$2:E1756, Quotations!$F$2:F1756, "")
</f>
        <v>113.07</v>
      </c>
      <c r="E554" s="9">
        <f t="array" ref="E554">XLOOKUP($A554, Quotations!$G$2:G1756, Quotations!$H$2:H1756, "")
</f>
        <v>119.48</v>
      </c>
      <c r="F554" s="9">
        <f t="array" ref="F554">XLOOKUP($A554, Quotations!$I$2:I1756, Quotations!$J$2:J1756, "")
</f>
        <v>125.95</v>
      </c>
      <c r="G554" s="9">
        <f t="array" ref="G554">XLOOKUP($A554, Quotations!$K$2:K1756, Quotations!$L$2:L1756, "")
</f>
        <v>1340.6368</v>
      </c>
    </row>
    <row r="555">
      <c r="A555" s="8">
        <v>42443.0</v>
      </c>
      <c r="B555" s="9">
        <f t="array" ref="B555">XLOOKUP($A555, Quotations!$A$2:A1756, Quotations!$B$2:B1756, "")
</f>
        <v>118.62</v>
      </c>
      <c r="C555" s="9">
        <f t="array" ref="C555">XLOOKUP($A555, Quotations!$C$2:C1756, Quotations!$D$2:D1756, "")</f>
        <v>24.47</v>
      </c>
      <c r="D555" s="9">
        <f t="array" ref="D555">XLOOKUP($A555, Quotations!$E$2:E1756, Quotations!$F$2:F1756, "")
</f>
        <v>113.1</v>
      </c>
      <c r="E555" s="9">
        <f t="array" ref="E555">XLOOKUP($A555, Quotations!$G$2:G1756, Quotations!$H$2:H1756, "")
</f>
        <v>119.54</v>
      </c>
      <c r="F555" s="9">
        <f t="array" ref="F555">XLOOKUP($A555, Quotations!$I$2:I1756, Quotations!$J$2:J1756, "")
</f>
        <v>126.02</v>
      </c>
      <c r="G555" s="9">
        <f t="array" ref="G555">XLOOKUP($A555, Quotations!$K$2:K1756, Quotations!$L$2:L1756, "")
</f>
        <v>1351.1895</v>
      </c>
    </row>
    <row r="556">
      <c r="A556" s="8">
        <v>42444.0</v>
      </c>
      <c r="B556" s="9">
        <f t="array" ref="B556">XLOOKUP($A556, Quotations!$A$2:A1756, Quotations!$B$2:B1756, "")
</f>
        <v>118.44</v>
      </c>
      <c r="C556" s="9">
        <f t="array" ref="C556">XLOOKUP($A556, Quotations!$C$2:C1756, Quotations!$D$2:D1756, "")</f>
        <v>24.46</v>
      </c>
      <c r="D556" s="9">
        <f t="array" ref="D556">XLOOKUP($A556, Quotations!$E$2:E1756, Quotations!$F$2:F1756, "")
</f>
        <v>113.07</v>
      </c>
      <c r="E556" s="9">
        <f t="array" ref="E556">XLOOKUP($A556, Quotations!$G$2:G1756, Quotations!$H$2:H1756, "")
</f>
        <v>119.56</v>
      </c>
      <c r="F556" s="9">
        <f t="array" ref="F556">XLOOKUP($A556, Quotations!$I$2:I1756, Quotations!$J$2:J1756, "")
</f>
        <v>126.29</v>
      </c>
      <c r="G556" s="9">
        <f t="array" ref="G556">XLOOKUP($A556, Quotations!$K$2:K1756, Quotations!$L$2:L1756, "")
</f>
        <v>1351.9495</v>
      </c>
    </row>
    <row r="557">
      <c r="A557" s="8">
        <v>42445.0</v>
      </c>
      <c r="B557" s="9">
        <f t="array" ref="B557">XLOOKUP($A557, Quotations!$A$2:A1756, Quotations!$B$2:B1756, "")
</f>
        <v>118.53</v>
      </c>
      <c r="C557" s="9">
        <f t="array" ref="C557">XLOOKUP($A557, Quotations!$C$2:C1756, Quotations!$D$2:D1756, "")</f>
        <v>24.46</v>
      </c>
      <c r="D557" s="9">
        <f t="array" ref="D557">XLOOKUP($A557, Quotations!$E$2:E1756, Quotations!$F$2:F1756, "")
</f>
        <v>113.06</v>
      </c>
      <c r="E557" s="9">
        <f t="array" ref="E557">XLOOKUP($A557, Quotations!$G$2:G1756, Quotations!$H$2:H1756, "")
</f>
        <v>119.36</v>
      </c>
      <c r="F557" s="9">
        <f t="array" ref="F557">XLOOKUP($A557, Quotations!$I$2:I1756, Quotations!$J$2:J1756, "")
</f>
        <v>126.06</v>
      </c>
      <c r="G557" s="9">
        <f t="array" ref="G557">XLOOKUP($A557, Quotations!$K$2:K1756, Quotations!$L$2:L1756, "")
</f>
        <v>1348.8073</v>
      </c>
    </row>
    <row r="558">
      <c r="A558" s="8">
        <v>42446.0</v>
      </c>
      <c r="B558" s="9">
        <f t="array" ref="B558">XLOOKUP($A558, Quotations!$A$2:A1756, Quotations!$B$2:B1756, "")
</f>
        <v>118.59</v>
      </c>
      <c r="C558" s="9">
        <f t="array" ref="C558">XLOOKUP($A558, Quotations!$C$2:C1756, Quotations!$D$2:D1756, "")</f>
        <v>24.45</v>
      </c>
      <c r="D558" s="9">
        <f t="array" ref="D558">XLOOKUP($A558, Quotations!$E$2:E1756, Quotations!$F$2:F1756, "")
</f>
        <v>113.1</v>
      </c>
      <c r="E558" s="9">
        <f t="array" ref="E558">XLOOKUP($A558, Quotations!$G$2:G1756, Quotations!$H$2:H1756, "")
</f>
        <v>119.46</v>
      </c>
      <c r="F558" s="9">
        <f t="array" ref="F558">XLOOKUP($A558, Quotations!$I$2:I1756, Quotations!$J$2:J1756, "")
</f>
        <v>126.18</v>
      </c>
      <c r="G558" s="9">
        <f t="array" ref="G558">XLOOKUP($A558, Quotations!$K$2:K1756, Quotations!$L$2:L1756, "")
</f>
        <v>1350.8159</v>
      </c>
    </row>
    <row r="559">
      <c r="A559" s="8">
        <v>42447.0</v>
      </c>
      <c r="B559" s="9">
        <f t="array" ref="B559">XLOOKUP($A559, Quotations!$A$2:A1756, Quotations!$B$2:B1756, "")
</f>
        <v>118.69</v>
      </c>
      <c r="C559" s="9">
        <f t="array" ref="C559">XLOOKUP($A559, Quotations!$C$2:C1756, Quotations!$D$2:D1756, "")</f>
        <v>24.45</v>
      </c>
      <c r="D559" s="9">
        <f t="array" ref="D559">XLOOKUP($A559, Quotations!$E$2:E1756, Quotations!$F$2:F1756, "")
</f>
        <v>113.14</v>
      </c>
      <c r="E559" s="9">
        <f t="array" ref="E559">XLOOKUP($A559, Quotations!$G$2:G1756, Quotations!$H$2:H1756, "")
</f>
        <v>119.68</v>
      </c>
      <c r="F559" s="9">
        <f t="array" ref="F559">XLOOKUP($A559, Quotations!$I$2:I1756, Quotations!$J$2:J1756, "")
</f>
        <v>125.96</v>
      </c>
      <c r="G559" s="9">
        <f t="array" ref="G559">XLOOKUP($A559, Quotations!$K$2:K1756, Quotations!$L$2:L1756, "")
</f>
        <v>1351.9458</v>
      </c>
    </row>
    <row r="560">
      <c r="A560" s="8">
        <v>42450.0</v>
      </c>
      <c r="B560" s="9">
        <f t="array" ref="B560">XLOOKUP($A560, Quotations!$A$2:A1756, Quotations!$B$2:B1756, "")
</f>
        <v>118.88</v>
      </c>
      <c r="C560" s="9">
        <f t="array" ref="C560">XLOOKUP($A560, Quotations!$C$2:C1756, Quotations!$D$2:D1756, "")</f>
        <v>24.45</v>
      </c>
      <c r="D560" s="9">
        <f t="array" ref="D560">XLOOKUP($A560, Quotations!$E$2:E1756, Quotations!$F$2:F1756, "")
</f>
        <v>113.18</v>
      </c>
      <c r="E560" s="9">
        <f t="array" ref="E560">XLOOKUP($A560, Quotations!$G$2:G1756, Quotations!$H$2:H1756, "")
</f>
        <v>119.71</v>
      </c>
      <c r="F560" s="9">
        <f t="array" ref="F560">XLOOKUP($A560, Quotations!$I$2:I1756, Quotations!$J$2:J1756, "")
</f>
        <v>126.06</v>
      </c>
      <c r="G560" s="9">
        <f t="array" ref="G560">XLOOKUP($A560, Quotations!$K$2:K1756, Quotations!$L$2:L1756, "")
</f>
        <v>1355.9958</v>
      </c>
    </row>
    <row r="561">
      <c r="A561" s="8">
        <v>42451.0</v>
      </c>
      <c r="B561" s="9">
        <f t="array" ref="B561">XLOOKUP($A561, Quotations!$A$2:A1756, Quotations!$B$2:B1756, "")
</f>
        <v>118.76</v>
      </c>
      <c r="C561" s="9">
        <f t="array" ref="C561">XLOOKUP($A561, Quotations!$C$2:C1756, Quotations!$D$2:D1756, "")</f>
        <v>24.45</v>
      </c>
      <c r="D561" s="9">
        <f t="array" ref="D561">XLOOKUP($A561, Quotations!$E$2:E1756, Quotations!$F$2:F1756, "")
</f>
        <v>113.17</v>
      </c>
      <c r="E561" s="9">
        <f t="array" ref="E561">XLOOKUP($A561, Quotations!$G$2:G1756, Quotations!$H$2:H1756, "")
</f>
        <v>119.72</v>
      </c>
      <c r="F561" s="9">
        <f t="array" ref="F561">XLOOKUP($A561, Quotations!$I$2:I1756, Quotations!$J$2:J1756, "")
</f>
        <v>126.1</v>
      </c>
      <c r="G561" s="9">
        <f t="array" ref="G561">XLOOKUP($A561, Quotations!$K$2:K1756, Quotations!$L$2:L1756, "")
</f>
        <v>1358.6652</v>
      </c>
    </row>
    <row r="562">
      <c r="A562" s="8">
        <v>42452.0</v>
      </c>
      <c r="B562" s="9">
        <f t="array" ref="B562">XLOOKUP($A562, Quotations!$A$2:A1756, Quotations!$B$2:B1756, "")
</f>
        <v>118.82</v>
      </c>
      <c r="C562" s="9">
        <f t="array" ref="C562">XLOOKUP($A562, Quotations!$C$2:C1756, Quotations!$D$2:D1756, "")</f>
        <v>24.45</v>
      </c>
      <c r="D562" s="9">
        <f t="array" ref="D562">XLOOKUP($A562, Quotations!$E$2:E1756, Quotations!$F$2:F1756, "")
</f>
        <v>113.16</v>
      </c>
      <c r="E562" s="9">
        <f t="array" ref="E562">XLOOKUP($A562, Quotations!$G$2:G1756, Quotations!$H$2:H1756, "")
</f>
        <v>119.73</v>
      </c>
      <c r="F562" s="9">
        <f t="array" ref="F562">XLOOKUP($A562, Quotations!$I$2:I1756, Quotations!$J$2:J1756, "")
</f>
        <v>126.1</v>
      </c>
      <c r="G562" s="9">
        <f t="array" ref="G562">XLOOKUP($A562, Quotations!$K$2:K1756, Quotations!$L$2:L1756, "")
</f>
        <v>1358.3358</v>
      </c>
    </row>
    <row r="563">
      <c r="A563" s="8">
        <v>42453.0</v>
      </c>
      <c r="B563" s="9">
        <f t="array" ref="B563">XLOOKUP($A563, Quotations!$A$2:A1756, Quotations!$B$2:B1756, "")
</f>
        <v>118.37</v>
      </c>
      <c r="C563" s="9">
        <f t="array" ref="C563">XLOOKUP($A563, Quotations!$C$2:C1756, Quotations!$D$2:D1756, "")</f>
        <v>24.46</v>
      </c>
      <c r="D563" s="9">
        <f t="array" ref="D563">XLOOKUP($A563, Quotations!$E$2:E1756, Quotations!$F$2:F1756, "")
</f>
        <v>113.11</v>
      </c>
      <c r="E563" s="9">
        <f t="array" ref="E563">XLOOKUP($A563, Quotations!$G$2:G1756, Quotations!$H$2:H1756, "")
</f>
        <v>119.66</v>
      </c>
      <c r="F563" s="9">
        <f t="array" ref="F563">XLOOKUP($A563, Quotations!$I$2:I1756, Quotations!$J$2:J1756, "")
</f>
        <v>126.29</v>
      </c>
      <c r="G563" s="9">
        <f t="array" ref="G563">XLOOKUP($A563, Quotations!$K$2:K1756, Quotations!$L$2:L1756, "")
</f>
        <v>1353.5876</v>
      </c>
    </row>
    <row r="564">
      <c r="A564" s="8">
        <v>42458.0</v>
      </c>
      <c r="B564" s="9">
        <f t="array" ref="B564">XLOOKUP($A564, Quotations!$A$2:A1756, Quotations!$B$2:B1756, "")
</f>
        <v>118.26</v>
      </c>
      <c r="C564" s="9">
        <f t="array" ref="C564">XLOOKUP($A564, Quotations!$C$2:C1756, Quotations!$D$2:D1756, "")</f>
        <v>24.47</v>
      </c>
      <c r="D564" s="9">
        <f t="array" ref="D564">XLOOKUP($A564, Quotations!$E$2:E1756, Quotations!$F$2:F1756, "")
</f>
        <v>113.2</v>
      </c>
      <c r="E564" s="9">
        <f t="array" ref="E564">XLOOKUP($A564, Quotations!$G$2:G1756, Quotations!$H$2:H1756, "")
</f>
        <v>119.32</v>
      </c>
      <c r="F564" s="9">
        <f t="array" ref="F564">XLOOKUP($A564, Quotations!$I$2:I1756, Quotations!$J$2:J1756, "")
</f>
        <v>126.18</v>
      </c>
      <c r="G564" s="9">
        <f t="array" ref="G564">XLOOKUP($A564, Quotations!$K$2:K1756, Quotations!$L$2:L1756, "")
</f>
        <v>1351.2799</v>
      </c>
    </row>
    <row r="565">
      <c r="A565" s="8">
        <v>42459.0</v>
      </c>
      <c r="B565" s="9">
        <f t="array" ref="B565">XLOOKUP($A565, Quotations!$A$2:A1756, Quotations!$B$2:B1756, "")
</f>
        <v>118.63</v>
      </c>
      <c r="C565" s="9">
        <f t="array" ref="C565">XLOOKUP($A565, Quotations!$C$2:C1756, Quotations!$D$2:D1756, "")</f>
        <v>24.45</v>
      </c>
      <c r="D565" s="9">
        <f t="array" ref="D565">XLOOKUP($A565, Quotations!$E$2:E1756, Quotations!$F$2:F1756, "")
</f>
        <v>113.24</v>
      </c>
      <c r="E565" s="9">
        <f t="array" ref="E565">XLOOKUP($A565, Quotations!$G$2:G1756, Quotations!$H$2:H1756, "")
</f>
        <v>119.54</v>
      </c>
      <c r="F565" s="9">
        <f t="array" ref="F565">XLOOKUP($A565, Quotations!$I$2:I1756, Quotations!$J$2:J1756, "")
</f>
        <v>126.43</v>
      </c>
      <c r="G565" s="9">
        <f t="array" ref="G565">XLOOKUP($A565, Quotations!$K$2:K1756, Quotations!$L$2:L1756, "")
</f>
        <v>1353.8275</v>
      </c>
    </row>
    <row r="566">
      <c r="A566" s="8">
        <v>42460.0</v>
      </c>
      <c r="B566" s="9">
        <f t="array" ref="B566">XLOOKUP($A566, Quotations!$A$2:A1756, Quotations!$B$2:B1756, "")
</f>
        <v>118.45</v>
      </c>
      <c r="C566" s="9">
        <f t="array" ref="C566">XLOOKUP($A566, Quotations!$C$2:C1756, Quotations!$D$2:D1756, "")</f>
        <v>24.45</v>
      </c>
      <c r="D566" s="9">
        <f t="array" ref="D566">XLOOKUP($A566, Quotations!$E$2:E1756, Quotations!$F$2:F1756, "")
</f>
        <v>113.27</v>
      </c>
      <c r="E566" s="9">
        <f t="array" ref="E566">XLOOKUP($A566, Quotations!$G$2:G1756, Quotations!$H$2:H1756, "")
</f>
        <v>119.84</v>
      </c>
      <c r="F566" s="9">
        <f t="array" ref="F566">XLOOKUP($A566, Quotations!$I$2:I1756, Quotations!$J$2:J1756, "")
</f>
        <v>126.35</v>
      </c>
      <c r="G566" s="9">
        <f t="array" ref="G566">XLOOKUP($A566, Quotations!$K$2:K1756, Quotations!$L$2:L1756, "")
</f>
        <v>1357.0128</v>
      </c>
    </row>
    <row r="567">
      <c r="A567" s="8">
        <v>42461.0</v>
      </c>
      <c r="B567" s="9">
        <f t="array" ref="B567">XLOOKUP($A567, Quotations!$A$2:A1756, Quotations!$B$2:B1756, "")
</f>
        <v>117.91</v>
      </c>
      <c r="C567" s="9">
        <f t="array" ref="C567">XLOOKUP($A567, Quotations!$C$2:C1756, Quotations!$D$2:D1756, "")</f>
        <v>24.44</v>
      </c>
      <c r="D567" s="9">
        <f t="array" ref="D567">XLOOKUP($A567, Quotations!$E$2:E1756, Quotations!$F$2:F1756, "")
</f>
        <v>113.28</v>
      </c>
      <c r="E567" s="9">
        <f t="array" ref="E567">XLOOKUP($A567, Quotations!$G$2:G1756, Quotations!$H$2:H1756, "")
</f>
        <v>119.63</v>
      </c>
      <c r="F567" s="9">
        <f t="array" ref="F567">XLOOKUP($A567, Quotations!$I$2:I1756, Quotations!$J$2:J1756, "")
</f>
        <v>126.37</v>
      </c>
      <c r="G567" s="9">
        <f t="array" ref="G567">XLOOKUP($A567, Quotations!$K$2:K1756, Quotations!$L$2:L1756, "")
</f>
        <v>1354.3528</v>
      </c>
    </row>
    <row r="568">
      <c r="A568" s="8">
        <v>42464.0</v>
      </c>
      <c r="B568" s="9">
        <f t="array" ref="B568">XLOOKUP($A568, Quotations!$A$2:A1756, Quotations!$B$2:B1756, "")
</f>
        <v>117.79</v>
      </c>
      <c r="C568" s="9">
        <f t="array" ref="C568">XLOOKUP($A568, Quotations!$C$2:C1756, Quotations!$D$2:D1756, "")</f>
        <v>24.44</v>
      </c>
      <c r="D568" s="9">
        <f t="array" ref="D568">XLOOKUP($A568, Quotations!$E$2:E1756, Quotations!$F$2:F1756, "")
</f>
        <v>113.34</v>
      </c>
      <c r="E568" s="9">
        <f t="array" ref="E568">XLOOKUP($A568, Quotations!$G$2:G1756, Quotations!$H$2:H1756, "")
</f>
        <v>119.36</v>
      </c>
      <c r="F568" s="9">
        <f t="array" ref="F568">XLOOKUP($A568, Quotations!$I$2:I1756, Quotations!$J$2:J1756, "")
</f>
        <v>124.28</v>
      </c>
      <c r="G568" s="9">
        <f t="array" ref="G568">XLOOKUP($A568, Quotations!$K$2:K1756, Quotations!$L$2:L1756, "")
</f>
        <v>1348.2864</v>
      </c>
    </row>
    <row r="569">
      <c r="A569" s="8">
        <v>42465.0</v>
      </c>
      <c r="B569" s="9">
        <f t="array" ref="B569">XLOOKUP($A569, Quotations!$A$2:A1756, Quotations!$B$2:B1756, "")
</f>
        <v>117.02</v>
      </c>
      <c r="C569" s="9">
        <f t="array" ref="C569">XLOOKUP($A569, Quotations!$C$2:C1756, Quotations!$D$2:D1756, "")</f>
        <v>24.44</v>
      </c>
      <c r="D569" s="9">
        <f t="array" ref="D569">XLOOKUP($A569, Quotations!$E$2:E1756, Quotations!$F$2:F1756, "")
</f>
        <v>113.33</v>
      </c>
      <c r="E569" s="9">
        <f t="array" ref="E569">XLOOKUP($A569, Quotations!$G$2:G1756, Quotations!$H$2:H1756, "")
</f>
        <v>119.39</v>
      </c>
      <c r="F569" s="9">
        <f t="array" ref="F569">XLOOKUP($A569, Quotations!$I$2:I1756, Quotations!$J$2:J1756, "")
</f>
        <v>124.45</v>
      </c>
      <c r="G569" s="9">
        <f t="array" ref="G569">XLOOKUP($A569, Quotations!$K$2:K1756, Quotations!$L$2:L1756, "")
</f>
        <v>1353.8593</v>
      </c>
    </row>
    <row r="570">
      <c r="A570" s="8">
        <v>42466.0</v>
      </c>
      <c r="B570" s="9">
        <f t="array" ref="B570">XLOOKUP($A570, Quotations!$A$2:A1756, Quotations!$B$2:B1756, "")
</f>
        <v>117.15</v>
      </c>
      <c r="C570" s="9">
        <f t="array" ref="C570">XLOOKUP($A570, Quotations!$C$2:C1756, Quotations!$D$2:D1756, "")</f>
        <v>24.44</v>
      </c>
      <c r="D570" s="9">
        <f t="array" ref="D570">XLOOKUP($A570, Quotations!$E$2:E1756, Quotations!$F$2:F1756, "")
</f>
        <v>113.34</v>
      </c>
      <c r="E570" s="9">
        <f t="array" ref="E570">XLOOKUP($A570, Quotations!$G$2:G1756, Quotations!$H$2:H1756, "")
</f>
        <v>119.06</v>
      </c>
      <c r="F570" s="9">
        <f t="array" ref="F570">XLOOKUP($A570, Quotations!$I$2:I1756, Quotations!$J$2:J1756, "")
</f>
        <v>124.34</v>
      </c>
      <c r="G570" s="9">
        <f t="array" ref="G570">XLOOKUP($A570, Quotations!$K$2:K1756, Quotations!$L$2:L1756, "")
</f>
        <v>1347.8284</v>
      </c>
    </row>
    <row r="571">
      <c r="A571" s="8">
        <v>42467.0</v>
      </c>
      <c r="B571" s="9">
        <f t="array" ref="B571">XLOOKUP($A571, Quotations!$A$2:A1756, Quotations!$B$2:B1756, "")
</f>
        <v>116.87</v>
      </c>
      <c r="C571" s="9">
        <f t="array" ref="C571">XLOOKUP($A571, Quotations!$C$2:C1756, Quotations!$D$2:D1756, "")</f>
        <v>24.44</v>
      </c>
      <c r="D571" s="9">
        <f t="array" ref="D571">XLOOKUP($A571, Quotations!$E$2:E1756, Quotations!$F$2:F1756, "")
</f>
        <v>113.34</v>
      </c>
      <c r="E571" s="9">
        <f t="array" ref="E571">XLOOKUP($A571, Quotations!$G$2:G1756, Quotations!$H$2:H1756, "")
</f>
        <v>118.93</v>
      </c>
      <c r="F571" s="9">
        <f t="array" ref="F571">XLOOKUP($A571, Quotations!$I$2:I1756, Quotations!$J$2:J1756, "")
</f>
        <v>124.26</v>
      </c>
      <c r="G571" s="9">
        <f t="array" ref="G571">XLOOKUP($A571, Quotations!$K$2:K1756, Quotations!$L$2:L1756, "")
</f>
        <v>1352.0834</v>
      </c>
    </row>
    <row r="572">
      <c r="A572" s="8">
        <v>42468.0</v>
      </c>
      <c r="B572" s="9">
        <f t="array" ref="B572">XLOOKUP($A572, Quotations!$A$2:A1756, Quotations!$B$2:B1756, "")
</f>
        <v>117.2</v>
      </c>
      <c r="C572" s="9">
        <f t="array" ref="C572">XLOOKUP($A572, Quotations!$C$2:C1756, Quotations!$D$2:D1756, "")</f>
        <v>24.44</v>
      </c>
      <c r="D572" s="9">
        <f t="array" ref="D572">XLOOKUP($A572, Quotations!$E$2:E1756, Quotations!$F$2:F1756, "")
</f>
        <v>113.38</v>
      </c>
      <c r="E572" s="9">
        <f t="array" ref="E572">XLOOKUP($A572, Quotations!$G$2:G1756, Quotations!$H$2:H1756, "")
</f>
        <v>119.05</v>
      </c>
      <c r="F572" s="9">
        <f t="array" ref="F572">XLOOKUP($A572, Quotations!$I$2:I1756, Quotations!$J$2:J1756, "")
</f>
        <v>124.57</v>
      </c>
      <c r="G572" s="9">
        <f t="array" ref="G572">XLOOKUP($A572, Quotations!$K$2:K1756, Quotations!$L$2:L1756, "")
</f>
        <v>1349.0557</v>
      </c>
    </row>
    <row r="573">
      <c r="A573" s="8">
        <v>42471.0</v>
      </c>
      <c r="B573" s="9">
        <f t="array" ref="B573">XLOOKUP($A573, Quotations!$A$2:A1756, Quotations!$B$2:B1756, "")
</f>
        <v>117.47</v>
      </c>
      <c r="C573" s="9">
        <f t="array" ref="C573">XLOOKUP($A573, Quotations!$C$2:C1756, Quotations!$D$2:D1756, "")</f>
        <v>24.44</v>
      </c>
      <c r="D573" s="9">
        <f t="array" ref="D573">XLOOKUP($A573, Quotations!$E$2:E1756, Quotations!$F$2:F1756, "")
</f>
        <v>113.42</v>
      </c>
      <c r="E573" s="9">
        <f t="array" ref="E573">XLOOKUP($A573, Quotations!$G$2:G1756, Quotations!$H$2:H1756, "")
</f>
        <v>119.01</v>
      </c>
      <c r="F573" s="9">
        <f t="array" ref="F573">XLOOKUP($A573, Quotations!$I$2:I1756, Quotations!$J$2:J1756, "")
</f>
        <v>124.32</v>
      </c>
      <c r="G573" s="9">
        <f t="array" ref="G573">XLOOKUP($A573, Quotations!$K$2:K1756, Quotations!$L$2:L1756, "")
</f>
        <v>1351.121</v>
      </c>
    </row>
    <row r="574">
      <c r="A574" s="8">
        <v>42472.0</v>
      </c>
      <c r="B574" s="9">
        <f t="array" ref="B574">XLOOKUP($A574, Quotations!$A$2:A1756, Quotations!$B$2:B1756, "")
</f>
        <v>117.54</v>
      </c>
      <c r="C574" s="9">
        <f t="array" ref="C574">XLOOKUP($A574, Quotations!$C$2:C1756, Quotations!$D$2:D1756, "")</f>
        <v>24.45</v>
      </c>
      <c r="D574" s="9">
        <f t="array" ref="D574">XLOOKUP($A574, Quotations!$E$2:E1756, Quotations!$F$2:F1756, "")
</f>
        <v>113.45</v>
      </c>
      <c r="E574" s="9">
        <f t="array" ref="E574">XLOOKUP($A574, Quotations!$G$2:G1756, Quotations!$H$2:H1756, "")
</f>
        <v>118.91</v>
      </c>
      <c r="F574" s="9">
        <f t="array" ref="F574">XLOOKUP($A574, Quotations!$I$2:I1756, Quotations!$J$2:J1756, "")
</f>
        <v>124.28</v>
      </c>
      <c r="G574" s="9">
        <f t="array" ref="G574">XLOOKUP($A574, Quotations!$K$2:K1756, Quotations!$L$2:L1756, "")
</f>
        <v>1352.5877</v>
      </c>
    </row>
    <row r="575">
      <c r="A575" s="8">
        <v>42473.0</v>
      </c>
      <c r="B575" s="9">
        <f t="array" ref="B575">XLOOKUP($A575, Quotations!$A$2:A1756, Quotations!$B$2:B1756, "")
</f>
        <v>118.07</v>
      </c>
      <c r="C575" s="9">
        <f t="array" ref="C575">XLOOKUP($A575, Quotations!$C$2:C1756, Quotations!$D$2:D1756, "")</f>
        <v>24.47</v>
      </c>
      <c r="D575" s="9">
        <f t="array" ref="D575">XLOOKUP($A575, Quotations!$E$2:E1756, Quotations!$F$2:F1756, "")
</f>
        <v>113.47</v>
      </c>
      <c r="E575" s="9">
        <f t="array" ref="E575">XLOOKUP($A575, Quotations!$G$2:G1756, Quotations!$H$2:H1756, "")
</f>
        <v>118.77</v>
      </c>
      <c r="F575" s="9">
        <f t="array" ref="F575">XLOOKUP($A575, Quotations!$I$2:I1756, Quotations!$J$2:J1756, "")
</f>
        <v>124.13</v>
      </c>
      <c r="G575" s="9">
        <f t="array" ref="G575">XLOOKUP($A575, Quotations!$K$2:K1756, Quotations!$L$2:L1756, "")
</f>
        <v>1354.9026</v>
      </c>
    </row>
    <row r="576">
      <c r="A576" s="8">
        <v>42474.0</v>
      </c>
      <c r="B576" s="9">
        <f t="array" ref="B576">XLOOKUP($A576, Quotations!$A$2:A1756, Quotations!$B$2:B1756, "")
</f>
        <v>118.18</v>
      </c>
      <c r="C576" s="9">
        <f t="array" ref="C576">XLOOKUP($A576, Quotations!$C$2:C1756, Quotations!$D$2:D1756, "")</f>
        <v>24.47</v>
      </c>
      <c r="D576" s="9">
        <f t="array" ref="D576">XLOOKUP($A576, Quotations!$E$2:E1756, Quotations!$F$2:F1756, "")
</f>
        <v>113.47</v>
      </c>
      <c r="E576" s="9">
        <f t="array" ref="E576">XLOOKUP($A576, Quotations!$G$2:G1756, Quotations!$H$2:H1756, "")
</f>
        <v>118.79</v>
      </c>
      <c r="F576" s="9">
        <f t="array" ref="F576">XLOOKUP($A576, Quotations!$I$2:I1756, Quotations!$J$2:J1756, "")
</f>
        <v>124.19</v>
      </c>
      <c r="G576" s="9">
        <f t="array" ref="G576">XLOOKUP($A576, Quotations!$K$2:K1756, Quotations!$L$2:L1756, "")
</f>
        <v>1365.804</v>
      </c>
    </row>
    <row r="577">
      <c r="A577" s="8">
        <v>42475.0</v>
      </c>
      <c r="B577" s="9">
        <f t="array" ref="B577">XLOOKUP($A577, Quotations!$A$2:A1756, Quotations!$B$2:B1756, "")
</f>
        <v>118.13</v>
      </c>
      <c r="C577" s="9">
        <f t="array" ref="C577">XLOOKUP($A577, Quotations!$C$2:C1756, Quotations!$D$2:D1756, "")</f>
        <v>24.46</v>
      </c>
      <c r="D577" s="9">
        <f t="array" ref="D577">XLOOKUP($A577, Quotations!$E$2:E1756, Quotations!$F$2:F1756, "")
</f>
        <v>113.46</v>
      </c>
      <c r="E577" s="9">
        <f t="array" ref="E577">XLOOKUP($A577, Quotations!$G$2:G1756, Quotations!$H$2:H1756, "")
</f>
        <v>118.79</v>
      </c>
      <c r="F577" s="9">
        <f t="array" ref="F577">XLOOKUP($A577, Quotations!$I$2:I1756, Quotations!$J$2:J1756, "")
</f>
        <v>124.2</v>
      </c>
      <c r="G577" s="9">
        <f t="array" ref="G577">XLOOKUP($A577, Quotations!$K$2:K1756, Quotations!$L$2:L1756, "")
</f>
        <v>1365.9559</v>
      </c>
    </row>
    <row r="578">
      <c r="A578" s="8">
        <v>42478.0</v>
      </c>
      <c r="B578" s="9">
        <f t="array" ref="B578">XLOOKUP($A578, Quotations!$A$2:A1756, Quotations!$B$2:B1756, "")
</f>
        <v>118.15</v>
      </c>
      <c r="C578" s="9">
        <f t="array" ref="C578">XLOOKUP($A578, Quotations!$C$2:C1756, Quotations!$D$2:D1756, "")</f>
        <v>24.46</v>
      </c>
      <c r="D578" s="9">
        <f t="array" ref="D578">XLOOKUP($A578, Quotations!$E$2:E1756, Quotations!$F$2:F1756, "")
</f>
        <v>113.46</v>
      </c>
      <c r="E578" s="9">
        <f t="array" ref="E578">XLOOKUP($A578, Quotations!$G$2:G1756, Quotations!$H$2:H1756, "")
</f>
        <v>118.87</v>
      </c>
      <c r="F578" s="9">
        <f t="array" ref="F578">XLOOKUP($A578, Quotations!$I$2:I1756, Quotations!$J$2:J1756, "")
</f>
        <v>124.36</v>
      </c>
      <c r="G578" s="9">
        <f t="array" ref="G578">XLOOKUP($A578, Quotations!$K$2:K1756, Quotations!$L$2:L1756, "")
</f>
        <v>1363.7221</v>
      </c>
    </row>
    <row r="579">
      <c r="A579" s="8">
        <v>42479.0</v>
      </c>
      <c r="B579" s="9">
        <f t="array" ref="B579">XLOOKUP($A579, Quotations!$A$2:A1756, Quotations!$B$2:B1756, "")
</f>
        <v>118.48</v>
      </c>
      <c r="C579" s="9">
        <f t="array" ref="C579">XLOOKUP($A579, Quotations!$C$2:C1756, Quotations!$D$2:D1756, "")</f>
        <v>24.46</v>
      </c>
      <c r="D579" s="9">
        <f t="array" ref="D579">XLOOKUP($A579, Quotations!$E$2:E1756, Quotations!$F$2:F1756, "")
</f>
        <v>113.49</v>
      </c>
      <c r="E579" s="9">
        <f t="array" ref="E579">XLOOKUP($A579, Quotations!$G$2:G1756, Quotations!$H$2:H1756, "")
</f>
        <v>118.93</v>
      </c>
      <c r="F579" s="9">
        <f t="array" ref="F579">XLOOKUP($A579, Quotations!$I$2:I1756, Quotations!$J$2:J1756, "")
</f>
        <v>124.37</v>
      </c>
      <c r="G579" s="9">
        <f t="array" ref="G579">XLOOKUP($A579, Quotations!$K$2:K1756, Quotations!$L$2:L1756, "")
</f>
        <v>1367.5398</v>
      </c>
    </row>
    <row r="580">
      <c r="A580" s="8">
        <v>42480.0</v>
      </c>
      <c r="B580" s="9">
        <f t="array" ref="B580">XLOOKUP($A580, Quotations!$A$2:A1756, Quotations!$B$2:B1756, "")
</f>
        <v>118.53</v>
      </c>
      <c r="C580" s="9">
        <f t="array" ref="C580">XLOOKUP($A580, Quotations!$C$2:C1756, Quotations!$D$2:D1756, "")</f>
        <v>24.46</v>
      </c>
      <c r="D580" s="9">
        <f t="array" ref="D580">XLOOKUP($A580, Quotations!$E$2:E1756, Quotations!$F$2:F1756, "")
</f>
        <v>113.5</v>
      </c>
      <c r="E580" s="9">
        <f t="array" ref="E580">XLOOKUP($A580, Quotations!$G$2:G1756, Quotations!$H$2:H1756, "")
</f>
        <v>119.3</v>
      </c>
      <c r="F580" s="9">
        <f t="array" ref="F580">XLOOKUP($A580, Quotations!$I$2:I1756, Quotations!$J$2:J1756, "")
</f>
        <v>124.33</v>
      </c>
      <c r="G580" s="9">
        <f t="array" ref="G580">XLOOKUP($A580, Quotations!$K$2:K1756, Quotations!$L$2:L1756, "")
</f>
        <v>1368.0507</v>
      </c>
    </row>
    <row r="581">
      <c r="A581" s="8">
        <v>42481.0</v>
      </c>
      <c r="B581" s="9">
        <f t="array" ref="B581">XLOOKUP($A581, Quotations!$A$2:A1756, Quotations!$B$2:B1756, "")
</f>
        <v>118.51</v>
      </c>
      <c r="C581" s="9">
        <f t="array" ref="C581">XLOOKUP($A581, Quotations!$C$2:C1756, Quotations!$D$2:D1756, "")</f>
        <v>24.47</v>
      </c>
      <c r="D581" s="9">
        <f t="array" ref="D581">XLOOKUP($A581, Quotations!$E$2:E1756, Quotations!$F$2:F1756, "")
</f>
        <v>113.52</v>
      </c>
      <c r="E581" s="9">
        <f t="array" ref="E581">XLOOKUP($A581, Quotations!$G$2:G1756, Quotations!$H$2:H1756, "")
</f>
        <v>119.87</v>
      </c>
      <c r="F581" s="9">
        <f t="array" ref="F581">XLOOKUP($A581, Quotations!$I$2:I1756, Quotations!$J$2:J1756, "")
</f>
        <v>124.2</v>
      </c>
      <c r="G581" s="9">
        <f t="array" ref="G581">XLOOKUP($A581, Quotations!$K$2:K1756, Quotations!$L$2:L1756, "")
</f>
        <v>1371.5118</v>
      </c>
    </row>
    <row r="582">
      <c r="A582" s="8">
        <v>42482.0</v>
      </c>
      <c r="B582" s="9">
        <f t="array" ref="B582">XLOOKUP($A582, Quotations!$A$2:A1756, Quotations!$B$2:B1756, "")
</f>
        <v>118.34</v>
      </c>
      <c r="C582" s="9">
        <f t="array" ref="C582">XLOOKUP($A582, Quotations!$C$2:C1756, Quotations!$D$2:D1756, "")</f>
        <v>24.5</v>
      </c>
      <c r="D582" s="9">
        <f t="array" ref="D582">XLOOKUP($A582, Quotations!$E$2:E1756, Quotations!$F$2:F1756, "")
</f>
        <v>113.52</v>
      </c>
      <c r="E582" s="9">
        <f t="array" ref="E582">XLOOKUP($A582, Quotations!$G$2:G1756, Quotations!$H$2:H1756, "")
</f>
        <v>119.42</v>
      </c>
      <c r="F582" s="9">
        <f t="array" ref="F582">XLOOKUP($A582, Quotations!$I$2:I1756, Quotations!$J$2:J1756, "")
</f>
        <v>124.05</v>
      </c>
      <c r="G582" s="9">
        <f t="array" ref="G582">XLOOKUP($A582, Quotations!$K$2:K1756, Quotations!$L$2:L1756, "")
</f>
        <v>1372.2202</v>
      </c>
    </row>
    <row r="583">
      <c r="A583" s="8">
        <v>42485.0</v>
      </c>
      <c r="B583" s="9">
        <f t="array" ref="B583">XLOOKUP($A583, Quotations!$A$2:A1756, Quotations!$B$2:B1756, "")
</f>
        <v>118.17</v>
      </c>
      <c r="C583" s="9">
        <f t="array" ref="C583">XLOOKUP($A583, Quotations!$C$2:C1756, Quotations!$D$2:D1756, "")</f>
        <v>24.5</v>
      </c>
      <c r="D583" s="9">
        <f t="array" ref="D583">XLOOKUP($A583, Quotations!$E$2:E1756, Quotations!$F$2:F1756, "")
</f>
        <v>113.54</v>
      </c>
      <c r="E583" s="9">
        <f t="array" ref="E583">XLOOKUP($A583, Quotations!$G$2:G1756, Quotations!$H$2:H1756, "")
</f>
        <v>119.02</v>
      </c>
      <c r="F583" s="9">
        <f t="array" ref="F583">XLOOKUP($A583, Quotations!$I$2:I1756, Quotations!$J$2:J1756, "")
</f>
        <v>123.94</v>
      </c>
      <c r="G583" s="9">
        <f t="array" ref="G583">XLOOKUP($A583, Quotations!$K$2:K1756, Quotations!$L$2:L1756, "")
</f>
        <v>1370.5518</v>
      </c>
    </row>
    <row r="584">
      <c r="A584" s="8">
        <v>42486.0</v>
      </c>
      <c r="B584" s="9">
        <f t="array" ref="B584">XLOOKUP($A584, Quotations!$A$2:A1756, Quotations!$B$2:B1756, "")
</f>
        <v>118.25</v>
      </c>
      <c r="C584" s="9">
        <f t="array" ref="C584">XLOOKUP($A584, Quotations!$C$2:C1756, Quotations!$D$2:D1756, "")</f>
        <v>24.49</v>
      </c>
      <c r="D584" s="9">
        <f t="array" ref="D584">XLOOKUP($A584, Quotations!$E$2:E1756, Quotations!$F$2:F1756, "")
</f>
        <v>113.57</v>
      </c>
      <c r="E584" s="9">
        <f t="array" ref="E584">XLOOKUP($A584, Quotations!$G$2:G1756, Quotations!$H$2:H1756, "")
</f>
        <v>118.58</v>
      </c>
      <c r="F584" s="9">
        <f t="array" ref="F584">XLOOKUP($A584, Quotations!$I$2:I1756, Quotations!$J$2:J1756, "")
</f>
        <v>123.87</v>
      </c>
      <c r="G584" s="9">
        <f t="array" ref="G584">XLOOKUP($A584, Quotations!$K$2:K1756, Quotations!$L$2:L1756, "")
</f>
        <v>1368.3922</v>
      </c>
    </row>
    <row r="585">
      <c r="A585" s="8">
        <v>42487.0</v>
      </c>
      <c r="B585" s="9">
        <f t="array" ref="B585">XLOOKUP($A585, Quotations!$A$2:A1756, Quotations!$B$2:B1756, "")
</f>
        <v>118.38</v>
      </c>
      <c r="C585" s="9">
        <f t="array" ref="C585">XLOOKUP($A585, Quotations!$C$2:C1756, Quotations!$D$2:D1756, "")</f>
        <v>24.49</v>
      </c>
      <c r="D585" s="9">
        <f t="array" ref="D585">XLOOKUP($A585, Quotations!$E$2:E1756, Quotations!$F$2:F1756, "")
</f>
        <v>113.59</v>
      </c>
      <c r="E585" s="9">
        <f t="array" ref="E585">XLOOKUP($A585, Quotations!$G$2:G1756, Quotations!$H$2:H1756, "")
</f>
        <v>118.17</v>
      </c>
      <c r="F585" s="9">
        <f t="array" ref="F585">XLOOKUP($A585, Quotations!$I$2:I1756, Quotations!$J$2:J1756, "")
</f>
        <v>123.56</v>
      </c>
      <c r="G585" s="9">
        <f t="array" ref="G585">XLOOKUP($A585, Quotations!$K$2:K1756, Quotations!$L$2:L1756, "")
</f>
        <v>1370.9022</v>
      </c>
    </row>
    <row r="586">
      <c r="A586" s="8">
        <v>42488.0</v>
      </c>
      <c r="B586" s="9">
        <f t="array" ref="B586">XLOOKUP($A586, Quotations!$A$2:A1756, Quotations!$B$2:B1756, "")
</f>
        <v>118.34</v>
      </c>
      <c r="C586" s="9">
        <f t="array" ref="C586">XLOOKUP($A586, Quotations!$C$2:C1756, Quotations!$D$2:D1756, "")</f>
        <v>24.5</v>
      </c>
      <c r="D586" s="9">
        <f t="array" ref="D586">XLOOKUP($A586, Quotations!$E$2:E1756, Quotations!$F$2:F1756, "")
</f>
        <v>113.62</v>
      </c>
      <c r="E586" s="9">
        <f t="array" ref="E586">XLOOKUP($A586, Quotations!$G$2:G1756, Quotations!$H$2:H1756, "")
</f>
        <v>118.31</v>
      </c>
      <c r="F586" s="9">
        <f t="array" ref="F586">XLOOKUP($A586, Quotations!$I$2:I1756, Quotations!$J$2:J1756, "")
</f>
        <v>123.66</v>
      </c>
      <c r="G586" s="9">
        <f t="array" ref="G586">XLOOKUP($A586, Quotations!$K$2:K1756, Quotations!$L$2:L1756, "")
</f>
        <v>1370.8455</v>
      </c>
    </row>
    <row r="587">
      <c r="A587" s="8">
        <v>42489.0</v>
      </c>
      <c r="B587" s="9">
        <f t="array" ref="B587">XLOOKUP($A587, Quotations!$A$2:A1756, Quotations!$B$2:B1756, "")
</f>
        <v>118.01</v>
      </c>
      <c r="C587" s="9">
        <f t="array" ref="C587">XLOOKUP($A587, Quotations!$C$2:C1756, Quotations!$D$2:D1756, "")</f>
        <v>24.48</v>
      </c>
      <c r="D587" s="9">
        <f t="array" ref="D587">XLOOKUP($A587, Quotations!$E$2:E1756, Quotations!$F$2:F1756, "")
</f>
        <v>113.62</v>
      </c>
      <c r="E587" s="9">
        <f t="array" ref="E587">XLOOKUP($A587, Quotations!$G$2:G1756, Quotations!$H$2:H1756, "")
</f>
        <v>118.58</v>
      </c>
      <c r="F587" s="9">
        <f t="array" ref="F587">XLOOKUP($A587, Quotations!$I$2:I1756, Quotations!$J$2:J1756, "")
</f>
        <v>123.83</v>
      </c>
      <c r="G587" s="9">
        <f t="array" ref="G587">XLOOKUP($A587, Quotations!$K$2:K1756, Quotations!$L$2:L1756, "")
</f>
        <v>1367.1128</v>
      </c>
    </row>
    <row r="588">
      <c r="A588" s="8">
        <v>42492.0</v>
      </c>
      <c r="B588" s="9">
        <f t="array" ref="B588">XLOOKUP($A588, Quotations!$A$2:A1756, Quotations!$B$2:B1756, "")
</f>
        <v>118.01</v>
      </c>
      <c r="C588" s="9">
        <f t="array" ref="C588">XLOOKUP($A588, Quotations!$C$2:C1756, Quotations!$D$2:D1756, "")</f>
        <v>24.48</v>
      </c>
      <c r="D588" s="9">
        <f t="array" ref="D588">XLOOKUP($A588, Quotations!$E$2:E1756, Quotations!$F$2:F1756, "")
</f>
        <v>113.68</v>
      </c>
      <c r="E588" s="9">
        <f t="array" ref="E588">XLOOKUP($A588, Quotations!$G$2:G1756, Quotations!$H$2:H1756, "")
</f>
        <v>117.21</v>
      </c>
      <c r="F588" s="9">
        <f t="array" ref="F588">XLOOKUP($A588, Quotations!$I$2:I1756, Quotations!$J$2:J1756, "")
</f>
        <v>123.56</v>
      </c>
      <c r="G588" s="9" t="str">
        <f t="array" ref="G588">XLOOKUP($A588, Quotations!$K$2:K1756, Quotations!$L$2:L1756, "")
</f>
        <v/>
      </c>
    </row>
    <row r="589">
      <c r="A589" s="8">
        <v>42493.0</v>
      </c>
      <c r="B589" s="9">
        <f t="array" ref="B589">XLOOKUP($A589, Quotations!$A$2:A1756, Quotations!$B$2:B1756, "")
</f>
        <v>117.63</v>
      </c>
      <c r="C589" s="9">
        <f t="array" ref="C589">XLOOKUP($A589, Quotations!$C$2:C1756, Quotations!$D$2:D1756, "")</f>
        <v>24.47</v>
      </c>
      <c r="D589" s="9">
        <f t="array" ref="D589">XLOOKUP($A589, Quotations!$E$2:E1756, Quotations!$F$2:F1756, "")
</f>
        <v>113.67</v>
      </c>
      <c r="E589" s="9">
        <f t="array" ref="E589">XLOOKUP($A589, Quotations!$G$2:G1756, Quotations!$H$2:H1756, "")
</f>
        <v>117.39</v>
      </c>
      <c r="F589" s="9">
        <f t="array" ref="F589">XLOOKUP($A589, Quotations!$I$2:I1756, Quotations!$J$2:J1756, "")
</f>
        <v>123.44</v>
      </c>
      <c r="G589" s="9">
        <f t="array" ref="G589">XLOOKUP($A589, Quotations!$K$2:K1756, Quotations!$L$2:L1756, "")
</f>
        <v>1361.5049</v>
      </c>
    </row>
    <row r="590">
      <c r="A590" s="8">
        <v>42494.0</v>
      </c>
      <c r="B590" s="9">
        <f t="array" ref="B590">XLOOKUP($A590, Quotations!$A$2:A1756, Quotations!$B$2:B1756, "")
</f>
        <v>117.45</v>
      </c>
      <c r="C590" s="9">
        <f t="array" ref="C590">XLOOKUP($A590, Quotations!$C$2:C1756, Quotations!$D$2:D1756, "")</f>
        <v>24.47</v>
      </c>
      <c r="D590" s="9">
        <f t="array" ref="D590">XLOOKUP($A590, Quotations!$E$2:E1756, Quotations!$F$2:F1756, "")
</f>
        <v>113.67</v>
      </c>
      <c r="E590" s="9">
        <f t="array" ref="E590">XLOOKUP($A590, Quotations!$G$2:G1756, Quotations!$H$2:H1756, "")
</f>
        <v>117.18</v>
      </c>
      <c r="F590" s="9">
        <f t="array" ref="F590">XLOOKUP($A590, Quotations!$I$2:I1756, Quotations!$J$2:J1756, "")
</f>
        <v>123.54</v>
      </c>
      <c r="G590" s="9">
        <f t="array" ref="G590">XLOOKUP($A590, Quotations!$K$2:K1756, Quotations!$L$2:L1756, "")
</f>
        <v>1355.7898</v>
      </c>
    </row>
    <row r="591">
      <c r="A591" s="8">
        <v>42496.0</v>
      </c>
      <c r="B591" s="9">
        <f t="array" ref="B591">XLOOKUP($A591, Quotations!$A$2:A1756, Quotations!$B$2:B1756, "")
</f>
        <v>117.63</v>
      </c>
      <c r="C591" s="9">
        <f t="array" ref="C591">XLOOKUP($A591, Quotations!$C$2:C1756, Quotations!$D$2:D1756, "")</f>
        <v>24.47</v>
      </c>
      <c r="D591" s="9">
        <f t="array" ref="D591">XLOOKUP($A591, Quotations!$E$2:E1756, Quotations!$F$2:F1756, "")
</f>
        <v>113.66</v>
      </c>
      <c r="E591" s="9">
        <f t="array" ref="E591">XLOOKUP($A591, Quotations!$G$2:G1756, Quotations!$H$2:H1756, "")
</f>
        <v>116.74</v>
      </c>
      <c r="F591" s="9">
        <f t="array" ref="F591">XLOOKUP($A591, Quotations!$I$2:I1756, Quotations!$J$2:J1756, "")
</f>
        <v>123.79</v>
      </c>
      <c r="G591" s="9">
        <f t="array" ref="G591">XLOOKUP($A591, Quotations!$K$2:K1756, Quotations!$L$2:L1756, "")
</f>
        <v>1350.3901</v>
      </c>
    </row>
    <row r="592">
      <c r="A592" s="8">
        <v>42499.0</v>
      </c>
      <c r="B592" s="9">
        <f t="array" ref="B592">XLOOKUP($A592, Quotations!$A$2:A1756, Quotations!$B$2:B1756, "")
</f>
        <v>117.71</v>
      </c>
      <c r="C592" s="9">
        <f t="array" ref="C592">XLOOKUP($A592, Quotations!$C$2:C1756, Quotations!$D$2:D1756, "")</f>
        <v>24.46</v>
      </c>
      <c r="D592" s="9">
        <f t="array" ref="D592">XLOOKUP($A592, Quotations!$E$2:E1756, Quotations!$F$2:F1756, "")
</f>
        <v>113.67</v>
      </c>
      <c r="E592" s="9">
        <f t="array" ref="E592">XLOOKUP($A592, Quotations!$G$2:G1756, Quotations!$H$2:H1756, "")
</f>
        <v>117.11</v>
      </c>
      <c r="F592" s="9">
        <f t="array" ref="F592">XLOOKUP($A592, Quotations!$I$2:I1756, Quotations!$J$2:J1756, "")
</f>
        <v>123.58</v>
      </c>
      <c r="G592" s="9">
        <f t="array" ref="G592">XLOOKUP($A592, Quotations!$K$2:K1756, Quotations!$L$2:L1756, "")
</f>
        <v>1350.4302</v>
      </c>
    </row>
    <row r="593">
      <c r="A593" s="8">
        <v>42500.0</v>
      </c>
      <c r="B593" s="9">
        <f t="array" ref="B593">XLOOKUP($A593, Quotations!$A$2:A1756, Quotations!$B$2:B1756, "")
</f>
        <v>117.79</v>
      </c>
      <c r="C593" s="9">
        <f t="array" ref="C593">XLOOKUP($A593, Quotations!$C$2:C1756, Quotations!$D$2:D1756, "")</f>
        <v>24.46</v>
      </c>
      <c r="D593" s="9">
        <f t="array" ref="D593">XLOOKUP($A593, Quotations!$E$2:E1756, Quotations!$F$2:F1756, "")
</f>
        <v>113.68</v>
      </c>
      <c r="E593" s="9">
        <f t="array" ref="E593">XLOOKUP($A593, Quotations!$G$2:G1756, Quotations!$H$2:H1756, "")
</f>
        <v>117.73</v>
      </c>
      <c r="F593" s="9">
        <f t="array" ref="F593">XLOOKUP($A593, Quotations!$I$2:I1756, Quotations!$J$2:J1756, "")
</f>
        <v>123.78</v>
      </c>
      <c r="G593" s="9">
        <f t="array" ref="G593">XLOOKUP($A593, Quotations!$K$2:K1756, Quotations!$L$2:L1756, "")
</f>
        <v>1354.5404</v>
      </c>
    </row>
    <row r="594">
      <c r="A594" s="8">
        <v>42501.0</v>
      </c>
      <c r="B594" s="9">
        <f t="array" ref="B594">XLOOKUP($A594, Quotations!$A$2:A1756, Quotations!$B$2:B1756, "")
</f>
        <v>117.69</v>
      </c>
      <c r="C594" s="9">
        <f t="array" ref="C594">XLOOKUP($A594, Quotations!$C$2:C1756, Quotations!$D$2:D1756, "")</f>
        <v>24.46</v>
      </c>
      <c r="D594" s="9">
        <f t="array" ref="D594">XLOOKUP($A594, Quotations!$E$2:E1756, Quotations!$F$2:F1756, "")
</f>
        <v>113.7</v>
      </c>
      <c r="E594" s="9">
        <f t="array" ref="E594">XLOOKUP($A594, Quotations!$G$2:G1756, Quotations!$H$2:H1756, "")
</f>
        <v>118.02</v>
      </c>
      <c r="F594" s="9">
        <f t="array" ref="F594">XLOOKUP($A594, Quotations!$I$2:I1756, Quotations!$J$2:J1756, "")
</f>
        <v>123.82</v>
      </c>
      <c r="G594" s="9">
        <f t="array" ref="G594">XLOOKUP($A594, Quotations!$K$2:K1756, Quotations!$L$2:L1756, "")
</f>
        <v>1356.9063</v>
      </c>
    </row>
    <row r="595">
      <c r="A595" s="8">
        <v>42502.0</v>
      </c>
      <c r="B595" s="9">
        <f t="array" ref="B595">XLOOKUP($A595, Quotations!$A$2:A1756, Quotations!$B$2:B1756, "")
</f>
        <v>117.53</v>
      </c>
      <c r="C595" s="9">
        <f t="array" ref="C595">XLOOKUP($A595, Quotations!$C$2:C1756, Quotations!$D$2:D1756, "")</f>
        <v>24.46</v>
      </c>
      <c r="D595" s="9">
        <f t="array" ref="D595">XLOOKUP($A595, Quotations!$E$2:E1756, Quotations!$F$2:F1756, "")
</f>
        <v>113.72</v>
      </c>
      <c r="E595" s="9">
        <f t="array" ref="E595">XLOOKUP($A595, Quotations!$G$2:G1756, Quotations!$H$2:H1756, "")
</f>
        <v>117.75</v>
      </c>
      <c r="F595" s="9">
        <f t="array" ref="F595">XLOOKUP($A595, Quotations!$I$2:I1756, Quotations!$J$2:J1756, "")
</f>
        <v>123.74</v>
      </c>
      <c r="G595" s="9">
        <f t="array" ref="G595">XLOOKUP($A595, Quotations!$K$2:K1756, Quotations!$L$2:L1756, "")
</f>
        <v>1356.9348</v>
      </c>
    </row>
    <row r="596">
      <c r="A596" s="8">
        <v>42503.0</v>
      </c>
      <c r="B596" s="9">
        <f t="array" ref="B596">XLOOKUP($A596, Quotations!$A$2:A1756, Quotations!$B$2:B1756, "")
</f>
        <v>117.58</v>
      </c>
      <c r="C596" s="9">
        <f t="array" ref="C596">XLOOKUP($A596, Quotations!$C$2:C1756, Quotations!$D$2:D1756, "")</f>
        <v>24.47</v>
      </c>
      <c r="D596" s="9">
        <f t="array" ref="D596">XLOOKUP($A596, Quotations!$E$2:E1756, Quotations!$F$2:F1756, "")
</f>
        <v>113.73</v>
      </c>
      <c r="E596" s="9">
        <f t="array" ref="E596">XLOOKUP($A596, Quotations!$G$2:G1756, Quotations!$H$2:H1756, "")
</f>
        <v>117.01</v>
      </c>
      <c r="F596" s="9">
        <f t="array" ref="F596">XLOOKUP($A596, Quotations!$I$2:I1756, Quotations!$J$2:J1756, "")
</f>
        <v>123.72</v>
      </c>
      <c r="G596" s="9">
        <f t="array" ref="G596">XLOOKUP($A596, Quotations!$K$2:K1756, Quotations!$L$2:L1756, "")
</f>
        <v>1352.3731</v>
      </c>
    </row>
    <row r="597">
      <c r="A597" s="8">
        <v>42507.0</v>
      </c>
      <c r="B597" s="9">
        <f t="array" ref="B597">XLOOKUP($A597, Quotations!$A$2:A1756, Quotations!$B$2:B1756, "")
</f>
        <v>117.59</v>
      </c>
      <c r="C597" s="9">
        <f t="array" ref="C597">XLOOKUP($A597, Quotations!$C$2:C1756, Quotations!$D$2:D1756, "")</f>
        <v>24.47</v>
      </c>
      <c r="D597" s="9">
        <f t="array" ref="D597">XLOOKUP($A597, Quotations!$E$2:E1756, Quotations!$F$2:F1756, "")
</f>
        <v>113.77</v>
      </c>
      <c r="E597" s="9">
        <f t="array" ref="E597">XLOOKUP($A597, Quotations!$G$2:G1756, Quotations!$H$2:H1756, "")
</f>
        <v>117.45</v>
      </c>
      <c r="F597" s="9">
        <f t="array" ref="F597">XLOOKUP($A597, Quotations!$I$2:I1756, Quotations!$J$2:J1756, "")
</f>
        <v>123.74</v>
      </c>
      <c r="G597" s="9">
        <f t="array" ref="G597">XLOOKUP($A597, Quotations!$K$2:K1756, Quotations!$L$2:L1756, "")
</f>
        <v>1357.1334</v>
      </c>
    </row>
    <row r="598">
      <c r="A598" s="8">
        <v>42508.0</v>
      </c>
      <c r="B598" s="9">
        <f t="array" ref="B598">XLOOKUP($A598, Quotations!$A$2:A1756, Quotations!$B$2:B1756, "")
</f>
        <v>117.64</v>
      </c>
      <c r="C598" s="9">
        <f t="array" ref="C598">XLOOKUP($A598, Quotations!$C$2:C1756, Quotations!$D$2:D1756, "")</f>
        <v>24.48</v>
      </c>
      <c r="D598" s="9">
        <f t="array" ref="D598">XLOOKUP($A598, Quotations!$E$2:E1756, Quotations!$F$2:F1756, "")
</f>
        <v>113.75</v>
      </c>
      <c r="E598" s="9">
        <f t="array" ref="E598">XLOOKUP($A598, Quotations!$G$2:G1756, Quotations!$H$2:H1756, "")
</f>
        <v>117.21</v>
      </c>
      <c r="F598" s="9">
        <f t="array" ref="F598">XLOOKUP($A598, Quotations!$I$2:I1756, Quotations!$J$2:J1756, "")
</f>
        <v>123.65</v>
      </c>
      <c r="G598" s="9">
        <f t="array" ref="G598">XLOOKUP($A598, Quotations!$K$2:K1756, Quotations!$L$2:L1756, "")
</f>
        <v>1353.9627</v>
      </c>
    </row>
    <row r="599">
      <c r="A599" s="8">
        <v>42509.0</v>
      </c>
      <c r="B599" s="9">
        <f t="array" ref="B599">XLOOKUP($A599, Quotations!$A$2:A1756, Quotations!$B$2:B1756, "")
</f>
        <v>117.32</v>
      </c>
      <c r="C599" s="9">
        <f t="array" ref="C599">XLOOKUP($A599, Quotations!$C$2:C1756, Quotations!$D$2:D1756, "")</f>
        <v>24.48</v>
      </c>
      <c r="D599" s="9">
        <f t="array" ref="D599">XLOOKUP($A599, Quotations!$E$2:E1756, Quotations!$F$2:F1756, "")
</f>
        <v>113.73</v>
      </c>
      <c r="E599" s="9">
        <f t="array" ref="E599">XLOOKUP($A599, Quotations!$G$2:G1756, Quotations!$H$2:H1756, "")
</f>
        <v>117.28</v>
      </c>
      <c r="F599" s="9">
        <f t="array" ref="F599">XLOOKUP($A599, Quotations!$I$2:I1756, Quotations!$J$2:J1756, "")
</f>
        <v>123.41</v>
      </c>
      <c r="G599" s="9">
        <f t="array" ref="G599">XLOOKUP($A599, Quotations!$K$2:K1756, Quotations!$L$2:L1756, "")
</f>
        <v>1354.8936</v>
      </c>
    </row>
    <row r="600">
      <c r="A600" s="8">
        <v>42510.0</v>
      </c>
      <c r="B600" s="9">
        <f t="array" ref="B600">XLOOKUP($A600, Quotations!$A$2:A1756, Quotations!$B$2:B1756, "")
</f>
        <v>117.62</v>
      </c>
      <c r="C600" s="9">
        <f t="array" ref="C600">XLOOKUP($A600, Quotations!$C$2:C1756, Quotations!$D$2:D1756, "")</f>
        <v>24.49</v>
      </c>
      <c r="D600" s="9">
        <f t="array" ref="D600">XLOOKUP($A600, Quotations!$E$2:E1756, Quotations!$F$2:F1756, "")
</f>
        <v>113.76</v>
      </c>
      <c r="E600" s="9">
        <f t="array" ref="E600">XLOOKUP($A600, Quotations!$G$2:G1756, Quotations!$H$2:H1756, "")
</f>
        <v>116.61</v>
      </c>
      <c r="F600" s="9">
        <f t="array" ref="F600">XLOOKUP($A600, Quotations!$I$2:I1756, Quotations!$J$2:J1756, "")
</f>
        <v>123.33</v>
      </c>
      <c r="G600" s="9">
        <f t="array" ref="G600">XLOOKUP($A600, Quotations!$K$2:K1756, Quotations!$L$2:L1756, "")
</f>
        <v>1351.9973</v>
      </c>
    </row>
    <row r="601">
      <c r="A601" s="8">
        <v>42513.0</v>
      </c>
      <c r="B601" s="9">
        <f t="array" ref="B601">XLOOKUP($A601, Quotations!$A$2:A1756, Quotations!$B$2:B1756, "")
</f>
        <v>117.54</v>
      </c>
      <c r="C601" s="9">
        <f t="array" ref="C601">XLOOKUP($A601, Quotations!$C$2:C1756, Quotations!$D$2:D1756, "")</f>
        <v>24.49</v>
      </c>
      <c r="D601" s="9">
        <f t="array" ref="D601">XLOOKUP($A601, Quotations!$E$2:E1756, Quotations!$F$2:F1756, "")
</f>
        <v>113.78</v>
      </c>
      <c r="E601" s="9">
        <f t="array" ref="E601">XLOOKUP($A601, Quotations!$G$2:G1756, Quotations!$H$2:H1756, "")
</f>
        <v>117.07</v>
      </c>
      <c r="F601" s="9">
        <f t="array" ref="F601">XLOOKUP($A601, Quotations!$I$2:I1756, Quotations!$J$2:J1756, "")
</f>
        <v>123.33</v>
      </c>
      <c r="G601" s="9">
        <f t="array" ref="G601">XLOOKUP($A601, Quotations!$K$2:K1756, Quotations!$L$2:L1756, "")
</f>
        <v>1356.833</v>
      </c>
    </row>
    <row r="602">
      <c r="A602" s="8">
        <v>42514.0</v>
      </c>
      <c r="B602" s="9">
        <f t="array" ref="B602">XLOOKUP($A602, Quotations!$A$2:A1756, Quotations!$B$2:B1756, "")
</f>
        <v>118.05</v>
      </c>
      <c r="C602" s="9">
        <f t="array" ref="C602">XLOOKUP($A602, Quotations!$C$2:C1756, Quotations!$D$2:D1756, "")</f>
        <v>24.5</v>
      </c>
      <c r="D602" s="9">
        <f t="array" ref="D602">XLOOKUP($A602, Quotations!$E$2:E1756, Quotations!$F$2:F1756, "")
</f>
        <v>113.82</v>
      </c>
      <c r="E602" s="9">
        <f t="array" ref="E602">XLOOKUP($A602, Quotations!$G$2:G1756, Quotations!$H$2:H1756, "")
</f>
        <v>116.77</v>
      </c>
      <c r="F602" s="9">
        <f t="array" ref="F602">XLOOKUP($A602, Quotations!$I$2:I1756, Quotations!$J$2:J1756, "")
</f>
        <v>123.33</v>
      </c>
      <c r="G602" s="9">
        <f t="array" ref="G602">XLOOKUP($A602, Quotations!$K$2:K1756, Quotations!$L$2:L1756, "")
</f>
        <v>1356.7356</v>
      </c>
    </row>
    <row r="603">
      <c r="A603" s="8">
        <v>42515.0</v>
      </c>
      <c r="B603" s="9">
        <f t="array" ref="B603">XLOOKUP($A603, Quotations!$A$2:A1756, Quotations!$B$2:B1756, "")
</f>
        <v>118.34</v>
      </c>
      <c r="C603" s="9">
        <f t="array" ref="C603">XLOOKUP($A603, Quotations!$C$2:C1756, Quotations!$D$2:D1756, "")</f>
        <v>24.51</v>
      </c>
      <c r="D603" s="9">
        <f t="array" ref="D603">XLOOKUP($A603, Quotations!$E$2:E1756, Quotations!$F$2:F1756, "")
</f>
        <v>113.82</v>
      </c>
      <c r="E603" s="9">
        <f t="array" ref="E603">XLOOKUP($A603, Quotations!$G$2:G1756, Quotations!$H$2:H1756, "")
</f>
        <v>117.8</v>
      </c>
      <c r="F603" s="9">
        <f t="array" ref="F603">XLOOKUP($A603, Quotations!$I$2:I1756, Quotations!$J$2:J1756, "")
</f>
        <v>123.44</v>
      </c>
      <c r="G603" s="9">
        <f t="array" ref="G603">XLOOKUP($A603, Quotations!$K$2:K1756, Quotations!$L$2:L1756, "")
</f>
        <v>1363.2078</v>
      </c>
    </row>
    <row r="604">
      <c r="A604" s="8">
        <v>42516.0</v>
      </c>
      <c r="B604" s="9">
        <f t="array" ref="B604">XLOOKUP($A604, Quotations!$A$2:A1756, Quotations!$B$2:B1756, "")
</f>
        <v>118.6</v>
      </c>
      <c r="C604" s="9">
        <f t="array" ref="C604">XLOOKUP($A604, Quotations!$C$2:C1756, Quotations!$D$2:D1756, "")</f>
        <v>24.5</v>
      </c>
      <c r="D604" s="9">
        <f t="array" ref="D604">XLOOKUP($A604, Quotations!$E$2:E1756, Quotations!$F$2:F1756, "")
</f>
        <v>113.82</v>
      </c>
      <c r="E604" s="9">
        <f t="array" ref="E604">XLOOKUP($A604, Quotations!$G$2:G1756, Quotations!$H$2:H1756, "")
</f>
        <v>118.58</v>
      </c>
      <c r="F604" s="9">
        <f t="array" ref="F604">XLOOKUP($A604, Quotations!$I$2:I1756, Quotations!$J$2:J1756, "")
</f>
        <v>123.57</v>
      </c>
      <c r="G604" s="9">
        <f t="array" ref="G604">XLOOKUP($A604, Quotations!$K$2:K1756, Quotations!$L$2:L1756, "")
</f>
        <v>1366.3133</v>
      </c>
    </row>
    <row r="605">
      <c r="A605" s="8">
        <v>42517.0</v>
      </c>
      <c r="B605" s="9">
        <f t="array" ref="B605">XLOOKUP($A605, Quotations!$A$2:A1756, Quotations!$B$2:B1756, "")
</f>
        <v>118.71</v>
      </c>
      <c r="C605" s="9">
        <f t="array" ref="C605">XLOOKUP($A605, Quotations!$C$2:C1756, Quotations!$D$2:D1756, "")</f>
        <v>24.5</v>
      </c>
      <c r="D605" s="9">
        <f t="array" ref="D605">XLOOKUP($A605, Quotations!$E$2:E1756, Quotations!$F$2:F1756, "")
</f>
        <v>113.83</v>
      </c>
      <c r="E605" s="9">
        <f t="array" ref="E605">XLOOKUP($A605, Quotations!$G$2:G1756, Quotations!$H$2:H1756, "")
</f>
        <v>118.92</v>
      </c>
      <c r="F605" s="9">
        <f t="array" ref="F605">XLOOKUP($A605, Quotations!$I$2:I1756, Quotations!$J$2:J1756, "")
</f>
        <v>123.58</v>
      </c>
      <c r="G605" s="9">
        <f t="array" ref="G605">XLOOKUP($A605, Quotations!$K$2:K1756, Quotations!$L$2:L1756, "")
</f>
        <v>1369.2764</v>
      </c>
    </row>
    <row r="606">
      <c r="A606" s="8">
        <v>42520.0</v>
      </c>
      <c r="B606" s="9">
        <f t="array" ref="B606">XLOOKUP($A606, Quotations!$A$2:A1756, Quotations!$B$2:B1756, "")
</f>
        <v>118.76</v>
      </c>
      <c r="C606" s="9">
        <f t="array" ref="C606">XLOOKUP($A606, Quotations!$C$2:C1756, Quotations!$D$2:D1756, "")</f>
        <v>24.5</v>
      </c>
      <c r="D606" s="9">
        <f t="array" ref="D606">XLOOKUP($A606, Quotations!$E$2:E1756, Quotations!$F$2:F1756, "")
</f>
        <v>113.88</v>
      </c>
      <c r="E606" s="9">
        <f t="array" ref="E606">XLOOKUP($A606, Quotations!$G$2:G1756, Quotations!$H$2:H1756, "")
</f>
        <v>118.92</v>
      </c>
      <c r="F606" s="9">
        <f t="array" ref="F606">XLOOKUP($A606, Quotations!$I$2:I1756, Quotations!$J$2:J1756, "")
</f>
        <v>123.68</v>
      </c>
      <c r="G606" s="9" t="str">
        <f t="array" ref="G606">XLOOKUP($A606, Quotations!$K$2:K1756, Quotations!$L$2:L1756, "")
</f>
        <v/>
      </c>
    </row>
    <row r="607">
      <c r="A607" s="8">
        <v>42521.0</v>
      </c>
      <c r="B607" s="9">
        <f t="array" ref="B607">XLOOKUP($A607, Quotations!$A$2:A1756, Quotations!$B$2:B1756, "")
</f>
        <v>118.57</v>
      </c>
      <c r="C607" s="9">
        <f t="array" ref="C607">XLOOKUP($A607, Quotations!$C$2:C1756, Quotations!$D$2:D1756, "")</f>
        <v>24.5</v>
      </c>
      <c r="D607" s="9">
        <f t="array" ref="D607">XLOOKUP($A607, Quotations!$E$2:E1756, Quotations!$F$2:F1756, "")
</f>
        <v>113.88</v>
      </c>
      <c r="E607" s="9">
        <f t="array" ref="E607">XLOOKUP($A607, Quotations!$G$2:G1756, Quotations!$H$2:H1756, "")
</f>
        <v>118.99</v>
      </c>
      <c r="F607" s="9">
        <f t="array" ref="F607">XLOOKUP($A607, Quotations!$I$2:I1756, Quotations!$J$2:J1756, "")
</f>
        <v>123.64</v>
      </c>
      <c r="G607" s="9">
        <f t="array" ref="G607">XLOOKUP($A607, Quotations!$K$2:K1756, Quotations!$L$2:L1756, "")
</f>
        <v>1372.4075</v>
      </c>
    </row>
    <row r="608">
      <c r="A608" s="8">
        <v>42522.0</v>
      </c>
      <c r="B608" s="9">
        <f t="array" ref="B608">XLOOKUP($A608, Quotations!$A$2:A1756, Quotations!$B$2:B1756, "")
</f>
        <v>118.38</v>
      </c>
      <c r="C608" s="9">
        <f t="array" ref="C608">XLOOKUP($A608, Quotations!$C$2:C1756, Quotations!$D$2:D1756, "")</f>
        <v>24.5</v>
      </c>
      <c r="D608" s="9">
        <f t="array" ref="D608">XLOOKUP($A608, Quotations!$E$2:E1756, Quotations!$F$2:F1756, "")
</f>
        <v>113.89</v>
      </c>
      <c r="E608" s="9">
        <f t="array" ref="E608">XLOOKUP($A608, Quotations!$G$2:G1756, Quotations!$H$2:H1756, "")
</f>
        <v>118.77</v>
      </c>
      <c r="F608" s="9">
        <f t="array" ref="F608">XLOOKUP($A608, Quotations!$I$2:I1756, Quotations!$J$2:J1756, "")
</f>
        <v>123.67</v>
      </c>
      <c r="G608" s="9">
        <f t="array" ref="G608">XLOOKUP($A608, Quotations!$K$2:K1756, Quotations!$L$2:L1756, "")
</f>
        <v>1371.1796</v>
      </c>
    </row>
    <row r="609">
      <c r="A609" s="8">
        <v>42523.0</v>
      </c>
      <c r="B609" s="9">
        <f t="array" ref="B609">XLOOKUP($A609, Quotations!$A$2:A1756, Quotations!$B$2:B1756, "")
</f>
        <v>118.42</v>
      </c>
      <c r="C609" s="9">
        <f t="array" ref="C609">XLOOKUP($A609, Quotations!$C$2:C1756, Quotations!$D$2:D1756, "")</f>
        <v>24.5</v>
      </c>
      <c r="D609" s="9">
        <f t="array" ref="D609">XLOOKUP($A609, Quotations!$E$2:E1756, Quotations!$F$2:F1756, "")
</f>
        <v>113.89</v>
      </c>
      <c r="E609" s="9">
        <f t="array" ref="E609">XLOOKUP($A609, Quotations!$G$2:G1756, Quotations!$H$2:H1756, "")
</f>
        <v>118.52</v>
      </c>
      <c r="F609" s="9">
        <f t="array" ref="F609">XLOOKUP($A609, Quotations!$I$2:I1756, Quotations!$J$2:J1756, "")
</f>
        <v>123.55</v>
      </c>
      <c r="G609" s="9">
        <f t="array" ref="G609">XLOOKUP($A609, Quotations!$K$2:K1756, Quotations!$L$2:L1756, "")
</f>
        <v>1370.9264</v>
      </c>
    </row>
    <row r="610">
      <c r="A610" s="8">
        <v>42524.0</v>
      </c>
      <c r="B610" s="9">
        <f t="array" ref="B610">XLOOKUP($A610, Quotations!$A$2:A1756, Quotations!$B$2:B1756, "")
</f>
        <v>118.31</v>
      </c>
      <c r="C610" s="9">
        <f t="array" ref="C610">XLOOKUP($A610, Quotations!$C$2:C1756, Quotations!$D$2:D1756, "")</f>
        <v>24.48</v>
      </c>
      <c r="D610" s="9">
        <f t="array" ref="D610">XLOOKUP($A610, Quotations!$E$2:E1756, Quotations!$F$2:F1756, "")
</f>
        <v>113.91</v>
      </c>
      <c r="E610" s="9">
        <f t="array" ref="E610">XLOOKUP($A610, Quotations!$G$2:G1756, Quotations!$H$2:H1756, "")
</f>
        <v>118.73</v>
      </c>
      <c r="F610" s="9">
        <f t="array" ref="F610">XLOOKUP($A610, Quotations!$I$2:I1756, Quotations!$J$2:J1756, "")
</f>
        <v>123.71</v>
      </c>
      <c r="G610" s="9">
        <f t="array" ref="G610">XLOOKUP($A610, Quotations!$K$2:K1756, Quotations!$L$2:L1756, "")
</f>
        <v>1373.1152</v>
      </c>
    </row>
    <row r="611">
      <c r="A611" s="8">
        <v>42527.0</v>
      </c>
      <c r="B611" s="9">
        <f t="array" ref="B611">XLOOKUP($A611, Quotations!$A$2:A1756, Quotations!$B$2:B1756, "")
</f>
        <v>118.34</v>
      </c>
      <c r="C611" s="9">
        <f t="array" ref="C611">XLOOKUP($A611, Quotations!$C$2:C1756, Quotations!$D$2:D1756, "")</f>
        <v>24.48</v>
      </c>
      <c r="D611" s="9">
        <f t="array" ref="D611">XLOOKUP($A611, Quotations!$E$2:E1756, Quotations!$F$2:F1756, "")
</f>
        <v>113.95</v>
      </c>
      <c r="E611" s="9">
        <f t="array" ref="E611">XLOOKUP($A611, Quotations!$G$2:G1756, Quotations!$H$2:H1756, "")
</f>
        <v>118.36</v>
      </c>
      <c r="F611" s="9">
        <f t="array" ref="F611">XLOOKUP($A611, Quotations!$I$2:I1756, Quotations!$J$2:J1756, "")
</f>
        <v>123.71</v>
      </c>
      <c r="G611" s="9">
        <f t="array" ref="G611">XLOOKUP($A611, Quotations!$K$2:K1756, Quotations!$L$2:L1756, "")
</f>
        <v>1370.9648</v>
      </c>
    </row>
    <row r="612">
      <c r="A612" s="8">
        <v>42528.0</v>
      </c>
      <c r="B612" s="9">
        <f t="array" ref="B612">XLOOKUP($A612, Quotations!$A$2:A1756, Quotations!$B$2:B1756, "")
</f>
        <v>118.6</v>
      </c>
      <c r="C612" s="9">
        <f t="array" ref="C612">XLOOKUP($A612, Quotations!$C$2:C1756, Quotations!$D$2:D1756, "")</f>
        <v>24.49</v>
      </c>
      <c r="D612" s="9">
        <f t="array" ref="D612">XLOOKUP($A612, Quotations!$E$2:E1756, Quotations!$F$2:F1756, "")
</f>
        <v>113.97</v>
      </c>
      <c r="E612" s="9">
        <f t="array" ref="E612">XLOOKUP($A612, Quotations!$G$2:G1756, Quotations!$H$2:H1756, "")
</f>
        <v>118.45</v>
      </c>
      <c r="F612" s="9">
        <f t="array" ref="F612">XLOOKUP($A612, Quotations!$I$2:I1756, Quotations!$J$2:J1756, "")
</f>
        <v>123.65</v>
      </c>
      <c r="G612" s="9">
        <f t="array" ref="G612">XLOOKUP($A612, Quotations!$K$2:K1756, Quotations!$L$2:L1756, "")
</f>
        <v>1373.879</v>
      </c>
    </row>
    <row r="613">
      <c r="A613" s="8">
        <v>42529.0</v>
      </c>
      <c r="B613" s="9">
        <f t="array" ref="B613">XLOOKUP($A613, Quotations!$A$2:A1756, Quotations!$B$2:B1756, "")
</f>
        <v>118.47</v>
      </c>
      <c r="C613" s="9">
        <f t="array" ref="C613">XLOOKUP($A613, Quotations!$C$2:C1756, Quotations!$D$2:D1756, "")</f>
        <v>24.49</v>
      </c>
      <c r="D613" s="9">
        <f t="array" ref="D613">XLOOKUP($A613, Quotations!$E$2:E1756, Quotations!$F$2:F1756, "")
</f>
        <v>113.98</v>
      </c>
      <c r="E613" s="9">
        <f t="array" ref="E613">XLOOKUP($A613, Quotations!$G$2:G1756, Quotations!$H$2:H1756, "")
</f>
        <v>119.35</v>
      </c>
      <c r="F613" s="9">
        <f t="array" ref="F613">XLOOKUP($A613, Quotations!$I$2:I1756, Quotations!$J$2:J1756, "")
</f>
        <v>123.83</v>
      </c>
      <c r="G613" s="9">
        <f t="array" ref="G613">XLOOKUP($A613, Quotations!$K$2:K1756, Quotations!$L$2:L1756, "")
</f>
        <v>1377.4821</v>
      </c>
    </row>
    <row r="614">
      <c r="A614" s="8">
        <v>42530.0</v>
      </c>
      <c r="B614" s="9">
        <f t="array" ref="B614">XLOOKUP($A614, Quotations!$A$2:A1756, Quotations!$B$2:B1756, "")
</f>
        <v>118.28</v>
      </c>
      <c r="C614" s="9">
        <f t="array" ref="C614">XLOOKUP($A614, Quotations!$C$2:C1756, Quotations!$D$2:D1756, "")</f>
        <v>24.5</v>
      </c>
      <c r="D614" s="9">
        <f t="array" ref="D614">XLOOKUP($A614, Quotations!$E$2:E1756, Quotations!$F$2:F1756, "")
</f>
        <v>113.98</v>
      </c>
      <c r="E614" s="9">
        <f t="array" ref="E614">XLOOKUP($A614, Quotations!$G$2:G1756, Quotations!$H$2:H1756, "")
</f>
        <v>118.94</v>
      </c>
      <c r="F614" s="9">
        <f t="array" ref="F614">XLOOKUP($A614, Quotations!$I$2:I1756, Quotations!$J$2:J1756, "")
</f>
        <v>123.91</v>
      </c>
      <c r="G614" s="9">
        <f t="array" ref="G614">XLOOKUP($A614, Quotations!$K$2:K1756, Quotations!$L$2:L1756, "")
</f>
        <v>1376.1425</v>
      </c>
    </row>
    <row r="615">
      <c r="A615" s="8">
        <v>42531.0</v>
      </c>
      <c r="B615" s="9">
        <f t="array" ref="B615">XLOOKUP($A615, Quotations!$A$2:A1756, Quotations!$B$2:B1756, "")
</f>
        <v>117.61</v>
      </c>
      <c r="C615" s="9">
        <f t="array" ref="C615">XLOOKUP($A615, Quotations!$C$2:C1756, Quotations!$D$2:D1756, "")</f>
        <v>24.5</v>
      </c>
      <c r="D615" s="9">
        <f t="array" ref="D615">XLOOKUP($A615, Quotations!$E$2:E1756, Quotations!$F$2:F1756, "")
</f>
        <v>113.97</v>
      </c>
      <c r="E615" s="9">
        <f t="array" ref="E615">XLOOKUP($A615, Quotations!$G$2:G1756, Quotations!$H$2:H1756, "")
</f>
        <v>118.51</v>
      </c>
      <c r="F615" s="9">
        <f t="array" ref="F615">XLOOKUP($A615, Quotations!$I$2:I1756, Quotations!$J$2:J1756, "")
</f>
        <v>124.12</v>
      </c>
      <c r="G615" s="9">
        <f t="array" ref="G615">XLOOKUP($A615, Quotations!$K$2:K1756, Quotations!$L$2:L1756, "")
</f>
        <v>1372.5999</v>
      </c>
    </row>
    <row r="616">
      <c r="A616" s="8">
        <v>42534.0</v>
      </c>
      <c r="B616" s="9">
        <f t="array" ref="B616">XLOOKUP($A616, Quotations!$A$2:A1756, Quotations!$B$2:B1756, "")
</f>
        <v>117.02</v>
      </c>
      <c r="C616" s="9">
        <f t="array" ref="C616">XLOOKUP($A616, Quotations!$C$2:C1756, Quotations!$D$2:D1756, "")</f>
        <v>24.5</v>
      </c>
      <c r="D616" s="9">
        <f t="array" ref="D616">XLOOKUP($A616, Quotations!$E$2:E1756, Quotations!$F$2:F1756, "")
</f>
        <v>113.96</v>
      </c>
      <c r="E616" s="9">
        <f t="array" ref="E616">XLOOKUP($A616, Quotations!$G$2:G1756, Quotations!$H$2:H1756, "")
</f>
        <v>117.38</v>
      </c>
      <c r="F616" s="9">
        <f t="array" ref="F616">XLOOKUP($A616, Quotations!$I$2:I1756, Quotations!$J$2:J1756, "")
</f>
        <v>123.94</v>
      </c>
      <c r="G616" s="9">
        <f t="array" ref="G616">XLOOKUP($A616, Quotations!$K$2:K1756, Quotations!$L$2:L1756, "")
</f>
        <v>1361.126</v>
      </c>
    </row>
    <row r="617">
      <c r="A617" s="8">
        <v>42535.0</v>
      </c>
      <c r="B617" s="9">
        <f t="array" ref="B617">XLOOKUP($A617, Quotations!$A$2:A1756, Quotations!$B$2:B1756, "")
</f>
        <v>116.33</v>
      </c>
      <c r="C617" s="9">
        <f t="array" ref="C617">XLOOKUP($A617, Quotations!$C$2:C1756, Quotations!$D$2:D1756, "")</f>
        <v>24.5</v>
      </c>
      <c r="D617" s="9">
        <f t="array" ref="D617">XLOOKUP($A617, Quotations!$E$2:E1756, Quotations!$F$2:F1756, "")
</f>
        <v>113.93</v>
      </c>
      <c r="E617" s="9">
        <f t="array" ref="E617">XLOOKUP($A617, Quotations!$G$2:G1756, Quotations!$H$2:H1756, "")
</f>
        <v>116.63</v>
      </c>
      <c r="F617" s="9">
        <f t="array" ref="F617">XLOOKUP($A617, Quotations!$I$2:I1756, Quotations!$J$2:J1756, "")
</f>
        <v>123.65</v>
      </c>
      <c r="G617" s="9">
        <f t="array" ref="G617">XLOOKUP($A617, Quotations!$K$2:K1756, Quotations!$L$2:L1756, "")
</f>
        <v>1357.714</v>
      </c>
    </row>
    <row r="618">
      <c r="A618" s="8">
        <v>42536.0</v>
      </c>
      <c r="B618" s="9">
        <f t="array" ref="B618">XLOOKUP($A618, Quotations!$A$2:A1756, Quotations!$B$2:B1756, "")
</f>
        <v>116.45</v>
      </c>
      <c r="C618" s="9">
        <f t="array" ref="C618">XLOOKUP($A618, Quotations!$C$2:C1756, Quotations!$D$2:D1756, "")</f>
        <v>24.5</v>
      </c>
      <c r="D618" s="9">
        <f t="array" ref="D618">XLOOKUP($A618, Quotations!$E$2:E1756, Quotations!$F$2:F1756, "")
</f>
        <v>113.92</v>
      </c>
      <c r="E618" s="9">
        <f t="array" ref="E618">XLOOKUP($A618, Quotations!$G$2:G1756, Quotations!$H$2:H1756, "")
</f>
        <v>116.42</v>
      </c>
      <c r="F618" s="9">
        <f t="array" ref="F618">XLOOKUP($A618, Quotations!$I$2:I1756, Quotations!$J$2:J1756, "")
</f>
        <v>123.51</v>
      </c>
      <c r="G618" s="9">
        <f t="array" ref="G618">XLOOKUP($A618, Quotations!$K$2:K1756, Quotations!$L$2:L1756, "")
</f>
        <v>1351.811</v>
      </c>
    </row>
    <row r="619">
      <c r="A619" s="8">
        <v>42537.0</v>
      </c>
      <c r="B619" s="9">
        <f t="array" ref="B619">XLOOKUP($A619, Quotations!$A$2:A1756, Quotations!$B$2:B1756, "")
</f>
        <v>116.17</v>
      </c>
      <c r="C619" s="9">
        <f t="array" ref="C619">XLOOKUP($A619, Quotations!$C$2:C1756, Quotations!$D$2:D1756, "")</f>
        <v>24.51</v>
      </c>
      <c r="D619" s="9">
        <f t="array" ref="D619">XLOOKUP($A619, Quotations!$E$2:E1756, Quotations!$F$2:F1756, "")
</f>
        <v>113.92</v>
      </c>
      <c r="E619" s="9">
        <f t="array" ref="E619">XLOOKUP($A619, Quotations!$G$2:G1756, Quotations!$H$2:H1756, "")
</f>
        <v>116.75</v>
      </c>
      <c r="F619" s="9">
        <f t="array" ref="F619">XLOOKUP($A619, Quotations!$I$2:I1756, Quotations!$J$2:J1756, "")
</f>
        <v>123.58</v>
      </c>
      <c r="G619" s="9">
        <f t="array" ref="G619">XLOOKUP($A619, Quotations!$K$2:K1756, Quotations!$L$2:L1756, "")
</f>
        <v>1351.191</v>
      </c>
    </row>
    <row r="620">
      <c r="A620" s="8">
        <v>42538.0</v>
      </c>
      <c r="B620" s="9">
        <f t="array" ref="B620">XLOOKUP($A620, Quotations!$A$2:A1756, Quotations!$B$2:B1756, "")
</f>
        <v>116.42</v>
      </c>
      <c r="C620" s="9">
        <f t="array" ref="C620">XLOOKUP($A620, Quotations!$C$2:C1756, Quotations!$D$2:D1756, "")</f>
        <v>24.49</v>
      </c>
      <c r="D620" s="9">
        <f t="array" ref="D620">XLOOKUP($A620, Quotations!$E$2:E1756, Quotations!$F$2:F1756, "")
</f>
        <v>113.91</v>
      </c>
      <c r="E620" s="9">
        <f t="array" ref="E620">XLOOKUP($A620, Quotations!$G$2:G1756, Quotations!$H$2:H1756, "")
</f>
        <v>116.58</v>
      </c>
      <c r="F620" s="9">
        <f t="array" ref="F620">XLOOKUP($A620, Quotations!$I$2:I1756, Quotations!$J$2:J1756, "")
</f>
        <v>123.67</v>
      </c>
      <c r="G620" s="9">
        <f t="array" ref="G620">XLOOKUP($A620, Quotations!$K$2:K1756, Quotations!$L$2:L1756, "")
</f>
        <v>1350.0227</v>
      </c>
    </row>
    <row r="621">
      <c r="A621" s="8">
        <v>42541.0</v>
      </c>
      <c r="B621" s="9">
        <f t="array" ref="B621">XLOOKUP($A621, Quotations!$A$2:A1756, Quotations!$B$2:B1756, "")
</f>
        <v>117.17</v>
      </c>
      <c r="C621" s="9">
        <f t="array" ref="C621">XLOOKUP($A621, Quotations!$C$2:C1756, Quotations!$D$2:D1756, "")</f>
        <v>24.49</v>
      </c>
      <c r="D621" s="9">
        <f t="array" ref="D621">XLOOKUP($A621, Quotations!$E$2:E1756, Quotations!$F$2:F1756, "")
</f>
        <v>113.97</v>
      </c>
      <c r="E621" s="9">
        <f t="array" ref="E621">XLOOKUP($A621, Quotations!$G$2:G1756, Quotations!$H$2:H1756, "")
</f>
        <v>116.29</v>
      </c>
      <c r="F621" s="9">
        <f t="array" ref="F621">XLOOKUP($A621, Quotations!$I$2:I1756, Quotations!$J$2:J1756, "")
</f>
        <v>123.42</v>
      </c>
      <c r="G621" s="9">
        <f t="array" ref="G621">XLOOKUP($A621, Quotations!$K$2:K1756, Quotations!$L$2:L1756, "")
</f>
        <v>1350.2903</v>
      </c>
    </row>
    <row r="622">
      <c r="A622" s="8">
        <v>42542.0</v>
      </c>
      <c r="B622" s="9">
        <f t="array" ref="B622">XLOOKUP($A622, Quotations!$A$2:A1756, Quotations!$B$2:B1756, "")
</f>
        <v>117.33</v>
      </c>
      <c r="C622" s="9">
        <f t="array" ref="C622">XLOOKUP($A622, Quotations!$C$2:C1756, Quotations!$D$2:D1756, "")</f>
        <v>24.5</v>
      </c>
      <c r="D622" s="9">
        <f t="array" ref="D622">XLOOKUP($A622, Quotations!$E$2:E1756, Quotations!$F$2:F1756, "")
</f>
        <v>113.98</v>
      </c>
      <c r="E622" s="9">
        <f t="array" ref="E622">XLOOKUP($A622, Quotations!$G$2:G1756, Quotations!$H$2:H1756, "")
</f>
        <v>116.03</v>
      </c>
      <c r="F622" s="9">
        <f t="array" ref="F622">XLOOKUP($A622, Quotations!$I$2:I1756, Quotations!$J$2:J1756, "")
</f>
        <v>123.27</v>
      </c>
      <c r="G622" s="9">
        <f t="array" ref="G622">XLOOKUP($A622, Quotations!$K$2:K1756, Quotations!$L$2:L1756, "")
</f>
        <v>1358.6848</v>
      </c>
    </row>
    <row r="623">
      <c r="A623" s="8">
        <v>42543.0</v>
      </c>
      <c r="B623" s="9">
        <f t="array" ref="B623">XLOOKUP($A623, Quotations!$A$2:A1756, Quotations!$B$2:B1756, "")
</f>
        <v>117.52</v>
      </c>
      <c r="C623" s="9">
        <f t="array" ref="C623">XLOOKUP($A623, Quotations!$C$2:C1756, Quotations!$D$2:D1756, "")</f>
        <v>24.5</v>
      </c>
      <c r="D623" s="9">
        <f t="array" ref="D623">XLOOKUP($A623, Quotations!$E$2:E1756, Quotations!$F$2:F1756, "")
</f>
        <v>114.02</v>
      </c>
      <c r="E623" s="9">
        <f t="array" ref="E623">XLOOKUP($A623, Quotations!$G$2:G1756, Quotations!$H$2:H1756, "")
</f>
        <v>116.02</v>
      </c>
      <c r="F623" s="9">
        <f t="array" ref="F623">XLOOKUP($A623, Quotations!$I$2:I1756, Quotations!$J$2:J1756, "")
</f>
        <v>123.44</v>
      </c>
      <c r="G623" s="9">
        <f t="array" ref="G623">XLOOKUP($A623, Quotations!$K$2:K1756, Quotations!$L$2:L1756, "")
</f>
        <v>1358.8356</v>
      </c>
    </row>
    <row r="624">
      <c r="A624" s="8">
        <v>42545.0</v>
      </c>
      <c r="B624" s="9">
        <f t="array" ref="B624">XLOOKUP($A624, Quotations!$A$2:A1756, Quotations!$B$2:B1756, "")
</f>
        <v>115.85</v>
      </c>
      <c r="C624" s="9">
        <f t="array" ref="C624">XLOOKUP($A624, Quotations!$C$2:C1756, Quotations!$D$2:D1756, "")</f>
        <v>24.5</v>
      </c>
      <c r="D624" s="9">
        <f t="array" ref="D624">XLOOKUP($A624, Quotations!$E$2:E1756, Quotations!$F$2:F1756, "")
</f>
        <v>113.88</v>
      </c>
      <c r="E624" s="9">
        <f t="array" ref="E624">XLOOKUP($A624, Quotations!$G$2:G1756, Quotations!$H$2:H1756, "")
</f>
        <v>115.81</v>
      </c>
      <c r="F624" s="9">
        <f t="array" ref="F624">XLOOKUP($A624, Quotations!$I$2:I1756, Quotations!$J$2:J1756, "")
</f>
        <v>123.24</v>
      </c>
      <c r="G624" s="9">
        <f t="array" ref="G624">XLOOKUP($A624, Quotations!$K$2:K1756, Quotations!$L$2:L1756, "")
</f>
        <v>1362.5864</v>
      </c>
    </row>
    <row r="625">
      <c r="A625" s="8">
        <v>42548.0</v>
      </c>
      <c r="B625" s="9">
        <f t="array" ref="B625">XLOOKUP($A625, Quotations!$A$2:A1756, Quotations!$B$2:B1756, "")
</f>
        <v>114.55</v>
      </c>
      <c r="C625" s="9">
        <f t="array" ref="C625">XLOOKUP($A625, Quotations!$C$2:C1756, Quotations!$D$2:D1756, "")</f>
        <v>24.5</v>
      </c>
      <c r="D625" s="9">
        <f t="array" ref="D625">XLOOKUP($A625, Quotations!$E$2:E1756, Quotations!$F$2:F1756, "")
</f>
        <v>113.92</v>
      </c>
      <c r="E625" s="9">
        <f t="array" ref="E625">XLOOKUP($A625, Quotations!$G$2:G1756, Quotations!$H$2:H1756, "")
</f>
        <v>116.69</v>
      </c>
      <c r="F625" s="9">
        <f t="array" ref="F625">XLOOKUP($A625, Quotations!$I$2:I1756, Quotations!$J$2:J1756, "")
</f>
        <v>124</v>
      </c>
      <c r="G625" s="9">
        <f t="array" ref="G625">XLOOKUP($A625, Quotations!$K$2:K1756, Quotations!$L$2:L1756, "")
</f>
        <v>1324.516</v>
      </c>
    </row>
    <row r="626">
      <c r="A626" s="8">
        <v>42549.0</v>
      </c>
      <c r="B626" s="9">
        <f t="array" ref="B626">XLOOKUP($A626, Quotations!$A$2:A1756, Quotations!$B$2:B1756, "")
</f>
        <v>115</v>
      </c>
      <c r="C626" s="9">
        <f t="array" ref="C626">XLOOKUP($A626, Quotations!$C$2:C1756, Quotations!$D$2:D1756, "")</f>
        <v>24.49</v>
      </c>
      <c r="D626" s="9">
        <f t="array" ref="D626">XLOOKUP($A626, Quotations!$E$2:E1756, Quotations!$F$2:F1756, "")
</f>
        <v>113.97</v>
      </c>
      <c r="E626" s="9">
        <f t="array" ref="E626">XLOOKUP($A626, Quotations!$G$2:G1756, Quotations!$H$2:H1756, "")
</f>
        <v>117.15</v>
      </c>
      <c r="F626" s="9">
        <f t="array" ref="F626">XLOOKUP($A626, Quotations!$I$2:I1756, Quotations!$J$2:J1756, "")
</f>
        <v>124.21</v>
      </c>
      <c r="G626" s="9">
        <f t="array" ref="G626">XLOOKUP($A626, Quotations!$K$2:K1756, Quotations!$L$2:L1756, "")
</f>
        <v>1320.9557</v>
      </c>
    </row>
    <row r="627">
      <c r="A627" s="8">
        <v>42550.0</v>
      </c>
      <c r="B627" s="9">
        <f t="array" ref="B627">XLOOKUP($A627, Quotations!$A$2:A1756, Quotations!$B$2:B1756, "")
</f>
        <v>115.91</v>
      </c>
      <c r="C627" s="9">
        <f t="array" ref="C627">XLOOKUP($A627, Quotations!$C$2:C1756, Quotations!$D$2:D1756, "")</f>
        <v>24.49</v>
      </c>
      <c r="D627" s="9">
        <f t="array" ref="D627">XLOOKUP($A627, Quotations!$E$2:E1756, Quotations!$F$2:F1756, "")
</f>
        <v>114.03</v>
      </c>
      <c r="E627" s="9">
        <f t="array" ref="E627">XLOOKUP($A627, Quotations!$G$2:G1756, Quotations!$H$2:H1756, "")
</f>
        <v>117.35</v>
      </c>
      <c r="F627" s="9">
        <f t="array" ref="F627">XLOOKUP($A627, Quotations!$I$2:I1756, Quotations!$J$2:J1756, "")
</f>
        <v>124.05</v>
      </c>
      <c r="G627" s="9">
        <f t="array" ref="G627">XLOOKUP($A627, Quotations!$K$2:K1756, Quotations!$L$2:L1756, "")
</f>
        <v>1330.9463</v>
      </c>
    </row>
    <row r="628">
      <c r="A628" s="8">
        <v>42551.0</v>
      </c>
      <c r="B628" s="9">
        <f t="array" ref="B628">XLOOKUP($A628, Quotations!$A$2:A1756, Quotations!$B$2:B1756, "")
</f>
        <v>116.21</v>
      </c>
      <c r="C628" s="9">
        <f t="array" ref="C628">XLOOKUP($A628, Quotations!$C$2:C1756, Quotations!$D$2:D1756, "")</f>
        <v>24.5</v>
      </c>
      <c r="D628" s="9">
        <f t="array" ref="D628">XLOOKUP($A628, Quotations!$E$2:E1756, Quotations!$F$2:F1756, "")
</f>
        <v>114.03</v>
      </c>
      <c r="E628" s="9">
        <f t="array" ref="E628">XLOOKUP($A628, Quotations!$G$2:G1756, Quotations!$H$2:H1756, "")
</f>
        <v>117.43</v>
      </c>
      <c r="F628" s="9">
        <f t="array" ref="F628">XLOOKUP($A628, Quotations!$I$2:I1756, Quotations!$J$2:J1756, "")
</f>
        <v>124.1</v>
      </c>
      <c r="G628" s="9">
        <f t="array" ref="G628">XLOOKUP($A628, Quotations!$K$2:K1756, Quotations!$L$2:L1756, "")
</f>
        <v>1342.1172</v>
      </c>
    </row>
    <row r="629">
      <c r="A629" s="8">
        <v>42552.0</v>
      </c>
      <c r="B629" s="9">
        <f t="array" ref="B629">XLOOKUP($A629, Quotations!$A$2:A1756, Quotations!$B$2:B1756, "")
</f>
        <v>116.46</v>
      </c>
      <c r="C629" s="9">
        <f t="array" ref="C629">XLOOKUP($A629, Quotations!$C$2:C1756, Quotations!$D$2:D1756, "")</f>
        <v>24.5</v>
      </c>
      <c r="D629" s="9">
        <f t="array" ref="D629">XLOOKUP($A629, Quotations!$E$2:E1756, Quotations!$F$2:F1756, "")
</f>
        <v>114.05</v>
      </c>
      <c r="E629" s="9">
        <f t="array" ref="E629">XLOOKUP($A629, Quotations!$G$2:G1756, Quotations!$H$2:H1756, "")
</f>
        <v>117.54</v>
      </c>
      <c r="F629" s="9">
        <f t="array" ref="F629">XLOOKUP($A629, Quotations!$I$2:I1756, Quotations!$J$2:J1756, "")
</f>
        <v>124.34</v>
      </c>
      <c r="G629" s="9">
        <f t="array" ref="G629">XLOOKUP($A629, Quotations!$K$2:K1756, Quotations!$L$2:L1756, "")
</f>
        <v>1347.3255</v>
      </c>
    </row>
    <row r="630">
      <c r="A630" s="8">
        <v>42555.0</v>
      </c>
      <c r="B630" s="9">
        <f t="array" ref="B630">XLOOKUP($A630, Quotations!$A$2:A1756, Quotations!$B$2:B1756, "")
</f>
        <v>116.3</v>
      </c>
      <c r="C630" s="9">
        <f t="array" ref="C630">XLOOKUP($A630, Quotations!$C$2:C1756, Quotations!$D$2:D1756, "")</f>
        <v>24.5</v>
      </c>
      <c r="D630" s="9">
        <f t="array" ref="D630">XLOOKUP($A630, Quotations!$E$2:E1756, Quotations!$F$2:F1756, "")
</f>
        <v>114.08</v>
      </c>
      <c r="E630" s="9">
        <f t="array" ref="E630">XLOOKUP($A630, Quotations!$G$2:G1756, Quotations!$H$2:H1756, "")
</f>
        <v>117.73</v>
      </c>
      <c r="F630" s="9">
        <f t="array" ref="F630">XLOOKUP($A630, Quotations!$I$2:I1756, Quotations!$J$2:J1756, "")
</f>
        <v>124.63</v>
      </c>
      <c r="G630" s="9">
        <f t="array" ref="G630">XLOOKUP($A630, Quotations!$K$2:K1756, Quotations!$L$2:L1756, "")
</f>
        <v>1349.4156</v>
      </c>
    </row>
    <row r="631">
      <c r="A631" s="8">
        <v>42556.0</v>
      </c>
      <c r="B631" s="9">
        <f t="array" ref="B631">XLOOKUP($A631, Quotations!$A$2:A1756, Quotations!$B$2:B1756, "")
</f>
        <v>115.87</v>
      </c>
      <c r="C631" s="9">
        <f t="array" ref="C631">XLOOKUP($A631, Quotations!$C$2:C1756, Quotations!$D$2:D1756, "")</f>
        <v>24.5</v>
      </c>
      <c r="D631" s="9">
        <f t="array" ref="D631">XLOOKUP($A631, Quotations!$E$2:E1756, Quotations!$F$2:F1756, "")
</f>
        <v>114.09</v>
      </c>
      <c r="E631" s="9">
        <f t="array" ref="E631">XLOOKUP($A631, Quotations!$G$2:G1756, Quotations!$H$2:H1756, "")
</f>
        <v>117.75</v>
      </c>
      <c r="F631" s="9">
        <f t="array" ref="F631">XLOOKUP($A631, Quotations!$I$2:I1756, Quotations!$J$2:J1756, "")
</f>
        <v>124.58</v>
      </c>
      <c r="G631" s="9">
        <f t="array" ref="G631">XLOOKUP($A631, Quotations!$K$2:K1756, Quotations!$L$2:L1756, "")
</f>
        <v>1348.5261</v>
      </c>
    </row>
    <row r="632">
      <c r="A632" s="8">
        <v>42557.0</v>
      </c>
      <c r="B632" s="9">
        <f t="array" ref="B632">XLOOKUP($A632, Quotations!$A$2:A1756, Quotations!$B$2:B1756, "")
</f>
        <v>115.22</v>
      </c>
      <c r="C632" s="9">
        <f t="array" ref="C632">XLOOKUP($A632, Quotations!$C$2:C1756, Quotations!$D$2:D1756, "")</f>
        <v>24.5</v>
      </c>
      <c r="D632" s="9">
        <f t="array" ref="D632">XLOOKUP($A632, Quotations!$E$2:E1756, Quotations!$F$2:F1756, "")
</f>
        <v>114.08</v>
      </c>
      <c r="E632" s="9">
        <f t="array" ref="E632">XLOOKUP($A632, Quotations!$G$2:G1756, Quotations!$H$2:H1756, "")
</f>
        <v>118.02</v>
      </c>
      <c r="F632" s="9">
        <f t="array" ref="F632">XLOOKUP($A632, Quotations!$I$2:I1756, Quotations!$J$2:J1756, "")
</f>
        <v>124.63</v>
      </c>
      <c r="G632" s="9">
        <f t="array" ref="G632">XLOOKUP($A632, Quotations!$K$2:K1756, Quotations!$L$2:L1756, "")
</f>
        <v>1332.3885</v>
      </c>
    </row>
    <row r="633">
      <c r="A633" s="8">
        <v>42558.0</v>
      </c>
      <c r="B633" s="9">
        <f t="array" ref="B633">XLOOKUP($A633, Quotations!$A$2:A1756, Quotations!$B$2:B1756, "")
</f>
        <v>115.36</v>
      </c>
      <c r="C633" s="9">
        <f t="array" ref="C633">XLOOKUP($A633, Quotations!$C$2:C1756, Quotations!$D$2:D1756, "")</f>
        <v>24.51</v>
      </c>
      <c r="D633" s="9">
        <f t="array" ref="D633">XLOOKUP($A633, Quotations!$E$2:E1756, Quotations!$F$2:F1756, "")
</f>
        <v>114.08</v>
      </c>
      <c r="E633" s="9">
        <f t="array" ref="E633">XLOOKUP($A633, Quotations!$G$2:G1756, Quotations!$H$2:H1756, "")
</f>
        <v>118.06</v>
      </c>
      <c r="F633" s="9">
        <f t="array" ref="F633">XLOOKUP($A633, Quotations!$I$2:I1756, Quotations!$J$2:J1756, "")
</f>
        <v>124.64</v>
      </c>
      <c r="G633" s="9">
        <f t="array" ref="G633">XLOOKUP($A633, Quotations!$K$2:K1756, Quotations!$L$2:L1756, "")
</f>
        <v>1341.6543</v>
      </c>
    </row>
    <row r="634">
      <c r="A634" s="8">
        <v>42559.0</v>
      </c>
      <c r="B634" s="9">
        <f t="array" ref="B634">XLOOKUP($A634, Quotations!$A$2:A1756, Quotations!$B$2:B1756, "")
</f>
        <v>115.71</v>
      </c>
      <c r="C634" s="9">
        <f t="array" ref="C634">XLOOKUP($A634, Quotations!$C$2:C1756, Quotations!$D$2:D1756, "")</f>
        <v>24.52</v>
      </c>
      <c r="D634" s="9">
        <f t="array" ref="D634">XLOOKUP($A634, Quotations!$E$2:E1756, Quotations!$F$2:F1756, "")
</f>
        <v>114.11</v>
      </c>
      <c r="E634" s="9">
        <f t="array" ref="E634">XLOOKUP($A634, Quotations!$G$2:G1756, Quotations!$H$2:H1756, "")
</f>
        <v>117.9</v>
      </c>
      <c r="F634" s="9">
        <f t="array" ref="F634">XLOOKUP($A634, Quotations!$I$2:I1756, Quotations!$J$2:J1756, "")
</f>
        <v>124.8</v>
      </c>
      <c r="G634" s="9">
        <f t="array" ref="G634">XLOOKUP($A634, Quotations!$K$2:K1756, Quotations!$L$2:L1756, "")
</f>
        <v>1344.438</v>
      </c>
    </row>
    <row r="635">
      <c r="A635" s="8">
        <v>42562.0</v>
      </c>
      <c r="B635" s="9">
        <f t="array" ref="B635">XLOOKUP($A635, Quotations!$A$2:A1756, Quotations!$B$2:B1756, "")
</f>
        <v>116.17</v>
      </c>
      <c r="C635" s="9">
        <f t="array" ref="C635">XLOOKUP($A635, Quotations!$C$2:C1756, Quotations!$D$2:D1756, "")</f>
        <v>24.52</v>
      </c>
      <c r="D635" s="9">
        <f t="array" ref="D635">XLOOKUP($A635, Quotations!$E$2:E1756, Quotations!$F$2:F1756, "")
</f>
        <v>114.16</v>
      </c>
      <c r="E635" s="9">
        <f t="array" ref="E635">XLOOKUP($A635, Quotations!$G$2:G1756, Quotations!$H$2:H1756, "")
</f>
        <v>118.1</v>
      </c>
      <c r="F635" s="9">
        <f t="array" ref="F635">XLOOKUP($A635, Quotations!$I$2:I1756, Quotations!$J$2:J1756, "")
</f>
        <v>125.27</v>
      </c>
      <c r="G635" s="9">
        <f t="array" ref="G635">XLOOKUP($A635, Quotations!$K$2:K1756, Quotations!$L$2:L1756, "")
</f>
        <v>1354.7418</v>
      </c>
    </row>
    <row r="636">
      <c r="A636" s="8">
        <v>42563.0</v>
      </c>
      <c r="B636" s="9">
        <f t="array" ref="B636">XLOOKUP($A636, Quotations!$A$2:A1756, Quotations!$B$2:B1756, "")
</f>
        <v>116.5</v>
      </c>
      <c r="C636" s="9">
        <f t="array" ref="C636">XLOOKUP($A636, Quotations!$C$2:C1756, Quotations!$D$2:D1756, "")</f>
        <v>24.52</v>
      </c>
      <c r="D636" s="9">
        <f t="array" ref="D636">XLOOKUP($A636, Quotations!$E$2:E1756, Quotations!$F$2:F1756, "")
</f>
        <v>114.18</v>
      </c>
      <c r="E636" s="9">
        <f t="array" ref="E636">XLOOKUP($A636, Quotations!$G$2:G1756, Quotations!$H$2:H1756, "")
</f>
        <v>117.93</v>
      </c>
      <c r="F636" s="9">
        <f t="array" ref="F636">XLOOKUP($A636, Quotations!$I$2:I1756, Quotations!$J$2:J1756, "")
</f>
        <v>125.51</v>
      </c>
      <c r="G636" s="9">
        <f t="array" ref="G636">XLOOKUP($A636, Quotations!$K$2:K1756, Quotations!$L$2:L1756, "")
</f>
        <v>1361.4249</v>
      </c>
    </row>
    <row r="637">
      <c r="A637" s="8">
        <v>42564.0</v>
      </c>
      <c r="B637" s="9">
        <f t="array" ref="B637">XLOOKUP($A637, Quotations!$A$2:A1756, Quotations!$B$2:B1756, "")
</f>
        <v>116.59</v>
      </c>
      <c r="C637" s="9">
        <f t="array" ref="C637">XLOOKUP($A637, Quotations!$C$2:C1756, Quotations!$D$2:D1756, "")</f>
        <v>24.52</v>
      </c>
      <c r="D637" s="9">
        <f t="array" ref="D637">XLOOKUP($A637, Quotations!$E$2:E1756, Quotations!$F$2:F1756, "")
</f>
        <v>114.17</v>
      </c>
      <c r="E637" s="9">
        <f t="array" ref="E637">XLOOKUP($A637, Quotations!$G$2:G1756, Quotations!$H$2:H1756, "")
</f>
        <v>117.62</v>
      </c>
      <c r="F637" s="9">
        <f t="array" ref="F637">XLOOKUP($A637, Quotations!$I$2:I1756, Quotations!$J$2:J1756, "")
</f>
        <v>125.38</v>
      </c>
      <c r="G637" s="9">
        <f t="array" ref="G637">XLOOKUP($A637, Quotations!$K$2:K1756, Quotations!$L$2:L1756, "")
</f>
        <v>1366.5679</v>
      </c>
    </row>
    <row r="638">
      <c r="A638" s="8">
        <v>42565.0</v>
      </c>
      <c r="B638" s="9" t="str">
        <f t="array" ref="B638">XLOOKUP($A638, Quotations!$A$2:A1756, Quotations!$B$2:B1756, "")
</f>
        <v/>
      </c>
      <c r="C638" s="9">
        <f t="array" ref="C638">XLOOKUP($A638, Quotations!$C$2:C1756, Quotations!$D$2:D1756, "")</f>
        <v>24.52</v>
      </c>
      <c r="D638" s="9">
        <f t="array" ref="D638">XLOOKUP($A638, Quotations!$E$2:E1756, Quotations!$F$2:F1756, "")
</f>
        <v>114.17</v>
      </c>
      <c r="E638" s="9">
        <f t="array" ref="E638">XLOOKUP($A638, Quotations!$G$2:G1756, Quotations!$H$2:H1756, "")
</f>
        <v>117.86</v>
      </c>
      <c r="F638" s="9">
        <f t="array" ref="F638">XLOOKUP($A638, Quotations!$I$2:I1756, Quotations!$J$2:J1756, "")
</f>
        <v>125.41</v>
      </c>
      <c r="G638" s="9">
        <f t="array" ref="G638">XLOOKUP($A638, Quotations!$K$2:K1756, Quotations!$L$2:L1756, "")
</f>
        <v>1367.7404</v>
      </c>
    </row>
    <row r="639">
      <c r="A639" s="8">
        <v>42566.0</v>
      </c>
      <c r="B639" s="9">
        <f t="array" ref="B639">XLOOKUP($A639, Quotations!$A$2:A1756, Quotations!$B$2:B1756, "")
</f>
        <v>116.82</v>
      </c>
      <c r="C639" s="9">
        <f t="array" ref="C639">XLOOKUP($A639, Quotations!$C$2:C1756, Quotations!$D$2:D1756, "")</f>
        <v>24.52</v>
      </c>
      <c r="D639" s="9">
        <f t="array" ref="D639">XLOOKUP($A639, Quotations!$E$2:E1756, Quotations!$F$2:F1756, "")
</f>
        <v>114.17</v>
      </c>
      <c r="E639" s="9">
        <f t="array" ref="E639">XLOOKUP($A639, Quotations!$G$2:G1756, Quotations!$H$2:H1756, "")
</f>
        <v>117.64</v>
      </c>
      <c r="F639" s="9">
        <f t="array" ref="F639">XLOOKUP($A639, Quotations!$I$2:I1756, Quotations!$J$2:J1756, "")
</f>
        <v>125.5</v>
      </c>
      <c r="G639" s="9">
        <f t="array" ref="G639">XLOOKUP($A639, Quotations!$K$2:K1756, Quotations!$L$2:L1756, "")
</f>
        <v>1369.3474</v>
      </c>
    </row>
    <row r="640">
      <c r="A640" s="8">
        <v>42569.0</v>
      </c>
      <c r="B640" s="9">
        <f t="array" ref="B640">XLOOKUP($A640, Quotations!$A$2:A1756, Quotations!$B$2:B1756, "")
</f>
        <v>116.85</v>
      </c>
      <c r="C640" s="9">
        <f t="array" ref="C640">XLOOKUP($A640, Quotations!$C$2:C1756, Quotations!$D$2:D1756, "")</f>
        <v>24.52</v>
      </c>
      <c r="D640" s="9">
        <f t="array" ref="D640">XLOOKUP($A640, Quotations!$E$2:E1756, Quotations!$F$2:F1756, "")
</f>
        <v>114.17</v>
      </c>
      <c r="E640" s="9">
        <f t="array" ref="E640">XLOOKUP($A640, Quotations!$G$2:G1756, Quotations!$H$2:H1756, "")
</f>
        <v>117.34</v>
      </c>
      <c r="F640" s="9">
        <f t="array" ref="F640">XLOOKUP($A640, Quotations!$I$2:I1756, Quotations!$J$2:J1756, "")
</f>
        <v>125.32</v>
      </c>
      <c r="G640" s="9">
        <f t="array" ref="G640">XLOOKUP($A640, Quotations!$K$2:K1756, Quotations!$L$2:L1756, "")
</f>
        <v>1369.1714</v>
      </c>
    </row>
    <row r="641">
      <c r="A641" s="8">
        <v>42570.0</v>
      </c>
      <c r="B641" s="9">
        <f t="array" ref="B641">XLOOKUP($A641, Quotations!$A$2:A1756, Quotations!$B$2:B1756, "")
</f>
        <v>116.82</v>
      </c>
      <c r="C641" s="9">
        <f t="array" ref="C641">XLOOKUP($A641, Quotations!$C$2:C1756, Quotations!$D$2:D1756, "")</f>
        <v>24.52</v>
      </c>
      <c r="D641" s="9">
        <f t="array" ref="D641">XLOOKUP($A641, Quotations!$E$2:E1756, Quotations!$F$2:F1756, "")
</f>
        <v>114.13</v>
      </c>
      <c r="E641" s="9">
        <f t="array" ref="E641">XLOOKUP($A641, Quotations!$G$2:G1756, Quotations!$H$2:H1756, "")
</f>
        <v>117.45</v>
      </c>
      <c r="F641" s="9">
        <f t="array" ref="F641">XLOOKUP($A641, Quotations!$I$2:I1756, Quotations!$J$2:J1756, "")
</f>
        <v>125.45</v>
      </c>
      <c r="G641" s="9">
        <f t="array" ref="G641">XLOOKUP($A641, Quotations!$K$2:K1756, Quotations!$L$2:L1756, "")
</f>
        <v>1371.2461</v>
      </c>
    </row>
    <row r="642">
      <c r="A642" s="8">
        <v>42571.0</v>
      </c>
      <c r="B642" s="9">
        <f t="array" ref="B642">XLOOKUP($A642, Quotations!$A$2:A1756, Quotations!$B$2:B1756, "")
</f>
        <v>117.05</v>
      </c>
      <c r="C642" s="9">
        <f t="array" ref="C642">XLOOKUP($A642, Quotations!$C$2:C1756, Quotations!$D$2:D1756, "")</f>
        <v>24.52</v>
      </c>
      <c r="D642" s="9">
        <f t="array" ref="D642">XLOOKUP($A642, Quotations!$E$2:E1756, Quotations!$F$2:F1756, "")
</f>
        <v>114.09</v>
      </c>
      <c r="E642" s="9">
        <f t="array" ref="E642">XLOOKUP($A642, Quotations!$G$2:G1756, Quotations!$H$2:H1756, "")
</f>
        <v>117.46</v>
      </c>
      <c r="F642" s="9">
        <f t="array" ref="F642">XLOOKUP($A642, Quotations!$I$2:I1756, Quotations!$J$2:J1756, "")
</f>
        <v>125.57</v>
      </c>
      <c r="G642" s="9">
        <f t="array" ref="G642">XLOOKUP($A642, Quotations!$K$2:K1756, Quotations!$L$2:L1756, "")
</f>
        <v>1369.7091</v>
      </c>
    </row>
    <row r="643">
      <c r="A643" s="8">
        <v>42572.0</v>
      </c>
      <c r="B643" s="9">
        <f t="array" ref="B643">XLOOKUP($A643, Quotations!$A$2:A1756, Quotations!$B$2:B1756, "")
</f>
        <v>117.06</v>
      </c>
      <c r="C643" s="9">
        <f t="array" ref="C643">XLOOKUP($A643, Quotations!$C$2:C1756, Quotations!$D$2:D1756, "")</f>
        <v>24.51</v>
      </c>
      <c r="D643" s="9">
        <f t="array" ref="D643">XLOOKUP($A643, Quotations!$E$2:E1756, Quotations!$F$2:F1756, "")
</f>
        <v>114.06</v>
      </c>
      <c r="E643" s="9">
        <f t="array" ref="E643">XLOOKUP($A643, Quotations!$G$2:G1756, Quotations!$H$2:H1756, "")
</f>
        <v>117.43</v>
      </c>
      <c r="F643" s="9">
        <f t="array" ref="F643">XLOOKUP($A643, Quotations!$I$2:I1756, Quotations!$J$2:J1756, "")
</f>
        <v>125.97</v>
      </c>
      <c r="G643" s="9">
        <f t="array" ref="G643">XLOOKUP($A643, Quotations!$K$2:K1756, Quotations!$L$2:L1756, "")
</f>
        <v>1375.5391</v>
      </c>
    </row>
    <row r="644">
      <c r="A644" s="8">
        <v>42573.0</v>
      </c>
      <c r="B644" s="9">
        <f t="array" ref="B644">XLOOKUP($A644, Quotations!$A$2:A1756, Quotations!$B$2:B1756, "")
</f>
        <v>117.12</v>
      </c>
      <c r="C644" s="9">
        <f t="array" ref="C644">XLOOKUP($A644, Quotations!$C$2:C1756, Quotations!$D$2:D1756, "")</f>
        <v>24.51</v>
      </c>
      <c r="D644" s="9">
        <f t="array" ref="D644">XLOOKUP($A644, Quotations!$E$2:E1756, Quotations!$F$2:F1756, "")
</f>
        <v>114.09</v>
      </c>
      <c r="E644" s="9">
        <f t="array" ref="E644">XLOOKUP($A644, Quotations!$G$2:G1756, Quotations!$H$2:H1756, "")
</f>
        <v>117.41</v>
      </c>
      <c r="F644" s="9">
        <f t="array" ref="F644">XLOOKUP($A644, Quotations!$I$2:I1756, Quotations!$J$2:J1756, "")
</f>
        <v>126.01</v>
      </c>
      <c r="G644" s="9">
        <f t="array" ref="G644">XLOOKUP($A644, Quotations!$K$2:K1756, Quotations!$L$2:L1756, "")
</f>
        <v>1372.1801</v>
      </c>
    </row>
    <row r="645">
      <c r="A645" s="8">
        <v>42576.0</v>
      </c>
      <c r="B645" s="9">
        <f t="array" ref="B645">XLOOKUP($A645, Quotations!$A$2:A1756, Quotations!$B$2:B1756, "")
</f>
        <v>117.24</v>
      </c>
      <c r="C645" s="9">
        <f t="array" ref="C645">XLOOKUP($A645, Quotations!$C$2:C1756, Quotations!$D$2:D1756, "")</f>
        <v>24.51</v>
      </c>
      <c r="D645" s="9">
        <f t="array" ref="D645">XLOOKUP($A645, Quotations!$E$2:E1756, Quotations!$F$2:F1756, "")
</f>
        <v>114.13</v>
      </c>
      <c r="E645" s="9">
        <f t="array" ref="E645">XLOOKUP($A645, Quotations!$G$2:G1756, Quotations!$H$2:H1756, "")
</f>
        <v>117.43</v>
      </c>
      <c r="F645" s="9">
        <f t="array" ref="F645">XLOOKUP($A645, Quotations!$I$2:I1756, Quotations!$J$2:J1756, "")
</f>
        <v>126.23</v>
      </c>
      <c r="G645" s="9">
        <f t="array" ref="G645">XLOOKUP($A645, Quotations!$K$2:K1756, Quotations!$L$2:L1756, "")
</f>
        <v>1373.9349</v>
      </c>
    </row>
    <row r="646">
      <c r="A646" s="8">
        <v>42577.0</v>
      </c>
      <c r="B646" s="9">
        <f t="array" ref="B646">XLOOKUP($A646, Quotations!$A$2:A1756, Quotations!$B$2:B1756, "")
</f>
        <v>117.29</v>
      </c>
      <c r="C646" s="9">
        <f t="array" ref="C646">XLOOKUP($A646, Quotations!$C$2:C1756, Quotations!$D$2:D1756, "")</f>
        <v>24.52</v>
      </c>
      <c r="D646" s="9">
        <f t="array" ref="D646">XLOOKUP($A646, Quotations!$E$2:E1756, Quotations!$F$2:F1756, "")
</f>
        <v>114.13</v>
      </c>
      <c r="E646" s="9">
        <f t="array" ref="E646">XLOOKUP($A646, Quotations!$G$2:G1756, Quotations!$H$2:H1756, "")
</f>
        <v>117.34</v>
      </c>
      <c r="F646" s="9">
        <f t="array" ref="F646">XLOOKUP($A646, Quotations!$I$2:I1756, Quotations!$J$2:J1756, "")
</f>
        <v>126.22</v>
      </c>
      <c r="G646" s="9">
        <f t="array" ref="G646">XLOOKUP($A646, Quotations!$K$2:K1756, Quotations!$L$2:L1756, "")
</f>
        <v>1373.7025</v>
      </c>
    </row>
    <row r="647">
      <c r="A647" s="8">
        <v>42578.0</v>
      </c>
      <c r="B647" s="9">
        <f t="array" ref="B647">XLOOKUP($A647, Quotations!$A$2:A1756, Quotations!$B$2:B1756, "")
</f>
        <v>117.52</v>
      </c>
      <c r="C647" s="9">
        <f t="array" ref="C647">XLOOKUP($A647, Quotations!$C$2:C1756, Quotations!$D$2:D1756, "")</f>
        <v>24.51</v>
      </c>
      <c r="D647" s="9">
        <f t="array" ref="D647">XLOOKUP($A647, Quotations!$E$2:E1756, Quotations!$F$2:F1756, "")
</f>
        <v>114.12</v>
      </c>
      <c r="E647" s="9">
        <f t="array" ref="E647">XLOOKUP($A647, Quotations!$G$2:G1756, Quotations!$H$2:H1756, "")
</f>
        <v>117.37</v>
      </c>
      <c r="F647" s="9">
        <f t="array" ref="F647">XLOOKUP($A647, Quotations!$I$2:I1756, Quotations!$J$2:J1756, "")
</f>
        <v>126.04</v>
      </c>
      <c r="G647" s="9">
        <f t="array" ref="G647">XLOOKUP($A647, Quotations!$K$2:K1756, Quotations!$L$2:L1756, "")
</f>
        <v>1378.631</v>
      </c>
    </row>
    <row r="648">
      <c r="A648" s="8">
        <v>42579.0</v>
      </c>
      <c r="B648" s="9">
        <f t="array" ref="B648">XLOOKUP($A648, Quotations!$A$2:A1756, Quotations!$B$2:B1756, "")
</f>
        <v>117.44</v>
      </c>
      <c r="C648" s="9">
        <f t="array" ref="C648">XLOOKUP($A648, Quotations!$C$2:C1756, Quotations!$D$2:D1756, "")</f>
        <v>24.5</v>
      </c>
      <c r="D648" s="9">
        <f t="array" ref="D648">XLOOKUP($A648, Quotations!$E$2:E1756, Quotations!$F$2:F1756, "")
</f>
        <v>114.13</v>
      </c>
      <c r="E648" s="9">
        <f t="array" ref="E648">XLOOKUP($A648, Quotations!$G$2:G1756, Quotations!$H$2:H1756, "")
</f>
        <v>117.85</v>
      </c>
      <c r="F648" s="9">
        <f t="array" ref="F648">XLOOKUP($A648, Quotations!$I$2:I1756, Quotations!$J$2:J1756, "")
</f>
        <v>126.19</v>
      </c>
      <c r="G648" s="9">
        <f t="array" ref="G648">XLOOKUP($A648, Quotations!$K$2:K1756, Quotations!$L$2:L1756, "")
</f>
        <v>1378.726</v>
      </c>
    </row>
    <row r="649">
      <c r="A649" s="8">
        <v>42580.0</v>
      </c>
      <c r="B649" s="9">
        <f t="array" ref="B649">XLOOKUP($A649, Quotations!$A$2:A1756, Quotations!$B$2:B1756, "")
</f>
        <v>117.6</v>
      </c>
      <c r="C649" s="9">
        <f t="array" ref="C649">XLOOKUP($A649, Quotations!$C$2:C1756, Quotations!$D$2:D1756, "")</f>
        <v>24.5</v>
      </c>
      <c r="D649" s="9">
        <f t="array" ref="D649">XLOOKUP($A649, Quotations!$E$2:E1756, Quotations!$F$2:F1756, "")
</f>
        <v>114.12</v>
      </c>
      <c r="E649" s="9">
        <f t="array" ref="E649">XLOOKUP($A649, Quotations!$G$2:G1756, Quotations!$H$2:H1756, "")
</f>
        <v>117.68</v>
      </c>
      <c r="F649" s="9">
        <f t="array" ref="F649">XLOOKUP($A649, Quotations!$I$2:I1756, Quotations!$J$2:J1756, "")
</f>
        <v>126.05</v>
      </c>
      <c r="G649" s="9">
        <f t="array" ref="G649">XLOOKUP($A649, Quotations!$K$2:K1756, Quotations!$L$2:L1756, "")
</f>
        <v>1379.9664</v>
      </c>
    </row>
    <row r="650">
      <c r="A650" s="8">
        <v>42583.0</v>
      </c>
      <c r="B650" s="9">
        <f t="array" ref="B650">XLOOKUP($A650, Quotations!$A$2:A1756, Quotations!$B$2:B1756, "")
</f>
        <v>117.72</v>
      </c>
      <c r="C650" s="9">
        <f t="array" ref="C650">XLOOKUP($A650, Quotations!$C$2:C1756, Quotations!$D$2:D1756, "")</f>
        <v>24.49</v>
      </c>
      <c r="D650" s="9">
        <f t="array" ref="D650">XLOOKUP($A650, Quotations!$E$2:E1756, Quotations!$F$2:F1756, "")
</f>
        <v>114.14</v>
      </c>
      <c r="E650" s="9">
        <f t="array" ref="E650">XLOOKUP($A650, Quotations!$G$2:G1756, Quotations!$H$2:H1756, "")
</f>
        <v>118.05</v>
      </c>
      <c r="F650" s="9">
        <f t="array" ref="F650">XLOOKUP($A650, Quotations!$I$2:I1756, Quotations!$J$2:J1756, "")
</f>
        <v>126.04</v>
      </c>
      <c r="G650" s="9">
        <f t="array" ref="G650">XLOOKUP($A650, Quotations!$K$2:K1756, Quotations!$L$2:L1756, "")
</f>
        <v>1380.101</v>
      </c>
    </row>
    <row r="651">
      <c r="A651" s="8">
        <v>42584.0</v>
      </c>
      <c r="B651" s="9">
        <f t="array" ref="B651">XLOOKUP($A651, Quotations!$A$2:A1756, Quotations!$B$2:B1756, "")
</f>
        <v>117.37</v>
      </c>
      <c r="C651" s="9">
        <f t="array" ref="C651">XLOOKUP($A651, Quotations!$C$2:C1756, Quotations!$D$2:D1756, "")</f>
        <v>24.49</v>
      </c>
      <c r="D651" s="9">
        <f t="array" ref="D651">XLOOKUP($A651, Quotations!$E$2:E1756, Quotations!$F$2:F1756, "")
</f>
        <v>114.14</v>
      </c>
      <c r="E651" s="9">
        <f t="array" ref="E651">XLOOKUP($A651, Quotations!$G$2:G1756, Quotations!$H$2:H1756, "")
</f>
        <v>117.87</v>
      </c>
      <c r="F651" s="9">
        <f t="array" ref="F651">XLOOKUP($A651, Quotations!$I$2:I1756, Quotations!$J$2:J1756, "")
</f>
        <v>126.03</v>
      </c>
      <c r="G651" s="9">
        <f t="array" ref="G651">XLOOKUP($A651, Quotations!$K$2:K1756, Quotations!$L$2:L1756, "")
</f>
        <v>1379.3383</v>
      </c>
    </row>
    <row r="652">
      <c r="A652" s="8">
        <v>42585.0</v>
      </c>
      <c r="B652" s="9">
        <f t="array" ref="B652">XLOOKUP($A652, Quotations!$A$2:A1756, Quotations!$B$2:B1756, "")
</f>
        <v>117.25</v>
      </c>
      <c r="C652" s="9">
        <f t="array" ref="C652">XLOOKUP($A652, Quotations!$C$2:C1756, Quotations!$D$2:D1756, "")</f>
        <v>24.49</v>
      </c>
      <c r="D652" s="9">
        <f t="array" ref="D652">XLOOKUP($A652, Quotations!$E$2:E1756, Quotations!$F$2:F1756, "")
</f>
        <v>114.11</v>
      </c>
      <c r="E652" s="9">
        <f t="array" ref="E652">XLOOKUP($A652, Quotations!$G$2:G1756, Quotations!$H$2:H1756, "")
</f>
        <v>116.6</v>
      </c>
      <c r="F652" s="9">
        <f t="array" ref="F652">XLOOKUP($A652, Quotations!$I$2:I1756, Quotations!$J$2:J1756, "")
</f>
        <v>125.5</v>
      </c>
      <c r="G652" s="9">
        <f t="array" ref="G652">XLOOKUP($A652, Quotations!$K$2:K1756, Quotations!$L$2:L1756, "")
</f>
        <v>1370.8319</v>
      </c>
    </row>
    <row r="653">
      <c r="A653" s="8">
        <v>42586.0</v>
      </c>
      <c r="B653" s="9">
        <f t="array" ref="B653">XLOOKUP($A653, Quotations!$A$2:A1756, Quotations!$B$2:B1756, "")
</f>
        <v>117.62</v>
      </c>
      <c r="C653" s="9">
        <f t="array" ref="C653">XLOOKUP($A653, Quotations!$C$2:C1756, Quotations!$D$2:D1756, "")</f>
        <v>24.5</v>
      </c>
      <c r="D653" s="9">
        <f t="array" ref="D653">XLOOKUP($A653, Quotations!$E$2:E1756, Quotations!$F$2:F1756, "")
</f>
        <v>114.12</v>
      </c>
      <c r="E653" s="9">
        <f t="array" ref="E653">XLOOKUP($A653, Quotations!$G$2:G1756, Quotations!$H$2:H1756, "")
</f>
        <v>116.62</v>
      </c>
      <c r="F653" s="9">
        <f t="array" ref="F653">XLOOKUP($A653, Quotations!$I$2:I1756, Quotations!$J$2:J1756, "")
</f>
        <v>125.62</v>
      </c>
      <c r="G653" s="9">
        <f t="array" ref="G653">XLOOKUP($A653, Quotations!$K$2:K1756, Quotations!$L$2:L1756, "")
</f>
        <v>1373.7072</v>
      </c>
    </row>
    <row r="654">
      <c r="A654" s="8">
        <v>42587.0</v>
      </c>
      <c r="B654" s="9">
        <f t="array" ref="B654">XLOOKUP($A654, Quotations!$A$2:A1756, Quotations!$B$2:B1756, "")
</f>
        <v>117.89</v>
      </c>
      <c r="C654" s="9">
        <f t="array" ref="C654">XLOOKUP($A654, Quotations!$C$2:C1756, Quotations!$D$2:D1756, "")</f>
        <v>24.51</v>
      </c>
      <c r="D654" s="9">
        <f t="array" ref="D654">XLOOKUP($A654, Quotations!$E$2:E1756, Quotations!$F$2:F1756, "")
</f>
        <v>114.14</v>
      </c>
      <c r="E654" s="9">
        <f t="array" ref="E654">XLOOKUP($A654, Quotations!$G$2:G1756, Quotations!$H$2:H1756, "")
</f>
        <v>117.34</v>
      </c>
      <c r="F654" s="9">
        <f t="array" ref="F654">XLOOKUP($A654, Quotations!$I$2:I1756, Quotations!$J$2:J1756, "")
</f>
        <v>125.94</v>
      </c>
      <c r="G654" s="9">
        <f t="array" ref="G654">XLOOKUP($A654, Quotations!$K$2:K1756, Quotations!$L$2:L1756, "")
</f>
        <v>1377.4663</v>
      </c>
    </row>
    <row r="655">
      <c r="A655" s="8">
        <v>42590.0</v>
      </c>
      <c r="B655" s="9">
        <f t="array" ref="B655">XLOOKUP($A655, Quotations!$A$2:A1756, Quotations!$B$2:B1756, "")
</f>
        <v>117.97</v>
      </c>
      <c r="C655" s="9">
        <f t="array" ref="C655">XLOOKUP($A655, Quotations!$C$2:C1756, Quotations!$D$2:D1756, "")</f>
        <v>24.51</v>
      </c>
      <c r="D655" s="9">
        <f t="array" ref="D655">XLOOKUP($A655, Quotations!$E$2:E1756, Quotations!$F$2:F1756, "")
</f>
        <v>114.19</v>
      </c>
      <c r="E655" s="9">
        <f t="array" ref="E655">XLOOKUP($A655, Quotations!$G$2:G1756, Quotations!$H$2:H1756, "")
</f>
        <v>117.66</v>
      </c>
      <c r="F655" s="9">
        <f t="array" ref="F655">XLOOKUP($A655, Quotations!$I$2:I1756, Quotations!$J$2:J1756, "")
</f>
        <v>126.12</v>
      </c>
      <c r="G655" s="9">
        <f t="array" ref="G655">XLOOKUP($A655, Quotations!$K$2:K1756, Quotations!$L$2:L1756, "")
</f>
        <v>1383.0214</v>
      </c>
    </row>
    <row r="656">
      <c r="A656" s="8">
        <v>42591.0</v>
      </c>
      <c r="B656" s="9">
        <f t="array" ref="B656">XLOOKUP($A656, Quotations!$A$2:A1756, Quotations!$B$2:B1756, "")
</f>
        <v>118.23</v>
      </c>
      <c r="C656" s="9">
        <f t="array" ref="C656">XLOOKUP($A656, Quotations!$C$2:C1756, Quotations!$D$2:D1756, "")</f>
        <v>24.51</v>
      </c>
      <c r="D656" s="9">
        <f t="array" ref="D656">XLOOKUP($A656, Quotations!$E$2:E1756, Quotations!$F$2:F1756, "")
</f>
        <v>114.19</v>
      </c>
      <c r="E656" s="9">
        <f t="array" ref="E656">XLOOKUP($A656, Quotations!$G$2:G1756, Quotations!$H$2:H1756, "")
</f>
        <v>118</v>
      </c>
      <c r="F656" s="9">
        <f t="array" ref="F656">XLOOKUP($A656, Quotations!$I$2:I1756, Quotations!$J$2:J1756, "")
</f>
        <v>126.29</v>
      </c>
      <c r="G656" s="9">
        <f t="array" ref="G656">XLOOKUP($A656, Quotations!$K$2:K1756, Quotations!$L$2:L1756, "")
</f>
        <v>1383.7003</v>
      </c>
    </row>
    <row r="657">
      <c r="A657" s="8">
        <v>42592.0</v>
      </c>
      <c r="B657" s="9">
        <f t="array" ref="B657">XLOOKUP($A657, Quotations!$A$2:A1756, Quotations!$B$2:B1756, "")
</f>
        <v>118.14</v>
      </c>
      <c r="C657" s="9">
        <f t="array" ref="C657">XLOOKUP($A657, Quotations!$C$2:C1756, Quotations!$D$2:D1756, "")</f>
        <v>24.51</v>
      </c>
      <c r="D657" s="9">
        <f t="array" ref="D657">XLOOKUP($A657, Quotations!$E$2:E1756, Quotations!$F$2:F1756, "")
</f>
        <v>114.22</v>
      </c>
      <c r="E657" s="9">
        <f t="array" ref="E657">XLOOKUP($A657, Quotations!$G$2:G1756, Quotations!$H$2:H1756, "")
</f>
        <v>119.1</v>
      </c>
      <c r="F657" s="9">
        <f t="array" ref="F657">XLOOKUP($A657, Quotations!$I$2:I1756, Quotations!$J$2:J1756, "")
</f>
        <v>126.82</v>
      </c>
      <c r="G657" s="9">
        <f t="array" ref="G657">XLOOKUP($A657, Quotations!$K$2:K1756, Quotations!$L$2:L1756, "")
</f>
        <v>1388.1493</v>
      </c>
    </row>
    <row r="658">
      <c r="A658" s="8">
        <v>42593.0</v>
      </c>
      <c r="B658" s="9">
        <f t="array" ref="B658">XLOOKUP($A658, Quotations!$A$2:A1756, Quotations!$B$2:B1756, "")
</f>
        <v>118.31</v>
      </c>
      <c r="C658" s="9">
        <f t="array" ref="C658">XLOOKUP($A658, Quotations!$C$2:C1756, Quotations!$D$2:D1756, "")</f>
        <v>24.5</v>
      </c>
      <c r="D658" s="9">
        <f t="array" ref="D658">XLOOKUP($A658, Quotations!$E$2:E1756, Quotations!$F$2:F1756, "")
</f>
        <v>114.2</v>
      </c>
      <c r="E658" s="9">
        <f t="array" ref="E658">XLOOKUP($A658, Quotations!$G$2:G1756, Quotations!$H$2:H1756, "")
</f>
        <v>119.21</v>
      </c>
      <c r="F658" s="9">
        <f t="array" ref="F658">XLOOKUP($A658, Quotations!$I$2:I1756, Quotations!$J$2:J1756, "")
</f>
        <v>126.93</v>
      </c>
      <c r="G658" s="9">
        <f t="array" ref="G658">XLOOKUP($A658, Quotations!$K$2:K1756, Quotations!$L$2:L1756, "")
</f>
        <v>1387.1469</v>
      </c>
    </row>
    <row r="659">
      <c r="A659" s="8">
        <v>42594.0</v>
      </c>
      <c r="B659" s="9">
        <f t="array" ref="B659">XLOOKUP($A659, Quotations!$A$2:A1756, Quotations!$B$2:B1756, "")
</f>
        <v>118.35</v>
      </c>
      <c r="C659" s="9">
        <f t="array" ref="C659">XLOOKUP($A659, Quotations!$C$2:C1756, Quotations!$D$2:D1756, "")</f>
        <v>24.5</v>
      </c>
      <c r="D659" s="9">
        <f t="array" ref="D659">XLOOKUP($A659, Quotations!$E$2:E1756, Quotations!$F$2:F1756, "")
</f>
        <v>114.19</v>
      </c>
      <c r="E659" s="9">
        <f t="array" ref="E659">XLOOKUP($A659, Quotations!$G$2:G1756, Quotations!$H$2:H1756, "")
</f>
        <v>119.4</v>
      </c>
      <c r="F659" s="9">
        <f t="array" ref="F659">XLOOKUP($A659, Quotations!$I$2:I1756, Quotations!$J$2:J1756, "")
</f>
        <v>126.96</v>
      </c>
      <c r="G659" s="9">
        <f t="array" ref="G659">XLOOKUP($A659, Quotations!$K$2:K1756, Quotations!$L$2:L1756, "")
</f>
        <v>1390.6299</v>
      </c>
    </row>
    <row r="660">
      <c r="A660" s="8">
        <v>42598.0</v>
      </c>
      <c r="B660" s="9">
        <f t="array" ref="B660">XLOOKUP($A660, Quotations!$A$2:A1756, Quotations!$B$2:B1756, "")
</f>
        <v>118.16</v>
      </c>
      <c r="C660" s="9">
        <f t="array" ref="C660">XLOOKUP($A660, Quotations!$C$2:C1756, Quotations!$D$2:D1756, "")</f>
        <v>24.49</v>
      </c>
      <c r="D660" s="9">
        <f t="array" ref="D660">XLOOKUP($A660, Quotations!$E$2:E1756, Quotations!$F$2:F1756, "")
</f>
        <v>114.22</v>
      </c>
      <c r="E660" s="9">
        <f t="array" ref="E660">XLOOKUP($A660, Quotations!$G$2:G1756, Quotations!$H$2:H1756, "")
</f>
        <v>119.4</v>
      </c>
      <c r="F660" s="9">
        <f t="array" ref="F660">XLOOKUP($A660, Quotations!$I$2:I1756, Quotations!$J$2:J1756, "")
</f>
        <v>127.05</v>
      </c>
      <c r="G660" s="9">
        <f t="array" ref="G660">XLOOKUP($A660, Quotations!$K$2:K1756, Quotations!$L$2:L1756, "")
</f>
        <v>1394.5078</v>
      </c>
    </row>
    <row r="661">
      <c r="A661" s="8">
        <v>42599.0</v>
      </c>
      <c r="B661" s="9">
        <f t="array" ref="B661">XLOOKUP($A661, Quotations!$A$2:A1756, Quotations!$B$2:B1756, "")
</f>
        <v>118.01</v>
      </c>
      <c r="C661" s="9">
        <f t="array" ref="C661">XLOOKUP($A661, Quotations!$C$2:C1756, Quotations!$D$2:D1756, "")</f>
        <v>24.49</v>
      </c>
      <c r="D661" s="9">
        <f t="array" ref="D661">XLOOKUP($A661, Quotations!$E$2:E1756, Quotations!$F$2:F1756, "")
</f>
        <v>114.22</v>
      </c>
      <c r="E661" s="9">
        <f t="array" ref="E661">XLOOKUP($A661, Quotations!$G$2:G1756, Quotations!$H$2:H1756, "")
</f>
        <v>118.72</v>
      </c>
      <c r="F661" s="9">
        <f t="array" ref="F661">XLOOKUP($A661, Quotations!$I$2:I1756, Quotations!$J$2:J1756, "")
</f>
        <v>126.56</v>
      </c>
      <c r="G661" s="9">
        <f t="array" ref="G661">XLOOKUP($A661, Quotations!$K$2:K1756, Quotations!$L$2:L1756, "")
</f>
        <v>1392.1726</v>
      </c>
    </row>
    <row r="662">
      <c r="A662" s="8">
        <v>42600.0</v>
      </c>
      <c r="B662" s="9">
        <f t="array" ref="B662">XLOOKUP($A662, Quotations!$A$2:A1756, Quotations!$B$2:B1756, "")
</f>
        <v>118.31</v>
      </c>
      <c r="C662" s="9">
        <f t="array" ref="C662">XLOOKUP($A662, Quotations!$C$2:C1756, Quotations!$D$2:D1756, "")</f>
        <v>24.49</v>
      </c>
      <c r="D662" s="9">
        <f t="array" ref="D662">XLOOKUP($A662, Quotations!$E$2:E1756, Quotations!$F$2:F1756, "")
</f>
        <v>114.21</v>
      </c>
      <c r="E662" s="9">
        <f t="array" ref="E662">XLOOKUP($A662, Quotations!$G$2:G1756, Quotations!$H$2:H1756, "")
</f>
        <v>118.22</v>
      </c>
      <c r="F662" s="9">
        <f t="array" ref="F662">XLOOKUP($A662, Quotations!$I$2:I1756, Quotations!$J$2:J1756, "")
</f>
        <v>126.4</v>
      </c>
      <c r="G662" s="9">
        <f t="array" ref="G662">XLOOKUP($A662, Quotations!$K$2:K1756, Quotations!$L$2:L1756, "")
</f>
        <v>1388.7847</v>
      </c>
    </row>
    <row r="663">
      <c r="A663" s="8">
        <v>42601.0</v>
      </c>
      <c r="B663" s="9">
        <f t="array" ref="B663">XLOOKUP($A663, Quotations!$A$2:A1756, Quotations!$B$2:B1756, "")
</f>
        <v>118.2</v>
      </c>
      <c r="C663" s="9">
        <f t="array" ref="C663">XLOOKUP($A663, Quotations!$C$2:C1756, Quotations!$D$2:D1756, "")</f>
        <v>24.48</v>
      </c>
      <c r="D663" s="9">
        <f t="array" ref="D663">XLOOKUP($A663, Quotations!$E$2:E1756, Quotations!$F$2:F1756, "")
</f>
        <v>114.19</v>
      </c>
      <c r="E663" s="9">
        <f t="array" ref="E663">XLOOKUP($A663, Quotations!$G$2:G1756, Quotations!$H$2:H1756, "")
</f>
        <v>118.68</v>
      </c>
      <c r="F663" s="9">
        <f t="array" ref="F663">XLOOKUP($A663, Quotations!$I$2:I1756, Quotations!$J$2:J1756, "")
</f>
        <v>126.52</v>
      </c>
      <c r="G663" s="9">
        <f t="array" ref="G663">XLOOKUP($A663, Quotations!$K$2:K1756, Quotations!$L$2:L1756, "")
</f>
        <v>1391.3229</v>
      </c>
    </row>
    <row r="664">
      <c r="A664" s="8">
        <v>42604.0</v>
      </c>
      <c r="B664" s="9">
        <f t="array" ref="B664">XLOOKUP($A664, Quotations!$A$2:A1756, Quotations!$B$2:B1756, "")
</f>
        <v>118.12</v>
      </c>
      <c r="C664" s="9">
        <f t="array" ref="C664">XLOOKUP($A664, Quotations!$C$2:C1756, Quotations!$D$2:D1756, "")</f>
        <v>24.48</v>
      </c>
      <c r="D664" s="9">
        <f t="array" ref="D664">XLOOKUP($A664, Quotations!$E$2:E1756, Quotations!$F$2:F1756, "")
</f>
        <v>114.25</v>
      </c>
      <c r="E664" s="9">
        <f t="array" ref="E664">XLOOKUP($A664, Quotations!$G$2:G1756, Quotations!$H$2:H1756, "")
</f>
        <v>118.09</v>
      </c>
      <c r="F664" s="9">
        <f t="array" ref="F664">XLOOKUP($A664, Quotations!$I$2:I1756, Quotations!$J$2:J1756, "")
</f>
        <v>126.29</v>
      </c>
      <c r="G664" s="9">
        <f t="array" ref="G664">XLOOKUP($A664, Quotations!$K$2:K1756, Quotations!$L$2:L1756, "")
</f>
        <v>1392.22</v>
      </c>
    </row>
    <row r="665">
      <c r="A665" s="8">
        <v>42605.0</v>
      </c>
      <c r="B665" s="9">
        <f t="array" ref="B665">XLOOKUP($A665, Quotations!$A$2:A1756, Quotations!$B$2:B1756, "")
</f>
        <v>118.36</v>
      </c>
      <c r="C665" s="9">
        <f t="array" ref="C665">XLOOKUP($A665, Quotations!$C$2:C1756, Quotations!$D$2:D1756, "")</f>
        <v>24.49</v>
      </c>
      <c r="D665" s="9">
        <f t="array" ref="D665">XLOOKUP($A665, Quotations!$E$2:E1756, Quotations!$F$2:F1756, "")
</f>
        <v>114.27</v>
      </c>
      <c r="E665" s="9">
        <f t="array" ref="E665">XLOOKUP($A665, Quotations!$G$2:G1756, Quotations!$H$2:H1756, "")
</f>
        <v>118.03</v>
      </c>
      <c r="F665" s="9">
        <f t="array" ref="F665">XLOOKUP($A665, Quotations!$I$2:I1756, Quotations!$J$2:J1756, "")
</f>
        <v>126.42</v>
      </c>
      <c r="G665" s="9">
        <f t="array" ref="G665">XLOOKUP($A665, Quotations!$K$2:K1756, Quotations!$L$2:L1756, "")
</f>
        <v>1392.3583</v>
      </c>
    </row>
    <row r="666">
      <c r="A666" s="8">
        <v>42606.0</v>
      </c>
      <c r="B666" s="9">
        <f t="array" ref="B666">XLOOKUP($A666, Quotations!$A$2:A1756, Quotations!$B$2:B1756, "")
</f>
        <v>118.37</v>
      </c>
      <c r="C666" s="9">
        <f t="array" ref="C666">XLOOKUP($A666, Quotations!$C$2:C1756, Quotations!$D$2:D1756, "")</f>
        <v>24.5</v>
      </c>
      <c r="D666" s="9">
        <f t="array" ref="D666">XLOOKUP($A666, Quotations!$E$2:E1756, Quotations!$F$2:F1756, "")
</f>
        <v>114.27</v>
      </c>
      <c r="E666" s="9">
        <f t="array" ref="E666">XLOOKUP($A666, Quotations!$G$2:G1756, Quotations!$H$2:H1756, "")
</f>
        <v>118.61</v>
      </c>
      <c r="F666" s="9">
        <f t="array" ref="F666">XLOOKUP($A666, Quotations!$I$2:I1756, Quotations!$J$2:J1756, "")
</f>
        <v>126.67</v>
      </c>
      <c r="G666" s="9">
        <f t="array" ref="G666">XLOOKUP($A666, Quotations!$K$2:K1756, Quotations!$L$2:L1756, "")
</f>
        <v>1395.6821</v>
      </c>
    </row>
    <row r="667">
      <c r="A667" s="8">
        <v>42607.0</v>
      </c>
      <c r="B667" s="9">
        <f t="array" ref="B667">XLOOKUP($A667, Quotations!$A$2:A1756, Quotations!$B$2:B1756, "")
</f>
        <v>118.26</v>
      </c>
      <c r="C667" s="9">
        <f t="array" ref="C667">XLOOKUP($A667, Quotations!$C$2:C1756, Quotations!$D$2:D1756, "")</f>
        <v>24.49</v>
      </c>
      <c r="D667" s="9">
        <f t="array" ref="D667">XLOOKUP($A667, Quotations!$E$2:E1756, Quotations!$F$2:F1756, "")
</f>
        <v>114.25</v>
      </c>
      <c r="E667" s="9">
        <f t="array" ref="E667">XLOOKUP($A667, Quotations!$G$2:G1756, Quotations!$H$2:H1756, "")
</f>
        <v>118.76</v>
      </c>
      <c r="F667" s="9">
        <f t="array" ref="F667">XLOOKUP($A667, Quotations!$I$2:I1756, Quotations!$J$2:J1756, "")
</f>
        <v>126.73</v>
      </c>
      <c r="G667" s="9">
        <f t="array" ref="G667">XLOOKUP($A667, Quotations!$K$2:K1756, Quotations!$L$2:L1756, "")
</f>
        <v>1392.1375</v>
      </c>
    </row>
    <row r="668">
      <c r="A668" s="8">
        <v>42608.0</v>
      </c>
      <c r="B668" s="9">
        <f t="array" ref="B668">XLOOKUP($A668, Quotations!$A$2:A1756, Quotations!$B$2:B1756, "")
</f>
        <v>118.43</v>
      </c>
      <c r="C668" s="9">
        <f t="array" ref="C668">XLOOKUP($A668, Quotations!$C$2:C1756, Quotations!$D$2:D1756, "")</f>
        <v>24.49</v>
      </c>
      <c r="D668" s="9">
        <f t="array" ref="D668">XLOOKUP($A668, Quotations!$E$2:E1756, Quotations!$F$2:F1756, "")
</f>
        <v>114.25</v>
      </c>
      <c r="E668" s="9">
        <f t="array" ref="E668">XLOOKUP($A668, Quotations!$G$2:G1756, Quotations!$H$2:H1756, "")
</f>
        <v>118.33</v>
      </c>
      <c r="F668" s="9">
        <f t="array" ref="F668">XLOOKUP($A668, Quotations!$I$2:I1756, Quotations!$J$2:J1756, "")
</f>
        <v>126.56</v>
      </c>
      <c r="G668" s="9">
        <f t="array" ref="G668">XLOOKUP($A668, Quotations!$K$2:K1756, Quotations!$L$2:L1756, "")
</f>
        <v>1392.1674</v>
      </c>
    </row>
    <row r="669">
      <c r="A669" s="8">
        <v>42611.0</v>
      </c>
      <c r="B669" s="9">
        <f t="array" ref="B669">XLOOKUP($A669, Quotations!$A$2:A1756, Quotations!$B$2:B1756, "")
</f>
        <v>118.26</v>
      </c>
      <c r="C669" s="9">
        <f t="array" ref="C669">XLOOKUP($A669, Quotations!$C$2:C1756, Quotations!$D$2:D1756, "")</f>
        <v>24.5</v>
      </c>
      <c r="D669" s="9">
        <f t="array" ref="D669">XLOOKUP($A669, Quotations!$E$2:E1756, Quotations!$F$2:F1756, "")
</f>
        <v>114.28</v>
      </c>
      <c r="E669" s="9">
        <f t="array" ref="E669">XLOOKUP($A669, Quotations!$G$2:G1756, Quotations!$H$2:H1756, "")
</f>
        <v>118.7</v>
      </c>
      <c r="F669" s="9">
        <f t="array" ref="F669">XLOOKUP($A669, Quotations!$I$2:I1756, Quotations!$J$2:J1756, "")
</f>
        <v>126.64</v>
      </c>
      <c r="G669" s="9" t="str">
        <f t="array" ref="G669">XLOOKUP($A669, Quotations!$K$2:K1756, Quotations!$L$2:L1756, "")
</f>
        <v/>
      </c>
    </row>
    <row r="670">
      <c r="A670" s="8">
        <v>42612.0</v>
      </c>
      <c r="B670" s="9">
        <f t="array" ref="B670">XLOOKUP($A670, Quotations!$A$2:A1756, Quotations!$B$2:B1756, "")
</f>
        <v>118.55</v>
      </c>
      <c r="C670" s="9">
        <f t="array" ref="C670">XLOOKUP($A670, Quotations!$C$2:C1756, Quotations!$D$2:D1756, "")</f>
        <v>24.5</v>
      </c>
      <c r="D670" s="9">
        <f t="array" ref="D670">XLOOKUP($A670, Quotations!$E$2:E1756, Quotations!$F$2:F1756, "")
</f>
        <v>114.28</v>
      </c>
      <c r="E670" s="9">
        <f t="array" ref="E670">XLOOKUP($A670, Quotations!$G$2:G1756, Quotations!$H$2:H1756, "")
</f>
        <v>118.52</v>
      </c>
      <c r="F670" s="9">
        <f t="array" ref="F670">XLOOKUP($A670, Quotations!$I$2:I1756, Quotations!$J$2:J1756, "")
</f>
        <v>126.68</v>
      </c>
      <c r="G670" s="9">
        <f t="array" ref="G670">XLOOKUP($A670, Quotations!$K$2:K1756, Quotations!$L$2:L1756, "")
</f>
        <v>1394.3754</v>
      </c>
    </row>
    <row r="671">
      <c r="A671" s="8">
        <v>42613.0</v>
      </c>
      <c r="B671" s="9">
        <f t="array" ref="B671">XLOOKUP($A671, Quotations!$A$2:A1756, Quotations!$B$2:B1756, "")
</f>
        <v>118.33</v>
      </c>
      <c r="C671" s="9">
        <f t="array" ref="C671">XLOOKUP($A671, Quotations!$C$2:C1756, Quotations!$D$2:D1756, "")</f>
        <v>24.51</v>
      </c>
      <c r="D671" s="9">
        <f t="array" ref="D671">XLOOKUP($A671, Quotations!$E$2:E1756, Quotations!$F$2:F1756, "")
</f>
        <v>114.26</v>
      </c>
      <c r="E671" s="9">
        <f t="array" ref="E671">XLOOKUP($A671, Quotations!$G$2:G1756, Quotations!$H$2:H1756, "")
</f>
        <v>119.05</v>
      </c>
      <c r="F671" s="9">
        <f t="array" ref="F671">XLOOKUP($A671, Quotations!$I$2:I1756, Quotations!$J$2:J1756, "")
</f>
        <v>126.71</v>
      </c>
      <c r="G671" s="9">
        <f t="array" ref="G671">XLOOKUP($A671, Quotations!$K$2:K1756, Quotations!$L$2:L1756, "")
</f>
        <v>1394.6682</v>
      </c>
    </row>
    <row r="672">
      <c r="A672" s="8">
        <v>42614.0</v>
      </c>
      <c r="B672" s="9">
        <f t="array" ref="B672">XLOOKUP($A672, Quotations!$A$2:A1756, Quotations!$B$2:B1756, "")
</f>
        <v>118.37</v>
      </c>
      <c r="C672" s="9">
        <f t="array" ref="C672">XLOOKUP($A672, Quotations!$C$2:C1756, Quotations!$D$2:D1756, "")</f>
        <v>24.5</v>
      </c>
      <c r="D672" s="9">
        <f t="array" ref="D672">XLOOKUP($A672, Quotations!$E$2:E1756, Quotations!$F$2:F1756, "")
</f>
        <v>114.25</v>
      </c>
      <c r="E672" s="9">
        <f t="array" ref="E672">XLOOKUP($A672, Quotations!$G$2:G1756, Quotations!$H$2:H1756, "")
</f>
        <v>118.79</v>
      </c>
      <c r="F672" s="9">
        <f t="array" ref="F672">XLOOKUP($A672, Quotations!$I$2:I1756, Quotations!$J$2:J1756, "")
</f>
        <v>126.59</v>
      </c>
      <c r="G672" s="9">
        <f t="array" ref="G672">XLOOKUP($A672, Quotations!$K$2:K1756, Quotations!$L$2:L1756, "")
</f>
        <v>1391.2116</v>
      </c>
    </row>
    <row r="673">
      <c r="A673" s="8">
        <v>42615.0</v>
      </c>
      <c r="B673" s="9">
        <f t="array" ref="B673">XLOOKUP($A673, Quotations!$A$2:A1756, Quotations!$B$2:B1756, "")
</f>
        <v>118.67</v>
      </c>
      <c r="C673" s="9">
        <f t="array" ref="C673">XLOOKUP($A673, Quotations!$C$2:C1756, Quotations!$D$2:D1756, "")</f>
        <v>24.5</v>
      </c>
      <c r="D673" s="9">
        <f t="array" ref="D673">XLOOKUP($A673, Quotations!$E$2:E1756, Quotations!$F$2:F1756, "")
</f>
        <v>114.24</v>
      </c>
      <c r="E673" s="9">
        <f t="array" ref="E673">XLOOKUP($A673, Quotations!$G$2:G1756, Quotations!$H$2:H1756, "")
</f>
        <v>118.21</v>
      </c>
      <c r="F673" s="9">
        <f t="array" ref="F673">XLOOKUP($A673, Quotations!$I$2:I1756, Quotations!$J$2:J1756, "")
</f>
        <v>126.57</v>
      </c>
      <c r="G673" s="9">
        <f t="array" ref="G673">XLOOKUP($A673, Quotations!$K$2:K1756, Quotations!$L$2:L1756, "")
</f>
        <v>1392.8761</v>
      </c>
    </row>
    <row r="674">
      <c r="A674" s="8">
        <v>42618.0</v>
      </c>
      <c r="B674" s="9">
        <f t="array" ref="B674">XLOOKUP($A674, Quotations!$A$2:A1756, Quotations!$B$2:B1756, "")
</f>
        <v>118.72</v>
      </c>
      <c r="C674" s="9">
        <f t="array" ref="C674">XLOOKUP($A674, Quotations!$C$2:C1756, Quotations!$D$2:D1756, "")</f>
        <v>24.51</v>
      </c>
      <c r="D674" s="9">
        <f t="array" ref="D674">XLOOKUP($A674, Quotations!$E$2:E1756, Quotations!$F$2:F1756, "")
</f>
        <v>114.22</v>
      </c>
      <c r="E674" s="9">
        <f t="array" ref="E674">XLOOKUP($A674, Quotations!$G$2:G1756, Quotations!$H$2:H1756, "")
</f>
        <v>119.02</v>
      </c>
      <c r="F674" s="9">
        <f t="array" ref="F674">XLOOKUP($A674, Quotations!$I$2:I1756, Quotations!$J$2:J1756, "")
</f>
        <v>126.82</v>
      </c>
      <c r="G674" s="9">
        <f t="array" ref="G674">XLOOKUP($A674, Quotations!$K$2:K1756, Quotations!$L$2:L1756, "")
</f>
        <v>1397.1675</v>
      </c>
    </row>
    <row r="675">
      <c r="A675" s="8">
        <v>42619.0</v>
      </c>
      <c r="B675" s="9">
        <f t="array" ref="B675">XLOOKUP($A675, Quotations!$A$2:A1756, Quotations!$B$2:B1756, "")
</f>
        <v>118.84</v>
      </c>
      <c r="C675" s="9">
        <f t="array" ref="C675">XLOOKUP($A675, Quotations!$C$2:C1756, Quotations!$D$2:D1756, "")</f>
        <v>24.51</v>
      </c>
      <c r="D675" s="9">
        <f t="array" ref="D675">XLOOKUP($A675, Quotations!$E$2:E1756, Quotations!$F$2:F1756, "")
</f>
        <v>114.29</v>
      </c>
      <c r="E675" s="9">
        <f t="array" ref="E675">XLOOKUP($A675, Quotations!$G$2:G1756, Quotations!$H$2:H1756, "")
</f>
        <v>119.14</v>
      </c>
      <c r="F675" s="9">
        <f t="array" ref="F675">XLOOKUP($A675, Quotations!$I$2:I1756, Quotations!$J$2:J1756, "")
</f>
        <v>126.96</v>
      </c>
      <c r="G675" s="9">
        <f t="array" ref="G675">XLOOKUP($A675, Quotations!$K$2:K1756, Quotations!$L$2:L1756, "")
</f>
        <v>1398.8608</v>
      </c>
    </row>
    <row r="676">
      <c r="A676" s="8">
        <v>42620.0</v>
      </c>
      <c r="B676" s="9">
        <f t="array" ref="B676">XLOOKUP($A676, Quotations!$A$2:A1756, Quotations!$B$2:B1756, "")
</f>
        <v>118.84</v>
      </c>
      <c r="C676" s="9">
        <f t="array" ref="C676">XLOOKUP($A676, Quotations!$C$2:C1756, Quotations!$D$2:D1756, "")</f>
        <v>24.51</v>
      </c>
      <c r="D676" s="9">
        <f t="array" ref="D676">XLOOKUP($A676, Quotations!$E$2:E1756, Quotations!$F$2:F1756, "")
</f>
        <v>114.3</v>
      </c>
      <c r="E676" s="9">
        <f t="array" ref="E676">XLOOKUP($A676, Quotations!$G$2:G1756, Quotations!$H$2:H1756, "")
</f>
        <v>119.42</v>
      </c>
      <c r="F676" s="9">
        <f t="array" ref="F676">XLOOKUP($A676, Quotations!$I$2:I1756, Quotations!$J$2:J1756, "")
</f>
        <v>127.23</v>
      </c>
      <c r="G676" s="9">
        <f t="array" ref="G676">XLOOKUP($A676, Quotations!$K$2:K1756, Quotations!$L$2:L1756, "")
</f>
        <v>1398.1429</v>
      </c>
    </row>
    <row r="677">
      <c r="A677" s="8">
        <v>42621.0</v>
      </c>
      <c r="B677" s="9">
        <f t="array" ref="B677">XLOOKUP($A677, Quotations!$A$2:A1756, Quotations!$B$2:B1756, "")
</f>
        <v>118.82</v>
      </c>
      <c r="C677" s="9">
        <f t="array" ref="C677">XLOOKUP($A677, Quotations!$C$2:C1756, Quotations!$D$2:D1756, "")</f>
        <v>24.5</v>
      </c>
      <c r="D677" s="9">
        <f t="array" ref="D677">XLOOKUP($A677, Quotations!$E$2:E1756, Quotations!$F$2:F1756, "")
</f>
        <v>114.28</v>
      </c>
      <c r="E677" s="9">
        <f t="array" ref="E677">XLOOKUP($A677, Quotations!$G$2:G1756, Quotations!$H$2:H1756, "")
</f>
        <v>119.87</v>
      </c>
      <c r="F677" s="9">
        <f t="array" ref="F677">XLOOKUP($A677, Quotations!$I$2:I1756, Quotations!$J$2:J1756, "")
</f>
        <v>127.13</v>
      </c>
      <c r="G677" s="9">
        <f t="array" ref="G677">XLOOKUP($A677, Quotations!$K$2:K1756, Quotations!$L$2:L1756, "")
</f>
        <v>1397.9216</v>
      </c>
    </row>
    <row r="678">
      <c r="A678" s="8">
        <v>42622.0</v>
      </c>
      <c r="B678" s="9">
        <f t="array" ref="B678">XLOOKUP($A678, Quotations!$A$2:A1756, Quotations!$B$2:B1756, "")
</f>
        <v>118.49</v>
      </c>
      <c r="C678" s="9">
        <f t="array" ref="C678">XLOOKUP($A678, Quotations!$C$2:C1756, Quotations!$D$2:D1756, "")</f>
        <v>24.49</v>
      </c>
      <c r="D678" s="9">
        <f t="array" ref="D678">XLOOKUP($A678, Quotations!$E$2:E1756, Quotations!$F$2:F1756, "")
</f>
        <v>114.27</v>
      </c>
      <c r="E678" s="9">
        <f t="array" ref="E678">XLOOKUP($A678, Quotations!$G$2:G1756, Quotations!$H$2:H1756, "")
</f>
        <v>119.32</v>
      </c>
      <c r="F678" s="9">
        <f t="array" ref="F678">XLOOKUP($A678, Quotations!$I$2:I1756, Quotations!$J$2:J1756, "")
</f>
        <v>126.73</v>
      </c>
      <c r="G678" s="9">
        <f t="array" ref="G678">XLOOKUP($A678, Quotations!$K$2:K1756, Quotations!$L$2:L1756, "")
</f>
        <v>1395.8076</v>
      </c>
    </row>
    <row r="679">
      <c r="A679" s="8">
        <v>42625.0</v>
      </c>
      <c r="B679" s="9">
        <f t="array" ref="B679">XLOOKUP($A679, Quotations!$A$2:A1756, Quotations!$B$2:B1756, "")
</f>
        <v>118.07</v>
      </c>
      <c r="C679" s="9">
        <f t="array" ref="C679">XLOOKUP($A679, Quotations!$C$2:C1756, Quotations!$D$2:D1756, "")</f>
        <v>24.49</v>
      </c>
      <c r="D679" s="9">
        <f t="array" ref="D679">XLOOKUP($A679, Quotations!$E$2:E1756, Quotations!$F$2:F1756, "")
</f>
        <v>114.26</v>
      </c>
      <c r="E679" s="9">
        <f t="array" ref="E679">XLOOKUP($A679, Quotations!$G$2:G1756, Quotations!$H$2:H1756, "")
</f>
        <v>118.28</v>
      </c>
      <c r="F679" s="9">
        <f t="array" ref="F679">XLOOKUP($A679, Quotations!$I$2:I1756, Quotations!$J$2:J1756, "")
</f>
        <v>125.91</v>
      </c>
      <c r="G679" s="9">
        <f t="array" ref="G679">XLOOKUP($A679, Quotations!$K$2:K1756, Quotations!$L$2:L1756, "")
</f>
        <v>1381.9005</v>
      </c>
    </row>
    <row r="680">
      <c r="A680" s="8">
        <v>42626.0</v>
      </c>
      <c r="B680" s="9">
        <f t="array" ref="B680">XLOOKUP($A680, Quotations!$A$2:A1756, Quotations!$B$2:B1756, "")
</f>
        <v>117.77</v>
      </c>
      <c r="C680" s="9">
        <f t="array" ref="C680">XLOOKUP($A680, Quotations!$C$2:C1756, Quotations!$D$2:D1756, "")</f>
        <v>24.48</v>
      </c>
      <c r="D680" s="9">
        <f t="array" ref="D680">XLOOKUP($A680, Quotations!$E$2:E1756, Quotations!$F$2:F1756, "")
</f>
        <v>114.26</v>
      </c>
      <c r="E680" s="9">
        <f t="array" ref="E680">XLOOKUP($A680, Quotations!$G$2:G1756, Quotations!$H$2:H1756, "")
</f>
        <v>117.45</v>
      </c>
      <c r="F680" s="9">
        <f t="array" ref="F680">XLOOKUP($A680, Quotations!$I$2:I1756, Quotations!$J$2:J1756, "")
</f>
        <v>125.79</v>
      </c>
      <c r="G680" s="9">
        <f t="array" ref="G680">XLOOKUP($A680, Quotations!$K$2:K1756, Quotations!$L$2:L1756, "")
</f>
        <v>1384.1879</v>
      </c>
    </row>
    <row r="681">
      <c r="A681" s="8">
        <v>42627.0</v>
      </c>
      <c r="B681" s="9">
        <f t="array" ref="B681">XLOOKUP($A681, Quotations!$A$2:A1756, Quotations!$B$2:B1756, "")
</f>
        <v>117.74</v>
      </c>
      <c r="C681" s="9">
        <f t="array" ref="C681">XLOOKUP($A681, Quotations!$C$2:C1756, Quotations!$D$2:D1756, "")</f>
        <v>24.48</v>
      </c>
      <c r="D681" s="9">
        <f t="array" ref="D681">XLOOKUP($A681, Quotations!$E$2:E1756, Quotations!$F$2:F1756, "")
</f>
        <v>114.24</v>
      </c>
      <c r="E681" s="9">
        <f t="array" ref="E681">XLOOKUP($A681, Quotations!$G$2:G1756, Quotations!$H$2:H1756, "")
</f>
        <v>117.07</v>
      </c>
      <c r="F681" s="9">
        <f t="array" ref="F681">XLOOKUP($A681, Quotations!$I$2:I1756, Quotations!$J$2:J1756, "")
</f>
        <v>125.58</v>
      </c>
      <c r="G681" s="9">
        <f t="array" ref="G681">XLOOKUP($A681, Quotations!$K$2:K1756, Quotations!$L$2:L1756, "")
</f>
        <v>1377.4821</v>
      </c>
    </row>
    <row r="682">
      <c r="A682" s="8">
        <v>42628.0</v>
      </c>
      <c r="B682" s="9">
        <f t="array" ref="B682">XLOOKUP($A682, Quotations!$A$2:A1756, Quotations!$B$2:B1756, "")
</f>
        <v>117.79</v>
      </c>
      <c r="C682" s="9">
        <f t="array" ref="C682">XLOOKUP($A682, Quotations!$C$2:C1756, Quotations!$D$2:D1756, "")</f>
        <v>24.47</v>
      </c>
      <c r="D682" s="9">
        <f t="array" ref="D682">XLOOKUP($A682, Quotations!$E$2:E1756, Quotations!$F$2:F1756, "")
</f>
        <v>114.22</v>
      </c>
      <c r="E682" s="9">
        <f t="array" ref="E682">XLOOKUP($A682, Quotations!$G$2:G1756, Quotations!$H$2:H1756, "")
</f>
        <v>117.03</v>
      </c>
      <c r="F682" s="9">
        <f t="array" ref="F682">XLOOKUP($A682, Quotations!$I$2:I1756, Quotations!$J$2:J1756, "")
</f>
        <v>125.54</v>
      </c>
      <c r="G682" s="9">
        <f t="array" ref="G682">XLOOKUP($A682, Quotations!$K$2:K1756, Quotations!$L$2:L1756, "")
</f>
        <v>1377.7596</v>
      </c>
    </row>
    <row r="683">
      <c r="A683" s="8">
        <v>42629.0</v>
      </c>
      <c r="B683" s="9">
        <f t="array" ref="B683">XLOOKUP($A683, Quotations!$A$2:A1756, Quotations!$B$2:B1756, "")
</f>
        <v>117.56</v>
      </c>
      <c r="C683" s="9">
        <f t="array" ref="C683">XLOOKUP($A683, Quotations!$C$2:C1756, Quotations!$D$2:D1756, "")</f>
        <v>24.49</v>
      </c>
      <c r="D683" s="9">
        <f t="array" ref="D683">XLOOKUP($A683, Quotations!$E$2:E1756, Quotations!$F$2:F1756, "")
</f>
        <v>114.23</v>
      </c>
      <c r="E683" s="9">
        <f t="array" ref="E683">XLOOKUP($A683, Quotations!$G$2:G1756, Quotations!$H$2:H1756, "")
</f>
        <v>117.15</v>
      </c>
      <c r="F683" s="9">
        <f t="array" ref="F683">XLOOKUP($A683, Quotations!$I$2:I1756, Quotations!$J$2:J1756, "")
</f>
        <v>125.7</v>
      </c>
      <c r="G683" s="9">
        <f t="array" ref="G683">XLOOKUP($A683, Quotations!$K$2:K1756, Quotations!$L$2:L1756, "")
</f>
        <v>1383.0833</v>
      </c>
    </row>
    <row r="684">
      <c r="A684" s="8">
        <v>42632.0</v>
      </c>
      <c r="B684" s="9">
        <f t="array" ref="B684">XLOOKUP($A684, Quotations!$A$2:A1756, Quotations!$B$2:B1756, "")
</f>
        <v>117.75</v>
      </c>
      <c r="C684" s="9">
        <f t="array" ref="C684">XLOOKUP($A684, Quotations!$C$2:C1756, Quotations!$D$2:D1756, "")</f>
        <v>24.49</v>
      </c>
      <c r="D684" s="9">
        <f t="array" ref="D684">XLOOKUP($A684, Quotations!$E$2:E1756, Quotations!$F$2:F1756, "")
</f>
        <v>114.27</v>
      </c>
      <c r="E684" s="9">
        <f t="array" ref="E684">XLOOKUP($A684, Quotations!$G$2:G1756, Quotations!$H$2:H1756, "")
</f>
        <v>116.65</v>
      </c>
      <c r="F684" s="9">
        <f t="array" ref="F684">XLOOKUP($A684, Quotations!$I$2:I1756, Quotations!$J$2:J1756, "")
</f>
        <v>125.76</v>
      </c>
      <c r="G684" s="9">
        <f t="array" ref="G684">XLOOKUP($A684, Quotations!$K$2:K1756, Quotations!$L$2:L1756, "")
</f>
        <v>1383.2518</v>
      </c>
    </row>
    <row r="685">
      <c r="A685" s="8">
        <v>42633.0</v>
      </c>
      <c r="B685" s="9">
        <f t="array" ref="B685">XLOOKUP($A685, Quotations!$A$2:A1756, Quotations!$B$2:B1756, "")
</f>
        <v>117.69</v>
      </c>
      <c r="C685" s="9">
        <f t="array" ref="C685">XLOOKUP($A685, Quotations!$C$2:C1756, Quotations!$D$2:D1756, "")</f>
        <v>24.49</v>
      </c>
      <c r="D685" s="9">
        <f t="array" ref="D685">XLOOKUP($A685, Quotations!$E$2:E1756, Quotations!$F$2:F1756, "")
</f>
        <v>114.26</v>
      </c>
      <c r="E685" s="9">
        <f t="array" ref="E685">XLOOKUP($A685, Quotations!$G$2:G1756, Quotations!$H$2:H1756, "")
</f>
        <v>116.92</v>
      </c>
      <c r="F685" s="9">
        <f t="array" ref="F685">XLOOKUP($A685, Quotations!$I$2:I1756, Quotations!$J$2:J1756, "")
</f>
        <v>125.82</v>
      </c>
      <c r="G685" s="9">
        <f t="array" ref="G685">XLOOKUP($A685, Quotations!$K$2:K1756, Quotations!$L$2:L1756, "")
</f>
        <v>1384.968</v>
      </c>
    </row>
    <row r="686">
      <c r="A686" s="8">
        <v>42634.0</v>
      </c>
      <c r="B686" s="9">
        <f t="array" ref="B686">XLOOKUP($A686, Quotations!$A$2:A1756, Quotations!$B$2:B1756, "")
</f>
        <v>117.68</v>
      </c>
      <c r="C686" s="9">
        <f t="array" ref="C686">XLOOKUP($A686, Quotations!$C$2:C1756, Quotations!$D$2:D1756, "")</f>
        <v>24.5</v>
      </c>
      <c r="D686" s="9">
        <f t="array" ref="D686">XLOOKUP($A686, Quotations!$E$2:E1756, Quotations!$F$2:F1756, "")
</f>
        <v>114.28</v>
      </c>
      <c r="E686" s="9">
        <f t="array" ref="E686">XLOOKUP($A686, Quotations!$G$2:G1756, Quotations!$H$2:H1756, "")
</f>
        <v>117.11</v>
      </c>
      <c r="F686" s="9">
        <f t="array" ref="F686">XLOOKUP($A686, Quotations!$I$2:I1756, Quotations!$J$2:J1756, "")
</f>
        <v>126.13</v>
      </c>
      <c r="G686" s="9">
        <f t="array" ref="G686">XLOOKUP($A686, Quotations!$K$2:K1756, Quotations!$L$2:L1756, "")
</f>
        <v>1386.984</v>
      </c>
    </row>
    <row r="687">
      <c r="A687" s="8">
        <v>42635.0</v>
      </c>
      <c r="B687" s="9">
        <f t="array" ref="B687">XLOOKUP($A687, Quotations!$A$2:A1756, Quotations!$B$2:B1756, "")
</f>
        <v>118.19</v>
      </c>
      <c r="C687" s="9">
        <f t="array" ref="C687">XLOOKUP($A687, Quotations!$C$2:C1756, Quotations!$D$2:D1756, "")</f>
        <v>24.49</v>
      </c>
      <c r="D687" s="9">
        <f t="array" ref="D687">XLOOKUP($A687, Quotations!$E$2:E1756, Quotations!$F$2:F1756, "")
</f>
        <v>114.31</v>
      </c>
      <c r="E687" s="9">
        <f t="array" ref="E687">XLOOKUP($A687, Quotations!$G$2:G1756, Quotations!$H$2:H1756, "")
</f>
        <v>117.33</v>
      </c>
      <c r="F687" s="9">
        <f t="array" ref="F687">XLOOKUP($A687, Quotations!$I$2:I1756, Quotations!$J$2:J1756, "")
</f>
        <v>126.38</v>
      </c>
      <c r="G687" s="9">
        <f t="array" ref="G687">XLOOKUP($A687, Quotations!$K$2:K1756, Quotations!$L$2:L1756, "")
</f>
        <v>1391.804</v>
      </c>
    </row>
    <row r="688">
      <c r="A688" s="8">
        <v>42636.0</v>
      </c>
      <c r="B688" s="9">
        <f t="array" ref="B688">XLOOKUP($A688, Quotations!$A$2:A1756, Quotations!$B$2:B1756, "")
</f>
        <v>118.06</v>
      </c>
      <c r="C688" s="9">
        <f t="array" ref="C688">XLOOKUP($A688, Quotations!$C$2:C1756, Quotations!$D$2:D1756, "")</f>
        <v>24.49</v>
      </c>
      <c r="D688" s="9">
        <f t="array" ref="D688">XLOOKUP($A688, Quotations!$E$2:E1756, Quotations!$F$2:F1756, "")
</f>
        <v>114.31</v>
      </c>
      <c r="E688" s="9">
        <f t="array" ref="E688">XLOOKUP($A688, Quotations!$G$2:G1756, Quotations!$H$2:H1756, "")
</f>
        <v>118.42</v>
      </c>
      <c r="F688" s="9">
        <f t="array" ref="F688">XLOOKUP($A688, Quotations!$I$2:I1756, Quotations!$J$2:J1756, "")
</f>
        <v>126.91</v>
      </c>
      <c r="G688" s="9">
        <f t="array" ref="G688">XLOOKUP($A688, Quotations!$K$2:K1756, Quotations!$L$2:L1756, "")
</f>
        <v>1398.5968</v>
      </c>
    </row>
    <row r="689">
      <c r="A689" s="8">
        <v>42639.0</v>
      </c>
      <c r="B689" s="9">
        <f t="array" ref="B689">XLOOKUP($A689, Quotations!$A$2:A1756, Quotations!$B$2:B1756, "")
</f>
        <v>117.6</v>
      </c>
      <c r="C689" s="9">
        <f t="array" ref="C689">XLOOKUP($A689, Quotations!$C$2:C1756, Quotations!$D$2:D1756, "")</f>
        <v>24.48</v>
      </c>
      <c r="D689" s="9">
        <f t="array" ref="D689">XLOOKUP($A689, Quotations!$E$2:E1756, Quotations!$F$2:F1756, "")
</f>
        <v>114.32</v>
      </c>
      <c r="E689" s="9">
        <f t="array" ref="E689">XLOOKUP($A689, Quotations!$G$2:G1756, Quotations!$H$2:H1756, "")
</f>
        <v>118.11</v>
      </c>
      <c r="F689" s="9">
        <f t="array" ref="F689">XLOOKUP($A689, Quotations!$I$2:I1756, Quotations!$J$2:J1756, "")
</f>
        <v>126.78</v>
      </c>
      <c r="G689" s="9">
        <f t="array" ref="G689">XLOOKUP($A689, Quotations!$K$2:K1756, Quotations!$L$2:L1756, "")
</f>
        <v>1395.1069</v>
      </c>
    </row>
    <row r="690">
      <c r="A690" s="8">
        <v>42640.0</v>
      </c>
      <c r="B690" s="9">
        <f t="array" ref="B690">XLOOKUP($A690, Quotations!$A$2:A1756, Quotations!$B$2:B1756, "")
</f>
        <v>117.58</v>
      </c>
      <c r="C690" s="9">
        <f t="array" ref="C690">XLOOKUP($A690, Quotations!$C$2:C1756, Quotations!$D$2:D1756, "")</f>
        <v>24.5</v>
      </c>
      <c r="D690" s="9">
        <f t="array" ref="D690">XLOOKUP($A690, Quotations!$E$2:E1756, Quotations!$F$2:F1756, "")
</f>
        <v>114.3</v>
      </c>
      <c r="E690" s="9">
        <f t="array" ref="E690">XLOOKUP($A690, Quotations!$G$2:G1756, Quotations!$H$2:H1756, "")
</f>
        <v>117.29</v>
      </c>
      <c r="F690" s="9">
        <f t="array" ref="F690">XLOOKUP($A690, Quotations!$I$2:I1756, Quotations!$J$2:J1756, "")
</f>
        <v>126.45</v>
      </c>
      <c r="G690" s="9">
        <f t="array" ref="G690">XLOOKUP($A690, Quotations!$K$2:K1756, Quotations!$L$2:L1756, "")
</f>
        <v>1391.7241</v>
      </c>
    </row>
    <row r="691">
      <c r="A691" s="8">
        <v>42641.0</v>
      </c>
      <c r="B691" s="9">
        <f t="array" ref="B691">XLOOKUP($A691, Quotations!$A$2:A1756, Quotations!$B$2:B1756, "")
</f>
        <v>117.91</v>
      </c>
      <c r="C691" s="9">
        <f t="array" ref="C691">XLOOKUP($A691, Quotations!$C$2:C1756, Quotations!$D$2:D1756, "")</f>
        <v>24.5</v>
      </c>
      <c r="D691" s="9">
        <f t="array" ref="D691">XLOOKUP($A691, Quotations!$E$2:E1756, Quotations!$F$2:F1756, "")
</f>
        <v>114.31</v>
      </c>
      <c r="E691" s="9">
        <f t="array" ref="E691">XLOOKUP($A691, Quotations!$G$2:G1756, Quotations!$H$2:H1756, "")
</f>
        <v>117.26</v>
      </c>
      <c r="F691" s="9">
        <f t="array" ref="F691">XLOOKUP($A691, Quotations!$I$2:I1756, Quotations!$J$2:J1756, "")
</f>
        <v>126.64</v>
      </c>
      <c r="G691" s="9">
        <f t="array" ref="G691">XLOOKUP($A691, Quotations!$K$2:K1756, Quotations!$L$2:L1756, "")
</f>
        <v>1393.481</v>
      </c>
    </row>
    <row r="692">
      <c r="A692" s="8">
        <v>42642.0</v>
      </c>
      <c r="B692" s="9">
        <f t="array" ref="B692">XLOOKUP($A692, Quotations!$A$2:A1756, Quotations!$B$2:B1756, "")
</f>
        <v>117.95</v>
      </c>
      <c r="C692" s="9">
        <f t="array" ref="C692">XLOOKUP($A692, Quotations!$C$2:C1756, Quotations!$D$2:D1756, "")</f>
        <v>24.49</v>
      </c>
      <c r="D692" s="9">
        <f t="array" ref="D692">XLOOKUP($A692, Quotations!$E$2:E1756, Quotations!$F$2:F1756, "")
</f>
        <v>114.29</v>
      </c>
      <c r="E692" s="9">
        <f t="array" ref="E692">XLOOKUP($A692, Quotations!$G$2:G1756, Quotations!$H$2:H1756, "")
</f>
        <v>117.68</v>
      </c>
      <c r="F692" s="9">
        <f t="array" ref="F692">XLOOKUP($A692, Quotations!$I$2:I1756, Quotations!$J$2:J1756, "")
</f>
        <v>126.81</v>
      </c>
      <c r="G692" s="9">
        <f t="array" ref="G692">XLOOKUP($A692, Quotations!$K$2:K1756, Quotations!$L$2:L1756, "")
</f>
        <v>1397.5486</v>
      </c>
    </row>
    <row r="693">
      <c r="A693" s="8">
        <v>42643.0</v>
      </c>
      <c r="B693" s="9">
        <f t="array" ref="B693">XLOOKUP($A693, Quotations!$A$2:A1756, Quotations!$B$2:B1756, "")
</f>
        <v>118</v>
      </c>
      <c r="C693" s="9">
        <f t="array" ref="C693">XLOOKUP($A693, Quotations!$C$2:C1756, Quotations!$D$2:D1756, "")</f>
        <v>24.49</v>
      </c>
      <c r="D693" s="9">
        <f t="array" ref="D693">XLOOKUP($A693, Quotations!$E$2:E1756, Quotations!$F$2:F1756, "")
</f>
        <v>114.3</v>
      </c>
      <c r="E693" s="9">
        <f t="array" ref="E693">XLOOKUP($A693, Quotations!$G$2:G1756, Quotations!$H$2:H1756, "")
</f>
        <v>117.5</v>
      </c>
      <c r="F693" s="9">
        <f t="array" ref="F693">XLOOKUP($A693, Quotations!$I$2:I1756, Quotations!$J$2:J1756, "")
</f>
        <v>126.46</v>
      </c>
      <c r="G693" s="9">
        <f t="array" ref="G693">XLOOKUP($A693, Quotations!$K$2:K1756, Quotations!$L$2:L1756, "")
</f>
        <v>1396.8737</v>
      </c>
    </row>
    <row r="694">
      <c r="A694" s="8">
        <v>42646.0</v>
      </c>
      <c r="B694" s="9">
        <f t="array" ref="B694">XLOOKUP($A694, Quotations!$A$2:A1756, Quotations!$B$2:B1756, "")
</f>
        <v>117.99</v>
      </c>
      <c r="C694" s="9">
        <f t="array" ref="C694">XLOOKUP($A694, Quotations!$C$2:C1756, Quotations!$D$2:D1756, "")</f>
        <v>24.49</v>
      </c>
      <c r="D694" s="9">
        <f t="array" ref="D694">XLOOKUP($A694, Quotations!$E$2:E1756, Quotations!$F$2:F1756, "")
</f>
        <v>114.34</v>
      </c>
      <c r="E694" s="9">
        <f t="array" ref="E694">XLOOKUP($A694, Quotations!$G$2:G1756, Quotations!$H$2:H1756, "")
</f>
        <v>117.95</v>
      </c>
      <c r="F694" s="9">
        <f t="array" ref="F694">XLOOKUP($A694, Quotations!$I$2:I1756, Quotations!$J$2:J1756, "")
</f>
        <v>126.52</v>
      </c>
      <c r="G694" s="9">
        <f t="array" ref="G694">XLOOKUP($A694, Quotations!$K$2:K1756, Quotations!$L$2:L1756, "")
</f>
        <v>1399.5753</v>
      </c>
    </row>
    <row r="695">
      <c r="A695" s="8">
        <v>42647.0</v>
      </c>
      <c r="B695" s="9">
        <f t="array" ref="B695">XLOOKUP($A695, Quotations!$A$2:A1756, Quotations!$B$2:B1756, "")
</f>
        <v>118.15</v>
      </c>
      <c r="C695" s="9">
        <f t="array" ref="C695">XLOOKUP($A695, Quotations!$C$2:C1756, Quotations!$D$2:D1756, "")</f>
        <v>24.5</v>
      </c>
      <c r="D695" s="9">
        <f t="array" ref="D695">XLOOKUP($A695, Quotations!$E$2:E1756, Quotations!$F$2:F1756, "")
</f>
        <v>114.35</v>
      </c>
      <c r="E695" s="9">
        <f t="array" ref="E695">XLOOKUP($A695, Quotations!$G$2:G1756, Quotations!$H$2:H1756, "")
</f>
        <v>117.6</v>
      </c>
      <c r="F695" s="9">
        <f t="array" ref="F695">XLOOKUP($A695, Quotations!$I$2:I1756, Quotations!$J$2:J1756, "")
</f>
        <v>126.46</v>
      </c>
      <c r="G695" s="9">
        <f t="array" ref="G695">XLOOKUP($A695, Quotations!$K$2:K1756, Quotations!$L$2:L1756, "")
</f>
        <v>1400.1121</v>
      </c>
    </row>
    <row r="696">
      <c r="A696" s="8">
        <v>42648.0</v>
      </c>
      <c r="B696" s="9">
        <f t="array" ref="B696">XLOOKUP($A696, Quotations!$A$2:A1756, Quotations!$B$2:B1756, "")
</f>
        <v>117.99</v>
      </c>
      <c r="C696" s="9">
        <f t="array" ref="C696">XLOOKUP($A696, Quotations!$C$2:C1756, Quotations!$D$2:D1756, "")</f>
        <v>24.48</v>
      </c>
      <c r="D696" s="9">
        <f t="array" ref="D696">XLOOKUP($A696, Quotations!$E$2:E1756, Quotations!$F$2:F1756, "")
</f>
        <v>114.35</v>
      </c>
      <c r="E696" s="9">
        <f t="array" ref="E696">XLOOKUP($A696, Quotations!$G$2:G1756, Quotations!$H$2:H1756, "")
</f>
        <v>117.94</v>
      </c>
      <c r="F696" s="9">
        <f t="array" ref="F696">XLOOKUP($A696, Quotations!$I$2:I1756, Quotations!$J$2:J1756, "")
</f>
        <v>126.21</v>
      </c>
      <c r="G696" s="9">
        <f t="array" ref="G696">XLOOKUP($A696, Quotations!$K$2:K1756, Quotations!$L$2:L1756, "")
</f>
        <v>1400.8314</v>
      </c>
    </row>
    <row r="697">
      <c r="A697" s="8">
        <v>42649.0</v>
      </c>
      <c r="B697" s="9">
        <f t="array" ref="B697">XLOOKUP($A697, Quotations!$A$2:A1756, Quotations!$B$2:B1756, "")
</f>
        <v>117.84</v>
      </c>
      <c r="C697" s="9">
        <f t="array" ref="C697">XLOOKUP($A697, Quotations!$C$2:C1756, Quotations!$D$2:D1756, "")</f>
        <v>24.48</v>
      </c>
      <c r="D697" s="9">
        <f t="array" ref="D697">XLOOKUP($A697, Quotations!$E$2:E1756, Quotations!$F$2:F1756, "")
</f>
        <v>114.35</v>
      </c>
      <c r="E697" s="9">
        <f t="array" ref="E697">XLOOKUP($A697, Quotations!$G$2:G1756, Quotations!$H$2:H1756, "")
</f>
        <v>117.24</v>
      </c>
      <c r="F697" s="9">
        <f t="array" ref="F697">XLOOKUP($A697, Quotations!$I$2:I1756, Quotations!$J$2:J1756, "")
</f>
        <v>126.01</v>
      </c>
      <c r="G697" s="9">
        <f t="array" ref="G697">XLOOKUP($A697, Quotations!$K$2:K1756, Quotations!$L$2:L1756, "")
</f>
        <v>1402.3792</v>
      </c>
    </row>
    <row r="698">
      <c r="A698" s="8">
        <v>42650.0</v>
      </c>
      <c r="B698" s="9">
        <f t="array" ref="B698">XLOOKUP($A698, Quotations!$A$2:A1756, Quotations!$B$2:B1756, "")
</f>
        <v>117.64</v>
      </c>
      <c r="C698" s="9">
        <f t="array" ref="C698">XLOOKUP($A698, Quotations!$C$2:C1756, Quotations!$D$2:D1756, "")</f>
        <v>24.48</v>
      </c>
      <c r="D698" s="9">
        <f t="array" ref="D698">XLOOKUP($A698, Quotations!$E$2:E1756, Quotations!$F$2:F1756, "")
</f>
        <v>114.36</v>
      </c>
      <c r="E698" s="9">
        <f t="array" ref="E698">XLOOKUP($A698, Quotations!$G$2:G1756, Quotations!$H$2:H1756, "")
</f>
        <v>117.18</v>
      </c>
      <c r="F698" s="9">
        <f t="array" ref="F698">XLOOKUP($A698, Quotations!$I$2:I1756, Quotations!$J$2:J1756, "")
</f>
        <v>125.93</v>
      </c>
      <c r="G698" s="9">
        <f t="array" ref="G698">XLOOKUP($A698, Quotations!$K$2:K1756, Quotations!$L$2:L1756, "")
</f>
        <v>1400.8936</v>
      </c>
    </row>
    <row r="699">
      <c r="A699" s="8">
        <v>42653.0</v>
      </c>
      <c r="B699" s="9">
        <f t="array" ref="B699">XLOOKUP($A699, Quotations!$A$2:A1756, Quotations!$B$2:B1756, "")
</f>
        <v>117.85</v>
      </c>
      <c r="C699" s="9">
        <f t="array" ref="C699">XLOOKUP($A699, Quotations!$C$2:C1756, Quotations!$D$2:D1756, "")</f>
        <v>24.48</v>
      </c>
      <c r="D699" s="9">
        <f t="array" ref="D699">XLOOKUP($A699, Quotations!$E$2:E1756, Quotations!$F$2:F1756, "")
</f>
        <v>114.35</v>
      </c>
      <c r="E699" s="9">
        <f t="array" ref="E699">XLOOKUP($A699, Quotations!$G$2:G1756, Quotations!$H$2:H1756, "")
</f>
        <v>116.69</v>
      </c>
      <c r="F699" s="9">
        <f t="array" ref="F699">XLOOKUP($A699, Quotations!$I$2:I1756, Quotations!$J$2:J1756, "")
</f>
        <v>125.67</v>
      </c>
      <c r="G699" s="9">
        <f t="array" ref="G699">XLOOKUP($A699, Quotations!$K$2:K1756, Quotations!$L$2:L1756, "")
</f>
        <v>1397.938</v>
      </c>
    </row>
    <row r="700">
      <c r="A700" s="8">
        <v>42654.0</v>
      </c>
      <c r="B700" s="9">
        <f t="array" ref="B700">XLOOKUP($A700, Quotations!$A$2:A1756, Quotations!$B$2:B1756, "")
</f>
        <v>117.64</v>
      </c>
      <c r="C700" s="9">
        <f t="array" ref="C700">XLOOKUP($A700, Quotations!$C$2:C1756, Quotations!$D$2:D1756, "")</f>
        <v>24.49</v>
      </c>
      <c r="D700" s="9">
        <f t="array" ref="D700">XLOOKUP($A700, Quotations!$E$2:E1756, Quotations!$F$2:F1756, "")
</f>
        <v>114.39</v>
      </c>
      <c r="E700" s="9">
        <f t="array" ref="E700">XLOOKUP($A700, Quotations!$G$2:G1756, Quotations!$H$2:H1756, "")
</f>
        <v>117.09</v>
      </c>
      <c r="F700" s="9">
        <f t="array" ref="F700">XLOOKUP($A700, Quotations!$I$2:I1756, Quotations!$J$2:J1756, "")
</f>
        <v>125.93</v>
      </c>
      <c r="G700" s="9">
        <f t="array" ref="G700">XLOOKUP($A700, Quotations!$K$2:K1756, Quotations!$L$2:L1756, "")
</f>
        <v>1400.3427</v>
      </c>
    </row>
    <row r="701">
      <c r="A701" s="8">
        <v>42655.0</v>
      </c>
      <c r="B701" s="9">
        <f t="array" ref="B701">XLOOKUP($A701, Quotations!$A$2:A1756, Quotations!$B$2:B1756, "")
</f>
        <v>117.47</v>
      </c>
      <c r="C701" s="9">
        <f t="array" ref="C701">XLOOKUP($A701, Quotations!$C$2:C1756, Quotations!$D$2:D1756, "")</f>
        <v>24.49</v>
      </c>
      <c r="D701" s="9">
        <f t="array" ref="D701">XLOOKUP($A701, Quotations!$E$2:E1756, Quotations!$F$2:F1756, "")
</f>
        <v>114.38</v>
      </c>
      <c r="E701" s="9">
        <f t="array" ref="E701">XLOOKUP($A701, Quotations!$G$2:G1756, Quotations!$H$2:H1756, "")
</f>
        <v>116.81</v>
      </c>
      <c r="F701" s="9">
        <f t="array" ref="F701">XLOOKUP($A701, Quotations!$I$2:I1756, Quotations!$J$2:J1756, "")
</f>
        <v>125.75</v>
      </c>
      <c r="G701" s="9">
        <f t="array" ref="G701">XLOOKUP($A701, Quotations!$K$2:K1756, Quotations!$L$2:L1756, "")
</f>
        <v>1392.4113</v>
      </c>
    </row>
    <row r="702">
      <c r="A702" s="8">
        <v>42656.0</v>
      </c>
      <c r="B702" s="9">
        <f t="array" ref="B702">XLOOKUP($A702, Quotations!$A$2:A1756, Quotations!$B$2:B1756, "")
</f>
        <v>117.25</v>
      </c>
      <c r="C702" s="9">
        <f t="array" ref="C702">XLOOKUP($A702, Quotations!$C$2:C1756, Quotations!$D$2:D1756, "")</f>
        <v>24.49</v>
      </c>
      <c r="D702" s="9">
        <f t="array" ref="D702">XLOOKUP($A702, Quotations!$E$2:E1756, Quotations!$F$2:F1756, "")
</f>
        <v>114.35</v>
      </c>
      <c r="E702" s="9">
        <f t="array" ref="E702">XLOOKUP($A702, Quotations!$G$2:G1756, Quotations!$H$2:H1756, "")
</f>
        <v>116.46</v>
      </c>
      <c r="F702" s="9">
        <f t="array" ref="F702">XLOOKUP($A702, Quotations!$I$2:I1756, Quotations!$J$2:J1756, "")
</f>
        <v>125.63</v>
      </c>
      <c r="G702" s="9">
        <f t="array" ref="G702">XLOOKUP($A702, Quotations!$K$2:K1756, Quotations!$L$2:L1756, "")
</f>
        <v>1388.8041</v>
      </c>
    </row>
    <row r="703">
      <c r="A703" s="8">
        <v>42657.0</v>
      </c>
      <c r="B703" s="9">
        <f t="array" ref="B703">XLOOKUP($A703, Quotations!$A$2:A1756, Quotations!$B$2:B1756, "")
</f>
        <v>117.64</v>
      </c>
      <c r="C703" s="9">
        <f t="array" ref="C703">XLOOKUP($A703, Quotations!$C$2:C1756, Quotations!$D$2:D1756, "")</f>
        <v>24.5</v>
      </c>
      <c r="D703" s="9">
        <f t="array" ref="D703">XLOOKUP($A703, Quotations!$E$2:E1756, Quotations!$F$2:F1756, "")
</f>
        <v>114.35</v>
      </c>
      <c r="E703" s="9">
        <f t="array" ref="E703">XLOOKUP($A703, Quotations!$G$2:G1756, Quotations!$H$2:H1756, "")
</f>
        <v>116.08</v>
      </c>
      <c r="F703" s="9">
        <f t="array" ref="F703">XLOOKUP($A703, Quotations!$I$2:I1756, Quotations!$J$2:J1756, "")
</f>
        <v>125.49</v>
      </c>
      <c r="G703" s="9">
        <f t="array" ref="G703">XLOOKUP($A703, Quotations!$K$2:K1756, Quotations!$L$2:L1756, "")
</f>
        <v>1386.9498</v>
      </c>
    </row>
    <row r="704">
      <c r="A704" s="8">
        <v>42660.0</v>
      </c>
      <c r="B704" s="9">
        <f t="array" ref="B704">XLOOKUP($A704, Quotations!$A$2:A1756, Quotations!$B$2:B1756, "")
</f>
        <v>117.55</v>
      </c>
      <c r="C704" s="9">
        <f t="array" ref="C704">XLOOKUP($A704, Quotations!$C$2:C1756, Quotations!$D$2:D1756, "")</f>
        <v>24.51</v>
      </c>
      <c r="D704" s="9">
        <f t="array" ref="D704">XLOOKUP($A704, Quotations!$E$2:E1756, Quotations!$F$2:F1756, "")
</f>
        <v>114.36</v>
      </c>
      <c r="E704" s="9">
        <f t="array" ref="E704">XLOOKUP($A704, Quotations!$G$2:G1756, Quotations!$H$2:H1756, "")
</f>
        <v>116.8</v>
      </c>
      <c r="F704" s="9">
        <f t="array" ref="F704">XLOOKUP($A704, Quotations!$I$2:I1756, Quotations!$J$2:J1756, "")
</f>
        <v>125.57</v>
      </c>
      <c r="G704" s="9">
        <f t="array" ref="G704">XLOOKUP($A704, Quotations!$K$2:K1756, Quotations!$L$2:L1756, "")
</f>
        <v>1387.6668</v>
      </c>
    </row>
    <row r="705">
      <c r="A705" s="8">
        <v>42661.0</v>
      </c>
      <c r="B705" s="9">
        <f t="array" ref="B705">XLOOKUP($A705, Quotations!$A$2:A1756, Quotations!$B$2:B1756, "")
</f>
        <v>117.87</v>
      </c>
      <c r="C705" s="9">
        <f t="array" ref="C705">XLOOKUP($A705, Quotations!$C$2:C1756, Quotations!$D$2:D1756, "")</f>
        <v>24.51</v>
      </c>
      <c r="D705" s="9">
        <f t="array" ref="D705">XLOOKUP($A705, Quotations!$E$2:E1756, Quotations!$F$2:F1756, "")
</f>
        <v>114.36</v>
      </c>
      <c r="E705" s="9">
        <f t="array" ref="E705">XLOOKUP($A705, Quotations!$G$2:G1756, Quotations!$H$2:H1756, "")
</f>
        <v>116.33</v>
      </c>
      <c r="F705" s="9">
        <f t="array" ref="F705">XLOOKUP($A705, Quotations!$I$2:I1756, Quotations!$J$2:J1756, "")
</f>
        <v>125.47</v>
      </c>
      <c r="G705" s="9">
        <f t="array" ref="G705">XLOOKUP($A705, Quotations!$K$2:K1756, Quotations!$L$2:L1756, "")
</f>
        <v>1386.7783</v>
      </c>
    </row>
    <row r="706">
      <c r="A706" s="8">
        <v>42662.0</v>
      </c>
      <c r="B706" s="9">
        <f t="array" ref="B706">XLOOKUP($A706, Quotations!$A$2:A1756, Quotations!$B$2:B1756, "")
</f>
        <v>117.98</v>
      </c>
      <c r="C706" s="9">
        <f t="array" ref="C706">XLOOKUP($A706, Quotations!$C$2:C1756, Quotations!$D$2:D1756, "")</f>
        <v>24.52</v>
      </c>
      <c r="D706" s="9">
        <f t="array" ref="D706">XLOOKUP($A706, Quotations!$E$2:E1756, Quotations!$F$2:F1756, "")
</f>
        <v>114.37</v>
      </c>
      <c r="E706" s="9">
        <f t="array" ref="E706">XLOOKUP($A706, Quotations!$G$2:G1756, Quotations!$H$2:H1756, "")
</f>
        <v>117</v>
      </c>
      <c r="F706" s="9">
        <f t="array" ref="F706">XLOOKUP($A706, Quotations!$I$2:I1756, Quotations!$J$2:J1756, "")
</f>
        <v>125.77</v>
      </c>
      <c r="G706" s="9">
        <f t="array" ref="G706">XLOOKUP($A706, Quotations!$K$2:K1756, Quotations!$L$2:L1756, "")
</f>
        <v>1391.2393</v>
      </c>
    </row>
    <row r="707">
      <c r="A707" s="8">
        <v>42663.0</v>
      </c>
      <c r="B707" s="9">
        <f t="array" ref="B707">XLOOKUP($A707, Quotations!$A$2:A1756, Quotations!$B$2:B1756, "")
</f>
        <v>118.09</v>
      </c>
      <c r="C707" s="9">
        <f t="array" ref="C707">XLOOKUP($A707, Quotations!$C$2:C1756, Quotations!$D$2:D1756, "")</f>
        <v>24.52</v>
      </c>
      <c r="D707" s="9">
        <f t="array" ref="D707">XLOOKUP($A707, Quotations!$E$2:E1756, Quotations!$F$2:F1756, "")
</f>
        <v>114.37</v>
      </c>
      <c r="E707" s="9">
        <f t="array" ref="E707">XLOOKUP($A707, Quotations!$G$2:G1756, Quotations!$H$2:H1756, "")
</f>
        <v>117.14</v>
      </c>
      <c r="F707" s="9">
        <f t="array" ref="F707">XLOOKUP($A707, Quotations!$I$2:I1756, Quotations!$J$2:J1756, "")
</f>
        <v>126.04</v>
      </c>
      <c r="G707" s="9">
        <f t="array" ref="G707">XLOOKUP($A707, Quotations!$K$2:K1756, Quotations!$L$2:L1756, "")
</f>
        <v>1392.4026</v>
      </c>
    </row>
    <row r="708">
      <c r="A708" s="8">
        <v>42664.0</v>
      </c>
      <c r="B708" s="9">
        <f t="array" ref="B708">XLOOKUP($A708, Quotations!$A$2:A1756, Quotations!$B$2:B1756, "")
</f>
        <v>118.06</v>
      </c>
      <c r="C708" s="9">
        <f t="array" ref="C708">XLOOKUP($A708, Quotations!$C$2:C1756, Quotations!$D$2:D1756, "")</f>
        <v>24.52</v>
      </c>
      <c r="D708" s="9">
        <f t="array" ref="D708">XLOOKUP($A708, Quotations!$E$2:E1756, Quotations!$F$2:F1756, "")
</f>
        <v>114.38</v>
      </c>
      <c r="E708" s="9">
        <f t="array" ref="E708">XLOOKUP($A708, Quotations!$G$2:G1756, Quotations!$H$2:H1756, "")
</f>
        <v>117.38</v>
      </c>
      <c r="F708" s="9">
        <f t="array" ref="F708">XLOOKUP($A708, Quotations!$I$2:I1756, Quotations!$J$2:J1756, "")
</f>
        <v>126</v>
      </c>
      <c r="G708" s="9">
        <f t="array" ref="G708">XLOOKUP($A708, Quotations!$K$2:K1756, Quotations!$L$2:L1756, "")
</f>
        <v>1393.6447</v>
      </c>
    </row>
    <row r="709">
      <c r="A709" s="8">
        <v>42667.0</v>
      </c>
      <c r="B709" s="9">
        <f t="array" ref="B709">XLOOKUP($A709, Quotations!$A$2:A1756, Quotations!$B$2:B1756, "")
</f>
        <v>118.14</v>
      </c>
      <c r="C709" s="9">
        <f t="array" ref="C709">XLOOKUP($A709, Quotations!$C$2:C1756, Quotations!$D$2:D1756, "")</f>
        <v>24.53</v>
      </c>
      <c r="D709" s="9">
        <f t="array" ref="D709">XLOOKUP($A709, Quotations!$E$2:E1756, Quotations!$F$2:F1756, "")
</f>
        <v>114.4</v>
      </c>
      <c r="E709" s="9">
        <f t="array" ref="E709">XLOOKUP($A709, Quotations!$G$2:G1756, Quotations!$H$2:H1756, "")
</f>
        <v>117.35</v>
      </c>
      <c r="F709" s="9">
        <f t="array" ref="F709">XLOOKUP($A709, Quotations!$I$2:I1756, Quotations!$J$2:J1756, "")
</f>
        <v>126.04</v>
      </c>
      <c r="G709" s="9">
        <f t="array" ref="G709">XLOOKUP($A709, Quotations!$K$2:K1756, Quotations!$L$2:L1756, "")
</f>
        <v>1392.394</v>
      </c>
    </row>
    <row r="710">
      <c r="A710" s="8">
        <v>42668.0</v>
      </c>
      <c r="B710" s="9">
        <f t="array" ref="B710">XLOOKUP($A710, Quotations!$A$2:A1756, Quotations!$B$2:B1756, "")
</f>
        <v>118.08</v>
      </c>
      <c r="C710" s="9">
        <f t="array" ref="C710">XLOOKUP($A710, Quotations!$C$2:C1756, Quotations!$D$2:D1756, "")</f>
        <v>24.53</v>
      </c>
      <c r="D710" s="9">
        <f t="array" ref="D710">XLOOKUP($A710, Quotations!$E$2:E1756, Quotations!$F$2:F1756, "")
</f>
        <v>114.41</v>
      </c>
      <c r="E710" s="9">
        <f t="array" ref="E710">XLOOKUP($A710, Quotations!$G$2:G1756, Quotations!$H$2:H1756, "")
</f>
        <v>117.67</v>
      </c>
      <c r="F710" s="9">
        <f t="array" ref="F710">XLOOKUP($A710, Quotations!$I$2:I1756, Quotations!$J$2:J1756, "")
</f>
        <v>126.02</v>
      </c>
      <c r="G710" s="9">
        <f t="array" ref="G710">XLOOKUP($A710, Quotations!$K$2:K1756, Quotations!$L$2:L1756, "")
</f>
        <v>1396.1178</v>
      </c>
    </row>
    <row r="711">
      <c r="A711" s="8">
        <v>42669.0</v>
      </c>
      <c r="B711" s="9">
        <f t="array" ref="B711">XLOOKUP($A711, Quotations!$A$2:A1756, Quotations!$B$2:B1756, "")
</f>
        <v>117.96</v>
      </c>
      <c r="C711" s="9">
        <f t="array" ref="C711">XLOOKUP($A711, Quotations!$C$2:C1756, Quotations!$D$2:D1756, "")</f>
        <v>24.52</v>
      </c>
      <c r="D711" s="9">
        <f t="array" ref="D711">XLOOKUP($A711, Quotations!$E$2:E1756, Quotations!$F$2:F1756, "")
</f>
        <v>114.41</v>
      </c>
      <c r="E711" s="9">
        <f t="array" ref="E711">XLOOKUP($A711, Quotations!$G$2:G1756, Quotations!$H$2:H1756, "")
</f>
        <v>117.53</v>
      </c>
      <c r="F711" s="9">
        <f t="array" ref="F711">XLOOKUP($A711, Quotations!$I$2:I1756, Quotations!$J$2:J1756, "")
</f>
        <v>126.01</v>
      </c>
      <c r="G711" s="9">
        <f t="array" ref="G711">XLOOKUP($A711, Quotations!$K$2:K1756, Quotations!$L$2:L1756, "")
</f>
        <v>1394.0698</v>
      </c>
    </row>
    <row r="712">
      <c r="A712" s="8">
        <v>42670.0</v>
      </c>
      <c r="B712" s="9">
        <f t="array" ref="B712">XLOOKUP($A712, Quotations!$A$2:A1756, Quotations!$B$2:B1756, "")
</f>
        <v>117.86</v>
      </c>
      <c r="C712" s="9">
        <f t="array" ref="C712">XLOOKUP($A712, Quotations!$C$2:C1756, Quotations!$D$2:D1756, "")</f>
        <v>24.51</v>
      </c>
      <c r="D712" s="9">
        <f t="array" ref="D712">XLOOKUP($A712, Quotations!$E$2:E1756, Quotations!$F$2:F1756, "")
</f>
        <v>114.4</v>
      </c>
      <c r="E712" s="9">
        <f t="array" ref="E712">XLOOKUP($A712, Quotations!$G$2:G1756, Quotations!$H$2:H1756, "")
</f>
        <v>117.28</v>
      </c>
      <c r="F712" s="9">
        <f t="array" ref="F712">XLOOKUP($A712, Quotations!$I$2:I1756, Quotations!$J$2:J1756, "")
</f>
        <v>125.78</v>
      </c>
      <c r="G712" s="9">
        <f t="array" ref="G712">XLOOKUP($A712, Quotations!$K$2:K1756, Quotations!$L$2:L1756, "")
</f>
        <v>1388.825</v>
      </c>
    </row>
    <row r="713">
      <c r="A713" s="8">
        <v>42671.0</v>
      </c>
      <c r="B713" s="9">
        <f t="array" ref="B713">XLOOKUP($A713, Quotations!$A$2:A1756, Quotations!$B$2:B1756, "")
</f>
        <v>117.88</v>
      </c>
      <c r="C713" s="9">
        <f t="array" ref="C713">XLOOKUP($A713, Quotations!$C$2:C1756, Quotations!$D$2:D1756, "")</f>
        <v>24.51</v>
      </c>
      <c r="D713" s="9">
        <f t="array" ref="D713">XLOOKUP($A713, Quotations!$E$2:E1756, Quotations!$F$2:F1756, "")
</f>
        <v>114.39</v>
      </c>
      <c r="E713" s="9">
        <f t="array" ref="E713">XLOOKUP($A713, Quotations!$G$2:G1756, Quotations!$H$2:H1756, "")
</f>
        <v>117.13</v>
      </c>
      <c r="F713" s="9">
        <f t="array" ref="F713">XLOOKUP($A713, Quotations!$I$2:I1756, Quotations!$J$2:J1756, "")
</f>
        <v>125.9</v>
      </c>
      <c r="G713" s="9">
        <f t="array" ref="G713">XLOOKUP($A713, Quotations!$K$2:K1756, Quotations!$L$2:L1756, "")
</f>
        <v>1385.6394</v>
      </c>
    </row>
    <row r="714">
      <c r="A714" s="8">
        <v>42674.0</v>
      </c>
      <c r="B714" s="9">
        <f t="array" ref="B714">XLOOKUP($A714, Quotations!$A$2:A1756, Quotations!$B$2:B1756, "")
</f>
        <v>117.86</v>
      </c>
      <c r="C714" s="9">
        <f t="array" ref="C714">XLOOKUP($A714, Quotations!$C$2:C1756, Quotations!$D$2:D1756, "")</f>
        <v>24.5</v>
      </c>
      <c r="D714" s="9">
        <f t="array" ref="D714">XLOOKUP($A714, Quotations!$E$2:E1756, Quotations!$F$2:F1756, "")
</f>
        <v>114.4</v>
      </c>
      <c r="E714" s="9">
        <f t="array" ref="E714">XLOOKUP($A714, Quotations!$G$2:G1756, Quotations!$H$2:H1756, "")
</f>
        <v>116.97</v>
      </c>
      <c r="F714" s="9">
        <f t="array" ref="F714">XLOOKUP($A714, Quotations!$I$2:I1756, Quotations!$J$2:J1756, "")
</f>
        <v>125.6</v>
      </c>
      <c r="G714" s="9">
        <f t="array" ref="G714">XLOOKUP($A714, Quotations!$K$2:K1756, Quotations!$L$2:L1756, "")
</f>
        <v>1384.1794</v>
      </c>
    </row>
    <row r="715">
      <c r="A715" s="8">
        <v>42676.0</v>
      </c>
      <c r="B715" s="9">
        <f t="array" ref="B715">XLOOKUP($A715, Quotations!$A$2:A1756, Quotations!$B$2:B1756, "")
</f>
        <v>117.18</v>
      </c>
      <c r="C715" s="9">
        <f t="array" ref="C715">XLOOKUP($A715, Quotations!$C$2:C1756, Quotations!$D$2:D1756, "")</f>
        <v>24.48</v>
      </c>
      <c r="D715" s="9">
        <f t="array" ref="D715">XLOOKUP($A715, Quotations!$E$2:E1756, Quotations!$F$2:F1756, "")
</f>
        <v>114.34</v>
      </c>
      <c r="E715" s="9">
        <f t="array" ref="E715">XLOOKUP($A715, Quotations!$G$2:G1756, Quotations!$H$2:H1756, "")
</f>
        <v>116.77</v>
      </c>
      <c r="F715" s="9">
        <f t="array" ref="F715">XLOOKUP($A715, Quotations!$I$2:I1756, Quotations!$J$2:J1756, "")
</f>
        <v>125.25</v>
      </c>
      <c r="G715" s="9">
        <f t="array" ref="G715">XLOOKUP($A715, Quotations!$K$2:K1756, Quotations!$L$2:L1756, "")
</f>
        <v>1381.0148</v>
      </c>
    </row>
    <row r="716">
      <c r="A716" s="8">
        <v>42677.0</v>
      </c>
      <c r="B716" s="9">
        <f t="array" ref="B716">XLOOKUP($A716, Quotations!$A$2:A1756, Quotations!$B$2:B1756, "")
</f>
        <v>117.28</v>
      </c>
      <c r="C716" s="9">
        <f t="array" ref="C716">XLOOKUP($A716, Quotations!$C$2:C1756, Quotations!$D$2:D1756, "")</f>
        <v>24.49</v>
      </c>
      <c r="D716" s="9">
        <f t="array" ref="D716">XLOOKUP($A716, Quotations!$E$2:E1756, Quotations!$F$2:F1756, "")
</f>
        <v>114.32</v>
      </c>
      <c r="E716" s="9">
        <f t="array" ref="E716">XLOOKUP($A716, Quotations!$G$2:G1756, Quotations!$H$2:H1756, "")
</f>
        <v>115.5</v>
      </c>
      <c r="F716" s="9">
        <f t="array" ref="F716">XLOOKUP($A716, Quotations!$I$2:I1756, Quotations!$J$2:J1756, "")
</f>
        <v>124.8</v>
      </c>
      <c r="G716" s="9">
        <f t="array" ref="G716">XLOOKUP($A716, Quotations!$K$2:K1756, Quotations!$L$2:L1756, "")
</f>
        <v>1375.9709</v>
      </c>
    </row>
    <row r="717">
      <c r="A717" s="8">
        <v>42678.0</v>
      </c>
      <c r="B717" s="9">
        <f t="array" ref="B717">XLOOKUP($A717, Quotations!$A$2:A1756, Quotations!$B$2:B1756, "")
</f>
        <v>116.97</v>
      </c>
      <c r="C717" s="9">
        <f t="array" ref="C717">XLOOKUP($A717, Quotations!$C$2:C1756, Quotations!$D$2:D1756, "")</f>
        <v>24.48</v>
      </c>
      <c r="D717" s="9">
        <f t="array" ref="D717">XLOOKUP($A717, Quotations!$E$2:E1756, Quotations!$F$2:F1756, "")
</f>
        <v>114.29</v>
      </c>
      <c r="E717" s="9">
        <f t="array" ref="E717">XLOOKUP($A717, Quotations!$G$2:G1756, Quotations!$H$2:H1756, "")
</f>
        <v>115.36</v>
      </c>
      <c r="F717" s="9">
        <f t="array" ref="F717">XLOOKUP($A717, Quotations!$I$2:I1756, Quotations!$J$2:J1756, "")
</f>
        <v>124.85</v>
      </c>
      <c r="G717" s="9">
        <f t="array" ref="G717">XLOOKUP($A717, Quotations!$K$2:K1756, Quotations!$L$2:L1756, "")
</f>
        <v>1375.0815</v>
      </c>
    </row>
    <row r="718">
      <c r="A718" s="8">
        <v>42681.0</v>
      </c>
      <c r="B718" s="9">
        <f t="array" ref="B718">XLOOKUP($A718, Quotations!$A$2:A1756, Quotations!$B$2:B1756, "")
</f>
        <v>117.21</v>
      </c>
      <c r="C718" s="9">
        <f t="array" ref="C718">XLOOKUP($A718, Quotations!$C$2:C1756, Quotations!$D$2:D1756, "")</f>
        <v>24.49</v>
      </c>
      <c r="D718" s="9">
        <f t="array" ref="D718">XLOOKUP($A718, Quotations!$E$2:E1756, Quotations!$F$2:F1756, "")
</f>
        <v>114.32</v>
      </c>
      <c r="E718" s="9">
        <f t="array" ref="E718">XLOOKUP($A718, Quotations!$G$2:G1756, Quotations!$H$2:H1756, "")
</f>
        <v>115.02</v>
      </c>
      <c r="F718" s="9">
        <f t="array" ref="F718">XLOOKUP($A718, Quotations!$I$2:I1756, Quotations!$J$2:J1756, "")
</f>
        <v>124.73</v>
      </c>
      <c r="G718" s="9">
        <f t="array" ref="G718">XLOOKUP($A718, Quotations!$K$2:K1756, Quotations!$L$2:L1756, "")
</f>
        <v>1376.4348</v>
      </c>
    </row>
    <row r="719">
      <c r="A719" s="8">
        <v>42682.0</v>
      </c>
      <c r="B719" s="9">
        <f t="array" ref="B719">XLOOKUP($A719, Quotations!$A$2:A1756, Quotations!$B$2:B1756, "")
</f>
        <v>117.3</v>
      </c>
      <c r="C719" s="9">
        <f t="array" ref="C719">XLOOKUP($A719, Quotations!$C$2:C1756, Quotations!$D$2:D1756, "")</f>
        <v>24.49</v>
      </c>
      <c r="D719" s="9">
        <f t="array" ref="D719">XLOOKUP($A719, Quotations!$E$2:E1756, Quotations!$F$2:F1756, "")
</f>
        <v>114.34</v>
      </c>
      <c r="E719" s="9">
        <f t="array" ref="E719">XLOOKUP($A719, Quotations!$G$2:G1756, Quotations!$H$2:H1756, "")
</f>
        <v>115.74</v>
      </c>
      <c r="F719" s="9">
        <f t="array" ref="F719">XLOOKUP($A719, Quotations!$I$2:I1756, Quotations!$J$2:J1756, "")
</f>
        <v>124.74</v>
      </c>
      <c r="G719" s="9">
        <f t="array" ref="G719">XLOOKUP($A719, Quotations!$K$2:K1756, Quotations!$L$2:L1756, "")
</f>
        <v>1383.3213</v>
      </c>
    </row>
    <row r="720">
      <c r="A720" s="8">
        <v>42683.0</v>
      </c>
      <c r="B720" s="9">
        <f t="array" ref="B720">XLOOKUP($A720, Quotations!$A$2:A1756, Quotations!$B$2:B1756, "")
</f>
        <v>117.29</v>
      </c>
      <c r="C720" s="9">
        <f t="array" ref="C720">XLOOKUP($A720, Quotations!$C$2:C1756, Quotations!$D$2:D1756, "")</f>
        <v>24.51</v>
      </c>
      <c r="D720" s="9">
        <f t="array" ref="D720">XLOOKUP($A720, Quotations!$E$2:E1756, Quotations!$F$2:F1756, "")
</f>
        <v>114.29</v>
      </c>
      <c r="E720" s="9">
        <f t="array" ref="E720">XLOOKUP($A720, Quotations!$G$2:G1756, Quotations!$H$2:H1756, "")
</f>
        <v>115.97</v>
      </c>
      <c r="F720" s="9">
        <f t="array" ref="F720">XLOOKUP($A720, Quotations!$I$2:I1756, Quotations!$J$2:J1756, "")
</f>
        <v>124.59</v>
      </c>
      <c r="G720" s="9">
        <f t="array" ref="G720">XLOOKUP($A720, Quotations!$K$2:K1756, Quotations!$L$2:L1756, "")
</f>
        <v>1380.8668</v>
      </c>
    </row>
    <row r="721">
      <c r="A721" s="8">
        <v>42684.0</v>
      </c>
      <c r="B721" s="9">
        <f t="array" ref="B721">XLOOKUP($A721, Quotations!$A$2:A1756, Quotations!$B$2:B1756, "")
</f>
        <v>117.11</v>
      </c>
      <c r="C721" s="9">
        <f t="array" ref="C721">XLOOKUP($A721, Quotations!$C$2:C1756, Quotations!$D$2:D1756, "")</f>
        <v>24.52</v>
      </c>
      <c r="D721" s="9">
        <f t="array" ref="D721">XLOOKUP($A721, Quotations!$E$2:E1756, Quotations!$F$2:F1756, "")
</f>
        <v>114.28</v>
      </c>
      <c r="E721" s="9">
        <f t="array" ref="E721">XLOOKUP($A721, Quotations!$G$2:G1756, Quotations!$H$2:H1756, "")
</f>
        <v>116.25</v>
      </c>
      <c r="F721" s="9">
        <f t="array" ref="F721">XLOOKUP($A721, Quotations!$I$2:I1756, Quotations!$J$2:J1756, "")
</f>
        <v>124.03</v>
      </c>
      <c r="G721" s="9">
        <f t="array" ref="G721">XLOOKUP($A721, Quotations!$K$2:K1756, Quotations!$L$2:L1756, "")
</f>
        <v>1387.42</v>
      </c>
    </row>
    <row r="722">
      <c r="A722" s="8">
        <v>42685.0</v>
      </c>
      <c r="B722" s="9" t="str">
        <f t="array" ref="B722">XLOOKUP($A722, Quotations!$A$2:A1756, Quotations!$B$2:B1756, "")
</f>
        <v/>
      </c>
      <c r="C722" s="9">
        <f t="array" ref="C722">XLOOKUP($A722, Quotations!$C$2:C1756, Quotations!$D$2:D1756, "")</f>
        <v>24.52</v>
      </c>
      <c r="D722" s="9">
        <f t="array" ref="D722">XLOOKUP($A722, Quotations!$E$2:E1756, Quotations!$F$2:F1756, "")
</f>
        <v>114.21</v>
      </c>
      <c r="E722" s="9">
        <f t="array" ref="E722">XLOOKUP($A722, Quotations!$G$2:G1756, Quotations!$H$2:H1756, "")
</f>
        <v>116.04</v>
      </c>
      <c r="F722" s="9">
        <f t="array" ref="F722">XLOOKUP($A722, Quotations!$I$2:I1756, Quotations!$J$2:J1756, "")
</f>
        <v>123.55</v>
      </c>
      <c r="G722" s="9">
        <f t="array" ref="G722">XLOOKUP($A722, Quotations!$K$2:K1756, Quotations!$L$2:L1756, "")
</f>
        <v>1383.2734</v>
      </c>
    </row>
    <row r="723">
      <c r="A723" s="8">
        <v>42688.0</v>
      </c>
      <c r="B723" s="9">
        <f t="array" ref="B723">XLOOKUP($A723, Quotations!$A$2:A1756, Quotations!$B$2:B1756, "")
</f>
        <v>116.4</v>
      </c>
      <c r="C723" s="9">
        <f t="array" ref="C723">XLOOKUP($A723, Quotations!$C$2:C1756, Quotations!$D$2:D1756, "")</f>
        <v>24.53</v>
      </c>
      <c r="D723" s="9">
        <f t="array" ref="D723">XLOOKUP($A723, Quotations!$E$2:E1756, Quotations!$F$2:F1756, "")
</f>
        <v>114.17</v>
      </c>
      <c r="E723" s="9">
        <f t="array" ref="E723">XLOOKUP($A723, Quotations!$G$2:G1756, Quotations!$H$2:H1756, "")
</f>
        <v>115.72</v>
      </c>
      <c r="F723" s="9">
        <f t="array" ref="F723">XLOOKUP($A723, Quotations!$I$2:I1756, Quotations!$J$2:J1756, "")
</f>
        <v>123.16</v>
      </c>
      <c r="G723" s="9">
        <f t="array" ref="G723">XLOOKUP($A723, Quotations!$K$2:K1756, Quotations!$L$2:L1756, "")
</f>
        <v>1380.0844</v>
      </c>
    </row>
    <row r="724">
      <c r="A724" s="8">
        <v>42689.0</v>
      </c>
      <c r="B724" s="9">
        <f t="array" ref="B724">XLOOKUP($A724, Quotations!$A$2:A1756, Quotations!$B$2:B1756, "")
</f>
        <v>116.48</v>
      </c>
      <c r="C724" s="9">
        <f t="array" ref="C724">XLOOKUP($A724, Quotations!$C$2:C1756, Quotations!$D$2:D1756, "")</f>
        <v>24.53</v>
      </c>
      <c r="D724" s="9">
        <f t="array" ref="D724">XLOOKUP($A724, Quotations!$E$2:E1756, Quotations!$F$2:F1756, "")
</f>
        <v>114.24</v>
      </c>
      <c r="E724" s="9">
        <f t="array" ref="E724">XLOOKUP($A724, Quotations!$G$2:G1756, Quotations!$H$2:H1756, "")
</f>
        <v>115.67</v>
      </c>
      <c r="F724" s="9">
        <f t="array" ref="F724">XLOOKUP($A724, Quotations!$I$2:I1756, Quotations!$J$2:J1756, "")
</f>
        <v>122.89</v>
      </c>
      <c r="G724" s="9">
        <f t="array" ref="G724">XLOOKUP($A724, Quotations!$K$2:K1756, Quotations!$L$2:L1756, "")
</f>
        <v>1377.7356</v>
      </c>
    </row>
    <row r="725">
      <c r="A725" s="8">
        <v>42690.0</v>
      </c>
      <c r="B725" s="9">
        <f t="array" ref="B725">XLOOKUP($A725, Quotations!$A$2:A1756, Quotations!$B$2:B1756, "")
</f>
        <v>116.28</v>
      </c>
      <c r="C725" s="9">
        <f t="array" ref="C725">XLOOKUP($A725, Quotations!$C$2:C1756, Quotations!$D$2:D1756, "")</f>
        <v>24.53</v>
      </c>
      <c r="D725" s="9">
        <f t="array" ref="D725">XLOOKUP($A725, Quotations!$E$2:E1756, Quotations!$F$2:F1756, "")
</f>
        <v>114.25</v>
      </c>
      <c r="E725" s="9">
        <f t="array" ref="E725">XLOOKUP($A725, Quotations!$G$2:G1756, Quotations!$H$2:H1756, "")
</f>
        <v>116</v>
      </c>
      <c r="F725" s="9">
        <f t="array" ref="F725">XLOOKUP($A725, Quotations!$I$2:I1756, Quotations!$J$2:J1756, "")
</f>
        <v>122.93</v>
      </c>
      <c r="G725" s="9">
        <f t="array" ref="G725">XLOOKUP($A725, Quotations!$K$2:K1756, Quotations!$L$2:L1756, "")
</f>
        <v>1382.1929</v>
      </c>
    </row>
    <row r="726">
      <c r="A726" s="8">
        <v>42691.0</v>
      </c>
      <c r="B726" s="9">
        <f t="array" ref="B726">XLOOKUP($A726, Quotations!$A$2:A1756, Quotations!$B$2:B1756, "")
</f>
        <v>116.27</v>
      </c>
      <c r="C726" s="9">
        <f t="array" ref="C726">XLOOKUP($A726, Quotations!$C$2:C1756, Quotations!$D$2:D1756, "")</f>
        <v>24.53</v>
      </c>
      <c r="D726" s="9">
        <f t="array" ref="D726">XLOOKUP($A726, Quotations!$E$2:E1756, Quotations!$F$2:F1756, "")
</f>
        <v>114.25</v>
      </c>
      <c r="E726" s="9">
        <f t="array" ref="E726">XLOOKUP($A726, Quotations!$G$2:G1756, Quotations!$H$2:H1756, "")
</f>
        <v>115.44</v>
      </c>
      <c r="F726" s="9">
        <f t="array" ref="F726">XLOOKUP($A726, Quotations!$I$2:I1756, Quotations!$J$2:J1756, "")
</f>
        <v>123.12</v>
      </c>
      <c r="G726" s="9">
        <f t="array" ref="G726">XLOOKUP($A726, Quotations!$K$2:K1756, Quotations!$L$2:L1756, "")
</f>
        <v>1382.0059</v>
      </c>
    </row>
    <row r="727">
      <c r="A727" s="8">
        <v>42692.0</v>
      </c>
      <c r="B727" s="9">
        <f t="array" ref="B727">XLOOKUP($A727, Quotations!$A$2:A1756, Quotations!$B$2:B1756, "")
</f>
        <v>115.97</v>
      </c>
      <c r="C727" s="9">
        <f t="array" ref="C727">XLOOKUP($A727, Quotations!$C$2:C1756, Quotations!$D$2:D1756, "")</f>
        <v>24.54</v>
      </c>
      <c r="D727" s="9">
        <f t="array" ref="D727">XLOOKUP($A727, Quotations!$E$2:E1756, Quotations!$F$2:F1756, "")
</f>
        <v>114.24</v>
      </c>
      <c r="E727" s="9">
        <f t="array" ref="E727">XLOOKUP($A727, Quotations!$G$2:G1756, Quotations!$H$2:H1756, "")
</f>
        <v>115.41</v>
      </c>
      <c r="F727" s="9">
        <f t="array" ref="F727">XLOOKUP($A727, Quotations!$I$2:I1756, Quotations!$J$2:J1756, "")
</f>
        <v>123.06</v>
      </c>
      <c r="G727" s="9">
        <f t="array" ref="G727">XLOOKUP($A727, Quotations!$K$2:K1756, Quotations!$L$2:L1756, "")
</f>
        <v>1386.8231</v>
      </c>
    </row>
    <row r="728">
      <c r="A728" s="8">
        <v>42695.0</v>
      </c>
      <c r="B728" s="9">
        <f t="array" ref="B728">XLOOKUP($A728, Quotations!$A$2:A1756, Quotations!$B$2:B1756, "")
</f>
        <v>115.91</v>
      </c>
      <c r="C728" s="9">
        <f t="array" ref="C728">XLOOKUP($A728, Quotations!$C$2:C1756, Quotations!$D$2:D1756, "")</f>
        <v>24.55</v>
      </c>
      <c r="D728" s="9">
        <f t="array" ref="D728">XLOOKUP($A728, Quotations!$E$2:E1756, Quotations!$F$2:F1756, "")
</f>
        <v>114.27</v>
      </c>
      <c r="E728" s="9">
        <f t="array" ref="E728">XLOOKUP($A728, Quotations!$G$2:G1756, Quotations!$H$2:H1756, "")
</f>
        <v>115.44</v>
      </c>
      <c r="F728" s="9">
        <f t="array" ref="F728">XLOOKUP($A728, Quotations!$I$2:I1756, Quotations!$J$2:J1756, "")
</f>
        <v>122.88</v>
      </c>
      <c r="G728" s="9">
        <f t="array" ref="G728">XLOOKUP($A728, Quotations!$K$2:K1756, Quotations!$L$2:L1756, "")
</f>
        <v>1386.7777</v>
      </c>
    </row>
    <row r="729">
      <c r="A729" s="8">
        <v>42696.0</v>
      </c>
      <c r="B729" s="9">
        <f t="array" ref="B729">XLOOKUP($A729, Quotations!$A$2:A1756, Quotations!$B$2:B1756, "")
</f>
        <v>116.02</v>
      </c>
      <c r="C729" s="9">
        <f t="array" ref="C729">XLOOKUP($A729, Quotations!$C$2:C1756, Quotations!$D$2:D1756, "")</f>
        <v>24.55</v>
      </c>
      <c r="D729" s="9">
        <f t="array" ref="D729">XLOOKUP($A729, Quotations!$E$2:E1756, Quotations!$F$2:F1756, "")
</f>
        <v>114.32</v>
      </c>
      <c r="E729" s="9">
        <f t="array" ref="E729">XLOOKUP($A729, Quotations!$G$2:G1756, Quotations!$H$2:H1756, "")
</f>
        <v>115.35</v>
      </c>
      <c r="F729" s="9">
        <f t="array" ref="F729">XLOOKUP($A729, Quotations!$I$2:I1756, Quotations!$J$2:J1756, "")
</f>
        <v>122.97</v>
      </c>
      <c r="G729" s="9">
        <f t="array" ref="G729">XLOOKUP($A729, Quotations!$K$2:K1756, Quotations!$L$2:L1756, "")
</f>
        <v>1388.3942</v>
      </c>
    </row>
    <row r="730">
      <c r="A730" s="8">
        <v>42697.0</v>
      </c>
      <c r="B730" s="9">
        <f t="array" ref="B730">XLOOKUP($A730, Quotations!$A$2:A1756, Quotations!$B$2:B1756, "")
</f>
        <v>115.92</v>
      </c>
      <c r="C730" s="9">
        <f t="array" ref="C730">XLOOKUP($A730, Quotations!$C$2:C1756, Quotations!$D$2:D1756, "")</f>
        <v>24.56</v>
      </c>
      <c r="D730" s="9">
        <f t="array" ref="D730">XLOOKUP($A730, Quotations!$E$2:E1756, Quotations!$F$2:F1756, "")
</f>
        <v>114.3</v>
      </c>
      <c r="E730" s="9">
        <f t="array" ref="E730">XLOOKUP($A730, Quotations!$G$2:G1756, Quotations!$H$2:H1756, "")
</f>
        <v>115.54</v>
      </c>
      <c r="F730" s="9">
        <f t="array" ref="F730">XLOOKUP($A730, Quotations!$I$2:I1756, Quotations!$J$2:J1756, "")
</f>
        <v>123</v>
      </c>
      <c r="G730" s="9">
        <f t="array" ref="G730">XLOOKUP($A730, Quotations!$K$2:K1756, Quotations!$L$2:L1756, "")
</f>
        <v>1386.9819</v>
      </c>
    </row>
    <row r="731">
      <c r="A731" s="8">
        <v>42698.0</v>
      </c>
      <c r="B731" s="9">
        <f t="array" ref="B731">XLOOKUP($A731, Quotations!$A$2:A1756, Quotations!$B$2:B1756, "")
</f>
        <v>115.96</v>
      </c>
      <c r="C731" s="9">
        <f t="array" ref="C731">XLOOKUP($A731, Quotations!$C$2:C1756, Quotations!$D$2:D1756, "")</f>
        <v>24.55</v>
      </c>
      <c r="D731" s="9">
        <f t="array" ref="D731">XLOOKUP($A731, Quotations!$E$2:E1756, Quotations!$F$2:F1756, "")
</f>
        <v>114.31</v>
      </c>
      <c r="E731" s="9">
        <f t="array" ref="E731">XLOOKUP($A731, Quotations!$G$2:G1756, Quotations!$H$2:H1756, "")
</f>
        <v>115.29</v>
      </c>
      <c r="F731" s="9">
        <f t="array" ref="F731">XLOOKUP($A731, Quotations!$I$2:I1756, Quotations!$J$2:J1756, "")
</f>
        <v>122.76</v>
      </c>
      <c r="G731" s="9">
        <f t="array" ref="G731">XLOOKUP($A731, Quotations!$K$2:K1756, Quotations!$L$2:L1756, "")
</f>
        <v>1386.4835</v>
      </c>
    </row>
    <row r="732">
      <c r="A732" s="8">
        <v>42699.0</v>
      </c>
      <c r="B732" s="9">
        <f t="array" ref="B732">XLOOKUP($A732, Quotations!$A$2:A1756, Quotations!$B$2:B1756, "")
</f>
        <v>115.93</v>
      </c>
      <c r="C732" s="9">
        <f t="array" ref="C732">XLOOKUP($A732, Quotations!$C$2:C1756, Quotations!$D$2:D1756, "")</f>
        <v>24.54</v>
      </c>
      <c r="D732" s="9">
        <f t="array" ref="D732">XLOOKUP($A732, Quotations!$E$2:E1756, Quotations!$F$2:F1756, "")
</f>
        <v>114.31</v>
      </c>
      <c r="E732" s="9">
        <f t="array" ref="E732">XLOOKUP($A732, Quotations!$G$2:G1756, Quotations!$H$2:H1756, "")
</f>
        <v>115.48</v>
      </c>
      <c r="F732" s="9">
        <f t="array" ref="F732">XLOOKUP($A732, Quotations!$I$2:I1756, Quotations!$J$2:J1756, "")
</f>
        <v>122.9</v>
      </c>
      <c r="G732" s="9">
        <f t="array" ref="G732">XLOOKUP($A732, Quotations!$K$2:K1756, Quotations!$L$2:L1756, "")
</f>
        <v>1386.276</v>
      </c>
    </row>
    <row r="733">
      <c r="A733" s="8">
        <v>42702.0</v>
      </c>
      <c r="B733" s="9">
        <f t="array" ref="B733">XLOOKUP($A733, Quotations!$A$2:A1756, Quotations!$B$2:B1756, "")
</f>
        <v>115.73</v>
      </c>
      <c r="C733" s="9">
        <f t="array" ref="C733">XLOOKUP($A733, Quotations!$C$2:C1756, Quotations!$D$2:D1756, "")</f>
        <v>24.55</v>
      </c>
      <c r="D733" s="9">
        <f t="array" ref="D733">XLOOKUP($A733, Quotations!$E$2:E1756, Quotations!$F$2:F1756, "")
</f>
        <v>114.36</v>
      </c>
      <c r="E733" s="9">
        <f t="array" ref="E733">XLOOKUP($A733, Quotations!$G$2:G1756, Quotations!$H$2:H1756, "")
</f>
        <v>115.28</v>
      </c>
      <c r="F733" s="9">
        <f t="array" ref="F733">XLOOKUP($A733, Quotations!$I$2:I1756, Quotations!$J$2:J1756, "")
</f>
        <v>122.84</v>
      </c>
      <c r="G733" s="9">
        <f t="array" ref="G733">XLOOKUP($A733, Quotations!$K$2:K1756, Quotations!$L$2:L1756, "")
</f>
        <v>1389.6488</v>
      </c>
    </row>
    <row r="734">
      <c r="A734" s="8">
        <v>42703.0</v>
      </c>
      <c r="B734" s="9">
        <f t="array" ref="B734">XLOOKUP($A734, Quotations!$A$2:A1756, Quotations!$B$2:B1756, "")
</f>
        <v>115.74</v>
      </c>
      <c r="C734" s="9">
        <f t="array" ref="C734">XLOOKUP($A734, Quotations!$C$2:C1756, Quotations!$D$2:D1756, "")</f>
        <v>24.55</v>
      </c>
      <c r="D734" s="9">
        <f t="array" ref="D734">XLOOKUP($A734, Quotations!$E$2:E1756, Quotations!$F$2:F1756, "")
</f>
        <v>114.37</v>
      </c>
      <c r="E734" s="9">
        <f t="array" ref="E734">XLOOKUP($A734, Quotations!$G$2:G1756, Quotations!$H$2:H1756, "")
</f>
        <v>114.77</v>
      </c>
      <c r="F734" s="9">
        <f t="array" ref="F734">XLOOKUP($A734, Quotations!$I$2:I1756, Quotations!$J$2:J1756, "")
</f>
        <v>123.2</v>
      </c>
      <c r="G734" s="9">
        <f t="array" ref="G734">XLOOKUP($A734, Quotations!$K$2:K1756, Quotations!$L$2:L1756, "")
</f>
        <v>1387.4311</v>
      </c>
    </row>
    <row r="735">
      <c r="A735" s="8">
        <v>42704.0</v>
      </c>
      <c r="B735" s="9">
        <f t="array" ref="B735">XLOOKUP($A735, Quotations!$A$2:A1756, Quotations!$B$2:B1756, "")
</f>
        <v>115.86</v>
      </c>
      <c r="C735" s="9">
        <f t="array" ref="C735">XLOOKUP($A735, Quotations!$C$2:C1756, Quotations!$D$2:D1756, "")</f>
        <v>24.55</v>
      </c>
      <c r="D735" s="9">
        <f t="array" ref="D735">XLOOKUP($A735, Quotations!$E$2:E1756, Quotations!$F$2:F1756, "")
</f>
        <v>114.38</v>
      </c>
      <c r="E735" s="9">
        <f t="array" ref="E735">XLOOKUP($A735, Quotations!$G$2:G1756, Quotations!$H$2:H1756, "")
</f>
        <v>115.24</v>
      </c>
      <c r="F735" s="9">
        <f t="array" ref="F735">XLOOKUP($A735, Quotations!$I$2:I1756, Quotations!$J$2:J1756, "")
</f>
        <v>123.03</v>
      </c>
      <c r="G735" s="9">
        <f t="array" ref="G735">XLOOKUP($A735, Quotations!$K$2:K1756, Quotations!$L$2:L1756, "")
</f>
        <v>1388.6017</v>
      </c>
    </row>
    <row r="736">
      <c r="A736" s="8">
        <v>42705.0</v>
      </c>
      <c r="B736" s="9">
        <f t="array" ref="B736">XLOOKUP($A736, Quotations!$A$2:A1756, Quotations!$B$2:B1756, "")
</f>
        <v>115.74</v>
      </c>
      <c r="C736" s="9">
        <f t="array" ref="C736">XLOOKUP($A736, Quotations!$C$2:C1756, Quotations!$D$2:D1756, "")</f>
        <v>24.55</v>
      </c>
      <c r="D736" s="9">
        <f t="array" ref="D736">XLOOKUP($A736, Quotations!$E$2:E1756, Quotations!$F$2:F1756, "")
</f>
        <v>114.37</v>
      </c>
      <c r="E736" s="9">
        <f t="array" ref="E736">XLOOKUP($A736, Quotations!$G$2:G1756, Quotations!$H$2:H1756, "")
</f>
        <v>115.41</v>
      </c>
      <c r="F736" s="9">
        <f t="array" ref="F736">XLOOKUP($A736, Quotations!$I$2:I1756, Quotations!$J$2:J1756, "")
</f>
        <v>122.76</v>
      </c>
      <c r="G736" s="9">
        <f t="array" ref="G736">XLOOKUP($A736, Quotations!$K$2:K1756, Quotations!$L$2:L1756, "")
</f>
        <v>1386.141</v>
      </c>
    </row>
    <row r="737">
      <c r="A737" s="8">
        <v>42706.0</v>
      </c>
      <c r="B737" s="9">
        <f t="array" ref="B737">XLOOKUP($A737, Quotations!$A$2:A1756, Quotations!$B$2:B1756, "")
</f>
        <v>115.6</v>
      </c>
      <c r="C737" s="9">
        <f t="array" ref="C737">XLOOKUP($A737, Quotations!$C$2:C1756, Quotations!$D$2:D1756, "")</f>
        <v>24.55</v>
      </c>
      <c r="D737" s="9">
        <f t="array" ref="D737">XLOOKUP($A737, Quotations!$E$2:E1756, Quotations!$F$2:F1756, "")
</f>
        <v>114.37</v>
      </c>
      <c r="E737" s="9">
        <f t="array" ref="E737">XLOOKUP($A737, Quotations!$G$2:G1756, Quotations!$H$2:H1756, "")
</f>
        <v>114.86</v>
      </c>
      <c r="F737" s="9">
        <f t="array" ref="F737">XLOOKUP($A737, Quotations!$I$2:I1756, Quotations!$J$2:J1756, "")
</f>
        <v>122.55</v>
      </c>
      <c r="G737" s="9">
        <f t="array" ref="G737">XLOOKUP($A737, Quotations!$K$2:K1756, Quotations!$L$2:L1756, "")
</f>
        <v>1377.2631</v>
      </c>
    </row>
    <row r="738">
      <c r="A738" s="8">
        <v>42709.0</v>
      </c>
      <c r="B738" s="9">
        <f t="array" ref="B738">XLOOKUP($A738, Quotations!$A$2:A1756, Quotations!$B$2:B1756, "")
</f>
        <v>115.71</v>
      </c>
      <c r="C738" s="9">
        <f t="array" ref="C738">XLOOKUP($A738, Quotations!$C$2:C1756, Quotations!$D$2:D1756, "")</f>
        <v>24.54</v>
      </c>
      <c r="D738" s="9">
        <f t="array" ref="D738">XLOOKUP($A738, Quotations!$E$2:E1756, Quotations!$F$2:F1756, "")
</f>
        <v>114.42</v>
      </c>
      <c r="E738" s="9">
        <f t="array" ref="E738">XLOOKUP($A738, Quotations!$G$2:G1756, Quotations!$H$2:H1756, "")
</f>
        <v>114.76</v>
      </c>
      <c r="F738" s="9">
        <f t="array" ref="F738">XLOOKUP($A738, Quotations!$I$2:I1756, Quotations!$J$2:J1756, "")
</f>
        <v>122.53</v>
      </c>
      <c r="G738" s="9">
        <f t="array" ref="G738">XLOOKUP($A738, Quotations!$K$2:K1756, Quotations!$L$2:L1756, "")
</f>
        <v>1376.1117</v>
      </c>
    </row>
    <row r="739">
      <c r="A739" s="8">
        <v>42710.0</v>
      </c>
      <c r="B739" s="9">
        <f t="array" ref="B739">XLOOKUP($A739, Quotations!$A$2:A1756, Quotations!$B$2:B1756, "")
</f>
        <v>115.9</v>
      </c>
      <c r="C739" s="9">
        <f t="array" ref="C739">XLOOKUP($A739, Quotations!$C$2:C1756, Quotations!$D$2:D1756, "")</f>
        <v>24.53</v>
      </c>
      <c r="D739" s="9">
        <f t="array" ref="D739">XLOOKUP($A739, Quotations!$E$2:E1756, Quotations!$F$2:F1756, "")
</f>
        <v>114.41</v>
      </c>
      <c r="E739" s="9">
        <f t="array" ref="E739">XLOOKUP($A739, Quotations!$G$2:G1756, Quotations!$H$2:H1756, "")
</f>
        <v>115.38</v>
      </c>
      <c r="F739" s="9">
        <f t="array" ref="F739">XLOOKUP($A739, Quotations!$I$2:I1756, Quotations!$J$2:J1756, "")
</f>
        <v>122.44</v>
      </c>
      <c r="G739" s="9">
        <f t="array" ref="G739">XLOOKUP($A739, Quotations!$K$2:K1756, Quotations!$L$2:L1756, "")
</f>
        <v>1381.4707</v>
      </c>
    </row>
    <row r="740">
      <c r="A740" s="8">
        <v>42711.0</v>
      </c>
      <c r="B740" s="9">
        <f t="array" ref="B740">XLOOKUP($A740, Quotations!$A$2:A1756, Quotations!$B$2:B1756, "")
</f>
        <v>116.47</v>
      </c>
      <c r="C740" s="9">
        <f t="array" ref="C740">XLOOKUP($A740, Quotations!$C$2:C1756, Quotations!$D$2:D1756, "")</f>
        <v>24.52</v>
      </c>
      <c r="D740" s="9">
        <f t="array" ref="D740">XLOOKUP($A740, Quotations!$E$2:E1756, Quotations!$F$2:F1756, "")
</f>
        <v>114.44</v>
      </c>
      <c r="E740" s="9">
        <f t="array" ref="E740">XLOOKUP($A740, Quotations!$G$2:G1756, Quotations!$H$2:H1756, "")
</f>
        <v>116.04</v>
      </c>
      <c r="F740" s="9">
        <f t="array" ref="F740">XLOOKUP($A740, Quotations!$I$2:I1756, Quotations!$J$2:J1756, "")
</f>
        <v>122.63</v>
      </c>
      <c r="G740" s="9">
        <f t="array" ref="G740">XLOOKUP($A740, Quotations!$K$2:K1756, Quotations!$L$2:L1756, "")
</f>
        <v>1383.915</v>
      </c>
    </row>
    <row r="741">
      <c r="A741" s="8">
        <v>42712.0</v>
      </c>
      <c r="B741" s="9">
        <f t="array" ref="B741">XLOOKUP($A741, Quotations!$A$2:A1756, Quotations!$B$2:B1756, "")
</f>
        <v>116.9</v>
      </c>
      <c r="C741" s="9">
        <f t="array" ref="C741">XLOOKUP($A741, Quotations!$C$2:C1756, Quotations!$D$2:D1756, "")</f>
        <v>24.55</v>
      </c>
      <c r="D741" s="9">
        <f t="array" ref="D741">XLOOKUP($A741, Quotations!$E$2:E1756, Quotations!$F$2:F1756, "")
</f>
        <v>114.46</v>
      </c>
      <c r="E741" s="9">
        <f t="array" ref="E741">XLOOKUP($A741, Quotations!$G$2:G1756, Quotations!$H$2:H1756, "")
</f>
        <v>116.71</v>
      </c>
      <c r="F741" s="9">
        <f t="array" ref="F741">XLOOKUP($A741, Quotations!$I$2:I1756, Quotations!$J$2:J1756, "")
</f>
        <v>122.81</v>
      </c>
      <c r="G741" s="9">
        <f t="array" ref="G741">XLOOKUP($A741, Quotations!$K$2:K1756, Quotations!$L$2:L1756, "")
</f>
        <v>1389.0446</v>
      </c>
    </row>
    <row r="742">
      <c r="A742" s="8">
        <v>42713.0</v>
      </c>
      <c r="B742" s="9">
        <f t="array" ref="B742">XLOOKUP($A742, Quotations!$A$2:A1756, Quotations!$B$2:B1756, "")
</f>
        <v>117.09</v>
      </c>
      <c r="C742" s="9">
        <f t="array" ref="C742">XLOOKUP($A742, Quotations!$C$2:C1756, Quotations!$D$2:D1756, "")</f>
        <v>24.57</v>
      </c>
      <c r="D742" s="9">
        <f t="array" ref="D742">XLOOKUP($A742, Quotations!$E$2:E1756, Quotations!$F$2:F1756, "")
</f>
        <v>114.46</v>
      </c>
      <c r="E742" s="9">
        <f t="array" ref="E742">XLOOKUP($A742, Quotations!$G$2:G1756, Quotations!$H$2:H1756, "")
</f>
        <v>117.51</v>
      </c>
      <c r="F742" s="9">
        <f t="array" ref="F742">XLOOKUP($A742, Quotations!$I$2:I1756, Quotations!$J$2:J1756, "")
</f>
        <v>123.21</v>
      </c>
      <c r="G742" s="9">
        <f t="array" ref="G742">XLOOKUP($A742, Quotations!$K$2:K1756, Quotations!$L$2:L1756, "")
</f>
        <v>1393.2545</v>
      </c>
    </row>
    <row r="743">
      <c r="A743" s="8">
        <v>42716.0</v>
      </c>
      <c r="B743" s="9">
        <f t="array" ref="B743">XLOOKUP($A743, Quotations!$A$2:A1756, Quotations!$B$2:B1756, "")
</f>
        <v>117.18</v>
      </c>
      <c r="C743" s="9">
        <f t="array" ref="C743">XLOOKUP($A743, Quotations!$C$2:C1756, Quotations!$D$2:D1756, "")</f>
        <v>24.56</v>
      </c>
      <c r="D743" s="9">
        <f t="array" ref="D743">XLOOKUP($A743, Quotations!$E$2:E1756, Quotations!$F$2:F1756, "")
</f>
        <v>114.49</v>
      </c>
      <c r="E743" s="9">
        <f t="array" ref="E743">XLOOKUP($A743, Quotations!$G$2:G1756, Quotations!$H$2:H1756, "")
</f>
        <v>117.47</v>
      </c>
      <c r="F743" s="9">
        <f t="array" ref="F743">XLOOKUP($A743, Quotations!$I$2:I1756, Quotations!$J$2:J1756, "")
</f>
        <v>123.34</v>
      </c>
      <c r="G743" s="9">
        <f t="array" ref="G743">XLOOKUP($A743, Quotations!$K$2:K1756, Quotations!$L$2:L1756, "")
</f>
        <v>1394.979</v>
      </c>
    </row>
    <row r="744">
      <c r="A744" s="8">
        <v>42717.0</v>
      </c>
      <c r="B744" s="9">
        <f t="array" ref="B744">XLOOKUP($A744, Quotations!$A$2:A1756, Quotations!$B$2:B1756, "")
</f>
        <v>117.58</v>
      </c>
      <c r="C744" s="9">
        <f t="array" ref="C744">XLOOKUP($A744, Quotations!$C$2:C1756, Quotations!$D$2:D1756, "")</f>
        <v>24.56</v>
      </c>
      <c r="D744" s="9">
        <f t="array" ref="D744">XLOOKUP($A744, Quotations!$E$2:E1756, Quotations!$F$2:F1756, "")
</f>
        <v>114.53</v>
      </c>
      <c r="E744" s="9">
        <f t="array" ref="E744">XLOOKUP($A744, Quotations!$G$2:G1756, Quotations!$H$2:H1756, "")
</f>
        <v>117.54</v>
      </c>
      <c r="F744" s="9">
        <f t="array" ref="F744">XLOOKUP($A744, Quotations!$I$2:I1756, Quotations!$J$2:J1756, "")
</f>
        <v>122.95</v>
      </c>
      <c r="G744" s="9">
        <f t="array" ref="G744">XLOOKUP($A744, Quotations!$K$2:K1756, Quotations!$L$2:L1756, "")
</f>
        <v>1393.2388</v>
      </c>
    </row>
    <row r="745">
      <c r="A745" s="8">
        <v>42718.0</v>
      </c>
      <c r="B745" s="9">
        <f t="array" ref="B745">XLOOKUP($A745, Quotations!$A$2:A1756, Quotations!$B$2:B1756, "")
</f>
        <v>117.62</v>
      </c>
      <c r="C745" s="9">
        <f t="array" ref="C745">XLOOKUP($A745, Quotations!$C$2:C1756, Quotations!$D$2:D1756, "")</f>
        <v>24.55</v>
      </c>
      <c r="D745" s="9">
        <f t="array" ref="D745">XLOOKUP($A745, Quotations!$E$2:E1756, Quotations!$F$2:F1756, "")
</f>
        <v>114.52</v>
      </c>
      <c r="E745" s="9">
        <f t="array" ref="E745">XLOOKUP($A745, Quotations!$G$2:G1756, Quotations!$H$2:H1756, "")
</f>
        <v>118.15</v>
      </c>
      <c r="F745" s="9">
        <f t="array" ref="F745">XLOOKUP($A745, Quotations!$I$2:I1756, Quotations!$J$2:J1756, "")
</f>
        <v>123.19</v>
      </c>
      <c r="G745" s="9">
        <f t="array" ref="G745">XLOOKUP($A745, Quotations!$K$2:K1756, Quotations!$L$2:L1756, "")
</f>
        <v>1397.188</v>
      </c>
    </row>
    <row r="746">
      <c r="A746" s="8">
        <v>42719.0</v>
      </c>
      <c r="B746" s="9">
        <f t="array" ref="B746">XLOOKUP($A746, Quotations!$A$2:A1756, Quotations!$B$2:B1756, "")
</f>
        <v>117.43</v>
      </c>
      <c r="C746" s="9">
        <f t="array" ref="C746">XLOOKUP($A746, Quotations!$C$2:C1756, Quotations!$D$2:D1756, "")</f>
        <v>24.57</v>
      </c>
      <c r="D746" s="9">
        <f t="array" ref="D746">XLOOKUP($A746, Quotations!$E$2:E1756, Quotations!$F$2:F1756, "")
</f>
        <v>114.51</v>
      </c>
      <c r="E746" s="9">
        <f t="array" ref="E746">XLOOKUP($A746, Quotations!$G$2:G1756, Quotations!$H$2:H1756, "")
</f>
        <v>117.95</v>
      </c>
      <c r="F746" s="9">
        <f t="array" ref="F746">XLOOKUP($A746, Quotations!$I$2:I1756, Quotations!$J$2:J1756, "")
</f>
        <v>123.06</v>
      </c>
      <c r="G746" s="9">
        <f t="array" ref="G746">XLOOKUP($A746, Quotations!$K$2:K1756, Quotations!$L$2:L1756, "")
</f>
        <v>1394.6488</v>
      </c>
    </row>
    <row r="747">
      <c r="A747" s="8">
        <v>42720.0</v>
      </c>
      <c r="B747" s="9">
        <f t="array" ref="B747">XLOOKUP($A747, Quotations!$A$2:A1756, Quotations!$B$2:B1756, "")
</f>
        <v>117.7</v>
      </c>
      <c r="C747" s="9">
        <f t="array" ref="C747">XLOOKUP($A747, Quotations!$C$2:C1756, Quotations!$D$2:D1756, "")</f>
        <v>24.57</v>
      </c>
      <c r="D747" s="9">
        <f t="array" ref="D747">XLOOKUP($A747, Quotations!$E$2:E1756, Quotations!$F$2:F1756, "")
</f>
        <v>114.51</v>
      </c>
      <c r="E747" s="9">
        <f t="array" ref="E747">XLOOKUP($A747, Quotations!$G$2:G1756, Quotations!$H$2:H1756, "")
</f>
        <v>118.42</v>
      </c>
      <c r="F747" s="9">
        <f t="array" ref="F747">XLOOKUP($A747, Quotations!$I$2:I1756, Quotations!$J$2:J1756, "")
</f>
        <v>123.33</v>
      </c>
      <c r="G747" s="9">
        <f t="array" ref="G747">XLOOKUP($A747, Quotations!$K$2:K1756, Quotations!$L$2:L1756, "")
</f>
        <v>1392.3032</v>
      </c>
    </row>
    <row r="748">
      <c r="A748" s="8">
        <v>42723.0</v>
      </c>
      <c r="B748" s="9">
        <f t="array" ref="B748">XLOOKUP($A748, Quotations!$A$2:A1756, Quotations!$B$2:B1756, "")
</f>
        <v>117.68</v>
      </c>
      <c r="C748" s="9">
        <f t="array" ref="C748">XLOOKUP($A748, Quotations!$C$2:C1756, Quotations!$D$2:D1756, "")</f>
        <v>24.57</v>
      </c>
      <c r="D748" s="9">
        <f t="array" ref="D748">XLOOKUP($A748, Quotations!$E$2:E1756, Quotations!$F$2:F1756, "")
</f>
        <v>114.54</v>
      </c>
      <c r="E748" s="9">
        <f t="array" ref="E748">XLOOKUP($A748, Quotations!$G$2:G1756, Quotations!$H$2:H1756, "")
</f>
        <v>118.33</v>
      </c>
      <c r="F748" s="9">
        <f t="array" ref="F748">XLOOKUP($A748, Quotations!$I$2:I1756, Quotations!$J$2:J1756, "")
</f>
        <v>123.51</v>
      </c>
      <c r="G748" s="9">
        <f t="array" ref="G748">XLOOKUP($A748, Quotations!$K$2:K1756, Quotations!$L$2:L1756, "")
</f>
        <v>1391.3093</v>
      </c>
    </row>
    <row r="749">
      <c r="A749" s="8">
        <v>42724.0</v>
      </c>
      <c r="B749" s="9">
        <f t="array" ref="B749">XLOOKUP($A749, Quotations!$A$2:A1756, Quotations!$B$2:B1756, "")
</f>
        <v>117.71</v>
      </c>
      <c r="C749" s="9">
        <f t="array" ref="C749">XLOOKUP($A749, Quotations!$C$2:C1756, Quotations!$D$2:D1756, "")</f>
        <v>24.58</v>
      </c>
      <c r="D749" s="9">
        <f t="array" ref="D749">XLOOKUP($A749, Quotations!$E$2:E1756, Quotations!$F$2:F1756, "")
</f>
        <v>114.56</v>
      </c>
      <c r="E749" s="9">
        <f t="array" ref="E749">XLOOKUP($A749, Quotations!$G$2:G1756, Quotations!$H$2:H1756, "")
</f>
        <v>118.44</v>
      </c>
      <c r="F749" s="9">
        <f t="array" ref="F749">XLOOKUP($A749, Quotations!$I$2:I1756, Quotations!$J$2:J1756, "")
</f>
        <v>123.61</v>
      </c>
      <c r="G749" s="9">
        <f t="array" ref="G749">XLOOKUP($A749, Quotations!$K$2:K1756, Quotations!$L$2:L1756, "")
</f>
        <v>1392.4012</v>
      </c>
    </row>
    <row r="750">
      <c r="A750" s="8">
        <v>42725.0</v>
      </c>
      <c r="B750" s="9">
        <f t="array" ref="B750">XLOOKUP($A750, Quotations!$A$2:A1756, Quotations!$B$2:B1756, "")
</f>
        <v>117.76</v>
      </c>
      <c r="C750" s="9">
        <f t="array" ref="C750">XLOOKUP($A750, Quotations!$C$2:C1756, Quotations!$D$2:D1756, "")</f>
        <v>24.57</v>
      </c>
      <c r="D750" s="9">
        <f t="array" ref="D750">XLOOKUP($A750, Quotations!$E$2:E1756, Quotations!$F$2:F1756, "")
</f>
        <v>114.55</v>
      </c>
      <c r="E750" s="9">
        <f t="array" ref="E750">XLOOKUP($A750, Quotations!$G$2:G1756, Quotations!$H$2:H1756, "")
</f>
        <v>118.77</v>
      </c>
      <c r="F750" s="9">
        <f t="array" ref="F750">XLOOKUP($A750, Quotations!$I$2:I1756, Quotations!$J$2:J1756, "")
</f>
        <v>123.81</v>
      </c>
      <c r="G750" s="9">
        <f t="array" ref="G750">XLOOKUP($A750, Quotations!$K$2:K1756, Quotations!$L$2:L1756, "")
</f>
        <v>1392.4932</v>
      </c>
    </row>
    <row r="751">
      <c r="A751" s="8">
        <v>42726.0</v>
      </c>
      <c r="B751" s="9">
        <f t="array" ref="B751">XLOOKUP($A751, Quotations!$A$2:A1756, Quotations!$B$2:B1756, "")
</f>
        <v>117.76</v>
      </c>
      <c r="C751" s="9">
        <f t="array" ref="C751">XLOOKUP($A751, Quotations!$C$2:C1756, Quotations!$D$2:D1756, "")</f>
        <v>24.55</v>
      </c>
      <c r="D751" s="9">
        <f t="array" ref="D751">XLOOKUP($A751, Quotations!$E$2:E1756, Quotations!$F$2:F1756, "")
</f>
        <v>114.53</v>
      </c>
      <c r="E751" s="9">
        <f t="array" ref="E751">XLOOKUP($A751, Quotations!$G$2:G1756, Quotations!$H$2:H1756, "")
</f>
        <v>118.66</v>
      </c>
      <c r="F751" s="9">
        <f t="array" ref="F751">XLOOKUP($A751, Quotations!$I$2:I1756, Quotations!$J$2:J1756, "")
</f>
        <v>123.68</v>
      </c>
      <c r="G751" s="9">
        <f t="array" ref="G751">XLOOKUP($A751, Quotations!$K$2:K1756, Quotations!$L$2:L1756, "")
</f>
        <v>1392.7393</v>
      </c>
    </row>
    <row r="752">
      <c r="A752" s="8">
        <v>42727.0</v>
      </c>
      <c r="B752" s="9">
        <f t="array" ref="B752">XLOOKUP($A752, Quotations!$A$2:A1756, Quotations!$B$2:B1756, "")
</f>
        <v>117.94</v>
      </c>
      <c r="C752" s="9">
        <f t="array" ref="C752">XLOOKUP($A752, Quotations!$C$2:C1756, Quotations!$D$2:D1756, "")</f>
        <v>24.54</v>
      </c>
      <c r="D752" s="9">
        <f t="array" ref="D752">XLOOKUP($A752, Quotations!$E$2:E1756, Quotations!$F$2:F1756, "")
</f>
        <v>114.54</v>
      </c>
      <c r="E752" s="9">
        <f t="array" ref="E752">XLOOKUP($A752, Quotations!$G$2:G1756, Quotations!$H$2:H1756, "")
</f>
        <v>118.49</v>
      </c>
      <c r="F752" s="9">
        <f t="array" ref="F752">XLOOKUP($A752, Quotations!$I$2:I1756, Quotations!$J$2:J1756, "")
</f>
        <v>123.6</v>
      </c>
      <c r="G752" s="9">
        <f t="array" ref="G752">XLOOKUP($A752, Quotations!$K$2:K1756, Quotations!$L$2:L1756, "")
</f>
        <v>1391.5134</v>
      </c>
    </row>
    <row r="753">
      <c r="A753" s="8">
        <v>42731.0</v>
      </c>
      <c r="B753" s="9">
        <f t="array" ref="B753">XLOOKUP($A753, Quotations!$A$2:A1756, Quotations!$B$2:B1756, "")
</f>
        <v>118.03</v>
      </c>
      <c r="C753" s="9">
        <f t="array" ref="C753">XLOOKUP($A753, Quotations!$C$2:C1756, Quotations!$D$2:D1756, "")</f>
        <v>24.55</v>
      </c>
      <c r="D753" s="9">
        <f t="array" ref="D753">XLOOKUP($A753, Quotations!$E$2:E1756, Quotations!$F$2:F1756, "")
</f>
        <v>114.58</v>
      </c>
      <c r="E753" s="9">
        <f t="array" ref="E753">XLOOKUP($A753, Quotations!$G$2:G1756, Quotations!$H$2:H1756, "")
</f>
        <v>118.47</v>
      </c>
      <c r="F753" s="9">
        <f t="array" ref="F753">XLOOKUP($A753, Quotations!$I$2:I1756, Quotations!$J$2:J1756, "")
</f>
        <v>123.64</v>
      </c>
      <c r="G753" s="9" t="str">
        <f t="array" ref="G753">XLOOKUP($A753, Quotations!$K$2:K1756, Quotations!$L$2:L1756, "")
</f>
        <v/>
      </c>
    </row>
    <row r="754">
      <c r="A754" s="8">
        <v>42732.0</v>
      </c>
      <c r="B754" s="9">
        <f t="array" ref="B754">XLOOKUP($A754, Quotations!$A$2:A1756, Quotations!$B$2:B1756, "")
</f>
        <v>117.98</v>
      </c>
      <c r="C754" s="9">
        <f t="array" ref="C754">XLOOKUP($A754, Quotations!$C$2:C1756, Quotations!$D$2:D1756, "")</f>
        <v>24.57</v>
      </c>
      <c r="D754" s="9">
        <f t="array" ref="D754">XLOOKUP($A754, Quotations!$E$2:E1756, Quotations!$F$2:F1756, "")
</f>
        <v>114.66</v>
      </c>
      <c r="E754" s="9">
        <f t="array" ref="E754">XLOOKUP($A754, Quotations!$G$2:G1756, Quotations!$H$2:H1756, "")
</f>
        <v>118.51</v>
      </c>
      <c r="F754" s="9">
        <f t="array" ref="F754">XLOOKUP($A754, Quotations!$I$2:I1756, Quotations!$J$2:J1756, "")
</f>
        <v>123.78</v>
      </c>
      <c r="G754" s="9">
        <f t="array" ref="G754">XLOOKUP($A754, Quotations!$K$2:K1756, Quotations!$L$2:L1756, "")
</f>
        <v>1394.4962</v>
      </c>
    </row>
    <row r="755">
      <c r="A755" s="8">
        <v>42733.0</v>
      </c>
      <c r="B755" s="9">
        <f t="array" ref="B755">XLOOKUP($A755, Quotations!$A$2:A1756, Quotations!$B$2:B1756, "")
</f>
        <v>118.11</v>
      </c>
      <c r="C755" s="9">
        <f t="array" ref="C755">XLOOKUP($A755, Quotations!$C$2:C1756, Quotations!$D$2:D1756, "")</f>
        <v>24.54</v>
      </c>
      <c r="D755" s="9">
        <f t="array" ref="D755">XLOOKUP($A755, Quotations!$E$2:E1756, Quotations!$F$2:F1756, "")
</f>
        <v>114.55</v>
      </c>
      <c r="E755" s="9">
        <f t="array" ref="E755">XLOOKUP($A755, Quotations!$G$2:G1756, Quotations!$H$2:H1756, "")
</f>
        <v>118.6</v>
      </c>
      <c r="F755" s="9">
        <f t="array" ref="F755">XLOOKUP($A755, Quotations!$I$2:I1756, Quotations!$J$2:J1756, "")
</f>
        <v>124.06</v>
      </c>
      <c r="G755" s="9">
        <f t="array" ref="G755">XLOOKUP($A755, Quotations!$K$2:K1756, Quotations!$L$2:L1756, "")
</f>
        <v>1390.5306</v>
      </c>
    </row>
    <row r="756">
      <c r="A756" s="8">
        <v>42734.0</v>
      </c>
      <c r="B756" s="9">
        <f t="array" ref="B756">XLOOKUP($A756, Quotations!$A$2:A1756, Quotations!$B$2:B1756, "")
</f>
        <v>118.2</v>
      </c>
      <c r="C756" s="9">
        <f t="array" ref="C756">XLOOKUP($A756, Quotations!$C$2:C1756, Quotations!$D$2:D1756, "")</f>
        <v>24.54</v>
      </c>
      <c r="D756" s="9">
        <f t="array" ref="D756">XLOOKUP($A756, Quotations!$E$2:E1756, Quotations!$F$2:F1756, "")
</f>
        <v>114.54</v>
      </c>
      <c r="E756" s="9">
        <f t="array" ref="E756">XLOOKUP($A756, Quotations!$G$2:G1756, Quotations!$H$2:H1756, "")
</f>
        <v>118.38</v>
      </c>
      <c r="F756" s="9">
        <f t="array" ref="F756">XLOOKUP($A756, Quotations!$I$2:I1756, Quotations!$J$2:J1756, "")
</f>
        <v>124.02</v>
      </c>
      <c r="G756" s="9">
        <f t="array" ref="G756">XLOOKUP($A756, Quotations!$K$2:K1756, Quotations!$L$2:L1756, "")
</f>
        <v>1391.5247</v>
      </c>
    </row>
    <row r="757">
      <c r="A757" s="8">
        <v>42737.0</v>
      </c>
      <c r="B757" s="9">
        <f t="array" ref="B757">XLOOKUP($A757, Quotations!$A$2:A1756, Quotations!$B$2:B1756, "")
</f>
        <v>118.31</v>
      </c>
      <c r="C757" s="9">
        <f t="array" ref="C757">XLOOKUP($A757, Quotations!$C$2:C1756, Quotations!$D$2:D1756, "")</f>
        <v>24.53</v>
      </c>
      <c r="D757" s="9">
        <f t="array" ref="D757">XLOOKUP($A757, Quotations!$E$2:E1756, Quotations!$F$2:F1756, "")
</f>
        <v>114.56</v>
      </c>
      <c r="E757" s="9">
        <f t="array" ref="E757">XLOOKUP($A757, Quotations!$G$2:G1756, Quotations!$H$2:H1756, "")
</f>
        <v>118.6</v>
      </c>
      <c r="F757" s="9">
        <f t="array" ref="F757">XLOOKUP($A757, Quotations!$I$2:I1756, Quotations!$J$2:J1756, "")
</f>
        <v>123.8</v>
      </c>
      <c r="G757" s="9" t="str">
        <f t="array" ref="G757">XLOOKUP($A757, Quotations!$K$2:K1756, Quotations!$L$2:L1756, "")
</f>
        <v/>
      </c>
    </row>
    <row r="758">
      <c r="A758" s="8">
        <v>42738.0</v>
      </c>
      <c r="B758" s="9">
        <f t="array" ref="B758">XLOOKUP($A758, Quotations!$A$2:A1756, Quotations!$B$2:B1756, "")
</f>
        <v>118.23</v>
      </c>
      <c r="C758" s="9">
        <f t="array" ref="C758">XLOOKUP($A758, Quotations!$C$2:C1756, Quotations!$D$2:D1756, "")</f>
        <v>24.56</v>
      </c>
      <c r="D758" s="9">
        <f t="array" ref="D758">XLOOKUP($A758, Quotations!$E$2:E1756, Quotations!$F$2:F1756, "")
</f>
        <v>114.57</v>
      </c>
      <c r="E758" s="9">
        <f t="array" ref="E758">XLOOKUP($A758, Quotations!$G$2:G1756, Quotations!$H$2:H1756, "")
</f>
        <v>118.96</v>
      </c>
      <c r="F758" s="9">
        <f t="array" ref="F758">XLOOKUP($A758, Quotations!$I$2:I1756, Quotations!$J$2:J1756, "")
</f>
        <v>124.09</v>
      </c>
      <c r="G758" s="9">
        <f t="array" ref="G758">XLOOKUP($A758, Quotations!$K$2:K1756, Quotations!$L$2:L1756, "")
</f>
        <v>1390.1954</v>
      </c>
    </row>
    <row r="759">
      <c r="A759" s="8">
        <v>42739.0</v>
      </c>
      <c r="B759" s="9">
        <f t="array" ref="B759">XLOOKUP($A759, Quotations!$A$2:A1756, Quotations!$B$2:B1756, "")
</f>
        <v>118.3</v>
      </c>
      <c r="C759" s="9">
        <f t="array" ref="C759">XLOOKUP($A759, Quotations!$C$2:C1756, Quotations!$D$2:D1756, "")</f>
        <v>24.55</v>
      </c>
      <c r="D759" s="9">
        <f t="array" ref="D759">XLOOKUP($A759, Quotations!$E$2:E1756, Quotations!$F$2:F1756, "")
</f>
        <v>114.58</v>
      </c>
      <c r="E759" s="9">
        <f t="array" ref="E759">XLOOKUP($A759, Quotations!$G$2:G1756, Quotations!$H$2:H1756, "")
</f>
        <v>118.59</v>
      </c>
      <c r="F759" s="9">
        <f t="array" ref="F759">XLOOKUP($A759, Quotations!$I$2:I1756, Quotations!$J$2:J1756, "")
</f>
        <v>124.57</v>
      </c>
      <c r="G759" s="9">
        <f t="array" ref="G759">XLOOKUP($A759, Quotations!$K$2:K1756, Quotations!$L$2:L1756, "")
</f>
        <v>1395.9731</v>
      </c>
    </row>
    <row r="760">
      <c r="A760" s="8">
        <v>42740.0</v>
      </c>
      <c r="B760" s="9">
        <f t="array" ref="B760">XLOOKUP($A760, Quotations!$A$2:A1756, Quotations!$B$2:B1756, "")
</f>
        <v>118.3</v>
      </c>
      <c r="C760" s="9">
        <f t="array" ref="C760">XLOOKUP($A760, Quotations!$C$2:C1756, Quotations!$D$2:D1756, "")</f>
        <v>24.53</v>
      </c>
      <c r="D760" s="9">
        <f t="array" ref="D760">XLOOKUP($A760, Quotations!$E$2:E1756, Quotations!$F$2:F1756, "")
</f>
        <v>114.59</v>
      </c>
      <c r="E760" s="9">
        <f t="array" ref="E760">XLOOKUP($A760, Quotations!$G$2:G1756, Quotations!$H$2:H1756, "")
</f>
        <v>118.52</v>
      </c>
      <c r="F760" s="9">
        <f t="array" ref="F760">XLOOKUP($A760, Quotations!$I$2:I1756, Quotations!$J$2:J1756, "")
</f>
        <v>124.53</v>
      </c>
      <c r="G760" s="9">
        <f t="array" ref="G760">XLOOKUP($A760, Quotations!$K$2:K1756, Quotations!$L$2:L1756, "")
</f>
        <v>1399.65</v>
      </c>
    </row>
    <row r="761">
      <c r="A761" s="8">
        <v>42741.0</v>
      </c>
      <c r="B761" s="9">
        <f t="array" ref="B761">XLOOKUP($A761, Quotations!$A$2:A1756, Quotations!$B$2:B1756, "")
</f>
        <v>118.32</v>
      </c>
      <c r="C761" s="9">
        <f t="array" ref="C761">XLOOKUP($A761, Quotations!$C$2:C1756, Quotations!$D$2:D1756, "")</f>
        <v>24.53</v>
      </c>
      <c r="D761" s="9">
        <f t="array" ref="D761">XLOOKUP($A761, Quotations!$E$2:E1756, Quotations!$F$2:F1756, "")
</f>
        <v>114.61</v>
      </c>
      <c r="E761" s="9">
        <f t="array" ref="E761">XLOOKUP($A761, Quotations!$G$2:G1756, Quotations!$H$2:H1756, "")
</f>
        <v>118.4</v>
      </c>
      <c r="F761" s="9">
        <f t="array" ref="F761">XLOOKUP($A761, Quotations!$I$2:I1756, Quotations!$J$2:J1756, "")
</f>
        <v>124.6</v>
      </c>
      <c r="G761" s="9">
        <f t="array" ref="G761">XLOOKUP($A761, Quotations!$K$2:K1756, Quotations!$L$2:L1756, "")
</f>
        <v>1401.375</v>
      </c>
    </row>
    <row r="762">
      <c r="A762" s="8">
        <v>42744.0</v>
      </c>
      <c r="B762" s="9">
        <f t="array" ref="B762">XLOOKUP($A762, Quotations!$A$2:A1756, Quotations!$B$2:B1756, "")
</f>
        <v>118.26</v>
      </c>
      <c r="C762" s="9">
        <f t="array" ref="C762">XLOOKUP($A762, Quotations!$C$2:C1756, Quotations!$D$2:D1756, "")</f>
        <v>24.52</v>
      </c>
      <c r="D762" s="9">
        <f t="array" ref="D762">XLOOKUP($A762, Quotations!$E$2:E1756, Quotations!$F$2:F1756, "")
</f>
        <v>114.65</v>
      </c>
      <c r="E762" s="9">
        <f t="array" ref="E762">XLOOKUP($A762, Quotations!$G$2:G1756, Quotations!$H$2:H1756, "")
</f>
        <v>118.33</v>
      </c>
      <c r="F762" s="9">
        <f t="array" ref="F762">XLOOKUP($A762, Quotations!$I$2:I1756, Quotations!$J$2:J1756, "")
</f>
        <v>124.58</v>
      </c>
      <c r="G762" s="9">
        <f t="array" ref="G762">XLOOKUP($A762, Quotations!$K$2:K1756, Quotations!$L$2:L1756, "")
</f>
        <v>1402.4611</v>
      </c>
    </row>
    <row r="763">
      <c r="A763" s="8">
        <v>42745.0</v>
      </c>
      <c r="B763" s="9">
        <f t="array" ref="B763">XLOOKUP($A763, Quotations!$A$2:A1756, Quotations!$B$2:B1756, "")
</f>
        <v>118.25</v>
      </c>
      <c r="C763" s="9">
        <f t="array" ref="C763">XLOOKUP($A763, Quotations!$C$2:C1756, Quotations!$D$2:D1756, "")</f>
        <v>24.51</v>
      </c>
      <c r="D763" s="9">
        <f t="array" ref="D763">XLOOKUP($A763, Quotations!$E$2:E1756, Quotations!$F$2:F1756, "")
</f>
        <v>114.64</v>
      </c>
      <c r="E763" s="9">
        <f t="array" ref="E763">XLOOKUP($A763, Quotations!$G$2:G1756, Quotations!$H$2:H1756, "")
</f>
        <v>118.29</v>
      </c>
      <c r="F763" s="9">
        <f t="array" ref="F763">XLOOKUP($A763, Quotations!$I$2:I1756, Quotations!$J$2:J1756, "")
</f>
        <v>124.69</v>
      </c>
      <c r="G763" s="9">
        <f t="array" ref="G763">XLOOKUP($A763, Quotations!$K$2:K1756, Quotations!$L$2:L1756, "")
</f>
        <v>1401.4126</v>
      </c>
    </row>
    <row r="764">
      <c r="A764" s="8">
        <v>42746.0</v>
      </c>
      <c r="B764" s="9">
        <f t="array" ref="B764">XLOOKUP($A764, Quotations!$A$2:A1756, Quotations!$B$2:B1756, "")
</f>
        <v>118.21</v>
      </c>
      <c r="C764" s="9">
        <f t="array" ref="C764">XLOOKUP($A764, Quotations!$C$2:C1756, Quotations!$D$2:D1756, "")</f>
        <v>24.54</v>
      </c>
      <c r="D764" s="9">
        <f t="array" ref="D764">XLOOKUP($A764, Quotations!$E$2:E1756, Quotations!$F$2:F1756, "")
</f>
        <v>114.62</v>
      </c>
      <c r="E764" s="9">
        <f t="array" ref="E764">XLOOKUP($A764, Quotations!$G$2:G1756, Quotations!$H$2:H1756, "")
</f>
        <v>118.34</v>
      </c>
      <c r="F764" s="9">
        <f t="array" ref="F764">XLOOKUP($A764, Quotations!$I$2:I1756, Quotations!$J$2:J1756, "")
</f>
        <v>124.68</v>
      </c>
      <c r="G764" s="9">
        <f t="array" ref="G764">XLOOKUP($A764, Quotations!$K$2:K1756, Quotations!$L$2:L1756, "")
</f>
        <v>1402.8232</v>
      </c>
    </row>
    <row r="765">
      <c r="A765" s="8">
        <v>42747.0</v>
      </c>
      <c r="B765" s="9">
        <f t="array" ref="B765">XLOOKUP($A765, Quotations!$A$2:A1756, Quotations!$B$2:B1756, "")
</f>
        <v>118.22</v>
      </c>
      <c r="C765" s="9">
        <f t="array" ref="C765">XLOOKUP($A765, Quotations!$C$2:C1756, Quotations!$D$2:D1756, "")</f>
        <v>24.51</v>
      </c>
      <c r="D765" s="9">
        <f t="array" ref="D765">XLOOKUP($A765, Quotations!$E$2:E1756, Quotations!$F$2:F1756, "")
</f>
        <v>114.63</v>
      </c>
      <c r="E765" s="9">
        <f t="array" ref="E765">XLOOKUP($A765, Quotations!$G$2:G1756, Quotations!$H$2:H1756, "")
</f>
        <v>118.58</v>
      </c>
      <c r="F765" s="9">
        <f t="array" ref="F765">XLOOKUP($A765, Quotations!$I$2:I1756, Quotations!$J$2:J1756, "")
</f>
        <v>125.07</v>
      </c>
      <c r="G765" s="9">
        <f t="array" ref="G765">XLOOKUP($A765, Quotations!$K$2:K1756, Quotations!$L$2:L1756, "")
</f>
        <v>1403.6691</v>
      </c>
    </row>
    <row r="766">
      <c r="A766" s="8">
        <v>42748.0</v>
      </c>
      <c r="B766" s="9">
        <f t="array" ref="B766">XLOOKUP($A766, Quotations!$A$2:A1756, Quotations!$B$2:B1756, "")
</f>
        <v>118.43</v>
      </c>
      <c r="C766" s="9">
        <f t="array" ref="C766">XLOOKUP($A766, Quotations!$C$2:C1756, Quotations!$D$2:D1756, "")</f>
        <v>24.51</v>
      </c>
      <c r="D766" s="9">
        <f t="array" ref="D766">XLOOKUP($A766, Quotations!$E$2:E1756, Quotations!$F$2:F1756, "")
</f>
        <v>114.63</v>
      </c>
      <c r="E766" s="9">
        <f t="array" ref="E766">XLOOKUP($A766, Quotations!$G$2:G1756, Quotations!$H$2:H1756, "")
</f>
        <v>118.27</v>
      </c>
      <c r="F766" s="9">
        <f t="array" ref="F766">XLOOKUP($A766, Quotations!$I$2:I1756, Quotations!$J$2:J1756, "")
</f>
        <v>124.51</v>
      </c>
      <c r="G766" s="9">
        <f t="array" ref="G766">XLOOKUP($A766, Quotations!$K$2:K1756, Quotations!$L$2:L1756, "")
</f>
        <v>1402.1918</v>
      </c>
    </row>
    <row r="767">
      <c r="A767" s="8">
        <v>42751.0</v>
      </c>
      <c r="B767" s="9">
        <f t="array" ref="B767">XLOOKUP($A767, Quotations!$A$2:A1756, Quotations!$B$2:B1756, "")
</f>
        <v>118.39</v>
      </c>
      <c r="C767" s="9">
        <f t="array" ref="C767">XLOOKUP($A767, Quotations!$C$2:C1756, Quotations!$D$2:D1756, "")</f>
        <v>24.51</v>
      </c>
      <c r="D767" s="9">
        <f t="array" ref="D767">XLOOKUP($A767, Quotations!$E$2:E1756, Quotations!$F$2:F1756, "")
</f>
        <v>114.68</v>
      </c>
      <c r="E767" s="9">
        <f t="array" ref="E767">XLOOKUP($A767, Quotations!$G$2:G1756, Quotations!$H$2:H1756, "")
</f>
        <v>118.53</v>
      </c>
      <c r="F767" s="9">
        <f t="array" ref="F767">XLOOKUP($A767, Quotations!$I$2:I1756, Quotations!$J$2:J1756, "")
</f>
        <v>124.56</v>
      </c>
      <c r="G767" s="9">
        <f t="array" ref="G767">XLOOKUP($A767, Quotations!$K$2:K1756, Quotations!$L$2:L1756, "")
</f>
        <v>1402.731</v>
      </c>
    </row>
    <row r="768">
      <c r="A768" s="8">
        <v>42752.0</v>
      </c>
      <c r="B768" s="9">
        <f t="array" ref="B768">XLOOKUP($A768, Quotations!$A$2:A1756, Quotations!$B$2:B1756, "")
</f>
        <v>118.29</v>
      </c>
      <c r="C768" s="9">
        <f t="array" ref="C768">XLOOKUP($A768, Quotations!$C$2:C1756, Quotations!$D$2:D1756, "")</f>
        <v>24.51</v>
      </c>
      <c r="D768" s="9">
        <f t="array" ref="D768">XLOOKUP($A768, Quotations!$E$2:E1756, Quotations!$F$2:F1756, "")
</f>
        <v>114.7</v>
      </c>
      <c r="E768" s="9">
        <f t="array" ref="E768">XLOOKUP($A768, Quotations!$G$2:G1756, Quotations!$H$2:H1756, "")
</f>
        <v>118.28</v>
      </c>
      <c r="F768" s="9">
        <f t="array" ref="F768">XLOOKUP($A768, Quotations!$I$2:I1756, Quotations!$J$2:J1756, "")
</f>
        <v>124.66</v>
      </c>
      <c r="G768" s="9">
        <f t="array" ref="G768">XLOOKUP($A768, Quotations!$K$2:K1756, Quotations!$L$2:L1756, "")
</f>
        <v>1400.8348</v>
      </c>
    </row>
    <row r="769">
      <c r="A769" s="8">
        <v>42753.0</v>
      </c>
      <c r="B769" s="9">
        <f t="array" ref="B769">XLOOKUP($A769, Quotations!$A$2:A1756, Quotations!$B$2:B1756, "")
</f>
        <v>118.29</v>
      </c>
      <c r="C769" s="9">
        <f t="array" ref="C769">XLOOKUP($A769, Quotations!$C$2:C1756, Quotations!$D$2:D1756, "")</f>
        <v>24.51</v>
      </c>
      <c r="D769" s="9">
        <f t="array" ref="D769">XLOOKUP($A769, Quotations!$E$2:E1756, Quotations!$F$2:F1756, "")
</f>
        <v>114.71</v>
      </c>
      <c r="E769" s="9">
        <f t="array" ref="E769">XLOOKUP($A769, Quotations!$G$2:G1756, Quotations!$H$2:H1756, "")
</f>
        <v>118.28</v>
      </c>
      <c r="F769" s="9">
        <f t="array" ref="F769">XLOOKUP($A769, Quotations!$I$2:I1756, Quotations!$J$2:J1756, "")
</f>
        <v>124.56</v>
      </c>
      <c r="G769" s="9">
        <f t="array" ref="G769">XLOOKUP($A769, Quotations!$K$2:K1756, Quotations!$L$2:L1756, "")
</f>
        <v>1399.6046</v>
      </c>
    </row>
    <row r="770">
      <c r="A770" s="8">
        <v>42754.0</v>
      </c>
      <c r="B770" s="9">
        <f t="array" ref="B770">XLOOKUP($A770, Quotations!$A$2:A1756, Quotations!$B$2:B1756, "")
</f>
        <v>118.18</v>
      </c>
      <c r="C770" s="9">
        <f t="array" ref="C770">XLOOKUP($A770, Quotations!$C$2:C1756, Quotations!$D$2:D1756, "")</f>
        <v>24.52</v>
      </c>
      <c r="D770" s="9">
        <f t="array" ref="D770">XLOOKUP($A770, Quotations!$E$2:E1756, Quotations!$F$2:F1756, "")
</f>
        <v>114.69</v>
      </c>
      <c r="E770" s="9">
        <f t="array" ref="E770">XLOOKUP($A770, Quotations!$G$2:G1756, Quotations!$H$2:H1756, "")
</f>
        <v>118.23</v>
      </c>
      <c r="F770" s="9">
        <f t="array" ref="F770">XLOOKUP($A770, Quotations!$I$2:I1756, Quotations!$J$2:J1756, "")
</f>
        <v>124.51</v>
      </c>
      <c r="G770" s="9">
        <f t="array" ref="G770">XLOOKUP($A770, Quotations!$K$2:K1756, Quotations!$L$2:L1756, "")
</f>
        <v>1402.5432</v>
      </c>
    </row>
    <row r="771">
      <c r="A771" s="8">
        <v>42755.0</v>
      </c>
      <c r="B771" s="9">
        <f t="array" ref="B771">XLOOKUP($A771, Quotations!$A$2:A1756, Quotations!$B$2:B1756, "")
</f>
        <v>118.19</v>
      </c>
      <c r="C771" s="9">
        <f t="array" ref="C771">XLOOKUP($A771, Quotations!$C$2:C1756, Quotations!$D$2:D1756, "")</f>
        <v>24.51</v>
      </c>
      <c r="D771" s="9">
        <f t="array" ref="D771">XLOOKUP($A771, Quotations!$E$2:E1756, Quotations!$F$2:F1756, "")
</f>
        <v>114.69</v>
      </c>
      <c r="E771" s="9">
        <f t="array" ref="E771">XLOOKUP($A771, Quotations!$G$2:G1756, Quotations!$H$2:H1756, "")
</f>
        <v>118</v>
      </c>
      <c r="F771" s="9">
        <f t="array" ref="F771">XLOOKUP($A771, Quotations!$I$2:I1756, Quotations!$J$2:J1756, "")
</f>
        <v>124.44</v>
      </c>
      <c r="G771" s="9">
        <f t="array" ref="G771">XLOOKUP($A771, Quotations!$K$2:K1756, Quotations!$L$2:L1756, "")
</f>
        <v>1399.9544</v>
      </c>
    </row>
    <row r="772">
      <c r="A772" s="8">
        <v>42758.0</v>
      </c>
      <c r="B772" s="9">
        <f t="array" ref="B772">XLOOKUP($A772, Quotations!$A$2:A1756, Quotations!$B$2:B1756, "")
</f>
        <v>118.01</v>
      </c>
      <c r="C772" s="9">
        <f t="array" ref="C772">XLOOKUP($A772, Quotations!$C$2:C1756, Quotations!$D$2:D1756, "")</f>
        <v>24.51</v>
      </c>
      <c r="D772" s="9">
        <f t="array" ref="D772">XLOOKUP($A772, Quotations!$E$2:E1756, Quotations!$F$2:F1756, "")
</f>
        <v>114.72</v>
      </c>
      <c r="E772" s="9">
        <f t="array" ref="E772">XLOOKUP($A772, Quotations!$G$2:G1756, Quotations!$H$2:H1756, "")
</f>
        <v>117.86</v>
      </c>
      <c r="F772" s="9">
        <f t="array" ref="F772">XLOOKUP($A772, Quotations!$I$2:I1756, Quotations!$J$2:J1756, "")
</f>
        <v>124.35</v>
      </c>
      <c r="G772" s="9">
        <f t="array" ref="G772">XLOOKUP($A772, Quotations!$K$2:K1756, Quotations!$L$2:L1756, "")
</f>
        <v>1399.5262</v>
      </c>
    </row>
    <row r="773">
      <c r="A773" s="8">
        <v>42759.0</v>
      </c>
      <c r="B773" s="9">
        <f t="array" ref="B773">XLOOKUP($A773, Quotations!$A$2:A1756, Quotations!$B$2:B1756, "")
</f>
        <v>118.07</v>
      </c>
      <c r="C773" s="9">
        <f t="array" ref="C773">XLOOKUP($A773, Quotations!$C$2:C1756, Quotations!$D$2:D1756, "")</f>
        <v>24.51</v>
      </c>
      <c r="D773" s="9">
        <f t="array" ref="D773">XLOOKUP($A773, Quotations!$E$2:E1756, Quotations!$F$2:F1756, "")
</f>
        <v>114.72</v>
      </c>
      <c r="E773" s="9">
        <f t="array" ref="E773">XLOOKUP($A773, Quotations!$G$2:G1756, Quotations!$H$2:H1756, "")
</f>
        <v>117.81</v>
      </c>
      <c r="F773" s="9">
        <f t="array" ref="F773">XLOOKUP($A773, Quotations!$I$2:I1756, Quotations!$J$2:J1756, "")
</f>
        <v>124.33</v>
      </c>
      <c r="G773" s="9">
        <f t="array" ref="G773">XLOOKUP($A773, Quotations!$K$2:K1756, Quotations!$L$2:L1756, "")
</f>
        <v>1398.7083</v>
      </c>
    </row>
    <row r="774">
      <c r="A774" s="8">
        <v>42760.0</v>
      </c>
      <c r="B774" s="9">
        <f t="array" ref="B774">XLOOKUP($A774, Quotations!$A$2:A1756, Quotations!$B$2:B1756, "")
</f>
        <v>118.25</v>
      </c>
      <c r="C774" s="9">
        <f t="array" ref="C774">XLOOKUP($A774, Quotations!$C$2:C1756, Quotations!$D$2:D1756, "")</f>
        <v>24.51</v>
      </c>
      <c r="D774" s="9">
        <f t="array" ref="D774">XLOOKUP($A774, Quotations!$E$2:E1756, Quotations!$F$2:F1756, "")
</f>
        <v>114.74</v>
      </c>
      <c r="E774" s="9">
        <f t="array" ref="E774">XLOOKUP($A774, Quotations!$G$2:G1756, Quotations!$H$2:H1756, "")
</f>
        <v>117.8</v>
      </c>
      <c r="F774" s="9">
        <f t="array" ref="F774">XLOOKUP($A774, Quotations!$I$2:I1756, Quotations!$J$2:J1756, "")
</f>
        <v>124.38</v>
      </c>
      <c r="G774" s="9">
        <f t="array" ref="G774">XLOOKUP($A774, Quotations!$K$2:K1756, Quotations!$L$2:L1756, "")
</f>
        <v>1403.7007</v>
      </c>
    </row>
    <row r="775">
      <c r="A775" s="8">
        <v>42761.0</v>
      </c>
      <c r="B775" s="9">
        <f t="array" ref="B775">XLOOKUP($A775, Quotations!$A$2:A1756, Quotations!$B$2:B1756, "")
</f>
        <v>118.41</v>
      </c>
      <c r="C775" s="9">
        <f t="array" ref="C775">XLOOKUP($A775, Quotations!$C$2:C1756, Quotations!$D$2:D1756, "")</f>
        <v>24.52</v>
      </c>
      <c r="D775" s="9">
        <f t="array" ref="D775">XLOOKUP($A775, Quotations!$E$2:E1756, Quotations!$F$2:F1756, "")
</f>
        <v>114.74</v>
      </c>
      <c r="E775" s="9">
        <f t="array" ref="E775">XLOOKUP($A775, Quotations!$G$2:G1756, Quotations!$H$2:H1756, "")
</f>
        <v>118.29</v>
      </c>
      <c r="F775" s="9">
        <f t="array" ref="F775">XLOOKUP($A775, Quotations!$I$2:I1756, Quotations!$J$2:J1756, "")
</f>
        <v>124.7</v>
      </c>
      <c r="G775" s="9">
        <f t="array" ref="G775">XLOOKUP($A775, Quotations!$K$2:K1756, Quotations!$L$2:L1756, "")
</f>
        <v>1410.4449</v>
      </c>
    </row>
    <row r="776">
      <c r="A776" s="8">
        <v>42762.0</v>
      </c>
      <c r="B776" s="9">
        <f t="array" ref="B776">XLOOKUP($A776, Quotations!$A$2:A1756, Quotations!$B$2:B1756, "")
</f>
        <v>118.31</v>
      </c>
      <c r="C776" s="9">
        <f t="array" ref="C776">XLOOKUP($A776, Quotations!$C$2:C1756, Quotations!$D$2:D1756, "")</f>
        <v>24.51</v>
      </c>
      <c r="D776" s="9">
        <f t="array" ref="D776">XLOOKUP($A776, Quotations!$E$2:E1756, Quotations!$F$2:F1756, "")
</f>
        <v>114.77</v>
      </c>
      <c r="E776" s="9">
        <f t="array" ref="E776">XLOOKUP($A776, Quotations!$G$2:G1756, Quotations!$H$2:H1756, "")
</f>
        <v>117.95</v>
      </c>
      <c r="F776" s="9">
        <f t="array" ref="F776">XLOOKUP($A776, Quotations!$I$2:I1756, Quotations!$J$2:J1756, "")
</f>
        <v>124.86</v>
      </c>
      <c r="G776" s="9">
        <f t="array" ref="G776">XLOOKUP($A776, Quotations!$K$2:K1756, Quotations!$L$2:L1756, "")
</f>
        <v>1407.0016</v>
      </c>
    </row>
    <row r="777">
      <c r="A777" s="8">
        <v>42765.0</v>
      </c>
      <c r="B777" s="9">
        <f t="array" ref="B777">XLOOKUP($A777, Quotations!$A$2:A1756, Quotations!$B$2:B1756, "")
</f>
        <v>117.85</v>
      </c>
      <c r="C777" s="9">
        <f t="array" ref="C777">XLOOKUP($A777, Quotations!$C$2:C1756, Quotations!$D$2:D1756, "")</f>
        <v>24.52</v>
      </c>
      <c r="D777" s="9">
        <f t="array" ref="D777">XLOOKUP($A777, Quotations!$E$2:E1756, Quotations!$F$2:F1756, "")
</f>
        <v>114.78</v>
      </c>
      <c r="E777" s="9">
        <f t="array" ref="E777">XLOOKUP($A777, Quotations!$G$2:G1756, Quotations!$H$2:H1756, "")
</f>
        <v>117.78</v>
      </c>
      <c r="F777" s="9">
        <f t="array" ref="F777">XLOOKUP($A777, Quotations!$I$2:I1756, Quotations!$J$2:J1756, "")
</f>
        <v>124.77</v>
      </c>
      <c r="G777" s="9">
        <f t="array" ref="G777">XLOOKUP($A777, Quotations!$K$2:K1756, Quotations!$L$2:L1756, "")
</f>
        <v>1406.6268</v>
      </c>
    </row>
    <row r="778">
      <c r="A778" s="8">
        <v>42766.0</v>
      </c>
      <c r="B778" s="9">
        <f t="array" ref="B778">XLOOKUP($A778, Quotations!$A$2:A1756, Quotations!$B$2:B1756, "")
</f>
        <v>117.72</v>
      </c>
      <c r="C778" s="9">
        <f t="array" ref="C778">XLOOKUP($A778, Quotations!$C$2:C1756, Quotations!$D$2:D1756, "")</f>
        <v>24.49</v>
      </c>
      <c r="D778" s="9">
        <f t="array" ref="D778">XLOOKUP($A778, Quotations!$E$2:E1756, Quotations!$F$2:F1756, "")
</f>
        <v>114.77</v>
      </c>
      <c r="E778" s="9">
        <f t="array" ref="E778">XLOOKUP($A778, Quotations!$G$2:G1756, Quotations!$H$2:H1756, "")
</f>
        <v>117.01</v>
      </c>
      <c r="F778" s="9">
        <f t="array" ref="F778">XLOOKUP($A778, Quotations!$I$2:I1756, Quotations!$J$2:J1756, "")
</f>
        <v>124.55</v>
      </c>
      <c r="G778" s="9">
        <f t="array" ref="G778">XLOOKUP($A778, Quotations!$K$2:K1756, Quotations!$L$2:L1756, "")
</f>
        <v>1401.4017</v>
      </c>
    </row>
    <row r="779">
      <c r="A779" s="8">
        <v>42767.0</v>
      </c>
      <c r="B779" s="9">
        <f t="array" ref="B779">XLOOKUP($A779, Quotations!$A$2:A1756, Quotations!$B$2:B1756, "")
</f>
        <v>117.95</v>
      </c>
      <c r="C779" s="9">
        <f t="array" ref="C779">XLOOKUP($A779, Quotations!$C$2:C1756, Quotations!$D$2:D1756, "")</f>
        <v>24.5</v>
      </c>
      <c r="D779" s="9">
        <f t="array" ref="D779">XLOOKUP($A779, Quotations!$E$2:E1756, Quotations!$F$2:F1756, "")
</f>
        <v>114.78</v>
      </c>
      <c r="E779" s="9">
        <f t="array" ref="E779">XLOOKUP($A779, Quotations!$G$2:G1756, Quotations!$H$2:H1756, "")
</f>
        <v>116.76</v>
      </c>
      <c r="F779" s="9">
        <f t="array" ref="F779">XLOOKUP($A779, Quotations!$I$2:I1756, Quotations!$J$2:J1756, "")
</f>
        <v>124.14</v>
      </c>
      <c r="G779" s="9">
        <f t="array" ref="G779">XLOOKUP($A779, Quotations!$K$2:K1756, Quotations!$L$2:L1756, "")
</f>
        <v>1393.7701</v>
      </c>
    </row>
    <row r="780">
      <c r="A780" s="8">
        <v>42768.0</v>
      </c>
      <c r="B780" s="9">
        <f t="array" ref="B780">XLOOKUP($A780, Quotations!$A$2:A1756, Quotations!$B$2:B1756, "")
</f>
        <v>118.13</v>
      </c>
      <c r="C780" s="9">
        <f t="array" ref="C780">XLOOKUP($A780, Quotations!$C$2:C1756, Quotations!$D$2:D1756, "")</f>
        <v>24.49</v>
      </c>
      <c r="D780" s="9">
        <f t="array" ref="D780">XLOOKUP($A780, Quotations!$E$2:E1756, Quotations!$F$2:F1756, "")
</f>
        <v>114.8</v>
      </c>
      <c r="E780" s="9">
        <f t="array" ref="E780">XLOOKUP($A780, Quotations!$G$2:G1756, Quotations!$H$2:H1756, "")
</f>
        <v>116.89</v>
      </c>
      <c r="F780" s="9">
        <f t="array" ref="F780">XLOOKUP($A780, Quotations!$I$2:I1756, Quotations!$J$2:J1756, "")
</f>
        <v>124.3</v>
      </c>
      <c r="G780" s="9">
        <f t="array" ref="G780">XLOOKUP($A780, Quotations!$K$2:K1756, Quotations!$L$2:L1756, "")
</f>
        <v>1403.3688</v>
      </c>
    </row>
    <row r="781">
      <c r="A781" s="8">
        <v>42769.0</v>
      </c>
      <c r="B781" s="9">
        <f t="array" ref="B781">XLOOKUP($A781, Quotations!$A$2:A1756, Quotations!$B$2:B1756, "")
</f>
        <v>118.31</v>
      </c>
      <c r="C781" s="9">
        <f t="array" ref="C781">XLOOKUP($A781, Quotations!$C$2:C1756, Quotations!$D$2:D1756, "")</f>
        <v>24.5</v>
      </c>
      <c r="D781" s="9">
        <f t="array" ref="D781">XLOOKUP($A781, Quotations!$E$2:E1756, Quotations!$F$2:F1756, "")
</f>
        <v>114.8</v>
      </c>
      <c r="E781" s="9">
        <f t="array" ref="E781">XLOOKUP($A781, Quotations!$G$2:G1756, Quotations!$H$2:H1756, "")
</f>
        <v>116.97</v>
      </c>
      <c r="F781" s="9">
        <f t="array" ref="F781">XLOOKUP($A781, Quotations!$I$2:I1756, Quotations!$J$2:J1756, "")
</f>
        <v>124.42</v>
      </c>
      <c r="G781" s="9">
        <f t="array" ref="G781">XLOOKUP($A781, Quotations!$K$2:K1756, Quotations!$L$2:L1756, "")
</f>
        <v>1405.528</v>
      </c>
    </row>
    <row r="782">
      <c r="A782" s="8">
        <v>42772.0</v>
      </c>
      <c r="B782" s="9">
        <f t="array" ref="B782">XLOOKUP($A782, Quotations!$A$2:A1756, Quotations!$B$2:B1756, "")
</f>
        <v>118.04</v>
      </c>
      <c r="C782" s="9">
        <f t="array" ref="C782">XLOOKUP($A782, Quotations!$C$2:C1756, Quotations!$D$2:D1756, "")</f>
        <v>24.51</v>
      </c>
      <c r="D782" s="9">
        <f t="array" ref="D782">XLOOKUP($A782, Quotations!$E$2:E1756, Quotations!$F$2:F1756, "")
</f>
        <v>114.85</v>
      </c>
      <c r="E782" s="9">
        <f t="array" ref="E782">XLOOKUP($A782, Quotations!$G$2:G1756, Quotations!$H$2:H1756, "")
</f>
        <v>117.05</v>
      </c>
      <c r="F782" s="9">
        <f t="array" ref="F782">XLOOKUP($A782, Quotations!$I$2:I1756, Quotations!$J$2:J1756, "")
</f>
        <v>124.78</v>
      </c>
      <c r="G782" s="9">
        <f t="array" ref="G782">XLOOKUP($A782, Quotations!$K$2:K1756, Quotations!$L$2:L1756, "")
</f>
        <v>1408.8444</v>
      </c>
    </row>
    <row r="783">
      <c r="A783" s="8">
        <v>42773.0</v>
      </c>
      <c r="B783" s="9">
        <f t="array" ref="B783">XLOOKUP($A783, Quotations!$A$2:A1756, Quotations!$B$2:B1756, "")
</f>
        <v>118.07</v>
      </c>
      <c r="C783" s="9">
        <f t="array" ref="C783">XLOOKUP($A783, Quotations!$C$2:C1756, Quotations!$D$2:D1756, "")</f>
        <v>24.52</v>
      </c>
      <c r="D783" s="9">
        <f t="array" ref="D783">XLOOKUP($A783, Quotations!$E$2:E1756, Quotations!$F$2:F1756, "")
</f>
        <v>114.86</v>
      </c>
      <c r="E783" s="9">
        <f t="array" ref="E783">XLOOKUP($A783, Quotations!$G$2:G1756, Quotations!$H$2:H1756, "")
</f>
        <v>116.09</v>
      </c>
      <c r="F783" s="9">
        <f t="array" ref="F783">XLOOKUP($A783, Quotations!$I$2:I1756, Quotations!$J$2:J1756, "")
</f>
        <v>124.89</v>
      </c>
      <c r="G783" s="9">
        <f t="array" ref="G783">XLOOKUP($A783, Quotations!$K$2:K1756, Quotations!$L$2:L1756, "")
</f>
        <v>1406.1732</v>
      </c>
    </row>
    <row r="784">
      <c r="A784" s="8">
        <v>42774.0</v>
      </c>
      <c r="B784" s="9">
        <f t="array" ref="B784">XLOOKUP($A784, Quotations!$A$2:A1756, Quotations!$B$2:B1756, "")
</f>
        <v>118.08</v>
      </c>
      <c r="C784" s="9">
        <f t="array" ref="C784">XLOOKUP($A784, Quotations!$C$2:C1756, Quotations!$D$2:D1756, "")</f>
        <v>24.52</v>
      </c>
      <c r="D784" s="9">
        <f t="array" ref="D784">XLOOKUP($A784, Quotations!$E$2:E1756, Quotations!$F$2:F1756, "")
</f>
        <v>114.86</v>
      </c>
      <c r="E784" s="9">
        <f t="array" ref="E784">XLOOKUP($A784, Quotations!$G$2:G1756, Quotations!$H$2:H1756, "")
</f>
        <v>116.15</v>
      </c>
      <c r="F784" s="9">
        <f t="array" ref="F784">XLOOKUP($A784, Quotations!$I$2:I1756, Quotations!$J$2:J1756, "")
</f>
        <v>125.18</v>
      </c>
      <c r="G784" s="9">
        <f t="array" ref="G784">XLOOKUP($A784, Quotations!$K$2:K1756, Quotations!$L$2:L1756, "")
</f>
        <v>1407.5981</v>
      </c>
    </row>
    <row r="785">
      <c r="A785" s="8">
        <v>42775.0</v>
      </c>
      <c r="B785" s="9">
        <f t="array" ref="B785">XLOOKUP($A785, Quotations!$A$2:A1756, Quotations!$B$2:B1756, "")
</f>
        <v>118.22</v>
      </c>
      <c r="C785" s="9">
        <f t="array" ref="C785">XLOOKUP($A785, Quotations!$C$2:C1756, Quotations!$D$2:D1756, "")</f>
        <v>24.52</v>
      </c>
      <c r="D785" s="9">
        <f t="array" ref="D785">XLOOKUP($A785, Quotations!$E$2:E1756, Quotations!$F$2:F1756, "")
</f>
        <v>114.85</v>
      </c>
      <c r="E785" s="9">
        <f t="array" ref="E785">XLOOKUP($A785, Quotations!$G$2:G1756, Quotations!$H$2:H1756, "")
</f>
        <v>116.34</v>
      </c>
      <c r="F785" s="9">
        <f t="array" ref="F785">XLOOKUP($A785, Quotations!$I$2:I1756, Quotations!$J$2:J1756, "")
</f>
        <v>125.27</v>
      </c>
      <c r="G785" s="9">
        <f t="array" ref="G785">XLOOKUP($A785, Quotations!$K$2:K1756, Quotations!$L$2:L1756, "")
</f>
        <v>1402.6215</v>
      </c>
    </row>
    <row r="786">
      <c r="A786" s="8">
        <v>42776.0</v>
      </c>
      <c r="B786" s="9">
        <f t="array" ref="B786">XLOOKUP($A786, Quotations!$A$2:A1756, Quotations!$B$2:B1756, "")
</f>
        <v>118.29</v>
      </c>
      <c r="C786" s="9">
        <f t="array" ref="C786">XLOOKUP($A786, Quotations!$C$2:C1756, Quotations!$D$2:D1756, "")</f>
        <v>24.53</v>
      </c>
      <c r="D786" s="9">
        <f t="array" ref="D786">XLOOKUP($A786, Quotations!$E$2:E1756, Quotations!$F$2:F1756, "")
</f>
        <v>114.87</v>
      </c>
      <c r="E786" s="9">
        <f t="array" ref="E786">XLOOKUP($A786, Quotations!$G$2:G1756, Quotations!$H$2:H1756, "")
</f>
        <v>117</v>
      </c>
      <c r="F786" s="9">
        <f t="array" ref="F786">XLOOKUP($A786, Quotations!$I$2:I1756, Quotations!$J$2:J1756, "")
</f>
        <v>125.27</v>
      </c>
      <c r="G786" s="9">
        <f t="array" ref="G786">XLOOKUP($A786, Quotations!$K$2:K1756, Quotations!$L$2:L1756, "")
</f>
        <v>1413.2152</v>
      </c>
    </row>
    <row r="787">
      <c r="A787" s="8">
        <v>42779.0</v>
      </c>
      <c r="B787" s="9">
        <f t="array" ref="B787">XLOOKUP($A787, Quotations!$A$2:A1756, Quotations!$B$2:B1756, "")
</f>
        <v>118.5</v>
      </c>
      <c r="C787" s="9">
        <f t="array" ref="C787">XLOOKUP($A787, Quotations!$C$2:C1756, Quotations!$D$2:D1756, "")</f>
        <v>24.54</v>
      </c>
      <c r="D787" s="9">
        <f t="array" ref="D787">XLOOKUP($A787, Quotations!$E$2:E1756, Quotations!$F$2:F1756, "")
</f>
        <v>114.9</v>
      </c>
      <c r="E787" s="9">
        <f t="array" ref="E787">XLOOKUP($A787, Quotations!$G$2:G1756, Quotations!$H$2:H1756, "")
</f>
        <v>116.71</v>
      </c>
      <c r="F787" s="9">
        <f t="array" ref="F787">XLOOKUP($A787, Quotations!$I$2:I1756, Quotations!$J$2:J1756, "")
</f>
        <v>125.37</v>
      </c>
      <c r="G787" s="9">
        <f t="array" ref="G787">XLOOKUP($A787, Quotations!$K$2:K1756, Quotations!$L$2:L1756, "")
</f>
        <v>1414.9799</v>
      </c>
    </row>
    <row r="788">
      <c r="A788" s="8">
        <v>42780.0</v>
      </c>
      <c r="B788" s="9">
        <f t="array" ref="B788">XLOOKUP($A788, Quotations!$A$2:A1756, Quotations!$B$2:B1756, "")
</f>
        <v>118.49</v>
      </c>
      <c r="C788" s="9">
        <f t="array" ref="C788">XLOOKUP($A788, Quotations!$C$2:C1756, Quotations!$D$2:D1756, "")</f>
        <v>24.54</v>
      </c>
      <c r="D788" s="9">
        <f t="array" ref="D788">XLOOKUP($A788, Quotations!$E$2:E1756, Quotations!$F$2:F1756, "")
</f>
        <v>114.91</v>
      </c>
      <c r="E788" s="9">
        <f t="array" ref="E788">XLOOKUP($A788, Quotations!$G$2:G1756, Quotations!$H$2:H1756, "")
</f>
        <v>117.26</v>
      </c>
      <c r="F788" s="9">
        <f t="array" ref="F788">XLOOKUP($A788, Quotations!$I$2:I1756, Quotations!$J$2:J1756, "")
</f>
        <v>125.59</v>
      </c>
      <c r="G788" s="9">
        <f t="array" ref="G788">XLOOKUP($A788, Quotations!$K$2:K1756, Quotations!$L$2:L1756, "")
</f>
        <v>1416.4838</v>
      </c>
    </row>
    <row r="789">
      <c r="A789" s="8">
        <v>42781.0</v>
      </c>
      <c r="B789" s="9">
        <f t="array" ref="B789">XLOOKUP($A789, Quotations!$A$2:A1756, Quotations!$B$2:B1756, "")
</f>
        <v>118.58</v>
      </c>
      <c r="C789" s="9">
        <f t="array" ref="C789">XLOOKUP($A789, Quotations!$C$2:C1756, Quotations!$D$2:D1756, "")</f>
        <v>24.54</v>
      </c>
      <c r="D789" s="9">
        <f t="array" ref="D789">XLOOKUP($A789, Quotations!$E$2:E1756, Quotations!$F$2:F1756, "")
</f>
        <v>114.9</v>
      </c>
      <c r="E789" s="9">
        <f t="array" ref="E789">XLOOKUP($A789, Quotations!$G$2:G1756, Quotations!$H$2:H1756, "")
</f>
        <v>117.16</v>
      </c>
      <c r="F789" s="9">
        <f t="array" ref="F789">XLOOKUP($A789, Quotations!$I$2:I1756, Quotations!$J$2:J1756, "")
</f>
        <v>125.77</v>
      </c>
      <c r="G789" s="9">
        <f t="array" ref="G789">XLOOKUP($A789, Quotations!$K$2:K1756, Quotations!$L$2:L1756, "")
</f>
        <v>1417.4561</v>
      </c>
    </row>
    <row r="790">
      <c r="A790" s="8">
        <v>42782.0</v>
      </c>
      <c r="B790" s="9">
        <f t="array" ref="B790">XLOOKUP($A790, Quotations!$A$2:A1756, Quotations!$B$2:B1756, "")
</f>
        <v>118.63</v>
      </c>
      <c r="C790" s="9">
        <f t="array" ref="C790">XLOOKUP($A790, Quotations!$C$2:C1756, Quotations!$D$2:D1756, "")</f>
        <v>24.52</v>
      </c>
      <c r="D790" s="9">
        <f t="array" ref="D790">XLOOKUP($A790, Quotations!$E$2:E1756, Quotations!$F$2:F1756, "")
</f>
        <v>114.88</v>
      </c>
      <c r="E790" s="9">
        <f t="array" ref="E790">XLOOKUP($A790, Quotations!$G$2:G1756, Quotations!$H$2:H1756, "")
</f>
        <v>117.26</v>
      </c>
      <c r="F790" s="9">
        <f t="array" ref="F790">XLOOKUP($A790, Quotations!$I$2:I1756, Quotations!$J$2:J1756, "")
</f>
        <v>126.07</v>
      </c>
      <c r="G790" s="9">
        <f t="array" ref="G790">XLOOKUP($A790, Quotations!$K$2:K1756, Quotations!$L$2:L1756, "")
</f>
        <v>1419.2052</v>
      </c>
    </row>
    <row r="791">
      <c r="A791" s="8">
        <v>42783.0</v>
      </c>
      <c r="B791" s="9">
        <f t="array" ref="B791">XLOOKUP($A791, Quotations!$A$2:A1756, Quotations!$B$2:B1756, "")
</f>
        <v>118.43</v>
      </c>
      <c r="C791" s="9">
        <f t="array" ref="C791">XLOOKUP($A791, Quotations!$C$2:C1756, Quotations!$D$2:D1756, "")</f>
        <v>24.53</v>
      </c>
      <c r="D791" s="9">
        <f t="array" ref="D791">XLOOKUP($A791, Quotations!$E$2:E1756, Quotations!$F$2:F1756, "")
</f>
        <v>114.87</v>
      </c>
      <c r="E791" s="9">
        <f t="array" ref="E791">XLOOKUP($A791, Quotations!$G$2:G1756, Quotations!$H$2:H1756, "")
</f>
        <v>117.29</v>
      </c>
      <c r="F791" s="9">
        <f t="array" ref="F791">XLOOKUP($A791, Quotations!$I$2:I1756, Quotations!$J$2:J1756, "")
</f>
        <v>125.89</v>
      </c>
      <c r="G791" s="9">
        <f t="array" ref="G791">XLOOKUP($A791, Quotations!$K$2:K1756, Quotations!$L$2:L1756, "")
</f>
        <v>1416.9504</v>
      </c>
    </row>
    <row r="792">
      <c r="A792" s="8">
        <v>42786.0</v>
      </c>
      <c r="B792" s="9">
        <f t="array" ref="B792">XLOOKUP($A792, Quotations!$A$2:A1756, Quotations!$B$2:B1756, "")
</f>
        <v>118.65</v>
      </c>
      <c r="C792" s="9">
        <f t="array" ref="C792">XLOOKUP($A792, Quotations!$C$2:C1756, Quotations!$D$2:D1756, "")</f>
        <v>24.53</v>
      </c>
      <c r="D792" s="9">
        <f t="array" ref="D792">XLOOKUP($A792, Quotations!$E$2:E1756, Quotations!$F$2:F1756, "")
</f>
        <v>114.92</v>
      </c>
      <c r="E792" s="9">
        <f t="array" ref="E792">XLOOKUP($A792, Quotations!$G$2:G1756, Quotations!$H$2:H1756, "")
</f>
        <v>117.19</v>
      </c>
      <c r="F792" s="9">
        <f t="array" ref="F792">XLOOKUP($A792, Quotations!$I$2:I1756, Quotations!$J$2:J1756, "")
</f>
        <v>126.19</v>
      </c>
      <c r="G792" s="9">
        <f t="array" ref="G792">XLOOKUP($A792, Quotations!$K$2:K1756, Quotations!$L$2:L1756, "")
</f>
        <v>1416.3499</v>
      </c>
    </row>
    <row r="793">
      <c r="A793" s="8">
        <v>42787.0</v>
      </c>
      <c r="B793" s="9">
        <f t="array" ref="B793">XLOOKUP($A793, Quotations!$A$2:A1756, Quotations!$B$2:B1756, "")
</f>
        <v>118.98</v>
      </c>
      <c r="C793" s="9">
        <f t="array" ref="C793">XLOOKUP($A793, Quotations!$C$2:C1756, Quotations!$D$2:D1756, "")</f>
        <v>24.55</v>
      </c>
      <c r="D793" s="9">
        <f t="array" ref="D793">XLOOKUP($A793, Quotations!$E$2:E1756, Quotations!$F$2:F1756, "")
</f>
        <v>114.93</v>
      </c>
      <c r="E793" s="9">
        <f t="array" ref="E793">XLOOKUP($A793, Quotations!$G$2:G1756, Quotations!$H$2:H1756, "")
</f>
        <v>117.44</v>
      </c>
      <c r="F793" s="9">
        <f t="array" ref="F793">XLOOKUP($A793, Quotations!$I$2:I1756, Quotations!$J$2:J1756, "")
</f>
        <v>126.32</v>
      </c>
      <c r="G793" s="9">
        <f t="array" ref="G793">XLOOKUP($A793, Quotations!$K$2:K1756, Quotations!$L$2:L1756, "")
</f>
        <v>1418.7625</v>
      </c>
    </row>
    <row r="794">
      <c r="A794" s="8">
        <v>42788.0</v>
      </c>
      <c r="B794" s="9">
        <f t="array" ref="B794">XLOOKUP($A794, Quotations!$A$2:A1756, Quotations!$B$2:B1756, "")
</f>
        <v>119.01</v>
      </c>
      <c r="C794" s="9">
        <f t="array" ref="C794">XLOOKUP($A794, Quotations!$C$2:C1756, Quotations!$D$2:D1756, "")</f>
        <v>24.55</v>
      </c>
      <c r="D794" s="9">
        <f t="array" ref="D794">XLOOKUP($A794, Quotations!$E$2:E1756, Quotations!$F$2:F1756, "")
</f>
        <v>114.94</v>
      </c>
      <c r="E794" s="9">
        <f t="array" ref="E794">XLOOKUP($A794, Quotations!$G$2:G1756, Quotations!$H$2:H1756, "")
</f>
        <v>117.66</v>
      </c>
      <c r="F794" s="9">
        <f t="array" ref="F794">XLOOKUP($A794, Quotations!$I$2:I1756, Quotations!$J$2:J1756, "")
</f>
        <v>126.83</v>
      </c>
      <c r="G794" s="9">
        <f t="array" ref="G794">XLOOKUP($A794, Quotations!$K$2:K1756, Quotations!$L$2:L1756, "")
</f>
        <v>1423.1246</v>
      </c>
    </row>
    <row r="795">
      <c r="A795" s="8">
        <v>42789.0</v>
      </c>
      <c r="B795" s="9">
        <f t="array" ref="B795">XLOOKUP($A795, Quotations!$A$2:A1756, Quotations!$B$2:B1756, "")
</f>
        <v>119.12</v>
      </c>
      <c r="C795" s="9">
        <f t="array" ref="C795">XLOOKUP($A795, Quotations!$C$2:C1756, Quotations!$D$2:D1756, "")</f>
        <v>24.54</v>
      </c>
      <c r="D795" s="9">
        <f t="array" ref="D795">XLOOKUP($A795, Quotations!$E$2:E1756, Quotations!$F$2:F1756, "")
</f>
        <v>114.94</v>
      </c>
      <c r="E795" s="9">
        <f t="array" ref="E795">XLOOKUP($A795, Quotations!$G$2:G1756, Quotations!$H$2:H1756, "")
</f>
        <v>117.82</v>
      </c>
      <c r="F795" s="9">
        <f t="array" ref="F795">XLOOKUP($A795, Quotations!$I$2:I1756, Quotations!$J$2:J1756, "")
</f>
        <v>126.93</v>
      </c>
      <c r="G795" s="9">
        <f t="array" ref="G795">XLOOKUP($A795, Quotations!$K$2:K1756, Quotations!$L$2:L1756, "")
</f>
        <v>1422.2814</v>
      </c>
    </row>
    <row r="796">
      <c r="A796" s="8">
        <v>42790.0</v>
      </c>
      <c r="B796" s="9">
        <f t="array" ref="B796">XLOOKUP($A796, Quotations!$A$2:A1756, Quotations!$B$2:B1756, "")
</f>
        <v>118.89</v>
      </c>
      <c r="C796" s="9">
        <f t="array" ref="C796">XLOOKUP($A796, Quotations!$C$2:C1756, Quotations!$D$2:D1756, "")</f>
        <v>24.55</v>
      </c>
      <c r="D796" s="9">
        <f t="array" ref="D796">XLOOKUP($A796, Quotations!$E$2:E1756, Quotations!$F$2:F1756, "")
</f>
        <v>114.95</v>
      </c>
      <c r="E796" s="9">
        <f t="array" ref="E796">XLOOKUP($A796, Quotations!$G$2:G1756, Quotations!$H$2:H1756, "")
</f>
        <v>117.78</v>
      </c>
      <c r="F796" s="9">
        <f t="array" ref="F796">XLOOKUP($A796, Quotations!$I$2:I1756, Quotations!$J$2:J1756, "")
</f>
        <v>126.83</v>
      </c>
      <c r="G796" s="9">
        <f t="array" ref="G796">XLOOKUP($A796, Quotations!$K$2:K1756, Quotations!$L$2:L1756, "")
</f>
        <v>1419.7216</v>
      </c>
    </row>
    <row r="797">
      <c r="A797" s="8">
        <v>42793.0</v>
      </c>
      <c r="B797" s="9">
        <f t="array" ref="B797">XLOOKUP($A797, Quotations!$A$2:A1756, Quotations!$B$2:B1756, "")
</f>
        <v>118.92</v>
      </c>
      <c r="C797" s="9">
        <f t="array" ref="C797">XLOOKUP($A797, Quotations!$C$2:C1756, Quotations!$D$2:D1756, "")</f>
        <v>24.54</v>
      </c>
      <c r="D797" s="9">
        <f t="array" ref="D797">XLOOKUP($A797, Quotations!$E$2:E1756, Quotations!$F$2:F1756, "")
</f>
        <v>114.97</v>
      </c>
      <c r="E797" s="9">
        <f t="array" ref="E797">XLOOKUP($A797, Quotations!$G$2:G1756, Quotations!$H$2:H1756, "")
</f>
        <v>117.61</v>
      </c>
      <c r="F797" s="9">
        <f t="array" ref="F797">XLOOKUP($A797, Quotations!$I$2:I1756, Quotations!$J$2:J1756, "")
</f>
        <v>126.78</v>
      </c>
      <c r="G797" s="9">
        <f t="array" ref="G797">XLOOKUP($A797, Quotations!$K$2:K1756, Quotations!$L$2:L1756, "")
</f>
        <v>1417.4514</v>
      </c>
    </row>
    <row r="798">
      <c r="A798" s="8">
        <v>42794.0</v>
      </c>
      <c r="B798" s="9">
        <f t="array" ref="B798">XLOOKUP($A798, Quotations!$A$2:A1756, Quotations!$B$2:B1756, "")
</f>
        <v>118.97</v>
      </c>
      <c r="C798" s="9">
        <f t="array" ref="C798">XLOOKUP($A798, Quotations!$C$2:C1756, Quotations!$D$2:D1756, "")</f>
        <v>24.53</v>
      </c>
      <c r="D798" s="9">
        <f t="array" ref="D798">XLOOKUP($A798, Quotations!$E$2:E1756, Quotations!$F$2:F1756, "")
</f>
        <v>114.98</v>
      </c>
      <c r="E798" s="9">
        <f t="array" ref="E798">XLOOKUP($A798, Quotations!$G$2:G1756, Quotations!$H$2:H1756, "")
</f>
        <v>117.74</v>
      </c>
      <c r="F798" s="9">
        <f t="array" ref="F798">XLOOKUP($A798, Quotations!$I$2:I1756, Quotations!$J$2:J1756, "")
</f>
        <v>126.7</v>
      </c>
      <c r="G798" s="9">
        <f t="array" ref="G798">XLOOKUP($A798, Quotations!$K$2:K1756, Quotations!$L$2:L1756, "")
</f>
        <v>1417.5394</v>
      </c>
    </row>
    <row r="799">
      <c r="A799" s="8">
        <v>42795.0</v>
      </c>
      <c r="B799" s="9">
        <f t="array" ref="B799">XLOOKUP($A799, Quotations!$A$2:A1756, Quotations!$B$2:B1756, "")
</f>
        <v>119.41</v>
      </c>
      <c r="C799" s="9">
        <f t="array" ref="C799">XLOOKUP($A799, Quotations!$C$2:C1756, Quotations!$D$2:D1756, "")</f>
        <v>24.53</v>
      </c>
      <c r="D799" s="9">
        <f t="array" ref="D799">XLOOKUP($A799, Quotations!$E$2:E1756, Quotations!$F$2:F1756, "")
</f>
        <v>114.97</v>
      </c>
      <c r="E799" s="9">
        <f t="array" ref="E799">XLOOKUP($A799, Quotations!$G$2:G1756, Quotations!$H$2:H1756, "")
</f>
        <v>117.93</v>
      </c>
      <c r="F799" s="9">
        <f t="array" ref="F799">XLOOKUP($A799, Quotations!$I$2:I1756, Quotations!$J$2:J1756, "")
</f>
        <v>126.69</v>
      </c>
      <c r="G799" s="9">
        <f t="array" ref="G799">XLOOKUP($A799, Quotations!$K$2:K1756, Quotations!$L$2:L1756, "")
</f>
        <v>1415.3715</v>
      </c>
    </row>
    <row r="800">
      <c r="A800" s="8">
        <v>42796.0</v>
      </c>
      <c r="B800" s="9">
        <f t="array" ref="B800">XLOOKUP($A800, Quotations!$A$2:A1756, Quotations!$B$2:B1756, "")
</f>
        <v>119.25</v>
      </c>
      <c r="C800" s="9">
        <f t="array" ref="C800">XLOOKUP($A800, Quotations!$C$2:C1756, Quotations!$D$2:D1756, "")</f>
        <v>24.53</v>
      </c>
      <c r="D800" s="9">
        <f t="array" ref="D800">XLOOKUP($A800, Quotations!$E$2:E1756, Quotations!$F$2:F1756, "")
</f>
        <v>114.96</v>
      </c>
      <c r="E800" s="9">
        <f t="array" ref="E800">XLOOKUP($A800, Quotations!$G$2:G1756, Quotations!$H$2:H1756, "")
</f>
        <v>118.53</v>
      </c>
      <c r="F800" s="9">
        <f t="array" ref="F800">XLOOKUP($A800, Quotations!$I$2:I1756, Quotations!$J$2:J1756, "")
</f>
        <v>127.04</v>
      </c>
      <c r="G800" s="9">
        <f t="array" ref="G800">XLOOKUP($A800, Quotations!$K$2:K1756, Quotations!$L$2:L1756, "")
</f>
        <v>1420.6554</v>
      </c>
    </row>
    <row r="801">
      <c r="A801" s="8">
        <v>42797.0</v>
      </c>
      <c r="B801" s="9">
        <f t="array" ref="B801">XLOOKUP($A801, Quotations!$A$2:A1756, Quotations!$B$2:B1756, "")
</f>
        <v>119.21</v>
      </c>
      <c r="C801" s="9">
        <f t="array" ref="C801">XLOOKUP($A801, Quotations!$C$2:C1756, Quotations!$D$2:D1756, "")</f>
        <v>24.52</v>
      </c>
      <c r="D801" s="9">
        <f t="array" ref="D801">XLOOKUP($A801, Quotations!$E$2:E1756, Quotations!$F$2:F1756, "")
</f>
        <v>114.97</v>
      </c>
      <c r="E801" s="9">
        <f t="array" ref="E801">XLOOKUP($A801, Quotations!$G$2:G1756, Quotations!$H$2:H1756, "")
</f>
        <v>118.46</v>
      </c>
      <c r="F801" s="9">
        <f t="array" ref="F801">XLOOKUP($A801, Quotations!$I$2:I1756, Quotations!$J$2:J1756, "")
</f>
        <v>126.97</v>
      </c>
      <c r="G801" s="9">
        <f t="array" ref="G801">XLOOKUP($A801, Quotations!$K$2:K1756, Quotations!$L$2:L1756, "")
</f>
        <v>1417.1118</v>
      </c>
    </row>
    <row r="802">
      <c r="A802" s="8">
        <v>42800.0</v>
      </c>
      <c r="B802" s="9">
        <f t="array" ref="B802">XLOOKUP($A802, Quotations!$A$2:A1756, Quotations!$B$2:B1756, "")
</f>
        <v>119.01</v>
      </c>
      <c r="C802" s="9">
        <f t="array" ref="C802">XLOOKUP($A802, Quotations!$C$2:C1756, Quotations!$D$2:D1756, "")</f>
        <v>24.51</v>
      </c>
      <c r="D802" s="9">
        <f t="array" ref="D802">XLOOKUP($A802, Quotations!$E$2:E1756, Quotations!$F$2:F1756, "")
</f>
        <v>115</v>
      </c>
      <c r="E802" s="9">
        <f t="array" ref="E802">XLOOKUP($A802, Quotations!$G$2:G1756, Quotations!$H$2:H1756, "")
</f>
        <v>118.35</v>
      </c>
      <c r="F802" s="9">
        <f t="array" ref="F802">XLOOKUP($A802, Quotations!$I$2:I1756, Quotations!$J$2:J1756, "")
</f>
        <v>126.67</v>
      </c>
      <c r="G802" s="9">
        <f t="array" ref="G802">XLOOKUP($A802, Quotations!$K$2:K1756, Quotations!$L$2:L1756, "")
</f>
        <v>1417.8279</v>
      </c>
    </row>
    <row r="803">
      <c r="A803" s="8">
        <v>42801.0</v>
      </c>
      <c r="B803" s="9">
        <f t="array" ref="B803">XLOOKUP($A803, Quotations!$A$2:A1756, Quotations!$B$2:B1756, "")
</f>
        <v>118.88</v>
      </c>
      <c r="C803" s="9">
        <f t="array" ref="C803">XLOOKUP($A803, Quotations!$C$2:C1756, Quotations!$D$2:D1756, "")</f>
        <v>24.51</v>
      </c>
      <c r="D803" s="9">
        <f t="array" ref="D803">XLOOKUP($A803, Quotations!$E$2:E1756, Quotations!$F$2:F1756, "")
</f>
        <v>114.98</v>
      </c>
      <c r="E803" s="9">
        <f t="array" ref="E803">XLOOKUP($A803, Quotations!$G$2:G1756, Quotations!$H$2:H1756, "")
</f>
        <v>118.04</v>
      </c>
      <c r="F803" s="9">
        <f t="array" ref="F803">XLOOKUP($A803, Quotations!$I$2:I1756, Quotations!$J$2:J1756, "")
</f>
        <v>126.44</v>
      </c>
      <c r="G803" s="9">
        <f t="array" ref="G803">XLOOKUP($A803, Quotations!$K$2:K1756, Quotations!$L$2:L1756, "")
</f>
        <v>1417.1375</v>
      </c>
    </row>
    <row r="804">
      <c r="A804" s="8">
        <v>42802.0</v>
      </c>
      <c r="B804" s="9">
        <f t="array" ref="B804">XLOOKUP($A804, Quotations!$A$2:A1756, Quotations!$B$2:B1756, "")
</f>
        <v>118.86</v>
      </c>
      <c r="C804" s="9">
        <f t="array" ref="C804">XLOOKUP($A804, Quotations!$C$2:C1756, Quotations!$D$2:D1756, "")</f>
        <v>24.51</v>
      </c>
      <c r="D804" s="9">
        <f t="array" ref="D804">XLOOKUP($A804, Quotations!$E$2:E1756, Quotations!$F$2:F1756, "")
</f>
        <v>114.98</v>
      </c>
      <c r="E804" s="9">
        <f t="array" ref="E804">XLOOKUP($A804, Quotations!$G$2:G1756, Quotations!$H$2:H1756, "")
</f>
        <v>117.97</v>
      </c>
      <c r="F804" s="9">
        <f t="array" ref="F804">XLOOKUP($A804, Quotations!$I$2:I1756, Quotations!$J$2:J1756, "")
</f>
        <v>126.26</v>
      </c>
      <c r="G804" s="9">
        <f t="array" ref="G804">XLOOKUP($A804, Quotations!$K$2:K1756, Quotations!$L$2:L1756, "")
</f>
        <v>1411.202</v>
      </c>
    </row>
    <row r="805">
      <c r="A805" s="8">
        <v>42803.0</v>
      </c>
      <c r="B805" s="9">
        <f t="array" ref="B805">XLOOKUP($A805, Quotations!$A$2:A1756, Quotations!$B$2:B1756, "")
</f>
        <v>118.81</v>
      </c>
      <c r="C805" s="9">
        <f t="array" ref="C805">XLOOKUP($A805, Quotations!$C$2:C1756, Quotations!$D$2:D1756, "")</f>
        <v>24.49</v>
      </c>
      <c r="D805" s="9">
        <f t="array" ref="D805">XLOOKUP($A805, Quotations!$E$2:E1756, Quotations!$F$2:F1756, "")
</f>
        <v>114.93</v>
      </c>
      <c r="E805" s="9">
        <f t="array" ref="E805">XLOOKUP($A805, Quotations!$G$2:G1756, Quotations!$H$2:H1756, "")
</f>
        <v>117.78</v>
      </c>
      <c r="F805" s="9">
        <f t="array" ref="F805">XLOOKUP($A805, Quotations!$I$2:I1756, Quotations!$J$2:J1756, "")
</f>
        <v>126.12</v>
      </c>
      <c r="G805" s="9">
        <f t="array" ref="G805">XLOOKUP($A805, Quotations!$K$2:K1756, Quotations!$L$2:L1756, "")
</f>
        <v>1415.8496</v>
      </c>
    </row>
    <row r="806">
      <c r="A806" s="8">
        <v>42804.0</v>
      </c>
      <c r="B806" s="9">
        <f t="array" ref="B806">XLOOKUP($A806, Quotations!$A$2:A1756, Quotations!$B$2:B1756, "")
</f>
        <v>118.79</v>
      </c>
      <c r="C806" s="9">
        <f t="array" ref="C806">XLOOKUP($A806, Quotations!$C$2:C1756, Quotations!$D$2:D1756, "")</f>
        <v>24.47</v>
      </c>
      <c r="D806" s="9">
        <f t="array" ref="D806">XLOOKUP($A806, Quotations!$E$2:E1756, Quotations!$F$2:F1756, "")
</f>
        <v>114.93</v>
      </c>
      <c r="E806" s="9">
        <f t="array" ref="E806">XLOOKUP($A806, Quotations!$G$2:G1756, Quotations!$H$2:H1756, "")
</f>
        <v>117.71</v>
      </c>
      <c r="F806" s="9">
        <f t="array" ref="F806">XLOOKUP($A806, Quotations!$I$2:I1756, Quotations!$J$2:J1756, "")
</f>
        <v>125.71</v>
      </c>
      <c r="G806" s="9">
        <f t="array" ref="G806">XLOOKUP($A806, Quotations!$K$2:K1756, Quotations!$L$2:L1756, "")
</f>
        <v>1415.792</v>
      </c>
    </row>
    <row r="807">
      <c r="A807" s="8">
        <v>42807.0</v>
      </c>
      <c r="B807" s="9">
        <f t="array" ref="B807">XLOOKUP($A807, Quotations!$A$2:A1756, Quotations!$B$2:B1756, "")
</f>
        <v>118.87</v>
      </c>
      <c r="C807" s="9">
        <f t="array" ref="C807">XLOOKUP($A807, Quotations!$C$2:C1756, Quotations!$D$2:D1756, "")</f>
        <v>24.47</v>
      </c>
      <c r="D807" s="9">
        <f t="array" ref="D807">XLOOKUP($A807, Quotations!$E$2:E1756, Quotations!$F$2:F1756, "")
</f>
        <v>114.95</v>
      </c>
      <c r="E807" s="9">
        <f t="array" ref="E807">XLOOKUP($A807, Quotations!$G$2:G1756, Quotations!$H$2:H1756, "")
</f>
        <v>117.41</v>
      </c>
      <c r="F807" s="9">
        <f t="array" ref="F807">XLOOKUP($A807, Quotations!$I$2:I1756, Quotations!$J$2:J1756, "")
</f>
        <v>125.55</v>
      </c>
      <c r="G807" s="9">
        <f t="array" ref="G807">XLOOKUP($A807, Quotations!$K$2:K1756, Quotations!$L$2:L1756, "")
</f>
        <v>1416.8123</v>
      </c>
    </row>
    <row r="808">
      <c r="A808" s="8">
        <v>42808.0</v>
      </c>
      <c r="B808" s="9">
        <f t="array" ref="B808">XLOOKUP($A808, Quotations!$A$2:A1756, Quotations!$B$2:B1756, "")
</f>
        <v>118.62</v>
      </c>
      <c r="C808" s="9">
        <f t="array" ref="C808">XLOOKUP($A808, Quotations!$C$2:C1756, Quotations!$D$2:D1756, "")</f>
        <v>24.47</v>
      </c>
      <c r="D808" s="9">
        <f t="array" ref="D808">XLOOKUP($A808, Quotations!$E$2:E1756, Quotations!$F$2:F1756, "")
</f>
        <v>114.95</v>
      </c>
      <c r="E808" s="9">
        <f t="array" ref="E808">XLOOKUP($A808, Quotations!$G$2:G1756, Quotations!$H$2:H1756, "")
</f>
        <v>117.5</v>
      </c>
      <c r="F808" s="9">
        <f t="array" ref="F808">XLOOKUP($A808, Quotations!$I$2:I1756, Quotations!$J$2:J1756, "")
</f>
        <v>125.64</v>
      </c>
      <c r="G808" s="9">
        <f t="array" ref="G808">XLOOKUP($A808, Quotations!$K$2:K1756, Quotations!$L$2:L1756, "")
</f>
        <v>1419.0852</v>
      </c>
    </row>
    <row r="809">
      <c r="A809" s="8">
        <v>42809.0</v>
      </c>
      <c r="B809" s="9">
        <f t="array" ref="B809">XLOOKUP($A809, Quotations!$A$2:A1756, Quotations!$B$2:B1756, "")
</f>
        <v>118.53</v>
      </c>
      <c r="C809" s="9">
        <f t="array" ref="C809">XLOOKUP($A809, Quotations!$C$2:C1756, Quotations!$D$2:D1756, "")</f>
        <v>24.48</v>
      </c>
      <c r="D809" s="9">
        <f t="array" ref="D809">XLOOKUP($A809, Quotations!$E$2:E1756, Quotations!$F$2:F1756, "")
</f>
        <v>114.97</v>
      </c>
      <c r="E809" s="9">
        <f t="array" ref="E809">XLOOKUP($A809, Quotations!$G$2:G1756, Quotations!$H$2:H1756, "")
</f>
        <v>117.38</v>
      </c>
      <c r="F809" s="9">
        <f t="array" ref="F809">XLOOKUP($A809, Quotations!$I$2:I1756, Quotations!$J$2:J1756, "")
</f>
        <v>125.54</v>
      </c>
      <c r="G809" s="9">
        <f t="array" ref="G809">XLOOKUP($A809, Quotations!$K$2:K1756, Quotations!$L$2:L1756, "")
</f>
        <v>1415.6322</v>
      </c>
    </row>
    <row r="810">
      <c r="A810" s="8">
        <v>42810.0</v>
      </c>
      <c r="B810" s="9">
        <f t="array" ref="B810">XLOOKUP($A810, Quotations!$A$2:A1756, Quotations!$B$2:B1756, "")
</f>
        <v>118.73</v>
      </c>
      <c r="C810" s="9">
        <f t="array" ref="C810">XLOOKUP($A810, Quotations!$C$2:C1756, Quotations!$D$2:D1756, "")</f>
        <v>24.47</v>
      </c>
      <c r="D810" s="9">
        <f t="array" ref="D810">XLOOKUP($A810, Quotations!$E$2:E1756, Quotations!$F$2:F1756, "")
</f>
        <v>114.97</v>
      </c>
      <c r="E810" s="9">
        <f t="array" ref="E810">XLOOKUP($A810, Quotations!$G$2:G1756, Quotations!$H$2:H1756, "")
</f>
        <v>117.79</v>
      </c>
      <c r="F810" s="9">
        <f t="array" ref="F810">XLOOKUP($A810, Quotations!$I$2:I1756, Quotations!$J$2:J1756, "")
</f>
        <v>125.84</v>
      </c>
      <c r="G810" s="9">
        <f t="array" ref="G810">XLOOKUP($A810, Quotations!$K$2:K1756, Quotations!$L$2:L1756, "")
</f>
        <v>1417.5852</v>
      </c>
    </row>
    <row r="811">
      <c r="A811" s="8">
        <v>42811.0</v>
      </c>
      <c r="B811" s="9">
        <f t="array" ref="B811">XLOOKUP($A811, Quotations!$A$2:A1756, Quotations!$B$2:B1756, "")
</f>
        <v>118.84</v>
      </c>
      <c r="C811" s="9">
        <f t="array" ref="C811">XLOOKUP($A811, Quotations!$C$2:C1756, Quotations!$D$2:D1756, "")</f>
        <v>24.47</v>
      </c>
      <c r="D811" s="9">
        <f t="array" ref="D811">XLOOKUP($A811, Quotations!$E$2:E1756, Quotations!$F$2:F1756, "")
</f>
        <v>114.98</v>
      </c>
      <c r="E811" s="9">
        <f t="array" ref="E811">XLOOKUP($A811, Quotations!$G$2:G1756, Quotations!$H$2:H1756, "")
</f>
        <v>117.88</v>
      </c>
      <c r="F811" s="9">
        <f t="array" ref="F811">XLOOKUP($A811, Quotations!$I$2:I1756, Quotations!$J$2:J1756, "")
</f>
        <v>126.25</v>
      </c>
      <c r="G811" s="9">
        <f t="array" ref="G811">XLOOKUP($A811, Quotations!$K$2:K1756, Quotations!$L$2:L1756, "")
</f>
        <v>1419.4587</v>
      </c>
    </row>
    <row r="812">
      <c r="A812" s="8">
        <v>42814.0</v>
      </c>
      <c r="B812" s="9">
        <f t="array" ref="B812">XLOOKUP($A812, Quotations!$A$2:A1756, Quotations!$B$2:B1756, "")
</f>
        <v>118.63</v>
      </c>
      <c r="C812" s="9">
        <f t="array" ref="C812">XLOOKUP($A812, Quotations!$C$2:C1756, Quotations!$D$2:D1756, "")</f>
        <v>24.47</v>
      </c>
      <c r="D812" s="9">
        <f t="array" ref="D812">XLOOKUP($A812, Quotations!$E$2:E1756, Quotations!$F$2:F1756, "")
</f>
        <v>114.98</v>
      </c>
      <c r="E812" s="9">
        <f t="array" ref="E812">XLOOKUP($A812, Quotations!$G$2:G1756, Quotations!$H$2:H1756, "")
</f>
        <v>117.87</v>
      </c>
      <c r="F812" s="9">
        <f t="array" ref="F812">XLOOKUP($A812, Quotations!$I$2:I1756, Quotations!$J$2:J1756, "")
</f>
        <v>126.29</v>
      </c>
      <c r="G812" s="9">
        <f t="array" ref="G812">XLOOKUP($A812, Quotations!$K$2:K1756, Quotations!$L$2:L1756, "")
</f>
        <v>1420.5187</v>
      </c>
    </row>
    <row r="813">
      <c r="A813" s="8">
        <v>42815.0</v>
      </c>
      <c r="B813" s="9">
        <f t="array" ref="B813">XLOOKUP($A813, Quotations!$A$2:A1756, Quotations!$B$2:B1756, "")
</f>
        <v>118.42</v>
      </c>
      <c r="C813" s="9">
        <f t="array" ref="C813">XLOOKUP($A813, Quotations!$C$2:C1756, Quotations!$D$2:D1756, "")</f>
        <v>24.46</v>
      </c>
      <c r="D813" s="9">
        <f t="array" ref="D813">XLOOKUP($A813, Quotations!$E$2:E1756, Quotations!$F$2:F1756, "")
</f>
        <v>115</v>
      </c>
      <c r="E813" s="9">
        <f t="array" ref="E813">XLOOKUP($A813, Quotations!$G$2:G1756, Quotations!$H$2:H1756, "")
</f>
        <v>117.8</v>
      </c>
      <c r="F813" s="9">
        <f t="array" ref="F813">XLOOKUP($A813, Quotations!$I$2:I1756, Quotations!$J$2:J1756, "")
</f>
        <v>126.28</v>
      </c>
      <c r="G813" s="9">
        <f t="array" ref="G813">XLOOKUP($A813, Quotations!$K$2:K1756, Quotations!$L$2:L1756, "")
</f>
        <v>1420.8145</v>
      </c>
    </row>
    <row r="814">
      <c r="A814" s="8">
        <v>42816.0</v>
      </c>
      <c r="B814" s="9">
        <f t="array" ref="B814">XLOOKUP($A814, Quotations!$A$2:A1756, Quotations!$B$2:B1756, "")
</f>
        <v>118.25</v>
      </c>
      <c r="C814" s="9">
        <f t="array" ref="C814">XLOOKUP($A814, Quotations!$C$2:C1756, Quotations!$D$2:D1756, "")</f>
        <v>24.47</v>
      </c>
      <c r="D814" s="9">
        <f t="array" ref="D814">XLOOKUP($A814, Quotations!$E$2:E1756, Quotations!$F$2:F1756, "")
</f>
        <v>114.99</v>
      </c>
      <c r="E814" s="9">
        <f t="array" ref="E814">XLOOKUP($A814, Quotations!$G$2:G1756, Quotations!$H$2:H1756, "")
</f>
        <v>117.57</v>
      </c>
      <c r="F814" s="9">
        <f t="array" ref="F814">XLOOKUP($A814, Quotations!$I$2:I1756, Quotations!$J$2:J1756, "")
</f>
        <v>126.09</v>
      </c>
      <c r="G814" s="9">
        <f t="array" ref="G814">XLOOKUP($A814, Quotations!$K$2:K1756, Quotations!$L$2:L1756, "")
</f>
        <v>1411.9395</v>
      </c>
    </row>
    <row r="815">
      <c r="A815" s="8">
        <v>42817.0</v>
      </c>
      <c r="B815" s="9">
        <f t="array" ref="B815">XLOOKUP($A815, Quotations!$A$2:A1756, Quotations!$B$2:B1756, "")
</f>
        <v>118.5</v>
      </c>
      <c r="C815" s="9">
        <f t="array" ref="C815">XLOOKUP($A815, Quotations!$C$2:C1756, Quotations!$D$2:D1756, "")</f>
        <v>24.47</v>
      </c>
      <c r="D815" s="9">
        <f t="array" ref="D815">XLOOKUP($A815, Quotations!$E$2:E1756, Quotations!$F$2:F1756, "")
</f>
        <v>114.98</v>
      </c>
      <c r="E815" s="9">
        <f t="array" ref="E815">XLOOKUP($A815, Quotations!$G$2:G1756, Quotations!$H$2:H1756, "")
</f>
        <v>117.56</v>
      </c>
      <c r="F815" s="9">
        <f t="array" ref="F815">XLOOKUP($A815, Quotations!$I$2:I1756, Quotations!$J$2:J1756, "")
</f>
        <v>126.01</v>
      </c>
      <c r="G815" s="9">
        <f t="array" ref="G815">XLOOKUP($A815, Quotations!$K$2:K1756, Quotations!$L$2:L1756, "")
</f>
        <v>1411.9882</v>
      </c>
    </row>
    <row r="816">
      <c r="A816" s="8">
        <v>42818.0</v>
      </c>
      <c r="B816" s="9">
        <f t="array" ref="B816">XLOOKUP($A816, Quotations!$A$2:A1756, Quotations!$B$2:B1756, "")
</f>
        <v>118.59</v>
      </c>
      <c r="C816" s="9">
        <f t="array" ref="C816">XLOOKUP($A816, Quotations!$C$2:C1756, Quotations!$D$2:D1756, "")</f>
        <v>24.46</v>
      </c>
      <c r="D816" s="9">
        <f t="array" ref="D816">XLOOKUP($A816, Quotations!$E$2:E1756, Quotations!$F$2:F1756, "")
</f>
        <v>114.98</v>
      </c>
      <c r="E816" s="9">
        <f t="array" ref="E816">XLOOKUP($A816, Quotations!$G$2:G1756, Quotations!$H$2:H1756, "")
</f>
        <v>118.01</v>
      </c>
      <c r="F816" s="9">
        <f t="array" ref="F816">XLOOKUP($A816, Quotations!$I$2:I1756, Quotations!$J$2:J1756, "")
</f>
        <v>126.13</v>
      </c>
      <c r="G816" s="9">
        <f t="array" ref="G816">XLOOKUP($A816, Quotations!$K$2:K1756, Quotations!$L$2:L1756, "")
</f>
        <v>1414.7492</v>
      </c>
    </row>
    <row r="817">
      <c r="A817" s="8">
        <v>42821.0</v>
      </c>
      <c r="B817" s="9">
        <f t="array" ref="B817">XLOOKUP($A817, Quotations!$A$2:A1756, Quotations!$B$2:B1756, "")
</f>
        <v>118.41</v>
      </c>
      <c r="C817" s="9">
        <f t="array" ref="C817">XLOOKUP($A817, Quotations!$C$2:C1756, Quotations!$D$2:D1756, "")</f>
        <v>24.44</v>
      </c>
      <c r="D817" s="9">
        <f t="array" ref="D817">XLOOKUP($A817, Quotations!$E$2:E1756, Quotations!$F$2:F1756, "")
</f>
        <v>115</v>
      </c>
      <c r="E817" s="9">
        <f t="array" ref="E817">XLOOKUP($A817, Quotations!$G$2:G1756, Quotations!$H$2:H1756, "")
</f>
        <v>118.14</v>
      </c>
      <c r="F817" s="9">
        <f t="array" ref="F817">XLOOKUP($A817, Quotations!$I$2:I1756, Quotations!$J$2:J1756, "")
</f>
        <v>126.13</v>
      </c>
      <c r="G817" s="9">
        <f t="array" ref="G817">XLOOKUP($A817, Quotations!$K$2:K1756, Quotations!$L$2:L1756, "")
</f>
        <v>1408.3621</v>
      </c>
    </row>
    <row r="818">
      <c r="A818" s="8">
        <v>42822.0</v>
      </c>
      <c r="B818" s="9">
        <f t="array" ref="B818">XLOOKUP($A818, Quotations!$A$2:A1756, Quotations!$B$2:B1756, "")
</f>
        <v>118.65</v>
      </c>
      <c r="C818" s="9">
        <f t="array" ref="C818">XLOOKUP($A818, Quotations!$C$2:C1756, Quotations!$D$2:D1756, "")</f>
        <v>24.44</v>
      </c>
      <c r="D818" s="9">
        <f t="array" ref="D818">XLOOKUP($A818, Quotations!$E$2:E1756, Quotations!$F$2:F1756, "")
</f>
        <v>115.02</v>
      </c>
      <c r="E818" s="9">
        <f t="array" ref="E818">XLOOKUP($A818, Quotations!$G$2:G1756, Quotations!$H$2:H1756, "")
</f>
        <v>118.01</v>
      </c>
      <c r="F818" s="9">
        <f t="array" ref="F818">XLOOKUP($A818, Quotations!$I$2:I1756, Quotations!$J$2:J1756, "")
</f>
        <v>126</v>
      </c>
      <c r="G818" s="9">
        <f t="array" ref="G818">XLOOKUP($A818, Quotations!$K$2:K1756, Quotations!$L$2:L1756, "")
</f>
        <v>1417.8278</v>
      </c>
    </row>
    <row r="819">
      <c r="A819" s="8">
        <v>42823.0</v>
      </c>
      <c r="B819" s="9">
        <f t="array" ref="B819">XLOOKUP($A819, Quotations!$A$2:A1756, Quotations!$B$2:B1756, "")
</f>
        <v>118.69</v>
      </c>
      <c r="C819" s="9">
        <f t="array" ref="C819">XLOOKUP($A819, Quotations!$C$2:C1756, Quotations!$D$2:D1756, "")</f>
        <v>24.46</v>
      </c>
      <c r="D819" s="9">
        <f t="array" ref="D819">XLOOKUP($A819, Quotations!$E$2:E1756, Quotations!$F$2:F1756, "")
</f>
        <v>115.02</v>
      </c>
      <c r="E819" s="9">
        <f t="array" ref="E819">XLOOKUP($A819, Quotations!$G$2:G1756, Quotations!$H$2:H1756, "")
</f>
        <v>118.6</v>
      </c>
      <c r="F819" s="9">
        <f t="array" ref="F819">XLOOKUP($A819, Quotations!$I$2:I1756, Quotations!$J$2:J1756, "")
</f>
        <v>127.04</v>
      </c>
      <c r="G819" s="9">
        <f t="array" ref="G819">XLOOKUP($A819, Quotations!$K$2:K1756, Quotations!$L$2:L1756, "")
</f>
        <v>1421.9426</v>
      </c>
    </row>
    <row r="820">
      <c r="A820" s="8">
        <v>42824.0</v>
      </c>
      <c r="B820" s="9">
        <f t="array" ref="B820">XLOOKUP($A820, Quotations!$A$2:A1756, Quotations!$B$2:B1756, "")
</f>
        <v>118.94</v>
      </c>
      <c r="C820" s="9">
        <f t="array" ref="C820">XLOOKUP($A820, Quotations!$C$2:C1756, Quotations!$D$2:D1756, "")</f>
        <v>24.47</v>
      </c>
      <c r="D820" s="9">
        <f t="array" ref="D820">XLOOKUP($A820, Quotations!$E$2:E1756, Quotations!$F$2:F1756, "")
</f>
        <v>115</v>
      </c>
      <c r="E820" s="9">
        <f t="array" ref="E820">XLOOKUP($A820, Quotations!$G$2:G1756, Quotations!$H$2:H1756, "")
</f>
        <v>118.76</v>
      </c>
      <c r="F820" s="9">
        <f t="array" ref="F820">XLOOKUP($A820, Quotations!$I$2:I1756, Quotations!$J$2:J1756, "")
</f>
        <v>127.34</v>
      </c>
      <c r="G820" s="9">
        <f t="array" ref="G820">XLOOKUP($A820, Quotations!$K$2:K1756, Quotations!$L$2:L1756, "")
</f>
        <v>1421.8626</v>
      </c>
    </row>
    <row r="821">
      <c r="A821" s="8">
        <v>42825.0</v>
      </c>
      <c r="B821" s="9">
        <f t="array" ref="B821">XLOOKUP($A821, Quotations!$A$2:A1756, Quotations!$B$2:B1756, "")
</f>
        <v>119.08</v>
      </c>
      <c r="C821" s="9">
        <f t="array" ref="C821">XLOOKUP($A821, Quotations!$C$2:C1756, Quotations!$D$2:D1756, "")</f>
        <v>24.48</v>
      </c>
      <c r="D821" s="9">
        <f t="array" ref="D821">XLOOKUP($A821, Quotations!$E$2:E1756, Quotations!$F$2:F1756, "")
</f>
        <v>115.01</v>
      </c>
      <c r="E821" s="9">
        <f t="array" ref="E821">XLOOKUP($A821, Quotations!$G$2:G1756, Quotations!$H$2:H1756, "")
</f>
        <v>118.82</v>
      </c>
      <c r="F821" s="9">
        <f t="array" ref="F821">XLOOKUP($A821, Quotations!$I$2:I1756, Quotations!$J$2:J1756, "")
</f>
        <v>127.39</v>
      </c>
      <c r="G821" s="9">
        <f t="array" ref="G821">XLOOKUP($A821, Quotations!$K$2:K1756, Quotations!$L$2:L1756, "")
</f>
        <v>1422.7256</v>
      </c>
    </row>
    <row r="822">
      <c r="A822" s="8">
        <v>42828.0</v>
      </c>
      <c r="B822" s="9">
        <f t="array" ref="B822">XLOOKUP($A822, Quotations!$A$2:A1756, Quotations!$B$2:B1756, "")
</f>
        <v>118.9</v>
      </c>
      <c r="C822" s="9">
        <f t="array" ref="C822">XLOOKUP($A822, Quotations!$C$2:C1756, Quotations!$D$2:D1756, "")</f>
        <v>24.49</v>
      </c>
      <c r="D822" s="9">
        <f t="array" ref="D822">XLOOKUP($A822, Quotations!$E$2:E1756, Quotations!$F$2:F1756, "")
</f>
        <v>115.03</v>
      </c>
      <c r="E822" s="9">
        <f t="array" ref="E822">XLOOKUP($A822, Quotations!$G$2:G1756, Quotations!$H$2:H1756, "")
</f>
        <v>118.95</v>
      </c>
      <c r="F822" s="9">
        <f t="array" ref="F822">XLOOKUP($A822, Quotations!$I$2:I1756, Quotations!$J$2:J1756, "")
</f>
        <v>127.33</v>
      </c>
      <c r="G822" s="9">
        <f t="array" ref="G822">XLOOKUP($A822, Quotations!$K$2:K1756, Quotations!$L$2:L1756, "")
</f>
        <v>1417.254</v>
      </c>
    </row>
    <row r="823">
      <c r="A823" s="8">
        <v>42829.0</v>
      </c>
      <c r="B823" s="9">
        <f t="array" ref="B823">XLOOKUP($A823, Quotations!$A$2:A1756, Quotations!$B$2:B1756, "")
</f>
        <v>119.06</v>
      </c>
      <c r="C823" s="9">
        <f t="array" ref="C823">XLOOKUP($A823, Quotations!$C$2:C1756, Quotations!$D$2:D1756, "")</f>
        <v>24.48</v>
      </c>
      <c r="D823" s="9">
        <f t="array" ref="D823">XLOOKUP($A823, Quotations!$E$2:E1756, Quotations!$F$2:F1756, "")
</f>
        <v>115.02</v>
      </c>
      <c r="E823" s="9">
        <f t="array" ref="E823">XLOOKUP($A823, Quotations!$G$2:G1756, Quotations!$H$2:H1756, "")
</f>
        <v>118.69</v>
      </c>
      <c r="F823" s="9">
        <f t="array" ref="F823">XLOOKUP($A823, Quotations!$I$2:I1756, Quotations!$J$2:J1756, "")
</f>
        <v>126.35</v>
      </c>
      <c r="G823" s="9">
        <f t="array" ref="G823">XLOOKUP($A823, Quotations!$K$2:K1756, Quotations!$L$2:L1756, "")
</f>
        <v>1423.7686</v>
      </c>
    </row>
    <row r="824">
      <c r="A824" s="8">
        <v>42830.0</v>
      </c>
      <c r="B824" s="9">
        <f t="array" ref="B824">XLOOKUP($A824, Quotations!$A$2:A1756, Quotations!$B$2:B1756, "")
</f>
        <v>119.17</v>
      </c>
      <c r="C824" s="9">
        <f t="array" ref="C824">XLOOKUP($A824, Quotations!$C$2:C1756, Quotations!$D$2:D1756, "")</f>
        <v>24.48</v>
      </c>
      <c r="D824" s="9">
        <f t="array" ref="D824">XLOOKUP($A824, Quotations!$E$2:E1756, Quotations!$F$2:F1756, "")
</f>
        <v>115.06</v>
      </c>
      <c r="E824" s="9">
        <f t="array" ref="E824">XLOOKUP($A824, Quotations!$G$2:G1756, Quotations!$H$2:H1756, "")
</f>
        <v>118.68</v>
      </c>
      <c r="F824" s="9">
        <f t="array" ref="F824">XLOOKUP($A824, Quotations!$I$2:I1756, Quotations!$J$2:J1756, "")
</f>
        <v>126.29</v>
      </c>
      <c r="G824" s="9">
        <f t="array" ref="G824">XLOOKUP($A824, Quotations!$K$2:K1756, Quotations!$L$2:L1756, "")
</f>
        <v>1425.6205</v>
      </c>
    </row>
    <row r="825">
      <c r="A825" s="8">
        <v>42831.0</v>
      </c>
      <c r="B825" s="9">
        <f t="array" ref="B825">XLOOKUP($A825, Quotations!$A$2:A1756, Quotations!$B$2:B1756, "")
</f>
        <v>119.38</v>
      </c>
      <c r="C825" s="9">
        <f t="array" ref="C825">XLOOKUP($A825, Quotations!$C$2:C1756, Quotations!$D$2:D1756, "")</f>
        <v>24.48</v>
      </c>
      <c r="D825" s="9">
        <f t="array" ref="D825">XLOOKUP($A825, Quotations!$E$2:E1756, Quotations!$F$2:F1756, "")
</f>
        <v>115.07</v>
      </c>
      <c r="E825" s="9">
        <f t="array" ref="E825">XLOOKUP($A825, Quotations!$G$2:G1756, Quotations!$H$2:H1756, "")
</f>
        <v>118.55</v>
      </c>
      <c r="F825" s="9">
        <f t="array" ref="F825">XLOOKUP($A825, Quotations!$I$2:I1756, Quotations!$J$2:J1756, "")
</f>
        <v>126.18</v>
      </c>
      <c r="G825" s="9">
        <f t="array" ref="G825">XLOOKUP($A825, Quotations!$K$2:K1756, Quotations!$L$2:L1756, "")
</f>
        <v>1415.5798</v>
      </c>
    </row>
    <row r="826">
      <c r="A826" s="8">
        <v>42832.0</v>
      </c>
      <c r="B826" s="9">
        <f t="array" ref="B826">XLOOKUP($A826, Quotations!$A$2:A1756, Quotations!$B$2:B1756, "")
</f>
        <v>119.52</v>
      </c>
      <c r="C826" s="9">
        <f t="array" ref="C826">XLOOKUP($A826, Quotations!$C$2:C1756, Quotations!$D$2:D1756, "")</f>
        <v>24.49</v>
      </c>
      <c r="D826" s="9">
        <f t="array" ref="D826">XLOOKUP($A826, Quotations!$E$2:E1756, Quotations!$F$2:F1756, "")
</f>
        <v>115.07</v>
      </c>
      <c r="E826" s="9">
        <f t="array" ref="E826">XLOOKUP($A826, Quotations!$G$2:G1756, Quotations!$H$2:H1756, "")
</f>
        <v>118.75</v>
      </c>
      <c r="F826" s="9">
        <f t="array" ref="F826">XLOOKUP($A826, Quotations!$I$2:I1756, Quotations!$J$2:J1756, "")
</f>
        <v>126.12</v>
      </c>
      <c r="G826" s="9">
        <f t="array" ref="G826">XLOOKUP($A826, Quotations!$K$2:K1756, Quotations!$L$2:L1756, "")
</f>
        <v>1425.2085</v>
      </c>
    </row>
    <row r="827">
      <c r="A827" s="8">
        <v>42835.0</v>
      </c>
      <c r="B827" s="9">
        <f t="array" ref="B827">XLOOKUP($A827, Quotations!$A$2:A1756, Quotations!$B$2:B1756, "")
</f>
        <v>119.46</v>
      </c>
      <c r="C827" s="9">
        <f t="array" ref="C827">XLOOKUP($A827, Quotations!$C$2:C1756, Quotations!$D$2:D1756, "")</f>
        <v>24.49</v>
      </c>
      <c r="D827" s="9">
        <f t="array" ref="D827">XLOOKUP($A827, Quotations!$E$2:E1756, Quotations!$F$2:F1756, "")
</f>
        <v>115.08</v>
      </c>
      <c r="E827" s="9">
        <f t="array" ref="E827">XLOOKUP($A827, Quotations!$G$2:G1756, Quotations!$H$2:H1756, "")
</f>
        <v>118.71</v>
      </c>
      <c r="F827" s="9">
        <f t="array" ref="F827">XLOOKUP($A827, Quotations!$I$2:I1756, Quotations!$J$2:J1756, "")
</f>
        <v>126.33</v>
      </c>
      <c r="G827" s="9">
        <f t="array" ref="G827">XLOOKUP($A827, Quotations!$K$2:K1756, Quotations!$L$2:L1756, "")
</f>
        <v>1424.9291</v>
      </c>
    </row>
    <row r="828">
      <c r="A828" s="8">
        <v>42836.0</v>
      </c>
      <c r="B828" s="9">
        <f t="array" ref="B828">XLOOKUP($A828, Quotations!$A$2:A1756, Quotations!$B$2:B1756, "")
</f>
        <v>119.46</v>
      </c>
      <c r="C828" s="9">
        <f t="array" ref="C828">XLOOKUP($A828, Quotations!$C$2:C1756, Quotations!$D$2:D1756, "")</f>
        <v>24.49</v>
      </c>
      <c r="D828" s="9">
        <f t="array" ref="D828">XLOOKUP($A828, Quotations!$E$2:E1756, Quotations!$F$2:F1756, "")
</f>
        <v>115.08</v>
      </c>
      <c r="E828" s="9">
        <f t="array" ref="E828">XLOOKUP($A828, Quotations!$G$2:G1756, Quotations!$H$2:H1756, "")
</f>
        <v>118.59</v>
      </c>
      <c r="F828" s="9">
        <f t="array" ref="F828">XLOOKUP($A828, Quotations!$I$2:I1756, Quotations!$J$2:J1756, "")
</f>
        <v>126.29</v>
      </c>
      <c r="G828" s="9">
        <f t="array" ref="G828">XLOOKUP($A828, Quotations!$K$2:K1756, Quotations!$L$2:L1756, "")
</f>
        <v>1425.609</v>
      </c>
    </row>
    <row r="829">
      <c r="A829" s="8">
        <v>42837.0</v>
      </c>
      <c r="B829" s="9">
        <f t="array" ref="B829">XLOOKUP($A829, Quotations!$A$2:A1756, Quotations!$B$2:B1756, "")
</f>
        <v>119.52</v>
      </c>
      <c r="C829" s="9">
        <f t="array" ref="C829">XLOOKUP($A829, Quotations!$C$2:C1756, Quotations!$D$2:D1756, "")</f>
        <v>24.49</v>
      </c>
      <c r="D829" s="9">
        <f t="array" ref="D829">XLOOKUP($A829, Quotations!$E$2:E1756, Quotations!$F$2:F1756, "")
</f>
        <v>115.06</v>
      </c>
      <c r="E829" s="9">
        <f t="array" ref="E829">XLOOKUP($A829, Quotations!$G$2:G1756, Quotations!$H$2:H1756, "")
</f>
        <v>118.22</v>
      </c>
      <c r="F829" s="9">
        <f t="array" ref="F829">XLOOKUP($A829, Quotations!$I$2:I1756, Quotations!$J$2:J1756, "")
</f>
        <v>126.14</v>
      </c>
      <c r="G829" s="9">
        <f t="array" ref="G829">XLOOKUP($A829, Quotations!$K$2:K1756, Quotations!$L$2:L1756, "")
</f>
        <v>1422.0959</v>
      </c>
    </row>
    <row r="830">
      <c r="A830" s="8">
        <v>42838.0</v>
      </c>
      <c r="B830" s="9">
        <f t="array" ref="B830">XLOOKUP($A830, Quotations!$A$2:A1756, Quotations!$B$2:B1756, "")
</f>
        <v>119.42</v>
      </c>
      <c r="C830" s="9">
        <f t="array" ref="C830">XLOOKUP($A830, Quotations!$C$2:C1756, Quotations!$D$2:D1756, "")</f>
        <v>24.49</v>
      </c>
      <c r="D830" s="9">
        <f t="array" ref="D830">XLOOKUP($A830, Quotations!$E$2:E1756, Quotations!$F$2:F1756, "")
</f>
        <v>115.06</v>
      </c>
      <c r="E830" s="9">
        <f t="array" ref="E830">XLOOKUP($A830, Quotations!$G$2:G1756, Quotations!$H$2:H1756, "")
</f>
        <v>118.26</v>
      </c>
      <c r="F830" s="9">
        <f t="array" ref="F830">XLOOKUP($A830, Quotations!$I$2:I1756, Quotations!$J$2:J1756, "")
</f>
        <v>126.38</v>
      </c>
      <c r="G830" s="9">
        <f t="array" ref="G830">XLOOKUP($A830, Quotations!$K$2:K1756, Quotations!$L$2:L1756, "")
</f>
        <v>1419.0407</v>
      </c>
    </row>
    <row r="831">
      <c r="A831" s="8">
        <v>42843.0</v>
      </c>
      <c r="B831" s="9">
        <f t="array" ref="B831">XLOOKUP($A831, Quotations!$A$2:A1756, Quotations!$B$2:B1756, "")
</f>
        <v>119.03</v>
      </c>
      <c r="C831" s="9">
        <f t="array" ref="C831">XLOOKUP($A831, Quotations!$C$2:C1756, Quotations!$D$2:D1756, "")</f>
        <v>24.49</v>
      </c>
      <c r="D831" s="9">
        <f t="array" ref="D831">XLOOKUP($A831, Quotations!$E$2:E1756, Quotations!$F$2:F1756, "")
</f>
        <v>115.1</v>
      </c>
      <c r="E831" s="9">
        <f t="array" ref="E831">XLOOKUP($A831, Quotations!$G$2:G1756, Quotations!$H$2:H1756, "")
</f>
        <v>117.88</v>
      </c>
      <c r="F831" s="9">
        <f t="array" ref="F831">XLOOKUP($A831, Quotations!$I$2:I1756, Quotations!$J$2:J1756, "")
</f>
        <v>126.25</v>
      </c>
      <c r="G831" s="9">
        <f t="array" ref="G831">XLOOKUP($A831, Quotations!$K$2:K1756, Quotations!$L$2:L1756, "")
</f>
        <v>1415.9251</v>
      </c>
    </row>
    <row r="832">
      <c r="A832" s="8">
        <v>42844.0</v>
      </c>
      <c r="B832" s="9">
        <f t="array" ref="B832">XLOOKUP($A832, Quotations!$A$2:A1756, Quotations!$B$2:B1756, "")
</f>
        <v>119.06</v>
      </c>
      <c r="C832" s="9">
        <f t="array" ref="C832">XLOOKUP($A832, Quotations!$C$2:C1756, Quotations!$D$2:D1756, "")</f>
        <v>24.48</v>
      </c>
      <c r="D832" s="9">
        <f t="array" ref="D832">XLOOKUP($A832, Quotations!$E$2:E1756, Quotations!$F$2:F1756, "")
</f>
        <v>115.09</v>
      </c>
      <c r="E832" s="9">
        <f t="array" ref="E832">XLOOKUP($A832, Quotations!$G$2:G1756, Quotations!$H$2:H1756, "")
</f>
        <v>117.57</v>
      </c>
      <c r="F832" s="9">
        <f t="array" ref="F832">XLOOKUP($A832, Quotations!$I$2:I1756, Quotations!$J$2:J1756, "")
</f>
        <v>125.88</v>
      </c>
      <c r="G832" s="9">
        <f t="array" ref="G832">XLOOKUP($A832, Quotations!$K$2:K1756, Quotations!$L$2:L1756, "")
</f>
        <v>1414.2618</v>
      </c>
    </row>
    <row r="833">
      <c r="A833" s="8">
        <v>42845.0</v>
      </c>
      <c r="B833" s="9">
        <f t="array" ref="B833">XLOOKUP($A833, Quotations!$A$2:A1756, Quotations!$B$2:B1756, "")
</f>
        <v>119.25</v>
      </c>
      <c r="C833" s="9">
        <f t="array" ref="C833">XLOOKUP($A833, Quotations!$C$2:C1756, Quotations!$D$2:D1756, "")</f>
        <v>24.47</v>
      </c>
      <c r="D833" s="9">
        <f t="array" ref="D833">XLOOKUP($A833, Quotations!$E$2:E1756, Quotations!$F$2:F1756, "")
</f>
        <v>115.07</v>
      </c>
      <c r="E833" s="9">
        <f t="array" ref="E833">XLOOKUP($A833, Quotations!$G$2:G1756, Quotations!$H$2:H1756, "")
</f>
        <v>117.6</v>
      </c>
      <c r="F833" s="9">
        <f t="array" ref="F833">XLOOKUP($A833, Quotations!$I$2:I1756, Quotations!$J$2:J1756, "")
</f>
        <v>125.75</v>
      </c>
      <c r="G833" s="9">
        <f t="array" ref="G833">XLOOKUP($A833, Quotations!$K$2:K1756, Quotations!$L$2:L1756, "")
</f>
        <v>1414.2581</v>
      </c>
    </row>
    <row r="834">
      <c r="A834" s="8">
        <v>42846.0</v>
      </c>
      <c r="B834" s="9">
        <f t="array" ref="B834">XLOOKUP($A834, Quotations!$A$2:A1756, Quotations!$B$2:B1756, "")
</f>
        <v>119.1</v>
      </c>
      <c r="C834" s="9">
        <f t="array" ref="C834">XLOOKUP($A834, Quotations!$C$2:C1756, Quotations!$D$2:D1756, "")</f>
        <v>24.48</v>
      </c>
      <c r="D834" s="9">
        <f t="array" ref="D834">XLOOKUP($A834, Quotations!$E$2:E1756, Quotations!$F$2:F1756, "")
</f>
        <v>115.08</v>
      </c>
      <c r="E834" s="9">
        <f t="array" ref="E834">XLOOKUP($A834, Quotations!$G$2:G1756, Quotations!$H$2:H1756, "")
</f>
        <v>117.77</v>
      </c>
      <c r="F834" s="9">
        <f t="array" ref="F834">XLOOKUP($A834, Quotations!$I$2:I1756, Quotations!$J$2:J1756, "")
</f>
        <v>125.77</v>
      </c>
      <c r="G834" s="9">
        <f t="array" ref="G834">XLOOKUP($A834, Quotations!$K$2:K1756, Quotations!$L$2:L1756, "")
</f>
        <v>1417.2438</v>
      </c>
    </row>
    <row r="835">
      <c r="A835" s="8">
        <v>42849.0</v>
      </c>
      <c r="B835" s="9">
        <f t="array" ref="B835">XLOOKUP($A835, Quotations!$A$2:A1756, Quotations!$B$2:B1756, "")
</f>
        <v>120.33</v>
      </c>
      <c r="C835" s="9">
        <f t="array" ref="C835">XLOOKUP($A835, Quotations!$C$2:C1756, Quotations!$D$2:D1756, "")</f>
        <v>24.44</v>
      </c>
      <c r="D835" s="9">
        <f t="array" ref="D835">XLOOKUP($A835, Quotations!$E$2:E1756, Quotations!$F$2:F1756, "")
</f>
        <v>115.12</v>
      </c>
      <c r="E835" s="9">
        <f t="array" ref="E835">XLOOKUP($A835, Quotations!$G$2:G1756, Quotations!$H$2:H1756, "")
</f>
        <v>117.75</v>
      </c>
      <c r="F835" s="9">
        <f t="array" ref="F835">XLOOKUP($A835, Quotations!$I$2:I1756, Quotations!$J$2:J1756, "")
</f>
        <v>125.98</v>
      </c>
      <c r="G835" s="9">
        <f t="array" ref="G835">XLOOKUP($A835, Quotations!$K$2:K1756, Quotations!$L$2:L1756, "")
</f>
        <v>1416.8385</v>
      </c>
    </row>
    <row r="836">
      <c r="A836" s="8">
        <v>42850.0</v>
      </c>
      <c r="B836" s="9">
        <f t="array" ref="B836">XLOOKUP($A836, Quotations!$A$2:A1756, Quotations!$B$2:B1756, "")
</f>
        <v>120.71</v>
      </c>
      <c r="C836" s="9">
        <f t="array" ref="C836">XLOOKUP($A836, Quotations!$C$2:C1756, Quotations!$D$2:D1756, "")</f>
        <v>24.43</v>
      </c>
      <c r="D836" s="9">
        <f t="array" ref="D836">XLOOKUP($A836, Quotations!$E$2:E1756, Quotations!$F$2:F1756, "")
</f>
        <v>115.11</v>
      </c>
      <c r="E836" s="9">
        <f t="array" ref="E836">XLOOKUP($A836, Quotations!$G$2:G1756, Quotations!$H$2:H1756, "")
</f>
        <v>119.71</v>
      </c>
      <c r="F836" s="9">
        <f t="array" ref="F836">XLOOKUP($A836, Quotations!$I$2:I1756, Quotations!$J$2:J1756, "")
</f>
        <v>126.14</v>
      </c>
      <c r="G836" s="9">
        <f t="array" ref="G836">XLOOKUP($A836, Quotations!$K$2:K1756, Quotations!$L$2:L1756, "")
</f>
        <v>1426.4042</v>
      </c>
    </row>
    <row r="837">
      <c r="A837" s="8">
        <v>42851.0</v>
      </c>
      <c r="B837" s="9">
        <f t="array" ref="B837">XLOOKUP($A837, Quotations!$A$2:A1756, Quotations!$B$2:B1756, "")
</f>
        <v>120.74</v>
      </c>
      <c r="C837" s="9">
        <f t="array" ref="C837">XLOOKUP($A837, Quotations!$C$2:C1756, Quotations!$D$2:D1756, "")</f>
        <v>24.44</v>
      </c>
      <c r="D837" s="9">
        <f t="array" ref="D837">XLOOKUP($A837, Quotations!$E$2:E1756, Quotations!$F$2:F1756, "")
</f>
        <v>115.13</v>
      </c>
      <c r="E837" s="9">
        <f t="array" ref="E837">XLOOKUP($A837, Quotations!$G$2:G1756, Quotations!$H$2:H1756, "")
</f>
        <v>119.69</v>
      </c>
      <c r="F837" s="9">
        <f t="array" ref="F837">XLOOKUP($A837, Quotations!$I$2:I1756, Quotations!$J$2:J1756, "")
</f>
        <v>126.14</v>
      </c>
      <c r="G837" s="9">
        <f t="array" ref="G837">XLOOKUP($A837, Quotations!$K$2:K1756, Quotations!$L$2:L1756, "")
</f>
        <v>1432.2629</v>
      </c>
    </row>
    <row r="838">
      <c r="A838" s="8">
        <v>42852.0</v>
      </c>
      <c r="B838" s="9">
        <f t="array" ref="B838">XLOOKUP($A838, Quotations!$A$2:A1756, Quotations!$B$2:B1756, "")
</f>
        <v>120.62</v>
      </c>
      <c r="C838" s="9">
        <f t="array" ref="C838">XLOOKUP($A838, Quotations!$C$2:C1756, Quotations!$D$2:D1756, "")</f>
        <v>24.45</v>
      </c>
      <c r="D838" s="9">
        <f t="array" ref="D838">XLOOKUP($A838, Quotations!$E$2:E1756, Quotations!$F$2:F1756, "")
</f>
        <v>115.14</v>
      </c>
      <c r="E838" s="9">
        <f t="array" ref="E838">XLOOKUP($A838, Quotations!$G$2:G1756, Quotations!$H$2:H1756, "")
</f>
        <v>119.58</v>
      </c>
      <c r="F838" s="9">
        <f t="array" ref="F838">XLOOKUP($A838, Quotations!$I$2:I1756, Quotations!$J$2:J1756, "")
</f>
        <v>126.39</v>
      </c>
      <c r="G838" s="9">
        <f t="array" ref="G838">XLOOKUP($A838, Quotations!$K$2:K1756, Quotations!$L$2:L1756, "")
</f>
        <v>1433.4088</v>
      </c>
    </row>
    <row r="839">
      <c r="A839" s="8">
        <v>42853.0</v>
      </c>
      <c r="B839" s="9">
        <f t="array" ref="B839">XLOOKUP($A839, Quotations!$A$2:A1756, Quotations!$B$2:B1756, "")
</f>
        <v>120.63</v>
      </c>
      <c r="C839" s="9">
        <f t="array" ref="C839">XLOOKUP($A839, Quotations!$C$2:C1756, Quotations!$D$2:D1756, "")</f>
        <v>24.44</v>
      </c>
      <c r="D839" s="9">
        <f t="array" ref="D839">XLOOKUP($A839, Quotations!$E$2:E1756, Quotations!$F$2:F1756, "")
</f>
        <v>115.16</v>
      </c>
      <c r="E839" s="9">
        <f t="array" ref="E839">XLOOKUP($A839, Quotations!$G$2:G1756, Quotations!$H$2:H1756, "")
</f>
        <v>119.43</v>
      </c>
      <c r="F839" s="9">
        <f t="array" ref="F839">XLOOKUP($A839, Quotations!$I$2:I1756, Quotations!$J$2:J1756, "")
</f>
        <v>126.17</v>
      </c>
      <c r="G839" s="9">
        <f t="array" ref="G839">XLOOKUP($A839, Quotations!$K$2:K1756, Quotations!$L$2:L1756, "")
</f>
        <v>1434.3135</v>
      </c>
    </row>
    <row r="840">
      <c r="A840" s="8">
        <v>42857.0</v>
      </c>
      <c r="B840" s="9">
        <f t="array" ref="B840">XLOOKUP($A840, Quotations!$A$2:A1756, Quotations!$B$2:B1756, "")
</f>
        <v>120.88</v>
      </c>
      <c r="C840" s="9">
        <f t="array" ref="C840">XLOOKUP($A840, Quotations!$C$2:C1756, Quotations!$D$2:D1756, "")</f>
        <v>24.44</v>
      </c>
      <c r="D840" s="9">
        <f t="array" ref="D840">XLOOKUP($A840, Quotations!$E$2:E1756, Quotations!$F$2:F1756, "")
</f>
        <v>115.16</v>
      </c>
      <c r="E840" s="9">
        <f t="array" ref="E840">XLOOKUP($A840, Quotations!$G$2:G1756, Quotations!$H$2:H1756, "")
</f>
        <v>119.55</v>
      </c>
      <c r="F840" s="9">
        <f t="array" ref="F840">XLOOKUP($A840, Quotations!$I$2:I1756, Quotations!$J$2:J1756, "")
</f>
        <v>126.12</v>
      </c>
      <c r="G840" s="9">
        <f t="array" ref="G840">XLOOKUP($A840, Quotations!$K$2:K1756, Quotations!$L$2:L1756, "")
</f>
        <v>1434.1548</v>
      </c>
    </row>
    <row r="841">
      <c r="A841" s="8">
        <v>42858.0</v>
      </c>
      <c r="B841" s="9">
        <f t="array" ref="B841">XLOOKUP($A841, Quotations!$A$2:A1756, Quotations!$B$2:B1756, "")
</f>
        <v>120.83</v>
      </c>
      <c r="C841" s="9">
        <f t="array" ref="C841">XLOOKUP($A841, Quotations!$C$2:C1756, Quotations!$D$2:D1756, "")</f>
        <v>24.44</v>
      </c>
      <c r="D841" s="9">
        <f t="array" ref="D841">XLOOKUP($A841, Quotations!$E$2:E1756, Quotations!$F$2:F1756, "")
</f>
        <v>115.17</v>
      </c>
      <c r="E841" s="9">
        <f t="array" ref="E841">XLOOKUP($A841, Quotations!$G$2:G1756, Quotations!$H$2:H1756, "")
</f>
        <v>119.84</v>
      </c>
      <c r="F841" s="9">
        <f t="array" ref="F841">XLOOKUP($A841, Quotations!$I$2:I1756, Quotations!$J$2:J1756, "")
</f>
        <v>126.3</v>
      </c>
      <c r="G841" s="9">
        <f t="array" ref="G841">XLOOKUP($A841, Quotations!$K$2:K1756, Quotations!$L$2:L1756, "")
</f>
        <v>1433.9326</v>
      </c>
    </row>
    <row r="842">
      <c r="A842" s="8">
        <v>42859.0</v>
      </c>
      <c r="B842" s="9">
        <f t="array" ref="B842">XLOOKUP($A842, Quotations!$A$2:A1756, Quotations!$B$2:B1756, "")
</f>
        <v>121.3</v>
      </c>
      <c r="C842" s="9">
        <f t="array" ref="C842">XLOOKUP($A842, Quotations!$C$2:C1756, Quotations!$D$2:D1756, "")</f>
        <v>24.42</v>
      </c>
      <c r="D842" s="9">
        <f t="array" ref="D842">XLOOKUP($A842, Quotations!$E$2:E1756, Quotations!$F$2:F1756, "")
</f>
        <v>115.15</v>
      </c>
      <c r="E842" s="9">
        <f t="array" ref="E842">XLOOKUP($A842, Quotations!$G$2:G1756, Quotations!$H$2:H1756, "")
</f>
        <v>119.95</v>
      </c>
      <c r="F842" s="9">
        <f t="array" ref="F842">XLOOKUP($A842, Quotations!$I$2:I1756, Quotations!$J$2:J1756, "")
</f>
        <v>126.3</v>
      </c>
      <c r="G842" s="9">
        <f t="array" ref="G842">XLOOKUP($A842, Quotations!$K$2:K1756, Quotations!$L$2:L1756, "")
</f>
        <v>1430.5059</v>
      </c>
    </row>
    <row r="843">
      <c r="A843" s="8">
        <v>42860.0</v>
      </c>
      <c r="B843" s="9">
        <f t="array" ref="B843">XLOOKUP($A843, Quotations!$A$2:A1756, Quotations!$B$2:B1756, "")
</f>
        <v>121.57</v>
      </c>
      <c r="C843" s="9">
        <f t="array" ref="C843">XLOOKUP($A843, Quotations!$C$2:C1756, Quotations!$D$2:D1756, "")</f>
        <v>24.42</v>
      </c>
      <c r="D843" s="9">
        <f t="array" ref="D843">XLOOKUP($A843, Quotations!$E$2:E1756, Quotations!$F$2:F1756, "")
</f>
        <v>115.14</v>
      </c>
      <c r="E843" s="9">
        <f t="array" ref="E843">XLOOKUP($A843, Quotations!$G$2:G1756, Quotations!$H$2:H1756, "")
</f>
        <v>120.12</v>
      </c>
      <c r="F843" s="9">
        <f t="array" ref="F843">XLOOKUP($A843, Quotations!$I$2:I1756, Quotations!$J$2:J1756, "")
</f>
        <v>126.28</v>
      </c>
      <c r="G843" s="9">
        <f t="array" ref="G843">XLOOKUP($A843, Quotations!$K$2:K1756, Quotations!$L$2:L1756, "")
</f>
        <v>1428.9325</v>
      </c>
    </row>
    <row r="844">
      <c r="A844" s="8">
        <v>42863.0</v>
      </c>
      <c r="B844" s="9" t="str">
        <f t="array" ref="B844">XLOOKUP($A844, Quotations!$A$2:A1756, Quotations!$B$2:B1756, "")
</f>
        <v/>
      </c>
      <c r="C844" s="9">
        <f t="array" ref="C844">XLOOKUP($A844, Quotations!$C$2:C1756, Quotations!$D$2:D1756, "")</f>
        <v>24.43</v>
      </c>
      <c r="D844" s="9">
        <f t="array" ref="D844">XLOOKUP($A844, Quotations!$E$2:E1756, Quotations!$F$2:F1756, "")
</f>
        <v>115.16</v>
      </c>
      <c r="E844" s="9">
        <f t="array" ref="E844">XLOOKUP($A844, Quotations!$G$2:G1756, Quotations!$H$2:H1756, "")
</f>
        <v>120.46</v>
      </c>
      <c r="F844" s="9">
        <f t="array" ref="F844">XLOOKUP($A844, Quotations!$I$2:I1756, Quotations!$J$2:J1756, "")
</f>
        <v>126.28</v>
      </c>
      <c r="G844" s="9">
        <f t="array" ref="G844">XLOOKUP($A844, Quotations!$K$2:K1756, Quotations!$L$2:L1756, "")
</f>
        <v>1437.3036</v>
      </c>
    </row>
    <row r="845">
      <c r="A845" s="8">
        <v>42864.0</v>
      </c>
      <c r="B845" s="9">
        <f t="array" ref="B845">XLOOKUP($A845, Quotations!$A$2:A1756, Quotations!$B$2:B1756, "")
</f>
        <v>121.45</v>
      </c>
      <c r="C845" s="9">
        <f t="array" ref="C845">XLOOKUP($A845, Quotations!$C$2:C1756, Quotations!$D$2:D1756, "")</f>
        <v>24.43</v>
      </c>
      <c r="D845" s="9">
        <f t="array" ref="D845">XLOOKUP($A845, Quotations!$E$2:E1756, Quotations!$F$2:F1756, "")
</f>
        <v>115.17</v>
      </c>
      <c r="E845" s="9">
        <f t="array" ref="E845">XLOOKUP($A845, Quotations!$G$2:G1756, Quotations!$H$2:H1756, "")
</f>
        <v>120.33</v>
      </c>
      <c r="F845" s="9">
        <f t="array" ref="F845">XLOOKUP($A845, Quotations!$I$2:I1756, Quotations!$J$2:J1756, "")
</f>
        <v>126.45</v>
      </c>
      <c r="G845" s="9">
        <f t="array" ref="G845">XLOOKUP($A845, Quotations!$K$2:K1756, Quotations!$L$2:L1756, "")
</f>
        <v>1436.5678</v>
      </c>
    </row>
    <row r="846">
      <c r="A846" s="8">
        <v>42865.0</v>
      </c>
      <c r="B846" s="9">
        <f t="array" ref="B846">XLOOKUP($A846, Quotations!$A$2:A1756, Quotations!$B$2:B1756, "")
</f>
        <v>121.47</v>
      </c>
      <c r="C846" s="9">
        <f t="array" ref="C846">XLOOKUP($A846, Quotations!$C$2:C1756, Quotations!$D$2:D1756, "")</f>
        <v>24.44</v>
      </c>
      <c r="D846" s="9">
        <f t="array" ref="D846">XLOOKUP($A846, Quotations!$E$2:E1756, Quotations!$F$2:F1756, "")
</f>
        <v>115.18</v>
      </c>
      <c r="E846" s="9">
        <f t="array" ref="E846">XLOOKUP($A846, Quotations!$G$2:G1756, Quotations!$H$2:H1756, "")
</f>
        <v>120.43</v>
      </c>
      <c r="F846" s="9">
        <f t="array" ref="F846">XLOOKUP($A846, Quotations!$I$2:I1756, Quotations!$J$2:J1756, "")
</f>
        <v>126.71</v>
      </c>
      <c r="G846" s="9">
        <f t="array" ref="G846">XLOOKUP($A846, Quotations!$K$2:K1756, Quotations!$L$2:L1756, "")
</f>
        <v>1440.1399</v>
      </c>
    </row>
    <row r="847">
      <c r="A847" s="8">
        <v>42866.0</v>
      </c>
      <c r="B847" s="9">
        <f t="array" ref="B847">XLOOKUP($A847, Quotations!$A$2:A1756, Quotations!$B$2:B1756, "")
</f>
        <v>121.32</v>
      </c>
      <c r="C847" s="9">
        <f t="array" ref="C847">XLOOKUP($A847, Quotations!$C$2:C1756, Quotations!$D$2:D1756, "")</f>
        <v>24.44</v>
      </c>
      <c r="D847" s="9">
        <f t="array" ref="D847">XLOOKUP($A847, Quotations!$E$2:E1756, Quotations!$F$2:F1756, "")
</f>
        <v>115.19</v>
      </c>
      <c r="E847" s="9">
        <f t="array" ref="E847">XLOOKUP($A847, Quotations!$G$2:G1756, Quotations!$H$2:H1756, "")
</f>
        <v>120.42</v>
      </c>
      <c r="F847" s="9">
        <f t="array" ref="F847">XLOOKUP($A847, Quotations!$I$2:I1756, Quotations!$J$2:J1756, "")
</f>
        <v>126.99</v>
      </c>
      <c r="G847" s="9">
        <f t="array" ref="G847">XLOOKUP($A847, Quotations!$K$2:K1756, Quotations!$L$2:L1756, "")
</f>
        <v>1441.6419</v>
      </c>
    </row>
    <row r="848">
      <c r="A848" s="8">
        <v>42867.0</v>
      </c>
      <c r="B848" s="9">
        <f t="array" ref="B848">XLOOKUP($A848, Quotations!$A$2:A1756, Quotations!$B$2:B1756, "")
</f>
        <v>121.37</v>
      </c>
      <c r="C848" s="9">
        <f t="array" ref="C848">XLOOKUP($A848, Quotations!$C$2:C1756, Quotations!$D$2:D1756, "")</f>
        <v>24.43</v>
      </c>
      <c r="D848" s="9">
        <f t="array" ref="D848">XLOOKUP($A848, Quotations!$E$2:E1756, Quotations!$F$2:F1756, "")
</f>
        <v>115.2</v>
      </c>
      <c r="E848" s="9">
        <f t="array" ref="E848">XLOOKUP($A848, Quotations!$G$2:G1756, Quotations!$H$2:H1756, "")
</f>
        <v>120.15</v>
      </c>
      <c r="F848" s="9">
        <f t="array" ref="F848">XLOOKUP($A848, Quotations!$I$2:I1756, Quotations!$J$2:J1756, "")
</f>
        <v>127.1</v>
      </c>
      <c r="G848" s="9">
        <f t="array" ref="G848">XLOOKUP($A848, Quotations!$K$2:K1756, Quotations!$L$2:L1756, "")
</f>
        <v>1438.9351</v>
      </c>
    </row>
    <row r="849">
      <c r="A849" s="8">
        <v>42870.0</v>
      </c>
      <c r="B849" s="9">
        <f t="array" ref="B849">XLOOKUP($A849, Quotations!$A$2:A1756, Quotations!$B$2:B1756, "")
</f>
        <v>121.6</v>
      </c>
      <c r="C849" s="9">
        <f t="array" ref="C849">XLOOKUP($A849, Quotations!$C$2:C1756, Quotations!$D$2:D1756, "")</f>
        <v>24.42</v>
      </c>
      <c r="D849" s="9">
        <f t="array" ref="D849">XLOOKUP($A849, Quotations!$E$2:E1756, Quotations!$F$2:F1756, "")
</f>
        <v>115.21</v>
      </c>
      <c r="E849" s="9">
        <f t="array" ref="E849">XLOOKUP($A849, Quotations!$G$2:G1756, Quotations!$H$2:H1756, "")
</f>
        <v>120.56</v>
      </c>
      <c r="F849" s="9">
        <f t="array" ref="F849">XLOOKUP($A849, Quotations!$I$2:I1756, Quotations!$J$2:J1756, "")
</f>
        <v>127.2</v>
      </c>
      <c r="G849" s="9">
        <f t="array" ref="G849">XLOOKUP($A849, Quotations!$K$2:K1756, Quotations!$L$2:L1756, "")
</f>
        <v>1438.8512</v>
      </c>
    </row>
    <row r="850">
      <c r="A850" s="8">
        <v>42871.0</v>
      </c>
      <c r="B850" s="9">
        <f t="array" ref="B850">XLOOKUP($A850, Quotations!$A$2:A1756, Quotations!$B$2:B1756, "")
</f>
        <v>121.73</v>
      </c>
      <c r="C850" s="9">
        <f t="array" ref="C850">XLOOKUP($A850, Quotations!$C$2:C1756, Quotations!$D$2:D1756, "")</f>
        <v>24.4</v>
      </c>
      <c r="D850" s="9">
        <f t="array" ref="D850">XLOOKUP($A850, Quotations!$E$2:E1756, Quotations!$F$2:F1756, "")
</f>
        <v>115.2</v>
      </c>
      <c r="E850" s="9">
        <f t="array" ref="E850">XLOOKUP($A850, Quotations!$G$2:G1756, Quotations!$H$2:H1756, "")
</f>
        <v>120.64</v>
      </c>
      <c r="F850" s="9">
        <f t="array" ref="F850">XLOOKUP($A850, Quotations!$I$2:I1756, Quotations!$J$2:J1756, "")
</f>
        <v>127.4</v>
      </c>
      <c r="G850" s="9">
        <f t="array" ref="G850">XLOOKUP($A850, Quotations!$K$2:K1756, Quotations!$L$2:L1756, "")
</f>
        <v>1442.343</v>
      </c>
    </row>
    <row r="851">
      <c r="A851" s="8">
        <v>42872.0</v>
      </c>
      <c r="B851" s="9">
        <f t="array" ref="B851">XLOOKUP($A851, Quotations!$A$2:A1756, Quotations!$B$2:B1756, "")
</f>
        <v>121.21</v>
      </c>
      <c r="C851" s="9">
        <f t="array" ref="C851">XLOOKUP($A851, Quotations!$C$2:C1756, Quotations!$D$2:D1756, "")</f>
        <v>24.4</v>
      </c>
      <c r="D851" s="9">
        <f t="array" ref="D851">XLOOKUP($A851, Quotations!$E$2:E1756, Quotations!$F$2:F1756, "")
</f>
        <v>115.21</v>
      </c>
      <c r="E851" s="9">
        <f t="array" ref="E851">XLOOKUP($A851, Quotations!$G$2:G1756, Quotations!$H$2:H1756, "")
</f>
        <v>120.76</v>
      </c>
      <c r="F851" s="9">
        <f t="array" ref="F851">XLOOKUP($A851, Quotations!$I$2:I1756, Quotations!$J$2:J1756, "")
</f>
        <v>127.39</v>
      </c>
      <c r="G851" s="9">
        <f t="array" ref="G851">XLOOKUP($A851, Quotations!$K$2:K1756, Quotations!$L$2:L1756, "")
</f>
        <v>1442.991</v>
      </c>
    </row>
    <row r="852">
      <c r="A852" s="8">
        <v>42873.0</v>
      </c>
      <c r="B852" s="9">
        <f t="array" ref="B852">XLOOKUP($A852, Quotations!$A$2:A1756, Quotations!$B$2:B1756, "")
</f>
        <v>121.01</v>
      </c>
      <c r="C852" s="9">
        <f t="array" ref="C852">XLOOKUP($A852, Quotations!$C$2:C1756, Quotations!$D$2:D1756, "")</f>
        <v>24.4</v>
      </c>
      <c r="D852" s="9">
        <f t="array" ref="D852">XLOOKUP($A852, Quotations!$E$2:E1756, Quotations!$F$2:F1756, "")
</f>
        <v>115.15</v>
      </c>
      <c r="E852" s="9">
        <f t="array" ref="E852">XLOOKUP($A852, Quotations!$G$2:G1756, Quotations!$H$2:H1756, "")
</f>
        <v>120.26</v>
      </c>
      <c r="F852" s="9">
        <f t="array" ref="F852">XLOOKUP($A852, Quotations!$I$2:I1756, Quotations!$J$2:J1756, "")
</f>
        <v>126.98</v>
      </c>
      <c r="G852" s="9">
        <f t="array" ref="G852">XLOOKUP($A852, Quotations!$K$2:K1756, Quotations!$L$2:L1756, "")
</f>
        <v>1431.636</v>
      </c>
    </row>
    <row r="853">
      <c r="A853" s="8">
        <v>42874.0</v>
      </c>
      <c r="B853" s="9">
        <f t="array" ref="B853">XLOOKUP($A853, Quotations!$A$2:A1756, Quotations!$B$2:B1756, "")
</f>
        <v>121.42</v>
      </c>
      <c r="C853" s="9">
        <f t="array" ref="C853">XLOOKUP($A853, Quotations!$C$2:C1756, Quotations!$D$2:D1756, "")</f>
        <v>24.38</v>
      </c>
      <c r="D853" s="9">
        <f t="array" ref="D853">XLOOKUP($A853, Quotations!$E$2:E1756, Quotations!$F$2:F1756, "")
</f>
        <v>115.16</v>
      </c>
      <c r="E853" s="9">
        <f t="array" ref="E853">XLOOKUP($A853, Quotations!$G$2:G1756, Quotations!$H$2:H1756, "")
</f>
        <v>119.95</v>
      </c>
      <c r="F853" s="9">
        <f t="array" ref="F853">XLOOKUP($A853, Quotations!$I$2:I1756, Quotations!$J$2:J1756, "")
</f>
        <v>126.75</v>
      </c>
      <c r="G853" s="9">
        <f t="array" ref="G853">XLOOKUP($A853, Quotations!$K$2:K1756, Quotations!$L$2:L1756, "")
</f>
        <v>1431.062</v>
      </c>
    </row>
    <row r="854">
      <c r="A854" s="8">
        <v>42877.0</v>
      </c>
      <c r="B854" s="9">
        <f t="array" ref="B854">XLOOKUP($A854, Quotations!$A$2:A1756, Quotations!$B$2:B1756, "")
</f>
        <v>121.39</v>
      </c>
      <c r="C854" s="9">
        <f t="array" ref="C854">XLOOKUP($A854, Quotations!$C$2:C1756, Quotations!$D$2:D1756, "")</f>
        <v>24.38</v>
      </c>
      <c r="D854" s="9">
        <f t="array" ref="D854">XLOOKUP($A854, Quotations!$E$2:E1756, Quotations!$F$2:F1756, "")
</f>
        <v>115.18</v>
      </c>
      <c r="E854" s="9">
        <f t="array" ref="E854">XLOOKUP($A854, Quotations!$G$2:G1756, Quotations!$H$2:H1756, "")
</f>
        <v>120.19</v>
      </c>
      <c r="F854" s="9">
        <f t="array" ref="F854">XLOOKUP($A854, Quotations!$I$2:I1756, Quotations!$J$2:J1756, "")
</f>
        <v>126.85</v>
      </c>
      <c r="G854" s="9">
        <f t="array" ref="G854">XLOOKUP($A854, Quotations!$K$2:K1756, Quotations!$L$2:L1756, "")
</f>
        <v>1435.849</v>
      </c>
    </row>
    <row r="855">
      <c r="A855" s="8">
        <v>42878.0</v>
      </c>
      <c r="B855" s="9">
        <f t="array" ref="B855">XLOOKUP($A855, Quotations!$A$2:A1756, Quotations!$B$2:B1756, "")
</f>
        <v>121.48</v>
      </c>
      <c r="C855" s="9">
        <f t="array" ref="C855">XLOOKUP($A855, Quotations!$C$2:C1756, Quotations!$D$2:D1756, "")</f>
        <v>24.38</v>
      </c>
      <c r="D855" s="9">
        <f t="array" ref="D855">XLOOKUP($A855, Quotations!$E$2:E1756, Quotations!$F$2:F1756, "")
</f>
        <v>115.19</v>
      </c>
      <c r="E855" s="9">
        <f t="array" ref="E855">XLOOKUP($A855, Quotations!$G$2:G1756, Quotations!$H$2:H1756, "")
</f>
        <v>120.07</v>
      </c>
      <c r="F855" s="9">
        <f t="array" ref="F855">XLOOKUP($A855, Quotations!$I$2:I1756, Quotations!$J$2:J1756, "")
</f>
        <v>126.97</v>
      </c>
      <c r="G855" s="9">
        <f t="array" ref="G855">XLOOKUP($A855, Quotations!$K$2:K1756, Quotations!$L$2:L1756, "")
</f>
        <v>1439.185</v>
      </c>
    </row>
    <row r="856">
      <c r="A856" s="8">
        <v>42879.0</v>
      </c>
      <c r="B856" s="9">
        <f t="array" ref="B856">XLOOKUP($A856, Quotations!$A$2:A1756, Quotations!$B$2:B1756, "")
</f>
        <v>121.49</v>
      </c>
      <c r="C856" s="9">
        <f t="array" ref="C856">XLOOKUP($A856, Quotations!$C$2:C1756, Quotations!$D$2:D1756, "")</f>
        <v>24.39</v>
      </c>
      <c r="D856" s="9">
        <f t="array" ref="D856">XLOOKUP($A856, Quotations!$E$2:E1756, Quotations!$F$2:F1756, "")
</f>
        <v>115.2</v>
      </c>
      <c r="E856" s="9">
        <f t="array" ref="E856">XLOOKUP($A856, Quotations!$G$2:G1756, Quotations!$H$2:H1756, "")
</f>
        <v>120.2</v>
      </c>
      <c r="F856" s="9">
        <f t="array" ref="F856">XLOOKUP($A856, Quotations!$I$2:I1756, Quotations!$J$2:J1756, "")
</f>
        <v>127.03</v>
      </c>
      <c r="G856" s="9">
        <f t="array" ref="G856">XLOOKUP($A856, Quotations!$K$2:K1756, Quotations!$L$2:L1756, "")
</f>
        <v>1438.781</v>
      </c>
    </row>
    <row r="857">
      <c r="A857" s="8">
        <v>42881.0</v>
      </c>
      <c r="B857" s="9">
        <f t="array" ref="B857">XLOOKUP($A857, Quotations!$A$2:A1756, Quotations!$B$2:B1756, "")
</f>
        <v>121.52</v>
      </c>
      <c r="C857" s="9">
        <f t="array" ref="C857">XLOOKUP($A857, Quotations!$C$2:C1756, Quotations!$D$2:D1756, "")</f>
        <v>24.38</v>
      </c>
      <c r="D857" s="9">
        <f t="array" ref="D857">XLOOKUP($A857, Quotations!$E$2:E1756, Quotations!$F$2:F1756, "")
</f>
        <v>115.22</v>
      </c>
      <c r="E857" s="9">
        <f t="array" ref="E857">XLOOKUP($A857, Quotations!$G$2:G1756, Quotations!$H$2:H1756, "")
</f>
        <v>120.14</v>
      </c>
      <c r="F857" s="9">
        <f t="array" ref="F857">XLOOKUP($A857, Quotations!$I$2:I1756, Quotations!$J$2:J1756, "")
</f>
        <v>127.16</v>
      </c>
      <c r="G857" s="9">
        <f t="array" ref="G857">XLOOKUP($A857, Quotations!$K$2:K1756, Quotations!$L$2:L1756, "")
</f>
        <v>1439.827</v>
      </c>
    </row>
    <row r="858">
      <c r="A858" s="8">
        <v>42884.0</v>
      </c>
      <c r="B858" s="9">
        <f t="array" ref="B858">XLOOKUP($A858, Quotations!$A$2:A1756, Quotations!$B$2:B1756, "")
</f>
        <v>121.47</v>
      </c>
      <c r="C858" s="9">
        <f t="array" ref="C858">XLOOKUP($A858, Quotations!$C$2:C1756, Quotations!$D$2:D1756, "")</f>
        <v>24.39</v>
      </c>
      <c r="D858" s="9">
        <f t="array" ref="D858">XLOOKUP($A858, Quotations!$E$2:E1756, Quotations!$F$2:F1756, "")
</f>
        <v>115.25</v>
      </c>
      <c r="E858" s="9">
        <f t="array" ref="E858">XLOOKUP($A858, Quotations!$G$2:G1756, Quotations!$H$2:H1756, "")
</f>
        <v>120.03</v>
      </c>
      <c r="F858" s="9">
        <f t="array" ref="F858">XLOOKUP($A858, Quotations!$I$2:I1756, Quotations!$J$2:J1756, "")
</f>
        <v>127.35</v>
      </c>
      <c r="G858" s="9" t="str">
        <f t="array" ref="G858">XLOOKUP($A858, Quotations!$K$2:K1756, Quotations!$L$2:L1756, "")
</f>
        <v/>
      </c>
    </row>
    <row r="859">
      <c r="A859" s="8">
        <v>42885.0</v>
      </c>
      <c r="B859" s="9">
        <f t="array" ref="B859">XLOOKUP($A859, Quotations!$A$2:A1756, Quotations!$B$2:B1756, "")
</f>
        <v>121.41</v>
      </c>
      <c r="C859" s="9">
        <f t="array" ref="C859">XLOOKUP($A859, Quotations!$C$2:C1756, Quotations!$D$2:D1756, "")</f>
        <v>24.39</v>
      </c>
      <c r="D859" s="9">
        <f t="array" ref="D859">XLOOKUP($A859, Quotations!$E$2:E1756, Quotations!$F$2:F1756, "")
</f>
        <v>115.24</v>
      </c>
      <c r="E859" s="9">
        <f t="array" ref="E859">XLOOKUP($A859, Quotations!$G$2:G1756, Quotations!$H$2:H1756, "")
</f>
        <v>120.03</v>
      </c>
      <c r="F859" s="9">
        <f t="array" ref="F859">XLOOKUP($A859, Quotations!$I$2:I1756, Quotations!$J$2:J1756, "")
</f>
        <v>127.3</v>
      </c>
      <c r="G859" s="9">
        <f t="array" ref="G859">XLOOKUP($A859, Quotations!$K$2:K1756, Quotations!$L$2:L1756, "")
</f>
        <v>1442.006</v>
      </c>
    </row>
    <row r="860">
      <c r="A860" s="8">
        <v>42886.0</v>
      </c>
      <c r="B860" s="9">
        <f t="array" ref="B860">XLOOKUP($A860, Quotations!$A$2:A1756, Quotations!$B$2:B1756, "")
</f>
        <v>121.33</v>
      </c>
      <c r="C860" s="9">
        <f t="array" ref="C860">XLOOKUP($A860, Quotations!$C$2:C1756, Quotations!$D$2:D1756, "")</f>
        <v>24.38</v>
      </c>
      <c r="D860" s="9">
        <f t="array" ref="D860">XLOOKUP($A860, Quotations!$E$2:E1756, Quotations!$F$2:F1756, "")
</f>
        <v>115.22</v>
      </c>
      <c r="E860" s="9">
        <f t="array" ref="E860">XLOOKUP($A860, Quotations!$G$2:G1756, Quotations!$H$2:H1756, "")
</f>
        <v>119.97</v>
      </c>
      <c r="F860" s="9">
        <f t="array" ref="F860">XLOOKUP($A860, Quotations!$I$2:I1756, Quotations!$J$2:J1756, "")
</f>
        <v>127.23</v>
      </c>
      <c r="G860" s="9">
        <f t="array" ref="G860">XLOOKUP($A860, Quotations!$K$2:K1756, Quotations!$L$2:L1756, "")
</f>
        <v>1440.24</v>
      </c>
    </row>
    <row r="861">
      <c r="A861" s="8">
        <v>42887.0</v>
      </c>
      <c r="B861" s="9">
        <f t="array" ref="B861">XLOOKUP($A861, Quotations!$A$2:A1756, Quotations!$B$2:B1756, "")
</f>
        <v>121.55</v>
      </c>
      <c r="C861" s="9">
        <f t="array" ref="C861">XLOOKUP($A861, Quotations!$C$2:C1756, Quotations!$D$2:D1756, "")</f>
        <v>24.38</v>
      </c>
      <c r="D861" s="9">
        <f t="array" ref="D861">XLOOKUP($A861, Quotations!$E$2:E1756, Quotations!$F$2:F1756, "")
</f>
        <v>115.2</v>
      </c>
      <c r="E861" s="9">
        <f t="array" ref="E861">XLOOKUP($A861, Quotations!$G$2:G1756, Quotations!$H$2:H1756, "")
</f>
        <v>120.17</v>
      </c>
      <c r="F861" s="9">
        <f t="array" ref="F861">XLOOKUP($A861, Quotations!$I$2:I1756, Quotations!$J$2:J1756, "")
</f>
        <v>127.19</v>
      </c>
      <c r="G861" s="9">
        <f t="array" ref="G861">XLOOKUP($A861, Quotations!$K$2:K1756, Quotations!$L$2:L1756, "")
</f>
        <v>1440.438</v>
      </c>
    </row>
    <row r="862">
      <c r="A862" s="8">
        <v>42888.0</v>
      </c>
      <c r="B862" s="9">
        <f t="array" ref="B862">XLOOKUP($A862, Quotations!$A$2:A1756, Quotations!$B$2:B1756, "")
</f>
        <v>121.84</v>
      </c>
      <c r="C862" s="9">
        <f t="array" ref="C862">XLOOKUP($A862, Quotations!$C$2:C1756, Quotations!$D$2:D1756, "")</f>
        <v>24.37</v>
      </c>
      <c r="D862" s="9">
        <f t="array" ref="D862">XLOOKUP($A862, Quotations!$E$2:E1756, Quotations!$F$2:F1756, "")
</f>
        <v>115.2</v>
      </c>
      <c r="E862" s="9">
        <f t="array" ref="E862">XLOOKUP($A862, Quotations!$G$2:G1756, Quotations!$H$2:H1756, "")
</f>
        <v>120.14</v>
      </c>
      <c r="F862" s="9">
        <f t="array" ref="F862">XLOOKUP($A862, Quotations!$I$2:I1756, Quotations!$J$2:J1756, "")
</f>
        <v>127.33</v>
      </c>
      <c r="G862" s="9">
        <f t="array" ref="G862">XLOOKUP($A862, Quotations!$K$2:K1756, Quotations!$L$2:L1756, "")
</f>
        <v>1447.7821</v>
      </c>
    </row>
    <row r="863">
      <c r="A863" s="8">
        <v>42892.0</v>
      </c>
      <c r="B863" s="9">
        <f t="array" ref="B863">XLOOKUP($A863, Quotations!$A$2:A1756, Quotations!$B$2:B1756, "")
</f>
        <v>121.46</v>
      </c>
      <c r="C863" s="9">
        <f t="array" ref="C863">XLOOKUP($A863, Quotations!$C$2:C1756, Quotations!$D$2:D1756, "")</f>
        <v>24.37</v>
      </c>
      <c r="D863" s="9">
        <f t="array" ref="D863">XLOOKUP($A863, Quotations!$E$2:E1756, Quotations!$F$2:F1756, "")
</f>
        <v>115.22</v>
      </c>
      <c r="E863" s="9">
        <f t="array" ref="E863">XLOOKUP($A863, Quotations!$G$2:G1756, Quotations!$H$2:H1756, "")
</f>
        <v>120.68</v>
      </c>
      <c r="F863" s="9">
        <f t="array" ref="F863">XLOOKUP($A863, Quotations!$I$2:I1756, Quotations!$J$2:J1756, "")
</f>
        <v>127.46</v>
      </c>
      <c r="G863" s="9">
        <f t="array" ref="G863">XLOOKUP($A863, Quotations!$K$2:K1756, Quotations!$L$2:L1756, "")
</f>
        <v>1450.608</v>
      </c>
    </row>
    <row r="864">
      <c r="A864" s="8">
        <v>42893.0</v>
      </c>
      <c r="B864" s="9">
        <f t="array" ref="B864">XLOOKUP($A864, Quotations!$A$2:A1756, Quotations!$B$2:B1756, "")
</f>
        <v>121.35</v>
      </c>
      <c r="C864" s="9">
        <f t="array" ref="C864">XLOOKUP($A864, Quotations!$C$2:C1756, Quotations!$D$2:D1756, "")</f>
        <v>24.37</v>
      </c>
      <c r="D864" s="9">
        <f t="array" ref="D864">XLOOKUP($A864, Quotations!$E$2:E1756, Quotations!$F$2:F1756, "")
</f>
        <v>115.21</v>
      </c>
      <c r="E864" s="9">
        <f t="array" ref="E864">XLOOKUP($A864, Quotations!$G$2:G1756, Quotations!$H$2:H1756, "")
</f>
        <v>120.33</v>
      </c>
      <c r="F864" s="9">
        <f t="array" ref="F864">XLOOKUP($A864, Quotations!$I$2:I1756, Quotations!$J$2:J1756, "")
</f>
        <v>127.56</v>
      </c>
      <c r="G864" s="9">
        <f t="array" ref="G864">XLOOKUP($A864, Quotations!$K$2:K1756, Quotations!$L$2:L1756, "")
</f>
        <v>1449.009</v>
      </c>
    </row>
    <row r="865">
      <c r="A865" s="8">
        <v>42894.0</v>
      </c>
      <c r="B865" s="9">
        <f t="array" ref="B865">XLOOKUP($A865, Quotations!$A$2:A1756, Quotations!$B$2:B1756, "")
</f>
        <v>121.32</v>
      </c>
      <c r="C865" s="9">
        <f t="array" ref="C865">XLOOKUP($A865, Quotations!$C$2:C1756, Quotations!$D$2:D1756, "")</f>
        <v>24.38</v>
      </c>
      <c r="D865" s="9">
        <f t="array" ref="D865">XLOOKUP($A865, Quotations!$E$2:E1756, Quotations!$F$2:F1756, "")
</f>
        <v>115.2</v>
      </c>
      <c r="E865" s="9">
        <f t="array" ref="E865">XLOOKUP($A865, Quotations!$G$2:G1756, Quotations!$H$2:H1756, "")
</f>
        <v>120.09</v>
      </c>
      <c r="F865" s="9">
        <f t="array" ref="F865">XLOOKUP($A865, Quotations!$I$2:I1756, Quotations!$J$2:J1756, "")
</f>
        <v>127.44</v>
      </c>
      <c r="G865" s="9">
        <f t="array" ref="G865">XLOOKUP($A865, Quotations!$K$2:K1756, Quotations!$L$2:L1756, "")
</f>
        <v>1447.396</v>
      </c>
    </row>
    <row r="866">
      <c r="A866" s="8">
        <v>42895.0</v>
      </c>
      <c r="B866" s="9">
        <f t="array" ref="B866">XLOOKUP($A866, Quotations!$A$2:A1756, Quotations!$B$2:B1756, "")
</f>
        <v>121.51</v>
      </c>
      <c r="C866" s="9">
        <f t="array" ref="C866">XLOOKUP($A866, Quotations!$C$2:C1756, Quotations!$D$2:D1756, "")</f>
        <v>24.38</v>
      </c>
      <c r="D866" s="9">
        <f t="array" ref="D866">XLOOKUP($A866, Quotations!$E$2:E1756, Quotations!$F$2:F1756, "")
</f>
        <v>115.21</v>
      </c>
      <c r="E866" s="9">
        <f t="array" ref="E866">XLOOKUP($A866, Quotations!$G$2:G1756, Quotations!$H$2:H1756, "")
</f>
        <v>120.36</v>
      </c>
      <c r="F866" s="9">
        <f t="array" ref="F866">XLOOKUP($A866, Quotations!$I$2:I1756, Quotations!$J$2:J1756, "")
</f>
        <v>127.28</v>
      </c>
      <c r="G866" s="9">
        <f t="array" ref="G866">XLOOKUP($A866, Quotations!$K$2:K1756, Quotations!$L$2:L1756, "")
</f>
        <v>1447.547</v>
      </c>
    </row>
    <row r="867">
      <c r="A867" s="8">
        <v>42898.0</v>
      </c>
      <c r="B867" s="9">
        <f t="array" ref="B867">XLOOKUP($A867, Quotations!$A$2:A1756, Quotations!$B$2:B1756, "")
</f>
        <v>121.16</v>
      </c>
      <c r="C867" s="9">
        <f t="array" ref="C867">XLOOKUP($A867, Quotations!$C$2:C1756, Quotations!$D$2:D1756, "")</f>
        <v>24.37</v>
      </c>
      <c r="D867" s="9">
        <f t="array" ref="D867">XLOOKUP($A867, Quotations!$E$2:E1756, Quotations!$F$2:F1756, "")
</f>
        <v>115.23</v>
      </c>
      <c r="E867" s="9">
        <f t="array" ref="E867">XLOOKUP($A867, Quotations!$G$2:G1756, Quotations!$H$2:H1756, "")
</f>
        <v>120.7</v>
      </c>
      <c r="F867" s="9">
        <f t="array" ref="F867">XLOOKUP($A867, Quotations!$I$2:I1756, Quotations!$J$2:J1756, "")
</f>
        <v>127.25</v>
      </c>
      <c r="G867" s="9">
        <f t="array" ref="G867">XLOOKUP($A867, Quotations!$K$2:K1756, Quotations!$L$2:L1756, "")
</f>
        <v>1440.681</v>
      </c>
    </row>
    <row r="868">
      <c r="A868" s="8">
        <v>42899.0</v>
      </c>
      <c r="B868" s="9">
        <f t="array" ref="B868">XLOOKUP($A868, Quotations!$A$2:A1756, Quotations!$B$2:B1756, "")
</f>
        <v>121.26</v>
      </c>
      <c r="C868" s="9">
        <f t="array" ref="C868">XLOOKUP($A868, Quotations!$C$2:C1756, Quotations!$D$2:D1756, "")</f>
        <v>24.37</v>
      </c>
      <c r="D868" s="9">
        <f t="array" ref="D868">XLOOKUP($A868, Quotations!$E$2:E1756, Quotations!$F$2:F1756, "")
</f>
        <v>115.23</v>
      </c>
      <c r="E868" s="9">
        <f t="array" ref="E868">XLOOKUP($A868, Quotations!$G$2:G1756, Quotations!$H$2:H1756, "")
</f>
        <v>120.29</v>
      </c>
      <c r="F868" s="9">
        <f t="array" ref="F868">XLOOKUP($A868, Quotations!$I$2:I1756, Quotations!$J$2:J1756, "")
</f>
        <v>127.15</v>
      </c>
      <c r="G868" s="9">
        <f t="array" ref="G868">XLOOKUP($A868, Quotations!$K$2:K1756, Quotations!$L$2:L1756, "")
</f>
        <v>1438</v>
      </c>
    </row>
    <row r="869">
      <c r="A869" s="8">
        <v>42900.0</v>
      </c>
      <c r="B869" s="9">
        <f t="array" ref="B869">XLOOKUP($A869, Quotations!$A$2:A1756, Quotations!$B$2:B1756, "")
</f>
        <v>121.28</v>
      </c>
      <c r="C869" s="9">
        <f t="array" ref="C869">XLOOKUP($A869, Quotations!$C$2:C1756, Quotations!$D$2:D1756, "")</f>
        <v>24.37</v>
      </c>
      <c r="D869" s="9">
        <f t="array" ref="D869">XLOOKUP($A869, Quotations!$E$2:E1756, Quotations!$F$2:F1756, "")
</f>
        <v>115.22</v>
      </c>
      <c r="E869" s="9">
        <f t="array" ref="E869">XLOOKUP($A869, Quotations!$G$2:G1756, Quotations!$H$2:H1756, "")
</f>
        <v>120.49</v>
      </c>
      <c r="F869" s="9">
        <f t="array" ref="F869">XLOOKUP($A869, Quotations!$I$2:I1756, Quotations!$J$2:J1756, "")
</f>
        <v>127.18</v>
      </c>
      <c r="G869" s="9">
        <f t="array" ref="G869">XLOOKUP($A869, Quotations!$K$2:K1756, Quotations!$L$2:L1756, "")
</f>
        <v>1442.111</v>
      </c>
    </row>
    <row r="870">
      <c r="A870" s="8">
        <v>42901.0</v>
      </c>
      <c r="B870" s="9">
        <f t="array" ref="B870">XLOOKUP($A870, Quotations!$A$2:A1756, Quotations!$B$2:B1756, "")
</f>
        <v>120.77</v>
      </c>
      <c r="C870" s="9">
        <f t="array" ref="C870">XLOOKUP($A870, Quotations!$C$2:C1756, Quotations!$D$2:D1756, "")</f>
        <v>24.38</v>
      </c>
      <c r="D870" s="9">
        <f t="array" ref="D870">XLOOKUP($A870, Quotations!$E$2:E1756, Quotations!$F$2:F1756, "")
</f>
        <v>115.21</v>
      </c>
      <c r="E870" s="9">
        <f t="array" ref="E870">XLOOKUP($A870, Quotations!$G$2:G1756, Quotations!$H$2:H1756, "")
</f>
        <v>120.88</v>
      </c>
      <c r="F870" s="9">
        <f t="array" ref="F870">XLOOKUP($A870, Quotations!$I$2:I1756, Quotations!$J$2:J1756, "")
</f>
        <v>127.25</v>
      </c>
      <c r="G870" s="9">
        <f t="array" ref="G870">XLOOKUP($A870, Quotations!$K$2:K1756, Quotations!$L$2:L1756, "")
</f>
        <v>1439.839</v>
      </c>
    </row>
    <row r="871">
      <c r="A871" s="8">
        <v>42902.0</v>
      </c>
      <c r="B871" s="9">
        <f t="array" ref="B871">XLOOKUP($A871, Quotations!$A$2:A1756, Quotations!$B$2:B1756, "")
</f>
        <v>120.93</v>
      </c>
      <c r="C871" s="9">
        <f t="array" ref="C871">XLOOKUP($A871, Quotations!$C$2:C1756, Quotations!$D$2:D1756, "")</f>
        <v>24.37</v>
      </c>
      <c r="D871" s="9">
        <f t="array" ref="D871">XLOOKUP($A871, Quotations!$E$2:E1756, Quotations!$F$2:F1756, "")
</f>
        <v>115.21</v>
      </c>
      <c r="E871" s="9">
        <f t="array" ref="E871">XLOOKUP($A871, Quotations!$G$2:G1756, Quotations!$H$2:H1756, "")
</f>
        <v>120.3</v>
      </c>
      <c r="F871" s="9">
        <f t="array" ref="F871">XLOOKUP($A871, Quotations!$I$2:I1756, Quotations!$J$2:J1756, "")
</f>
        <v>127.05</v>
      </c>
      <c r="G871" s="9">
        <f t="array" ref="G871">XLOOKUP($A871, Quotations!$K$2:K1756, Quotations!$L$2:L1756, "")
</f>
        <v>1435.389</v>
      </c>
    </row>
    <row r="872">
      <c r="A872" s="8">
        <v>42905.0</v>
      </c>
      <c r="B872" s="9">
        <f t="array" ref="B872">XLOOKUP($A872, Quotations!$A$2:A1756, Quotations!$B$2:B1756, "")
</f>
        <v>121.21</v>
      </c>
      <c r="C872" s="9">
        <f t="array" ref="C872">XLOOKUP($A872, Quotations!$C$2:C1756, Quotations!$D$2:D1756, "")</f>
        <v>24.37</v>
      </c>
      <c r="D872" s="9">
        <f t="array" ref="D872">XLOOKUP($A872, Quotations!$E$2:E1756, Quotations!$F$2:F1756, "")
</f>
        <v>115.23</v>
      </c>
      <c r="E872" s="9">
        <f t="array" ref="E872">XLOOKUP($A872, Quotations!$G$2:G1756, Quotations!$H$2:H1756, "")
</f>
        <v>120.47</v>
      </c>
      <c r="F872" s="9">
        <f t="array" ref="F872">XLOOKUP($A872, Quotations!$I$2:I1756, Quotations!$J$2:J1756, "")
</f>
        <v>127.17</v>
      </c>
      <c r="G872" s="9">
        <f t="array" ref="G872">XLOOKUP($A872, Quotations!$K$2:K1756, Quotations!$L$2:L1756, "")
</f>
        <v>1436.621</v>
      </c>
    </row>
    <row r="873">
      <c r="A873" s="8">
        <v>42906.0</v>
      </c>
      <c r="B873" s="9">
        <f t="array" ref="B873">XLOOKUP($A873, Quotations!$A$2:A1756, Quotations!$B$2:B1756, "")
</f>
        <v>120.91</v>
      </c>
      <c r="C873" s="9">
        <f t="array" ref="C873">XLOOKUP($A873, Quotations!$C$2:C1756, Quotations!$D$2:D1756, "")</f>
        <v>24.37</v>
      </c>
      <c r="D873" s="9">
        <f t="array" ref="D873">XLOOKUP($A873, Quotations!$E$2:E1756, Quotations!$F$2:F1756, "")
</f>
        <v>115.2</v>
      </c>
      <c r="E873" s="9">
        <f t="array" ref="E873">XLOOKUP($A873, Quotations!$G$2:G1756, Quotations!$H$2:H1756, "")
</f>
        <v>121</v>
      </c>
      <c r="F873" s="9">
        <f t="array" ref="F873">XLOOKUP($A873, Quotations!$I$2:I1756, Quotations!$J$2:J1756, "")
</f>
        <v>127.51</v>
      </c>
      <c r="G873" s="9">
        <f t="array" ref="G873">XLOOKUP($A873, Quotations!$K$2:K1756, Quotations!$L$2:L1756, "")
</f>
        <v>1443.898</v>
      </c>
    </row>
    <row r="874">
      <c r="A874" s="8">
        <v>42907.0</v>
      </c>
      <c r="B874" s="9">
        <f t="array" ref="B874">XLOOKUP($A874, Quotations!$A$2:A1756, Quotations!$B$2:B1756, "")
</f>
        <v>120.82</v>
      </c>
      <c r="C874" s="9">
        <f t="array" ref="C874">XLOOKUP($A874, Quotations!$C$2:C1756, Quotations!$D$2:D1756, "")</f>
        <v>24.37</v>
      </c>
      <c r="D874" s="9">
        <f t="array" ref="D874">XLOOKUP($A874, Quotations!$E$2:E1756, Quotations!$F$2:F1756, "")
</f>
        <v>115.17</v>
      </c>
      <c r="E874" s="9">
        <f t="array" ref="E874">XLOOKUP($A874, Quotations!$G$2:G1756, Quotations!$H$2:H1756, "")
</f>
        <v>120.91</v>
      </c>
      <c r="F874" s="9">
        <f t="array" ref="F874">XLOOKUP($A874, Quotations!$I$2:I1756, Quotations!$J$2:J1756, "")
</f>
        <v>127.29</v>
      </c>
      <c r="G874" s="9">
        <f t="array" ref="G874">XLOOKUP($A874, Quotations!$K$2:K1756, Quotations!$L$2:L1756, "")
</f>
        <v>1438.393</v>
      </c>
    </row>
    <row r="875">
      <c r="A875" s="8">
        <v>42908.0</v>
      </c>
      <c r="B875" s="9">
        <f t="array" ref="B875">XLOOKUP($A875, Quotations!$A$2:A1756, Quotations!$B$2:B1756, "")
</f>
        <v>120.67</v>
      </c>
      <c r="C875" s="9">
        <f t="array" ref="C875">XLOOKUP($A875, Quotations!$C$2:C1756, Quotations!$D$2:D1756, "")</f>
        <v>24.37</v>
      </c>
      <c r="D875" s="9">
        <f t="array" ref="D875">XLOOKUP($A875, Quotations!$E$2:E1756, Quotations!$F$2:F1756, "")
</f>
        <v>115.16</v>
      </c>
      <c r="E875" s="9">
        <f t="array" ref="E875">XLOOKUP($A875, Quotations!$G$2:G1756, Quotations!$H$2:H1756, "")
</f>
        <v>120.75</v>
      </c>
      <c r="F875" s="9">
        <f t="array" ref="F875">XLOOKUP($A875, Quotations!$I$2:I1756, Quotations!$J$2:J1756, "")
</f>
        <v>127.22</v>
      </c>
      <c r="G875" s="9">
        <f t="array" ref="G875">XLOOKUP($A875, Quotations!$K$2:K1756, Quotations!$L$2:L1756, "")
</f>
        <v>1438.99</v>
      </c>
    </row>
    <row r="876">
      <c r="A876" s="8">
        <v>42912.0</v>
      </c>
      <c r="B876" s="9">
        <f t="array" ref="B876">XLOOKUP($A876, Quotations!$A$2:A1756, Quotations!$B$2:B1756, "")
</f>
        <v>120.53</v>
      </c>
      <c r="C876" s="9">
        <f t="array" ref="C876">XLOOKUP($A876, Quotations!$C$2:C1756, Quotations!$D$2:D1756, "")</f>
        <v>24.36</v>
      </c>
      <c r="D876" s="9">
        <f t="array" ref="D876">XLOOKUP($A876, Quotations!$E$2:E1756, Quotations!$F$2:F1756, "")
</f>
        <v>115.18</v>
      </c>
      <c r="E876" s="9">
        <f t="array" ref="E876">XLOOKUP($A876, Quotations!$G$2:G1756, Quotations!$H$2:H1756, "")
</f>
        <v>120.83</v>
      </c>
      <c r="F876" s="9">
        <f t="array" ref="F876">XLOOKUP($A876, Quotations!$I$2:I1756, Quotations!$J$2:J1756, "")
</f>
        <v>127.37</v>
      </c>
      <c r="G876" s="9">
        <f t="array" ref="G876">XLOOKUP($A876, Quotations!$K$2:K1756, Quotations!$L$2:L1756, "")
</f>
        <v>1441.376</v>
      </c>
    </row>
    <row r="877">
      <c r="A877" s="8">
        <v>42913.0</v>
      </c>
      <c r="B877" s="9">
        <f t="array" ref="B877">XLOOKUP($A877, Quotations!$A$2:A1756, Quotations!$B$2:B1756, "")
</f>
        <v>120.28</v>
      </c>
      <c r="C877" s="9">
        <f t="array" ref="C877">XLOOKUP($A877, Quotations!$C$2:C1756, Quotations!$D$2:D1756, "")</f>
        <v>24.34</v>
      </c>
      <c r="D877" s="9">
        <f t="array" ref="D877">XLOOKUP($A877, Quotations!$E$2:E1756, Quotations!$F$2:F1756, "")
</f>
        <v>115.17</v>
      </c>
      <c r="E877" s="9">
        <f t="array" ref="E877">XLOOKUP($A877, Quotations!$G$2:G1756, Quotations!$H$2:H1756, "")
</f>
        <v>120.84</v>
      </c>
      <c r="F877" s="9">
        <f t="array" ref="F877">XLOOKUP($A877, Quotations!$I$2:I1756, Quotations!$J$2:J1756, "")
</f>
        <v>127.42</v>
      </c>
      <c r="G877" s="9">
        <f t="array" ref="G877">XLOOKUP($A877, Quotations!$K$2:K1756, Quotations!$L$2:L1756, "")
</f>
        <v>1440.195</v>
      </c>
    </row>
    <row r="878">
      <c r="A878" s="8">
        <v>42914.0</v>
      </c>
      <c r="B878" s="9">
        <f t="array" ref="B878">XLOOKUP($A878, Quotations!$A$2:A1756, Quotations!$B$2:B1756, "")
</f>
        <v>120.2</v>
      </c>
      <c r="C878" s="9">
        <f t="array" ref="C878">XLOOKUP($A878, Quotations!$C$2:C1756, Quotations!$D$2:D1756, "")</f>
        <v>24.32</v>
      </c>
      <c r="D878" s="9">
        <f t="array" ref="D878">XLOOKUP($A878, Quotations!$E$2:E1756, Quotations!$F$2:F1756, "")
</f>
        <v>115.14</v>
      </c>
      <c r="E878" s="9">
        <f t="array" ref="E878">XLOOKUP($A878, Quotations!$G$2:G1756, Quotations!$H$2:H1756, "")
</f>
        <v>120.03</v>
      </c>
      <c r="F878" s="9">
        <f t="array" ref="F878">XLOOKUP($A878, Quotations!$I$2:I1756, Quotations!$J$2:J1756, "")
</f>
        <v>127.02</v>
      </c>
      <c r="G878" s="9">
        <f t="array" ref="G878">XLOOKUP($A878, Quotations!$K$2:K1756, Quotations!$L$2:L1756, "")
</f>
        <v>1432.36</v>
      </c>
    </row>
    <row r="879">
      <c r="A879" s="8">
        <v>42915.0</v>
      </c>
      <c r="B879" s="9">
        <f t="array" ref="B879">XLOOKUP($A879, Quotations!$A$2:A1756, Quotations!$B$2:B1756, "")
</f>
        <v>119.65</v>
      </c>
      <c r="C879" s="9">
        <f t="array" ref="C879">XLOOKUP($A879, Quotations!$C$2:C1756, Quotations!$D$2:D1756, "")</f>
        <v>24.31</v>
      </c>
      <c r="D879" s="9">
        <f t="array" ref="D879">XLOOKUP($A879, Quotations!$E$2:E1756, Quotations!$F$2:F1756, "")
</f>
        <v>115.13</v>
      </c>
      <c r="E879" s="9">
        <f t="array" ref="E879">XLOOKUP($A879, Quotations!$G$2:G1756, Quotations!$H$2:H1756, "")
</f>
        <v>119.94</v>
      </c>
      <c r="F879" s="9">
        <f t="array" ref="F879">XLOOKUP($A879, Quotations!$I$2:I1756, Quotations!$J$2:J1756, "")
</f>
        <v>126.96</v>
      </c>
      <c r="G879" s="9">
        <f t="array" ref="G879">XLOOKUP($A879, Quotations!$K$2:K1756, Quotations!$L$2:L1756, "")
</f>
        <v>1436.404</v>
      </c>
    </row>
    <row r="880">
      <c r="A880" s="8">
        <v>42916.0</v>
      </c>
      <c r="B880" s="9">
        <f t="array" ref="B880">XLOOKUP($A880, Quotations!$A$2:A1756, Quotations!$B$2:B1756, "")
</f>
        <v>119.6</v>
      </c>
      <c r="C880" s="9">
        <f t="array" ref="C880">XLOOKUP($A880, Quotations!$C$2:C1756, Quotations!$D$2:D1756, "")</f>
        <v>24.31</v>
      </c>
      <c r="D880" s="9">
        <f t="array" ref="D880">XLOOKUP($A880, Quotations!$E$2:E1756, Quotations!$F$2:F1756, "")
</f>
        <v>115.11</v>
      </c>
      <c r="E880" s="9">
        <f t="array" ref="E880">XLOOKUP($A880, Quotations!$G$2:G1756, Quotations!$H$2:H1756, "")
</f>
        <v>118.69</v>
      </c>
      <c r="F880" s="9">
        <f t="array" ref="F880">XLOOKUP($A880, Quotations!$I$2:I1756, Quotations!$J$2:J1756, "")
</f>
        <v>126.54</v>
      </c>
      <c r="G880" s="9">
        <f t="array" ref="G880">XLOOKUP($A880, Quotations!$K$2:K1756, Quotations!$L$2:L1756, "")
</f>
        <v>1426.61</v>
      </c>
    </row>
    <row r="881">
      <c r="A881" s="8">
        <v>42919.0</v>
      </c>
      <c r="B881" s="9">
        <f t="array" ref="B881">XLOOKUP($A881, Quotations!$A$2:A1756, Quotations!$B$2:B1756, "")
</f>
        <v>119.92</v>
      </c>
      <c r="C881" s="9">
        <f t="array" ref="C881">XLOOKUP($A881, Quotations!$C$2:C1756, Quotations!$D$2:D1756, "")</f>
        <v>24.32</v>
      </c>
      <c r="D881" s="9">
        <f t="array" ref="D881">XLOOKUP($A881, Quotations!$E$2:E1756, Quotations!$F$2:F1756, "")
</f>
        <v>115.11</v>
      </c>
      <c r="E881" s="9">
        <f t="array" ref="E881">XLOOKUP($A881, Quotations!$G$2:G1756, Quotations!$H$2:H1756, "")
</f>
        <v>118.21</v>
      </c>
      <c r="F881" s="9">
        <f t="array" ref="F881">XLOOKUP($A881, Quotations!$I$2:I1756, Quotations!$J$2:J1756, "")
</f>
        <v>126.57</v>
      </c>
      <c r="G881" s="9">
        <f t="array" ref="G881">XLOOKUP($A881, Quotations!$K$2:K1756, Quotations!$L$2:L1756, "")
</f>
        <v>1425.574</v>
      </c>
    </row>
    <row r="882">
      <c r="A882" s="8">
        <v>42920.0</v>
      </c>
      <c r="B882" s="9">
        <f t="array" ref="B882">XLOOKUP($A882, Quotations!$A$2:A1756, Quotations!$B$2:B1756, "")
</f>
        <v>119.81</v>
      </c>
      <c r="C882" s="9">
        <f t="array" ref="C882">XLOOKUP($A882, Quotations!$C$2:C1756, Quotations!$D$2:D1756, "")</f>
        <v>24.33</v>
      </c>
      <c r="D882" s="9">
        <f t="array" ref="D882">XLOOKUP($A882, Quotations!$E$2:E1756, Quotations!$F$2:F1756, "")
</f>
        <v>115.12</v>
      </c>
      <c r="E882" s="9">
        <f t="array" ref="E882">XLOOKUP($A882, Quotations!$G$2:G1756, Quotations!$H$2:H1756, "")
</f>
        <v>118.71</v>
      </c>
      <c r="F882" s="9">
        <f t="array" ref="F882">XLOOKUP($A882, Quotations!$I$2:I1756, Quotations!$J$2:J1756, "")
</f>
        <v>126.75</v>
      </c>
      <c r="G882" s="9">
        <f t="array" ref="G882">XLOOKUP($A882, Quotations!$K$2:K1756, Quotations!$L$2:L1756, "")
</f>
        <v>1423.671</v>
      </c>
    </row>
    <row r="883">
      <c r="A883" s="8">
        <v>42921.0</v>
      </c>
      <c r="B883" s="9">
        <f t="array" ref="B883">XLOOKUP($A883, Quotations!$A$2:A1756, Quotations!$B$2:B1756, "")
</f>
        <v>119.78</v>
      </c>
      <c r="C883" s="9">
        <f t="array" ref="C883">XLOOKUP($A883, Quotations!$C$2:C1756, Quotations!$D$2:D1756, "")</f>
        <v>24.33</v>
      </c>
      <c r="D883" s="9">
        <f t="array" ref="D883">XLOOKUP($A883, Quotations!$E$2:E1756, Quotations!$F$2:F1756, "")
</f>
        <v>115.11</v>
      </c>
      <c r="E883" s="9">
        <f t="array" ref="E883">XLOOKUP($A883, Quotations!$G$2:G1756, Quotations!$H$2:H1756, "")
</f>
        <v>118.64</v>
      </c>
      <c r="F883" s="9">
        <f t="array" ref="F883">XLOOKUP($A883, Quotations!$I$2:I1756, Quotations!$J$2:J1756, "")
</f>
        <v>126.77</v>
      </c>
      <c r="G883" s="9">
        <f t="array" ref="G883">XLOOKUP($A883, Quotations!$K$2:K1756, Quotations!$L$2:L1756, "")
</f>
        <v>1424.226</v>
      </c>
    </row>
    <row r="884">
      <c r="A884" s="8">
        <v>42922.0</v>
      </c>
      <c r="B884" s="9">
        <f t="array" ref="B884">XLOOKUP($A884, Quotations!$A$2:A1756, Quotations!$B$2:B1756, "")
</f>
        <v>119.64</v>
      </c>
      <c r="C884" s="9">
        <f t="array" ref="C884">XLOOKUP($A884, Quotations!$C$2:C1756, Quotations!$D$2:D1756, "")</f>
        <v>24.3</v>
      </c>
      <c r="D884" s="9">
        <f t="array" ref="D884">XLOOKUP($A884, Quotations!$E$2:E1756, Quotations!$F$2:F1756, "")
</f>
        <v>115.07</v>
      </c>
      <c r="E884" s="9">
        <f t="array" ref="E884">XLOOKUP($A884, Quotations!$G$2:G1756, Quotations!$H$2:H1756, "")
</f>
        <v>118.62</v>
      </c>
      <c r="F884" s="9">
        <f t="array" ref="F884">XLOOKUP($A884, Quotations!$I$2:I1756, Quotations!$J$2:J1756, "")
</f>
        <v>126.82</v>
      </c>
      <c r="G884" s="9">
        <f t="array" ref="G884">XLOOKUP($A884, Quotations!$K$2:K1756, Quotations!$L$2:L1756, "")
</f>
        <v>1425.911</v>
      </c>
    </row>
    <row r="885">
      <c r="A885" s="8">
        <v>42923.0</v>
      </c>
      <c r="B885" s="9">
        <f t="array" ref="B885">XLOOKUP($A885, Quotations!$A$2:A1756, Quotations!$B$2:B1756, "")
</f>
        <v>119.6</v>
      </c>
      <c r="C885" s="9">
        <f t="array" ref="C885">XLOOKUP($A885, Quotations!$C$2:C1756, Quotations!$D$2:D1756, "")</f>
        <v>24.31</v>
      </c>
      <c r="D885" s="9">
        <f t="array" ref="D885">XLOOKUP($A885, Quotations!$E$2:E1756, Quotations!$F$2:F1756, "")
</f>
        <v>115.07</v>
      </c>
      <c r="E885" s="9">
        <f t="array" ref="E885">XLOOKUP($A885, Quotations!$G$2:G1756, Quotations!$H$2:H1756, "")
</f>
        <v>118.19</v>
      </c>
      <c r="F885" s="9">
        <f t="array" ref="F885">XLOOKUP($A885, Quotations!$I$2:I1756, Quotations!$J$2:J1756, "")
</f>
        <v>126.54</v>
      </c>
      <c r="G885" s="9">
        <f t="array" ref="G885">XLOOKUP($A885, Quotations!$K$2:K1756, Quotations!$L$2:L1756, "")
</f>
        <v>1421.085</v>
      </c>
    </row>
    <row r="886">
      <c r="A886" s="8">
        <v>42926.0</v>
      </c>
      <c r="B886" s="9">
        <f t="array" ref="B886">XLOOKUP($A886, Quotations!$A$2:A1756, Quotations!$B$2:B1756, "")
</f>
        <v>119.74</v>
      </c>
      <c r="C886" s="9">
        <f t="array" ref="C886">XLOOKUP($A886, Quotations!$C$2:C1756, Quotations!$D$2:D1756, "")</f>
        <v>24.31</v>
      </c>
      <c r="D886" s="9">
        <f t="array" ref="D886">XLOOKUP($A886, Quotations!$E$2:E1756, Quotations!$F$2:F1756, "")
</f>
        <v>115.1</v>
      </c>
      <c r="E886" s="9">
        <f t="array" ref="E886">XLOOKUP($A886, Quotations!$G$2:G1756, Quotations!$H$2:H1756, "")
</f>
        <v>118.06</v>
      </c>
      <c r="F886" s="9">
        <f t="array" ref="F886">XLOOKUP($A886, Quotations!$I$2:I1756, Quotations!$J$2:J1756, "")
</f>
        <v>126.44</v>
      </c>
      <c r="G886" s="9">
        <f t="array" ref="G886">XLOOKUP($A886, Quotations!$K$2:K1756, Quotations!$L$2:L1756, "")
</f>
        <v>1423.72</v>
      </c>
    </row>
    <row r="887">
      <c r="A887" s="8">
        <v>42927.0</v>
      </c>
      <c r="B887" s="9">
        <f t="array" ref="B887">XLOOKUP($A887, Quotations!$A$2:A1756, Quotations!$B$2:B1756, "")
</f>
        <v>119.64</v>
      </c>
      <c r="C887" s="9">
        <f t="array" ref="C887">XLOOKUP($A887, Quotations!$C$2:C1756, Quotations!$D$2:D1756, "")</f>
        <v>24.3</v>
      </c>
      <c r="D887" s="9">
        <f t="array" ref="D887">XLOOKUP($A887, Quotations!$E$2:E1756, Quotations!$F$2:F1756, "")
</f>
        <v>115.11</v>
      </c>
      <c r="E887" s="9">
        <f t="array" ref="E887">XLOOKUP($A887, Quotations!$G$2:G1756, Quotations!$H$2:H1756, "")
</f>
        <v>118.36</v>
      </c>
      <c r="F887" s="9">
        <f t="array" ref="F887">XLOOKUP($A887, Quotations!$I$2:I1756, Quotations!$J$2:J1756, "")
</f>
        <v>126.61</v>
      </c>
      <c r="G887" s="9">
        <f t="array" ref="G887">XLOOKUP($A887, Quotations!$K$2:K1756, Quotations!$L$2:L1756, "")
</f>
        <v>1426.616</v>
      </c>
    </row>
    <row r="888">
      <c r="A888" s="8">
        <v>42928.0</v>
      </c>
      <c r="B888" s="9">
        <f t="array" ref="B888">XLOOKUP($A888, Quotations!$A$2:A1756, Quotations!$B$2:B1756, "")
</f>
        <v>120.09</v>
      </c>
      <c r="C888" s="9">
        <f t="array" ref="C888">XLOOKUP($A888, Quotations!$C$2:C1756, Quotations!$D$2:D1756, "")</f>
        <v>24.31</v>
      </c>
      <c r="D888" s="9">
        <f t="array" ref="D888">XLOOKUP($A888, Quotations!$E$2:E1756, Quotations!$F$2:F1756, "")
</f>
        <v>115.12</v>
      </c>
      <c r="E888" s="9">
        <f t="array" ref="E888">XLOOKUP($A888, Quotations!$G$2:G1756, Quotations!$H$2:H1756, "")
</f>
        <v>118.23</v>
      </c>
      <c r="F888" s="9">
        <f t="array" ref="F888">XLOOKUP($A888, Quotations!$I$2:I1756, Quotations!$J$2:J1756, "")
</f>
        <v>126.5</v>
      </c>
      <c r="G888" s="9">
        <f t="array" ref="G888">XLOOKUP($A888, Quotations!$K$2:K1756, Quotations!$L$2:L1756, "")
</f>
        <v>1428.429</v>
      </c>
    </row>
    <row r="889">
      <c r="A889" s="8">
        <v>42929.0</v>
      </c>
      <c r="B889" s="9">
        <f t="array" ref="B889">XLOOKUP($A889, Quotations!$A$2:A1756, Quotations!$B$2:B1756, "")
</f>
        <v>120.29</v>
      </c>
      <c r="C889" s="9">
        <f t="array" ref="C889">XLOOKUP($A889, Quotations!$C$2:C1756, Quotations!$D$2:D1756, "")</f>
        <v>24.32</v>
      </c>
      <c r="D889" s="9">
        <f t="array" ref="D889">XLOOKUP($A889, Quotations!$E$2:E1756, Quotations!$F$2:F1756, "")
</f>
        <v>115.11</v>
      </c>
      <c r="E889" s="9">
        <f t="array" ref="E889">XLOOKUP($A889, Quotations!$G$2:G1756, Quotations!$H$2:H1756, "")
</f>
        <v>119.1</v>
      </c>
      <c r="F889" s="9">
        <f t="array" ref="F889">XLOOKUP($A889, Quotations!$I$2:I1756, Quotations!$J$2:J1756, "")
</f>
        <v>127.06</v>
      </c>
      <c r="G889" s="9">
        <f t="array" ref="G889">XLOOKUP($A889, Quotations!$K$2:K1756, Quotations!$L$2:L1756, "")
</f>
        <v>1436.538</v>
      </c>
    </row>
    <row r="890">
      <c r="A890" s="8">
        <v>42930.0</v>
      </c>
      <c r="B890" s="9" t="str">
        <f t="array" ref="B890">XLOOKUP($A890, Quotations!$A$2:A1756, Quotations!$B$2:B1756, "")
</f>
        <v/>
      </c>
      <c r="C890" s="9">
        <f t="array" ref="C890">XLOOKUP($A890, Quotations!$C$2:C1756, Quotations!$D$2:D1756, "")</f>
        <v>24.32</v>
      </c>
      <c r="D890" s="9">
        <f t="array" ref="D890">XLOOKUP($A890, Quotations!$E$2:E1756, Quotations!$F$2:F1756, "")
</f>
        <v>115.11</v>
      </c>
      <c r="E890" s="9">
        <f t="array" ref="E890">XLOOKUP($A890, Quotations!$G$2:G1756, Quotations!$H$2:H1756, "")
</f>
        <v>119.07</v>
      </c>
      <c r="F890" s="9">
        <f t="array" ref="F890">XLOOKUP($A890, Quotations!$I$2:I1756, Quotations!$J$2:J1756, "")
</f>
        <v>127.14</v>
      </c>
      <c r="G890" s="9">
        <f t="array" ref="G890">XLOOKUP($A890, Quotations!$K$2:K1756, Quotations!$L$2:L1756, "")
</f>
        <v>1438.005</v>
      </c>
    </row>
    <row r="891">
      <c r="A891" s="8">
        <v>42933.0</v>
      </c>
      <c r="B891" s="9">
        <f t="array" ref="B891">XLOOKUP($A891, Quotations!$A$2:A1756, Quotations!$B$2:B1756, "")
</f>
        <v>120.45</v>
      </c>
      <c r="C891" s="9">
        <f t="array" ref="C891">XLOOKUP($A891, Quotations!$C$2:C1756, Quotations!$D$2:D1756, "")</f>
        <v>24.33</v>
      </c>
      <c r="D891" s="9">
        <f t="array" ref="D891">XLOOKUP($A891, Quotations!$E$2:E1756, Quotations!$F$2:F1756, "")
</f>
        <v>115.13</v>
      </c>
      <c r="E891" s="9">
        <f t="array" ref="E891">XLOOKUP($A891, Quotations!$G$2:G1756, Quotations!$H$2:H1756, "")
</f>
        <v>119.1</v>
      </c>
      <c r="F891" s="9">
        <f t="array" ref="F891">XLOOKUP($A891, Quotations!$I$2:I1756, Quotations!$J$2:J1756, "")
</f>
        <v>127.27</v>
      </c>
      <c r="G891" s="9">
        <f t="array" ref="G891">XLOOKUP($A891, Quotations!$K$2:K1756, Quotations!$L$2:L1756, "")
</f>
        <v>1442.599</v>
      </c>
    </row>
    <row r="892">
      <c r="A892" s="8">
        <v>42934.0</v>
      </c>
      <c r="B892" s="9">
        <f t="array" ref="B892">XLOOKUP($A892, Quotations!$A$2:A1756, Quotations!$B$2:B1756, "")
</f>
        <v>120.23</v>
      </c>
      <c r="C892" s="9">
        <f t="array" ref="C892">XLOOKUP($A892, Quotations!$C$2:C1756, Quotations!$D$2:D1756, "")</f>
        <v>24.31</v>
      </c>
      <c r="D892" s="9">
        <f t="array" ref="D892">XLOOKUP($A892, Quotations!$E$2:E1756, Quotations!$F$2:F1756, "")
</f>
        <v>115.14</v>
      </c>
      <c r="E892" s="9">
        <f t="array" ref="E892">XLOOKUP($A892, Quotations!$G$2:G1756, Quotations!$H$2:H1756, "")
</f>
        <v>119.07</v>
      </c>
      <c r="F892" s="9">
        <f t="array" ref="F892">XLOOKUP($A892, Quotations!$I$2:I1756, Quotations!$J$2:J1756, "")
</f>
        <v>127.32</v>
      </c>
      <c r="G892" s="9">
        <f t="array" ref="G892">XLOOKUP($A892, Quotations!$K$2:K1756, Quotations!$L$2:L1756, "")
</f>
        <v>1441.816</v>
      </c>
    </row>
    <row r="893">
      <c r="A893" s="8">
        <v>42935.0</v>
      </c>
      <c r="B893" s="9">
        <f t="array" ref="B893">XLOOKUP($A893, Quotations!$A$2:A1756, Quotations!$B$2:B1756, "")
</f>
        <v>120.41</v>
      </c>
      <c r="C893" s="9">
        <f t="array" ref="C893">XLOOKUP($A893, Quotations!$C$2:C1756, Quotations!$D$2:D1756, "")</f>
        <v>24.33</v>
      </c>
      <c r="D893" s="9">
        <f t="array" ref="D893">XLOOKUP($A893, Quotations!$E$2:E1756, Quotations!$F$2:F1756, "")
</f>
        <v>115.16</v>
      </c>
      <c r="E893" s="9">
        <f t="array" ref="E893">XLOOKUP($A893, Quotations!$G$2:G1756, Quotations!$H$2:H1756, "")
</f>
        <v>118.66</v>
      </c>
      <c r="F893" s="9">
        <f t="array" ref="F893">XLOOKUP($A893, Quotations!$I$2:I1756, Quotations!$J$2:J1756, "")
</f>
        <v>127.07</v>
      </c>
      <c r="G893" s="9">
        <f t="array" ref="G893">XLOOKUP($A893, Quotations!$K$2:K1756, Quotations!$L$2:L1756, "")
</f>
        <v>1441.234</v>
      </c>
    </row>
    <row r="894">
      <c r="A894" s="8">
        <v>42936.0</v>
      </c>
      <c r="B894" s="9">
        <f t="array" ref="B894">XLOOKUP($A894, Quotations!$A$2:A1756, Quotations!$B$2:B1756, "")
</f>
        <v>120.3</v>
      </c>
      <c r="C894" s="9">
        <f t="array" ref="C894">XLOOKUP($A894, Quotations!$C$2:C1756, Quotations!$D$2:D1756, "")</f>
        <v>24.3</v>
      </c>
      <c r="D894" s="9">
        <f t="array" ref="D894">XLOOKUP($A894, Quotations!$E$2:E1756, Quotations!$F$2:F1756, "")
</f>
        <v>115.14</v>
      </c>
      <c r="E894" s="9">
        <f t="array" ref="E894">XLOOKUP($A894, Quotations!$G$2:G1756, Quotations!$H$2:H1756, "")
</f>
        <v>118.77</v>
      </c>
      <c r="F894" s="9">
        <f t="array" ref="F894">XLOOKUP($A894, Quotations!$I$2:I1756, Quotations!$J$2:J1756, "")
</f>
        <v>127.37</v>
      </c>
      <c r="G894" s="9">
        <f t="array" ref="G894">XLOOKUP($A894, Quotations!$K$2:K1756, Quotations!$L$2:L1756, "")
</f>
        <v>1445.283</v>
      </c>
    </row>
    <row r="895">
      <c r="A895" s="8">
        <v>42937.0</v>
      </c>
      <c r="B895" s="9">
        <f t="array" ref="B895">XLOOKUP($A895, Quotations!$A$2:A1756, Quotations!$B$2:B1756, "")
</f>
        <v>119.87</v>
      </c>
      <c r="C895" s="9">
        <f t="array" ref="C895">XLOOKUP($A895, Quotations!$C$2:C1756, Quotations!$D$2:D1756, "")</f>
        <v>24.3</v>
      </c>
      <c r="D895" s="9">
        <f t="array" ref="D895">XLOOKUP($A895, Quotations!$E$2:E1756, Quotations!$F$2:F1756, "")
</f>
        <v>115.15</v>
      </c>
      <c r="E895" s="9">
        <f t="array" ref="E895">XLOOKUP($A895, Quotations!$G$2:G1756, Quotations!$H$2:H1756, "")
</f>
        <v>118.79</v>
      </c>
      <c r="F895" s="9">
        <f t="array" ref="F895">XLOOKUP($A895, Quotations!$I$2:I1756, Quotations!$J$2:J1756, "")
</f>
        <v>127.16</v>
      </c>
      <c r="G895" s="9">
        <f t="array" ref="G895">XLOOKUP($A895, Quotations!$K$2:K1756, Quotations!$L$2:L1756, "")
</f>
        <v>1445.609</v>
      </c>
    </row>
    <row r="896">
      <c r="A896" s="8">
        <v>42940.0</v>
      </c>
      <c r="B896" s="9">
        <f t="array" ref="B896">XLOOKUP($A896, Quotations!$A$2:A1756, Quotations!$B$2:B1756, "")
</f>
        <v>119.84</v>
      </c>
      <c r="C896" s="9">
        <f t="array" ref="C896">XLOOKUP($A896, Quotations!$C$2:C1756, Quotations!$D$2:D1756, "")</f>
        <v>24.3</v>
      </c>
      <c r="D896" s="9">
        <f t="array" ref="D896">XLOOKUP($A896, Quotations!$E$2:E1756, Quotations!$F$2:F1756, "")
</f>
        <v>115.18</v>
      </c>
      <c r="E896" s="9">
        <f t="array" ref="E896">XLOOKUP($A896, Quotations!$G$2:G1756, Quotations!$H$2:H1756, "")
</f>
        <v>118.22</v>
      </c>
      <c r="F896" s="9">
        <f t="array" ref="F896">XLOOKUP($A896, Quotations!$I$2:I1756, Quotations!$J$2:J1756, "")
</f>
        <v>126.98</v>
      </c>
      <c r="G896" s="9">
        <f t="array" ref="G896">XLOOKUP($A896, Quotations!$K$2:K1756, Quotations!$L$2:L1756, "")
</f>
        <v>1442.548</v>
      </c>
    </row>
    <row r="897">
      <c r="A897" s="8">
        <v>42941.0</v>
      </c>
      <c r="B897" s="9">
        <f t="array" ref="B897">XLOOKUP($A897, Quotations!$A$2:A1756, Quotations!$B$2:B1756, "")
</f>
        <v>119.92</v>
      </c>
      <c r="C897" s="9">
        <f t="array" ref="C897">XLOOKUP($A897, Quotations!$C$2:C1756, Quotations!$D$2:D1756, "")</f>
        <v>24.3</v>
      </c>
      <c r="D897" s="9">
        <f t="array" ref="D897">XLOOKUP($A897, Quotations!$E$2:E1756, Quotations!$F$2:F1756, "")
</f>
        <v>115.18</v>
      </c>
      <c r="E897" s="9">
        <f t="array" ref="E897">XLOOKUP($A897, Quotations!$G$2:G1756, Quotations!$H$2:H1756, "")
</f>
        <v>118.05</v>
      </c>
      <c r="F897" s="9">
        <f t="array" ref="F897">XLOOKUP($A897, Quotations!$I$2:I1756, Quotations!$J$2:J1756, "")
</f>
        <v>127.06</v>
      </c>
      <c r="G897" s="9">
        <f t="array" ref="G897">XLOOKUP($A897, Quotations!$K$2:K1756, Quotations!$L$2:L1756, "")
</f>
        <v>1443.27</v>
      </c>
    </row>
    <row r="898">
      <c r="A898" s="8">
        <v>42942.0</v>
      </c>
      <c r="B898" s="9">
        <f t="array" ref="B898">XLOOKUP($A898, Quotations!$A$2:A1756, Quotations!$B$2:B1756, "")
</f>
        <v>120.04</v>
      </c>
      <c r="C898" s="9">
        <f t="array" ref="C898">XLOOKUP($A898, Quotations!$C$2:C1756, Quotations!$D$2:D1756, "")</f>
        <v>24.31</v>
      </c>
      <c r="D898" s="9">
        <f t="array" ref="D898">XLOOKUP($A898, Quotations!$E$2:E1756, Quotations!$F$2:F1756, "")
</f>
        <v>115.19</v>
      </c>
      <c r="E898" s="9">
        <f t="array" ref="E898">XLOOKUP($A898, Quotations!$G$2:G1756, Quotations!$H$2:H1756, "")
</f>
        <v>118.13</v>
      </c>
      <c r="F898" s="9">
        <f t="array" ref="F898">XLOOKUP($A898, Quotations!$I$2:I1756, Quotations!$J$2:J1756, "")
</f>
        <v>127</v>
      </c>
      <c r="G898" s="9">
        <f t="array" ref="G898">XLOOKUP($A898, Quotations!$K$2:K1756, Quotations!$L$2:L1756, "")
</f>
        <v>1442.634</v>
      </c>
    </row>
    <row r="899">
      <c r="A899" s="8">
        <v>42943.0</v>
      </c>
      <c r="B899" s="9">
        <f t="array" ref="B899">XLOOKUP($A899, Quotations!$A$2:A1756, Quotations!$B$2:B1756, "")
</f>
        <v>120.06</v>
      </c>
      <c r="C899" s="9">
        <f t="array" ref="C899">XLOOKUP($A899, Quotations!$C$2:C1756, Quotations!$D$2:D1756, "")</f>
        <v>24.31</v>
      </c>
      <c r="D899" s="9">
        <f t="array" ref="D899">XLOOKUP($A899, Quotations!$E$2:E1756, Quotations!$F$2:F1756, "")
</f>
        <v>115.19</v>
      </c>
      <c r="E899" s="9">
        <f t="array" ref="E899">XLOOKUP($A899, Quotations!$G$2:G1756, Quotations!$H$2:H1756, "")
</f>
        <v>118.37</v>
      </c>
      <c r="F899" s="9">
        <f t="array" ref="F899">XLOOKUP($A899, Quotations!$I$2:I1756, Quotations!$J$2:J1756, "")
</f>
        <v>127.06</v>
      </c>
      <c r="G899" s="9">
        <f t="array" ref="G899">XLOOKUP($A899, Quotations!$K$2:K1756, Quotations!$L$2:L1756, "")
</f>
        <v>1445.817</v>
      </c>
    </row>
    <row r="900">
      <c r="A900" s="8">
        <v>42944.0</v>
      </c>
      <c r="B900" s="9">
        <f t="array" ref="B900">XLOOKUP($A900, Quotations!$A$2:A1756, Quotations!$B$2:B1756, "")
</f>
        <v>119.84</v>
      </c>
      <c r="C900" s="9">
        <f t="array" ref="C900">XLOOKUP($A900, Quotations!$C$2:C1756, Quotations!$D$2:D1756, "")</f>
        <v>24.3</v>
      </c>
      <c r="D900" s="9">
        <f t="array" ref="D900">XLOOKUP($A900, Quotations!$E$2:E1756, Quotations!$F$2:F1756, "")
</f>
        <v>115.19</v>
      </c>
      <c r="E900" s="9">
        <f t="array" ref="E900">XLOOKUP($A900, Quotations!$G$2:G1756, Quotations!$H$2:H1756, "")
</f>
        <v>118.03</v>
      </c>
      <c r="F900" s="9">
        <f t="array" ref="F900">XLOOKUP($A900, Quotations!$I$2:I1756, Quotations!$J$2:J1756, "")
</f>
        <v>127.13</v>
      </c>
      <c r="G900" s="9">
        <f t="array" ref="G900">XLOOKUP($A900, Quotations!$K$2:K1756, Quotations!$L$2:L1756, "")
</f>
        <v>1442.648</v>
      </c>
    </row>
    <row r="901">
      <c r="A901" s="8">
        <v>42947.0</v>
      </c>
      <c r="B901" s="9">
        <f t="array" ref="B901">XLOOKUP($A901, Quotations!$A$2:A1756, Quotations!$B$2:B1756, "")
</f>
        <v>119.75</v>
      </c>
      <c r="C901" s="9">
        <f t="array" ref="C901">XLOOKUP($A901, Quotations!$C$2:C1756, Quotations!$D$2:D1756, "")</f>
        <v>24.29</v>
      </c>
      <c r="D901" s="9">
        <f t="array" ref="D901">XLOOKUP($A901, Quotations!$E$2:E1756, Quotations!$F$2:F1756, "")
</f>
        <v>115.21</v>
      </c>
      <c r="E901" s="9">
        <f t="array" ref="E901">XLOOKUP($A901, Quotations!$G$2:G1756, Quotations!$H$2:H1756, "")
</f>
        <v>117.85</v>
      </c>
      <c r="F901" s="9">
        <f t="array" ref="F901">XLOOKUP($A901, Quotations!$I$2:I1756, Quotations!$J$2:J1756, "")
</f>
        <v>126.84</v>
      </c>
      <c r="G901" s="9">
        <f t="array" ref="G901">XLOOKUP($A901, Quotations!$K$2:K1756, Quotations!$L$2:L1756, "")
</f>
        <v>1440.376</v>
      </c>
    </row>
    <row r="902">
      <c r="A902" s="8">
        <v>42948.0</v>
      </c>
      <c r="B902" s="9">
        <f t="array" ref="B902">XLOOKUP($A902, Quotations!$A$2:A1756, Quotations!$B$2:B1756, "")
</f>
        <v>119.92</v>
      </c>
      <c r="C902" s="9">
        <f t="array" ref="C902">XLOOKUP($A902, Quotations!$C$2:C1756, Quotations!$D$2:D1756, "")</f>
        <v>24.29</v>
      </c>
      <c r="D902" s="9">
        <f t="array" ref="D902">XLOOKUP($A902, Quotations!$E$2:E1756, Quotations!$F$2:F1756, "")
</f>
        <v>115.24</v>
      </c>
      <c r="E902" s="9">
        <f t="array" ref="E902">XLOOKUP($A902, Quotations!$G$2:G1756, Quotations!$H$2:H1756, "")
</f>
        <v>117.74</v>
      </c>
      <c r="F902" s="9">
        <f t="array" ref="F902">XLOOKUP($A902, Quotations!$I$2:I1756, Quotations!$J$2:J1756, "")
</f>
        <v>126.74</v>
      </c>
      <c r="G902" s="9">
        <f t="array" ref="G902">XLOOKUP($A902, Quotations!$K$2:K1756, Quotations!$L$2:L1756, "")
</f>
        <v>1438.896</v>
      </c>
    </row>
    <row r="903">
      <c r="A903" s="8">
        <v>42949.0</v>
      </c>
      <c r="B903" s="9">
        <f t="array" ref="B903">XLOOKUP($A903, Quotations!$A$2:A1756, Quotations!$B$2:B1756, "")
</f>
        <v>119.89</v>
      </c>
      <c r="C903" s="9">
        <f t="array" ref="C903">XLOOKUP($A903, Quotations!$C$2:C1756, Quotations!$D$2:D1756, "")</f>
        <v>24.27</v>
      </c>
      <c r="D903" s="9">
        <f t="array" ref="D903">XLOOKUP($A903, Quotations!$E$2:E1756, Quotations!$F$2:F1756, "")
</f>
        <v>115.23</v>
      </c>
      <c r="E903" s="9">
        <f t="array" ref="E903">XLOOKUP($A903, Quotations!$G$2:G1756, Quotations!$H$2:H1756, "")
</f>
        <v>118.32</v>
      </c>
      <c r="F903" s="9">
        <f t="array" ref="F903">XLOOKUP($A903, Quotations!$I$2:I1756, Quotations!$J$2:J1756, "")
</f>
        <v>126.92</v>
      </c>
      <c r="G903" s="9">
        <f t="array" ref="G903">XLOOKUP($A903, Quotations!$K$2:K1756, Quotations!$L$2:L1756, "")
</f>
        <v>1441.277</v>
      </c>
    </row>
    <row r="904">
      <c r="A904" s="8">
        <v>42950.0</v>
      </c>
      <c r="B904" s="9">
        <f t="array" ref="B904">XLOOKUP($A904, Quotations!$A$2:A1756, Quotations!$B$2:B1756, "")
</f>
        <v>119.92</v>
      </c>
      <c r="C904" s="9">
        <f t="array" ref="C904">XLOOKUP($A904, Quotations!$C$2:C1756, Quotations!$D$2:D1756, "")</f>
        <v>24.27</v>
      </c>
      <c r="D904" s="9">
        <f t="array" ref="D904">XLOOKUP($A904, Quotations!$E$2:E1756, Quotations!$F$2:F1756, "")
</f>
        <v>115.21</v>
      </c>
      <c r="E904" s="9">
        <f t="array" ref="E904">XLOOKUP($A904, Quotations!$G$2:G1756, Quotations!$H$2:H1756, "")
</f>
        <v>118.03</v>
      </c>
      <c r="F904" s="9">
        <f t="array" ref="F904">XLOOKUP($A904, Quotations!$I$2:I1756, Quotations!$J$2:J1756, "")
</f>
        <v>126.93</v>
      </c>
      <c r="G904" s="9">
        <f t="array" ref="G904">XLOOKUP($A904, Quotations!$K$2:K1756, Quotations!$L$2:L1756, "")
</f>
        <v>1436.658</v>
      </c>
    </row>
    <row r="905">
      <c r="A905" s="8">
        <v>42951.0</v>
      </c>
      <c r="B905" s="9">
        <f t="array" ref="B905">XLOOKUP($A905, Quotations!$A$2:A1756, Quotations!$B$2:B1756, "")
</f>
        <v>120.1</v>
      </c>
      <c r="C905" s="9">
        <f t="array" ref="C905">XLOOKUP($A905, Quotations!$C$2:C1756, Quotations!$D$2:D1756, "")</f>
        <v>24.28</v>
      </c>
      <c r="D905" s="9">
        <f t="array" ref="D905">XLOOKUP($A905, Quotations!$E$2:E1756, Quotations!$F$2:F1756, "")
</f>
        <v>115.23</v>
      </c>
      <c r="E905" s="9">
        <f t="array" ref="E905">XLOOKUP($A905, Quotations!$G$2:G1756, Quotations!$H$2:H1756, "")
</f>
        <v>118.2</v>
      </c>
      <c r="F905" s="9">
        <f t="array" ref="F905">XLOOKUP($A905, Quotations!$I$2:I1756, Quotations!$J$2:J1756, "")
</f>
        <v>126.78</v>
      </c>
      <c r="G905" s="9">
        <f t="array" ref="G905">XLOOKUP($A905, Quotations!$K$2:K1756, Quotations!$L$2:L1756, "")
</f>
        <v>1436.651</v>
      </c>
    </row>
    <row r="906">
      <c r="A906" s="8">
        <v>42954.0</v>
      </c>
      <c r="B906" s="9">
        <f t="array" ref="B906">XLOOKUP($A906, Quotations!$A$2:A1756, Quotations!$B$2:B1756, "")
</f>
        <v>120.12</v>
      </c>
      <c r="C906" s="9">
        <f t="array" ref="C906">XLOOKUP($A906, Quotations!$C$2:C1756, Quotations!$D$2:D1756, "")</f>
        <v>24.27</v>
      </c>
      <c r="D906" s="9">
        <f t="array" ref="D906">XLOOKUP($A906, Quotations!$E$2:E1756, Quotations!$F$2:F1756, "")
</f>
        <v>115.26</v>
      </c>
      <c r="E906" s="9">
        <f t="array" ref="E906">XLOOKUP($A906, Quotations!$G$2:G1756, Quotations!$H$2:H1756, "")
</f>
        <v>118.55</v>
      </c>
      <c r="F906" s="9">
        <f t="array" ref="F906">XLOOKUP($A906, Quotations!$I$2:I1756, Quotations!$J$2:J1756, "")
</f>
        <v>126.92</v>
      </c>
      <c r="G906" s="9">
        <f t="array" ref="G906">XLOOKUP($A906, Quotations!$K$2:K1756, Quotations!$L$2:L1756, "")
</f>
        <v>1438.635</v>
      </c>
    </row>
    <row r="907">
      <c r="A907" s="8">
        <v>42955.0</v>
      </c>
      <c r="B907" s="9">
        <f t="array" ref="B907">XLOOKUP($A907, Quotations!$A$2:A1756, Quotations!$B$2:B1756, "")
</f>
        <v>120.12</v>
      </c>
      <c r="C907" s="9">
        <f t="array" ref="C907">XLOOKUP($A907, Quotations!$C$2:C1756, Quotations!$D$2:D1756, "")</f>
        <v>24.28</v>
      </c>
      <c r="D907" s="9">
        <f t="array" ref="D907">XLOOKUP($A907, Quotations!$E$2:E1756, Quotations!$F$2:F1756, "")
</f>
        <v>115.27</v>
      </c>
      <c r="E907" s="9">
        <f t="array" ref="E907">XLOOKUP($A907, Quotations!$G$2:G1756, Quotations!$H$2:H1756, "")
</f>
        <v>118.47</v>
      </c>
      <c r="F907" s="9">
        <f t="array" ref="F907">XLOOKUP($A907, Quotations!$I$2:I1756, Quotations!$J$2:J1756, "")
</f>
        <v>126.99</v>
      </c>
      <c r="G907" s="9">
        <f t="array" ref="G907">XLOOKUP($A907, Quotations!$K$2:K1756, Quotations!$L$2:L1756, "")
</f>
        <v>1441.451</v>
      </c>
    </row>
    <row r="908">
      <c r="A908" s="8">
        <v>42956.0</v>
      </c>
      <c r="B908" s="9">
        <f t="array" ref="B908">XLOOKUP($A908, Quotations!$A$2:A1756, Quotations!$B$2:B1756, "")
</f>
        <v>119.71</v>
      </c>
      <c r="C908" s="9">
        <f t="array" ref="C908">XLOOKUP($A908, Quotations!$C$2:C1756, Quotations!$D$2:D1756, "")</f>
        <v>24.28</v>
      </c>
      <c r="D908" s="9">
        <f t="array" ref="D908">XLOOKUP($A908, Quotations!$E$2:E1756, Quotations!$F$2:F1756, "")
</f>
        <v>115.26</v>
      </c>
      <c r="E908" s="9">
        <f t="array" ref="E908">XLOOKUP($A908, Quotations!$G$2:G1756, Quotations!$H$2:H1756, "")
</f>
        <v>118.51</v>
      </c>
      <c r="F908" s="9">
        <f t="array" ref="F908">XLOOKUP($A908, Quotations!$I$2:I1756, Quotations!$J$2:J1756, "")
</f>
        <v>127.01</v>
      </c>
      <c r="G908" s="9">
        <f t="array" ref="G908">XLOOKUP($A908, Quotations!$K$2:K1756, Quotations!$L$2:L1756, "")
</f>
        <v>1440.249</v>
      </c>
    </row>
    <row r="909">
      <c r="A909" s="8">
        <v>42957.0</v>
      </c>
      <c r="B909" s="9">
        <f t="array" ref="B909">XLOOKUP($A909, Quotations!$A$2:A1756, Quotations!$B$2:B1756, "")
</f>
        <v>119.42</v>
      </c>
      <c r="C909" s="9">
        <f t="array" ref="C909">XLOOKUP($A909, Quotations!$C$2:C1756, Quotations!$D$2:D1756, "")</f>
        <v>24.28</v>
      </c>
      <c r="D909" s="9">
        <f t="array" ref="D909">XLOOKUP($A909, Quotations!$E$2:E1756, Quotations!$F$2:F1756, "")
</f>
        <v>115.25</v>
      </c>
      <c r="E909" s="9">
        <f t="array" ref="E909">XLOOKUP($A909, Quotations!$G$2:G1756, Quotations!$H$2:H1756, "")
</f>
        <v>118.14</v>
      </c>
      <c r="F909" s="9">
        <f t="array" ref="F909">XLOOKUP($A909, Quotations!$I$2:I1756, Quotations!$J$2:J1756, "")
</f>
        <v>126.73</v>
      </c>
      <c r="G909" s="9">
        <f t="array" ref="G909">XLOOKUP($A909, Quotations!$K$2:K1756, Quotations!$L$2:L1756, "")
</f>
        <v>1435.393</v>
      </c>
    </row>
    <row r="910">
      <c r="A910" s="8">
        <v>42958.0</v>
      </c>
      <c r="B910" s="9">
        <f t="array" ref="B910">XLOOKUP($A910, Quotations!$A$2:A1756, Quotations!$B$2:B1756, "")
</f>
        <v>119.07</v>
      </c>
      <c r="C910" s="9">
        <f t="array" ref="C910">XLOOKUP($A910, Quotations!$C$2:C1756, Quotations!$D$2:D1756, "")</f>
        <v>24.27</v>
      </c>
      <c r="D910" s="9">
        <f t="array" ref="D910">XLOOKUP($A910, Quotations!$E$2:E1756, Quotations!$F$2:F1756, "")
</f>
        <v>115.23</v>
      </c>
      <c r="E910" s="9">
        <f t="array" ref="E910">XLOOKUP($A910, Quotations!$G$2:G1756, Quotations!$H$2:H1756, "")
</f>
        <v>117.67</v>
      </c>
      <c r="F910" s="9">
        <f t="array" ref="F910">XLOOKUP($A910, Quotations!$I$2:I1756, Quotations!$J$2:J1756, "")
</f>
        <v>126.19</v>
      </c>
      <c r="G910" s="9">
        <f t="array" ref="G910">XLOOKUP($A910, Quotations!$K$2:K1756, Quotations!$L$2:L1756, "")
</f>
        <v>1424.572</v>
      </c>
    </row>
    <row r="911">
      <c r="A911" s="8">
        <v>42961.0</v>
      </c>
      <c r="B911" s="9">
        <f t="array" ref="B911">XLOOKUP($A911, Quotations!$A$2:A1756, Quotations!$B$2:B1756, "")
</f>
        <v>119.36</v>
      </c>
      <c r="C911" s="9">
        <f t="array" ref="C911">XLOOKUP($A911, Quotations!$C$2:C1756, Quotations!$D$2:D1756, "")</f>
        <v>24.27</v>
      </c>
      <c r="D911" s="9">
        <f t="array" ref="D911">XLOOKUP($A911, Quotations!$E$2:E1756, Quotations!$F$2:F1756, "")
</f>
        <v>115.27</v>
      </c>
      <c r="E911" s="9">
        <f t="array" ref="E911">XLOOKUP($A911, Quotations!$G$2:G1756, Quotations!$H$2:H1756, "")
</f>
        <v>117.57</v>
      </c>
      <c r="F911" s="9">
        <f t="array" ref="F911">XLOOKUP($A911, Quotations!$I$2:I1756, Quotations!$J$2:J1756, "")
</f>
        <v>125.78</v>
      </c>
      <c r="G911" s="9">
        <f t="array" ref="G911">XLOOKUP($A911, Quotations!$K$2:K1756, Quotations!$L$2:L1756, "")
</f>
        <v>1422.814</v>
      </c>
    </row>
    <row r="912">
      <c r="A912" s="8">
        <v>42963.0</v>
      </c>
      <c r="B912" s="9">
        <f t="array" ref="B912">XLOOKUP($A912, Quotations!$A$2:A1756, Quotations!$B$2:B1756, "")
</f>
        <v>119.6</v>
      </c>
      <c r="C912" s="9">
        <f t="array" ref="C912">XLOOKUP($A912, Quotations!$C$2:C1756, Quotations!$D$2:D1756, "")</f>
        <v>24.28</v>
      </c>
      <c r="D912" s="9">
        <f t="array" ref="D912">XLOOKUP($A912, Quotations!$E$2:E1756, Quotations!$F$2:F1756, "")
</f>
        <v>115.28</v>
      </c>
      <c r="E912" s="9">
        <f t="array" ref="E912">XLOOKUP($A912, Quotations!$G$2:G1756, Quotations!$H$2:H1756, "")
</f>
        <v>118.16</v>
      </c>
      <c r="F912" s="9">
        <f t="array" ref="F912">XLOOKUP($A912, Quotations!$I$2:I1756, Quotations!$J$2:J1756, "")
</f>
        <v>126.45</v>
      </c>
      <c r="G912" s="9">
        <f t="array" ref="G912">XLOOKUP($A912, Quotations!$K$2:K1756, Quotations!$L$2:L1756, "")
</f>
        <v>1427.319</v>
      </c>
    </row>
    <row r="913">
      <c r="A913" s="8">
        <v>42964.0</v>
      </c>
      <c r="B913" s="9">
        <f t="array" ref="B913">XLOOKUP($A913, Quotations!$A$2:A1756, Quotations!$B$2:B1756, "")
</f>
        <v>119.46</v>
      </c>
      <c r="C913" s="9">
        <f t="array" ref="C913">XLOOKUP($A913, Quotations!$C$2:C1756, Quotations!$D$2:D1756, "")</f>
        <v>24.27</v>
      </c>
      <c r="D913" s="9">
        <f t="array" ref="D913">XLOOKUP($A913, Quotations!$E$2:E1756, Quotations!$F$2:F1756, "")
</f>
        <v>115.25</v>
      </c>
      <c r="E913" s="9">
        <f t="array" ref="E913">XLOOKUP($A913, Quotations!$G$2:G1756, Quotations!$H$2:H1756, "")
</f>
        <v>118.44</v>
      </c>
      <c r="F913" s="9">
        <f t="array" ref="F913">XLOOKUP($A913, Quotations!$I$2:I1756, Quotations!$J$2:J1756, "")
</f>
        <v>126.6</v>
      </c>
      <c r="G913" s="9">
        <f t="array" ref="G913">XLOOKUP($A913, Quotations!$K$2:K1756, Quotations!$L$2:L1756, "")
</f>
        <v>1429.688</v>
      </c>
    </row>
    <row r="914">
      <c r="A914" s="8">
        <v>42965.0</v>
      </c>
      <c r="B914" s="9">
        <f t="array" ref="B914">XLOOKUP($A914, Quotations!$A$2:A1756, Quotations!$B$2:B1756, "")
</f>
        <v>119.23</v>
      </c>
      <c r="C914" s="9">
        <f t="array" ref="C914">XLOOKUP($A914, Quotations!$C$2:C1756, Quotations!$D$2:D1756, "")</f>
        <v>24.27</v>
      </c>
      <c r="D914" s="9">
        <f t="array" ref="D914">XLOOKUP($A914, Quotations!$E$2:E1756, Quotations!$F$2:F1756, "")
</f>
        <v>115.25</v>
      </c>
      <c r="E914" s="9">
        <f t="array" ref="E914">XLOOKUP($A914, Quotations!$G$2:G1756, Quotations!$H$2:H1756, "")
</f>
        <v>118.28</v>
      </c>
      <c r="F914" s="9">
        <f t="array" ref="F914">XLOOKUP($A914, Quotations!$I$2:I1756, Quotations!$J$2:J1756, "")
</f>
        <v>126.32</v>
      </c>
      <c r="G914" s="9">
        <f t="array" ref="G914">XLOOKUP($A914, Quotations!$K$2:K1756, Quotations!$L$2:L1756, "")
</f>
        <v>1423.328</v>
      </c>
    </row>
    <row r="915">
      <c r="A915" s="8">
        <v>42968.0</v>
      </c>
      <c r="B915" s="9">
        <f t="array" ref="B915">XLOOKUP($A915, Quotations!$A$2:A1756, Quotations!$B$2:B1756, "")
</f>
        <v>119.11</v>
      </c>
      <c r="C915" s="9">
        <f t="array" ref="C915">XLOOKUP($A915, Quotations!$C$2:C1756, Quotations!$D$2:D1756, "")</f>
        <v>24.26</v>
      </c>
      <c r="D915" s="9">
        <f t="array" ref="D915">XLOOKUP($A915, Quotations!$E$2:E1756, Quotations!$F$2:F1756, "")
</f>
        <v>115.27</v>
      </c>
      <c r="E915" s="9">
        <f t="array" ref="E915">XLOOKUP($A915, Quotations!$G$2:G1756, Quotations!$H$2:H1756, "")
</f>
        <v>118.17</v>
      </c>
      <c r="F915" s="9">
        <f t="array" ref="F915">XLOOKUP($A915, Quotations!$I$2:I1756, Quotations!$J$2:J1756, "")
</f>
        <v>126.22</v>
      </c>
      <c r="G915" s="9">
        <f t="array" ref="G915">XLOOKUP($A915, Quotations!$K$2:K1756, Quotations!$L$2:L1756, "")
</f>
        <v>1421.296</v>
      </c>
    </row>
    <row r="916">
      <c r="A916" s="8">
        <v>42969.0</v>
      </c>
      <c r="B916" s="9">
        <f t="array" ref="B916">XLOOKUP($A916, Quotations!$A$2:A1756, Quotations!$B$2:B1756, "")
</f>
        <v>119.36</v>
      </c>
      <c r="C916" s="9">
        <f t="array" ref="C916">XLOOKUP($A916, Quotations!$C$2:C1756, Quotations!$D$2:D1756, "")</f>
        <v>24.27</v>
      </c>
      <c r="D916" s="9">
        <f t="array" ref="D916">XLOOKUP($A916, Quotations!$E$2:E1756, Quotations!$F$2:F1756, "")
</f>
        <v>115.18</v>
      </c>
      <c r="E916" s="9">
        <f t="array" ref="E916">XLOOKUP($A916, Quotations!$G$2:G1756, Quotations!$H$2:H1756, "")
</f>
        <v>117.82</v>
      </c>
      <c r="F916" s="9">
        <f t="array" ref="F916">XLOOKUP($A916, Quotations!$I$2:I1756, Quotations!$J$2:J1756, "")
</f>
        <v>126.08</v>
      </c>
      <c r="G916" s="9">
        <f t="array" ref="G916">XLOOKUP($A916, Quotations!$K$2:K1756, Quotations!$L$2:L1756, "")
</f>
        <v>1419.656</v>
      </c>
    </row>
    <row r="917">
      <c r="A917" s="8">
        <v>42970.0</v>
      </c>
      <c r="B917" s="9">
        <f t="array" ref="B917">XLOOKUP($A917, Quotations!$A$2:A1756, Quotations!$B$2:B1756, "")
</f>
        <v>119.29</v>
      </c>
      <c r="C917" s="9">
        <f t="array" ref="C917">XLOOKUP($A917, Quotations!$C$2:C1756, Quotations!$D$2:D1756, "")</f>
        <v>24.26</v>
      </c>
      <c r="D917" s="9">
        <f t="array" ref="D917">XLOOKUP($A917, Quotations!$E$2:E1756, Quotations!$F$2:F1756, "")
</f>
        <v>115.22</v>
      </c>
      <c r="E917" s="9">
        <f t="array" ref="E917">XLOOKUP($A917, Quotations!$G$2:G1756, Quotations!$H$2:H1756, "")
</f>
        <v>118.21</v>
      </c>
      <c r="F917" s="9">
        <f t="array" ref="F917">XLOOKUP($A917, Quotations!$I$2:I1756, Quotations!$J$2:J1756, "")
</f>
        <v>126.46</v>
      </c>
      <c r="G917" s="9">
        <f t="array" ref="G917">XLOOKUP($A917, Quotations!$K$2:K1756, Quotations!$L$2:L1756, "")
</f>
        <v>1425.165</v>
      </c>
    </row>
    <row r="918">
      <c r="A918" s="8">
        <v>42971.0</v>
      </c>
      <c r="B918" s="9">
        <f t="array" ref="B918">XLOOKUP($A918, Quotations!$A$2:A1756, Quotations!$B$2:B1756, "")
</f>
        <v>118.66</v>
      </c>
      <c r="C918" s="9">
        <f t="array" ref="C918">XLOOKUP($A918, Quotations!$C$2:C1756, Quotations!$D$2:D1756, "")</f>
        <v>24.26</v>
      </c>
      <c r="D918" s="9">
        <f t="array" ref="D918">XLOOKUP($A918, Quotations!$E$2:E1756, Quotations!$F$2:F1756, "")
</f>
        <v>115.21</v>
      </c>
      <c r="E918" s="9">
        <f t="array" ref="E918">XLOOKUP($A918, Quotations!$G$2:G1756, Quotations!$H$2:H1756, "")
</f>
        <v>118.17</v>
      </c>
      <c r="F918" s="9">
        <f t="array" ref="F918">XLOOKUP($A918, Quotations!$I$2:I1756, Quotations!$J$2:J1756, "")
</f>
        <v>126.31</v>
      </c>
      <c r="G918" s="9">
        <f t="array" ref="G918">XLOOKUP($A918, Quotations!$K$2:K1756, Quotations!$L$2:L1756, "")
</f>
        <v>1425.229</v>
      </c>
    </row>
    <row r="919">
      <c r="A919" s="8">
        <v>42972.0</v>
      </c>
      <c r="B919" s="9">
        <f t="array" ref="B919">XLOOKUP($A919, Quotations!$A$2:A1756, Quotations!$B$2:B1756, "")
</f>
        <v>118.63</v>
      </c>
      <c r="C919" s="9">
        <f t="array" ref="C919">XLOOKUP($A919, Quotations!$C$2:C1756, Quotations!$D$2:D1756, "")</f>
        <v>24.25</v>
      </c>
      <c r="D919" s="9">
        <f t="array" ref="D919">XLOOKUP($A919, Quotations!$E$2:E1756, Quotations!$F$2:F1756, "")
</f>
        <v>115.21</v>
      </c>
      <c r="E919" s="9">
        <f t="array" ref="E919">XLOOKUP($A919, Quotations!$G$2:G1756, Quotations!$H$2:H1756, "")
</f>
        <v>118.14</v>
      </c>
      <c r="F919" s="9">
        <f t="array" ref="F919">XLOOKUP($A919, Quotations!$I$2:I1756, Quotations!$J$2:J1756, "")
</f>
        <v>126.36</v>
      </c>
      <c r="G919" s="9">
        <f t="array" ref="G919">XLOOKUP($A919, Quotations!$K$2:K1756, Quotations!$L$2:L1756, "")
</f>
        <v>1425.185</v>
      </c>
    </row>
    <row r="920">
      <c r="A920" s="8">
        <v>42975.0</v>
      </c>
      <c r="B920" s="9">
        <f t="array" ref="B920">XLOOKUP($A920, Quotations!$A$2:A1756, Quotations!$B$2:B1756, "")
</f>
        <v>118.6</v>
      </c>
      <c r="C920" s="9">
        <f t="array" ref="C920">XLOOKUP($A920, Quotations!$C$2:C1756, Quotations!$D$2:D1756, "")</f>
        <v>24.24</v>
      </c>
      <c r="D920" s="9">
        <f t="array" ref="D920">XLOOKUP($A920, Quotations!$E$2:E1756, Quotations!$F$2:F1756, "")
</f>
        <v>115.23</v>
      </c>
      <c r="E920" s="9">
        <f t="array" ref="E920">XLOOKUP($A920, Quotations!$G$2:G1756, Quotations!$H$2:H1756, "")
</f>
        <v>118.12</v>
      </c>
      <c r="F920" s="9">
        <f t="array" ref="F920">XLOOKUP($A920, Quotations!$I$2:I1756, Quotations!$J$2:J1756, "")
</f>
        <v>126.34</v>
      </c>
      <c r="G920" s="9" t="str">
        <f t="array" ref="G920">XLOOKUP($A920, Quotations!$K$2:K1756, Quotations!$L$2:L1756, "")
</f>
        <v/>
      </c>
    </row>
    <row r="921">
      <c r="A921" s="8">
        <v>42976.0</v>
      </c>
      <c r="B921" s="9">
        <f t="array" ref="B921">XLOOKUP($A921, Quotations!$A$2:A1756, Quotations!$B$2:B1756, "")
</f>
        <v>118.28</v>
      </c>
      <c r="C921" s="9">
        <f t="array" ref="C921">XLOOKUP($A921, Quotations!$C$2:C1756, Quotations!$D$2:D1756, "")</f>
        <v>24.23</v>
      </c>
      <c r="D921" s="9">
        <f t="array" ref="D921">XLOOKUP($A921, Quotations!$E$2:E1756, Quotations!$F$2:F1756, "")
</f>
        <v>115.24</v>
      </c>
      <c r="E921" s="9">
        <f t="array" ref="E921">XLOOKUP($A921, Quotations!$G$2:G1756, Quotations!$H$2:H1756, "")
</f>
        <v>117.97</v>
      </c>
      <c r="F921" s="9">
        <f t="array" ref="F921">XLOOKUP($A921, Quotations!$I$2:I1756, Quotations!$J$2:J1756, "")
</f>
        <v>126.22</v>
      </c>
      <c r="G921" s="9">
        <f t="array" ref="G921">XLOOKUP($A921, Quotations!$K$2:K1756, Quotations!$L$2:L1756, "")
</f>
        <v>1424.224</v>
      </c>
    </row>
    <row r="922">
      <c r="A922" s="8">
        <v>42977.0</v>
      </c>
      <c r="B922" s="9">
        <f t="array" ref="B922">XLOOKUP($A922, Quotations!$A$2:A1756, Quotations!$B$2:B1756, "")
</f>
        <v>118.36</v>
      </c>
      <c r="C922" s="9">
        <f t="array" ref="C922">XLOOKUP($A922, Quotations!$C$2:C1756, Quotations!$D$2:D1756, "")</f>
        <v>24.24</v>
      </c>
      <c r="D922" s="9">
        <f t="array" ref="D922">XLOOKUP($A922, Quotations!$E$2:E1756, Quotations!$F$2:F1756, "")
</f>
        <v>115.26</v>
      </c>
      <c r="E922" s="9">
        <f t="array" ref="E922">XLOOKUP($A922, Quotations!$G$2:G1756, Quotations!$H$2:H1756, "")
</f>
        <v>117.46</v>
      </c>
      <c r="F922" s="9">
        <f t="array" ref="F922">XLOOKUP($A922, Quotations!$I$2:I1756, Quotations!$J$2:J1756, "")
</f>
        <v>126.09</v>
      </c>
      <c r="G922" s="9">
        <f t="array" ref="G922">XLOOKUP($A922, Quotations!$K$2:K1756, Quotations!$L$2:L1756, "")
</f>
        <v>1423.436</v>
      </c>
    </row>
    <row r="923">
      <c r="A923" s="8">
        <v>42978.0</v>
      </c>
      <c r="B923" s="9">
        <f t="array" ref="B923">XLOOKUP($A923, Quotations!$A$2:A1756, Quotations!$B$2:B1756, "")
</f>
        <v>118.57</v>
      </c>
      <c r="C923" s="9">
        <f t="array" ref="C923">XLOOKUP($A923, Quotations!$C$2:C1756, Quotations!$D$2:D1756, "")</f>
        <v>24.25</v>
      </c>
      <c r="D923" s="9">
        <f t="array" ref="D923">XLOOKUP($A923, Quotations!$E$2:E1756, Quotations!$F$2:F1756, "")
</f>
        <v>115.25</v>
      </c>
      <c r="E923" s="9">
        <f t="array" ref="E923">XLOOKUP($A923, Quotations!$G$2:G1756, Quotations!$H$2:H1756, "")
</f>
        <v>117.65</v>
      </c>
      <c r="F923" s="9">
        <f t="array" ref="F923">XLOOKUP($A923, Quotations!$I$2:I1756, Quotations!$J$2:J1756, "")
</f>
        <v>126.22</v>
      </c>
      <c r="G923" s="9">
        <f t="array" ref="G923">XLOOKUP($A923, Quotations!$K$2:K1756, Quotations!$L$2:L1756, "")
</f>
        <v>1427.279</v>
      </c>
    </row>
    <row r="924">
      <c r="A924" s="8">
        <v>42979.0</v>
      </c>
      <c r="B924" s="9">
        <f t="array" ref="B924">XLOOKUP($A924, Quotations!$A$2:A1756, Quotations!$B$2:B1756, "")
</f>
        <v>118.73</v>
      </c>
      <c r="C924" s="9">
        <f t="array" ref="C924">XLOOKUP($A924, Quotations!$C$2:C1756, Quotations!$D$2:D1756, "")</f>
        <v>24.25</v>
      </c>
      <c r="D924" s="9">
        <f t="array" ref="D924">XLOOKUP($A924, Quotations!$E$2:E1756, Quotations!$F$2:F1756, "")
</f>
        <v>115.26</v>
      </c>
      <c r="E924" s="9">
        <f t="array" ref="E924">XLOOKUP($A924, Quotations!$G$2:G1756, Quotations!$H$2:H1756, "")
</f>
        <v>118.05</v>
      </c>
      <c r="F924" s="9">
        <f t="array" ref="F924">XLOOKUP($A924, Quotations!$I$2:I1756, Quotations!$J$2:J1756, "")
</f>
        <v>126.32</v>
      </c>
      <c r="G924" s="9">
        <f t="array" ref="G924">XLOOKUP($A924, Quotations!$K$2:K1756, Quotations!$L$2:L1756, "")
</f>
        <v>1430.49</v>
      </c>
    </row>
    <row r="925">
      <c r="A925" s="8">
        <v>42982.0</v>
      </c>
      <c r="B925" s="9">
        <f t="array" ref="B925">XLOOKUP($A925, Quotations!$A$2:A1756, Quotations!$B$2:B1756, "")
</f>
        <v>118.66</v>
      </c>
      <c r="C925" s="9">
        <f t="array" ref="C925">XLOOKUP($A925, Quotations!$C$2:C1756, Quotations!$D$2:D1756, "")</f>
        <v>24.24</v>
      </c>
      <c r="D925" s="9">
        <f t="array" ref="D925">XLOOKUP($A925, Quotations!$E$2:E1756, Quotations!$F$2:F1756, "")
</f>
        <v>115.28</v>
      </c>
      <c r="E925" s="9">
        <f t="array" ref="E925">XLOOKUP($A925, Quotations!$G$2:G1756, Quotations!$H$2:H1756, "")
</f>
        <v>118.01</v>
      </c>
      <c r="F925" s="9">
        <f t="array" ref="F925">XLOOKUP($A925, Quotations!$I$2:I1756, Quotations!$J$2:J1756, "")
</f>
        <v>126.48</v>
      </c>
      <c r="G925" s="9">
        <f t="array" ref="G925">XLOOKUP($A925, Quotations!$K$2:K1756, Quotations!$L$2:L1756, "")
</f>
        <v>1433.03</v>
      </c>
    </row>
    <row r="926">
      <c r="A926" s="8">
        <v>42983.0</v>
      </c>
      <c r="B926" s="9">
        <f t="array" ref="B926">XLOOKUP($A926, Quotations!$A$2:A1756, Quotations!$B$2:B1756, "")
</f>
        <v>118.53</v>
      </c>
      <c r="C926" s="9">
        <f t="array" ref="C926">XLOOKUP($A926, Quotations!$C$2:C1756, Quotations!$D$2:D1756, "")</f>
        <v>24.26</v>
      </c>
      <c r="D926" s="9">
        <f t="array" ref="D926">XLOOKUP($A926, Quotations!$E$2:E1756, Quotations!$F$2:F1756, "")
</f>
        <v>115.27</v>
      </c>
      <c r="E926" s="9">
        <f t="array" ref="E926">XLOOKUP($A926, Quotations!$G$2:G1756, Quotations!$H$2:H1756, "")
</f>
        <v>117.97</v>
      </c>
      <c r="F926" s="9">
        <f t="array" ref="F926">XLOOKUP($A926, Quotations!$I$2:I1756, Quotations!$J$2:J1756, "")
</f>
        <v>126.34</v>
      </c>
      <c r="G926" s="9">
        <f t="array" ref="G926">XLOOKUP($A926, Quotations!$K$2:K1756, Quotations!$L$2:L1756, "")
</f>
        <v>1432.705</v>
      </c>
    </row>
    <row r="927">
      <c r="A927" s="8">
        <v>42984.0</v>
      </c>
      <c r="B927" s="9">
        <f t="array" ref="B927">XLOOKUP($A927, Quotations!$A$2:A1756, Quotations!$B$2:B1756, "")
</f>
        <v>118.57</v>
      </c>
      <c r="C927" s="9">
        <f t="array" ref="C927">XLOOKUP($A927, Quotations!$C$2:C1756, Quotations!$D$2:D1756, "")</f>
        <v>24.25</v>
      </c>
      <c r="D927" s="9">
        <f t="array" ref="D927">XLOOKUP($A927, Quotations!$E$2:E1756, Quotations!$F$2:F1756, "")
</f>
        <v>115.28</v>
      </c>
      <c r="E927" s="9">
        <f t="array" ref="E927">XLOOKUP($A927, Quotations!$G$2:G1756, Quotations!$H$2:H1756, "")
</f>
        <v>118.32</v>
      </c>
      <c r="F927" s="9">
        <f t="array" ref="F927">XLOOKUP($A927, Quotations!$I$2:I1756, Quotations!$J$2:J1756, "")
</f>
        <v>126.09</v>
      </c>
      <c r="G927" s="9">
        <f t="array" ref="G927">XLOOKUP($A927, Quotations!$K$2:K1756, Quotations!$L$2:L1756, "")
</f>
        <v>1429.347</v>
      </c>
    </row>
    <row r="928">
      <c r="A928" s="8">
        <v>42985.0</v>
      </c>
      <c r="B928" s="9">
        <f t="array" ref="B928">XLOOKUP($A928, Quotations!$A$2:A1756, Quotations!$B$2:B1756, "")
</f>
        <v>118.74</v>
      </c>
      <c r="C928" s="9">
        <f t="array" ref="C928">XLOOKUP($A928, Quotations!$C$2:C1756, Quotations!$D$2:D1756, "")</f>
        <v>24.24</v>
      </c>
      <c r="D928" s="9">
        <f t="array" ref="D928">XLOOKUP($A928, Quotations!$E$2:E1756, Quotations!$F$2:F1756, "")
</f>
        <v>115.28</v>
      </c>
      <c r="E928" s="9">
        <f t="array" ref="E928">XLOOKUP($A928, Quotations!$G$2:G1756, Quotations!$H$2:H1756, "")
</f>
        <v>118.23</v>
      </c>
      <c r="F928" s="9">
        <f t="array" ref="F928">XLOOKUP($A928, Quotations!$I$2:I1756, Quotations!$J$2:J1756, "")
</f>
        <v>126.21</v>
      </c>
      <c r="G928" s="9">
        <f t="array" ref="G928">XLOOKUP($A928, Quotations!$K$2:K1756, Quotations!$L$2:L1756, "")
</f>
        <v>1429.009</v>
      </c>
    </row>
    <row r="929">
      <c r="A929" s="8">
        <v>42986.0</v>
      </c>
      <c r="B929" s="9">
        <f t="array" ref="B929">XLOOKUP($A929, Quotations!$A$2:A1756, Quotations!$B$2:B1756, "")
</f>
        <v>118.86</v>
      </c>
      <c r="C929" s="9">
        <f t="array" ref="C929">XLOOKUP($A929, Quotations!$C$2:C1756, Quotations!$D$2:D1756, "")</f>
        <v>24.24</v>
      </c>
      <c r="D929" s="9">
        <f t="array" ref="D929">XLOOKUP($A929, Quotations!$E$2:E1756, Quotations!$F$2:F1756, "")
</f>
        <v>115.27</v>
      </c>
      <c r="E929" s="9">
        <f t="array" ref="E929">XLOOKUP($A929, Quotations!$G$2:G1756, Quotations!$H$2:H1756, "")
</f>
        <v>118.61</v>
      </c>
      <c r="F929" s="9">
        <f t="array" ref="F929">XLOOKUP($A929, Quotations!$I$2:I1756, Quotations!$J$2:J1756, "")
</f>
        <v>126.25</v>
      </c>
      <c r="G929" s="9">
        <f t="array" ref="G929">XLOOKUP($A929, Quotations!$K$2:K1756, Quotations!$L$2:L1756, "")
</f>
        <v>1430.072</v>
      </c>
    </row>
    <row r="930">
      <c r="A930" s="8">
        <v>42989.0</v>
      </c>
      <c r="B930" s="9">
        <f t="array" ref="B930">XLOOKUP($A930, Quotations!$A$2:A1756, Quotations!$B$2:B1756, "")
</f>
        <v>119.19</v>
      </c>
      <c r="C930" s="9">
        <f t="array" ref="C930">XLOOKUP($A930, Quotations!$C$2:C1756, Quotations!$D$2:D1756, "")</f>
        <v>24.24</v>
      </c>
      <c r="D930" s="9">
        <f t="array" ref="D930">XLOOKUP($A930, Quotations!$E$2:E1756, Quotations!$F$2:F1756, "")
</f>
        <v>115.3</v>
      </c>
      <c r="E930" s="9">
        <f t="array" ref="E930">XLOOKUP($A930, Quotations!$G$2:G1756, Quotations!$H$2:H1756, "")
</f>
        <v>118.53</v>
      </c>
      <c r="F930" s="9">
        <f t="array" ref="F930">XLOOKUP($A930, Quotations!$I$2:I1756, Quotations!$J$2:J1756, "")
</f>
        <v>126.21</v>
      </c>
      <c r="G930" s="9">
        <f t="array" ref="G930">XLOOKUP($A930, Quotations!$K$2:K1756, Quotations!$L$2:L1756, "")
</f>
        <v>1429.223</v>
      </c>
    </row>
    <row r="931">
      <c r="A931" s="8">
        <v>42990.0</v>
      </c>
      <c r="B931" s="9">
        <f t="array" ref="B931">XLOOKUP($A931, Quotations!$A$2:A1756, Quotations!$B$2:B1756, "")
</f>
        <v>119.28</v>
      </c>
      <c r="C931" s="9">
        <f t="array" ref="C931">XLOOKUP($A931, Quotations!$C$2:C1756, Quotations!$D$2:D1756, "")</f>
        <v>24.25</v>
      </c>
      <c r="D931" s="9">
        <f t="array" ref="D931">XLOOKUP($A931, Quotations!$E$2:E1756, Quotations!$F$2:F1756, "")
</f>
        <v>115.31</v>
      </c>
      <c r="E931" s="9">
        <f t="array" ref="E931">XLOOKUP($A931, Quotations!$G$2:G1756, Quotations!$H$2:H1756, "")
</f>
        <v>118.58</v>
      </c>
      <c r="F931" s="9">
        <f t="array" ref="F931">XLOOKUP($A931, Quotations!$I$2:I1756, Quotations!$J$2:J1756, "")
</f>
        <v>126.6</v>
      </c>
      <c r="G931" s="9">
        <f t="array" ref="G931">XLOOKUP($A931, Quotations!$K$2:K1756, Quotations!$L$2:L1756, "")
</f>
        <v>1435.119</v>
      </c>
    </row>
    <row r="932">
      <c r="A932" s="8">
        <v>42991.0</v>
      </c>
      <c r="B932" s="9">
        <f t="array" ref="B932">XLOOKUP($A932, Quotations!$A$2:A1756, Quotations!$B$2:B1756, "")
</f>
        <v>119.3</v>
      </c>
      <c r="C932" s="9">
        <f t="array" ref="C932">XLOOKUP($A932, Quotations!$C$2:C1756, Quotations!$D$2:D1756, "")</f>
        <v>24.24</v>
      </c>
      <c r="D932" s="9">
        <f t="array" ref="D932">XLOOKUP($A932, Quotations!$E$2:E1756, Quotations!$F$2:F1756, "")
</f>
        <v>115.3</v>
      </c>
      <c r="E932" s="9">
        <f t="array" ref="E932">XLOOKUP($A932, Quotations!$G$2:G1756, Quotations!$H$2:H1756, "")
</f>
        <v>118.39</v>
      </c>
      <c r="F932" s="9">
        <f t="array" ref="F932">XLOOKUP($A932, Quotations!$I$2:I1756, Quotations!$J$2:J1756, "")
</f>
        <v>126.84</v>
      </c>
      <c r="G932" s="9">
        <f t="array" ref="G932">XLOOKUP($A932, Quotations!$K$2:K1756, Quotations!$L$2:L1756, "")
</f>
        <v>1436.691</v>
      </c>
    </row>
    <row r="933">
      <c r="A933" s="8">
        <v>42992.0</v>
      </c>
      <c r="B933" s="9">
        <f t="array" ref="B933">XLOOKUP($A933, Quotations!$A$2:A1756, Quotations!$B$2:B1756, "")
</f>
        <v>119.36</v>
      </c>
      <c r="C933" s="9">
        <f t="array" ref="C933">XLOOKUP($A933, Quotations!$C$2:C1756, Quotations!$D$2:D1756, "")</f>
        <v>24.25</v>
      </c>
      <c r="D933" s="9">
        <f t="array" ref="D933">XLOOKUP($A933, Quotations!$E$2:E1756, Quotations!$F$2:F1756, "")
</f>
        <v>115.28</v>
      </c>
      <c r="E933" s="9">
        <f t="array" ref="E933">XLOOKUP($A933, Quotations!$G$2:G1756, Quotations!$H$2:H1756, "")
</f>
        <v>118.4</v>
      </c>
      <c r="F933" s="9">
        <f t="array" ref="F933">XLOOKUP($A933, Quotations!$I$2:I1756, Quotations!$J$2:J1756, "")
</f>
        <v>126.96</v>
      </c>
      <c r="G933" s="9">
        <f t="array" ref="G933">XLOOKUP($A933, Quotations!$K$2:K1756, Quotations!$L$2:L1756, "")
</f>
        <v>1437.517</v>
      </c>
    </row>
    <row r="934">
      <c r="A934" s="8">
        <v>42993.0</v>
      </c>
      <c r="B934" s="9">
        <f t="array" ref="B934">XLOOKUP($A934, Quotations!$A$2:A1756, Quotations!$B$2:B1756, "")
</f>
        <v>119.35</v>
      </c>
      <c r="C934" s="9">
        <f t="array" ref="C934">XLOOKUP($A934, Quotations!$C$2:C1756, Quotations!$D$2:D1756, "")</f>
        <v>24.24</v>
      </c>
      <c r="D934" s="9">
        <f t="array" ref="D934">XLOOKUP($A934, Quotations!$E$2:E1756, Quotations!$F$2:F1756, "")
</f>
        <v>115.28</v>
      </c>
      <c r="E934" s="9">
        <f t="array" ref="E934">XLOOKUP($A934, Quotations!$G$2:G1756, Quotations!$H$2:H1756, "")
</f>
        <v>118.37</v>
      </c>
      <c r="F934" s="9">
        <f t="array" ref="F934">XLOOKUP($A934, Quotations!$I$2:I1756, Quotations!$J$2:J1756, "")
</f>
        <v>126.94</v>
      </c>
      <c r="G934" s="9">
        <f t="array" ref="G934">XLOOKUP($A934, Quotations!$K$2:K1756, Quotations!$L$2:L1756, "")
</f>
        <v>1438.059</v>
      </c>
    </row>
    <row r="935">
      <c r="A935" s="8">
        <v>42996.0</v>
      </c>
      <c r="B935" s="9">
        <f t="array" ref="B935">XLOOKUP($A935, Quotations!$A$2:A1756, Quotations!$B$2:B1756, "")
</f>
        <v>119.46</v>
      </c>
      <c r="C935" s="9">
        <f t="array" ref="C935">XLOOKUP($A935, Quotations!$C$2:C1756, Quotations!$D$2:D1756, "")</f>
        <v>24.24</v>
      </c>
      <c r="D935" s="9">
        <f t="array" ref="D935">XLOOKUP($A935, Quotations!$E$2:E1756, Quotations!$F$2:F1756, "")
</f>
        <v>115.31</v>
      </c>
      <c r="E935" s="9">
        <f t="array" ref="E935">XLOOKUP($A935, Quotations!$G$2:G1756, Quotations!$H$2:H1756, "")
</f>
        <v>118.16</v>
      </c>
      <c r="F935" s="9">
        <f t="array" ref="F935">XLOOKUP($A935, Quotations!$I$2:I1756, Quotations!$J$2:J1756, "")
</f>
        <v>126.86</v>
      </c>
      <c r="G935" s="9">
        <f t="array" ref="G935">XLOOKUP($A935, Quotations!$K$2:K1756, Quotations!$L$2:L1756, "")
</f>
        <v>1438.943</v>
      </c>
    </row>
    <row r="936">
      <c r="A936" s="8">
        <v>42997.0</v>
      </c>
      <c r="B936" s="9">
        <f t="array" ref="B936">XLOOKUP($A936, Quotations!$A$2:A1756, Quotations!$B$2:B1756, "")
</f>
        <v>119.49</v>
      </c>
      <c r="C936" s="9">
        <f t="array" ref="C936">XLOOKUP($A936, Quotations!$C$2:C1756, Quotations!$D$2:D1756, "")</f>
        <v>24.24</v>
      </c>
      <c r="D936" s="9">
        <f t="array" ref="D936">XLOOKUP($A936, Quotations!$E$2:E1756, Quotations!$F$2:F1756, "")
</f>
        <v>115.31</v>
      </c>
      <c r="E936" s="9">
        <f t="array" ref="E936">XLOOKUP($A936, Quotations!$G$2:G1756, Quotations!$H$2:H1756, "")
</f>
        <v>118.11</v>
      </c>
      <c r="F936" s="9">
        <f t="array" ref="F936">XLOOKUP($A936, Quotations!$I$2:I1756, Quotations!$J$2:J1756, "")
</f>
        <v>127</v>
      </c>
      <c r="G936" s="9">
        <f t="array" ref="G936">XLOOKUP($A936, Quotations!$K$2:K1756, Quotations!$L$2:L1756, "")
</f>
        <v>1442.909</v>
      </c>
    </row>
    <row r="937">
      <c r="A937" s="8">
        <v>42998.0</v>
      </c>
      <c r="B937" s="9">
        <f t="array" ref="B937">XLOOKUP($A937, Quotations!$A$2:A1756, Quotations!$B$2:B1756, "")
</f>
        <v>119.37</v>
      </c>
      <c r="C937" s="9">
        <f t="array" ref="C937">XLOOKUP($A937, Quotations!$C$2:C1756, Quotations!$D$2:D1756, "")</f>
        <v>24.24</v>
      </c>
      <c r="D937" s="9">
        <f t="array" ref="D937">XLOOKUP($A937, Quotations!$E$2:E1756, Quotations!$F$2:F1756, "")
</f>
        <v>115.3</v>
      </c>
      <c r="E937" s="9">
        <f t="array" ref="E937">XLOOKUP($A937, Quotations!$G$2:G1756, Quotations!$H$2:H1756, "")
</f>
        <v>118.12</v>
      </c>
      <c r="F937" s="9">
        <f t="array" ref="F937">XLOOKUP($A937, Quotations!$I$2:I1756, Quotations!$J$2:J1756, "")
</f>
        <v>127.13</v>
      </c>
      <c r="G937" s="9">
        <f t="array" ref="G937">XLOOKUP($A937, Quotations!$K$2:K1756, Quotations!$L$2:L1756, "")
</f>
        <v>1442.082</v>
      </c>
    </row>
    <row r="938">
      <c r="A938" s="8">
        <v>42999.0</v>
      </c>
      <c r="B938" s="9">
        <f t="array" ref="B938">XLOOKUP($A938, Quotations!$A$2:A1756, Quotations!$B$2:B1756, "")
</f>
        <v>119.3</v>
      </c>
      <c r="C938" s="9">
        <f t="array" ref="C938">XLOOKUP($A938, Quotations!$C$2:C1756, Quotations!$D$2:D1756, "")</f>
        <v>24.24</v>
      </c>
      <c r="D938" s="9">
        <f t="array" ref="D938">XLOOKUP($A938, Quotations!$E$2:E1756, Quotations!$F$2:F1756, "")
</f>
        <v>115.29</v>
      </c>
      <c r="E938" s="9">
        <f t="array" ref="E938">XLOOKUP($A938, Quotations!$G$2:G1756, Quotations!$H$2:H1756, "")
</f>
        <v>117.98</v>
      </c>
      <c r="F938" s="9">
        <f t="array" ref="F938">XLOOKUP($A938, Quotations!$I$2:I1756, Quotations!$J$2:J1756, "")
</f>
        <v>127.27</v>
      </c>
      <c r="G938" s="9">
        <f t="array" ref="G938">XLOOKUP($A938, Quotations!$K$2:K1756, Quotations!$L$2:L1756, "")
</f>
        <v>1440.347</v>
      </c>
    </row>
    <row r="939">
      <c r="A939" s="8">
        <v>43000.0</v>
      </c>
      <c r="B939" s="9">
        <f t="array" ref="B939">XLOOKUP($A939, Quotations!$A$2:A1756, Quotations!$B$2:B1756, "")
</f>
        <v>119.32</v>
      </c>
      <c r="C939" s="9">
        <f t="array" ref="C939">XLOOKUP($A939, Quotations!$C$2:C1756, Quotations!$D$2:D1756, "")</f>
        <v>24.24</v>
      </c>
      <c r="D939" s="9">
        <f t="array" ref="D939">XLOOKUP($A939, Quotations!$E$2:E1756, Quotations!$F$2:F1756, "")
</f>
        <v>115.29</v>
      </c>
      <c r="E939" s="9">
        <f t="array" ref="E939">XLOOKUP($A939, Quotations!$G$2:G1756, Quotations!$H$2:H1756, "")
</f>
        <v>118.05</v>
      </c>
      <c r="F939" s="9">
        <f t="array" ref="F939">XLOOKUP($A939, Quotations!$I$2:I1756, Quotations!$J$2:J1756, "")
</f>
        <v>127.23</v>
      </c>
      <c r="G939" s="9">
        <f t="array" ref="G939">XLOOKUP($A939, Quotations!$K$2:K1756, Quotations!$L$2:L1756, "")
</f>
        <v>1437.611</v>
      </c>
    </row>
    <row r="940">
      <c r="A940" s="8">
        <v>43003.0</v>
      </c>
      <c r="B940" s="9">
        <f t="array" ref="B940">XLOOKUP($A940, Quotations!$A$2:A1756, Quotations!$B$2:B1756, "")
</f>
        <v>119.12</v>
      </c>
      <c r="C940" s="9">
        <f t="array" ref="C940">XLOOKUP($A940, Quotations!$C$2:C1756, Quotations!$D$2:D1756, "")</f>
        <v>24.26</v>
      </c>
      <c r="D940" s="9">
        <f t="array" ref="D940">XLOOKUP($A940, Quotations!$E$2:E1756, Quotations!$F$2:F1756, "")
</f>
        <v>115.29</v>
      </c>
      <c r="E940" s="9">
        <f t="array" ref="E940">XLOOKUP($A940, Quotations!$G$2:G1756, Quotations!$H$2:H1756, "")
</f>
        <v>118.08</v>
      </c>
      <c r="F940" s="9">
        <f t="array" ref="F940">XLOOKUP($A940, Quotations!$I$2:I1756, Quotations!$J$2:J1756, "")
</f>
        <v>127.25</v>
      </c>
      <c r="G940" s="9">
        <f t="array" ref="G940">XLOOKUP($A940, Quotations!$K$2:K1756, Quotations!$L$2:L1756, "")
</f>
        <v>1436.619</v>
      </c>
    </row>
    <row r="941">
      <c r="A941" s="8">
        <v>43004.0</v>
      </c>
      <c r="B941" s="9">
        <f t="array" ref="B941">XLOOKUP($A941, Quotations!$A$2:A1756, Quotations!$B$2:B1756, "")
</f>
        <v>119.12</v>
      </c>
      <c r="C941" s="9">
        <f t="array" ref="C941">XLOOKUP($A941, Quotations!$C$2:C1756, Quotations!$D$2:D1756, "")</f>
        <v>24.26</v>
      </c>
      <c r="D941" s="9">
        <f t="array" ref="D941">XLOOKUP($A941, Quotations!$E$2:E1756, Quotations!$F$2:F1756, "")
</f>
        <v>115.3</v>
      </c>
      <c r="E941" s="9">
        <f t="array" ref="E941">XLOOKUP($A941, Quotations!$G$2:G1756, Quotations!$H$2:H1756, "")
</f>
        <v>118.32</v>
      </c>
      <c r="F941" s="9">
        <f t="array" ref="F941">XLOOKUP($A941, Quotations!$I$2:I1756, Quotations!$J$2:J1756, "")
</f>
        <v>127.23</v>
      </c>
      <c r="G941" s="9">
        <f t="array" ref="G941">XLOOKUP($A941, Quotations!$K$2:K1756, Quotations!$L$2:L1756, "")
</f>
        <v>1433.497</v>
      </c>
    </row>
    <row r="942">
      <c r="A942" s="8">
        <v>43005.0</v>
      </c>
      <c r="B942" s="9">
        <f t="array" ref="B942">XLOOKUP($A942, Quotations!$A$2:A1756, Quotations!$B$2:B1756, "")
</f>
        <v>119.12</v>
      </c>
      <c r="C942" s="9">
        <f t="array" ref="C942">XLOOKUP($A942, Quotations!$C$2:C1756, Quotations!$D$2:D1756, "")</f>
        <v>24.26</v>
      </c>
      <c r="D942" s="9">
        <f t="array" ref="D942">XLOOKUP($A942, Quotations!$E$2:E1756, Quotations!$F$2:F1756, "")
</f>
        <v>115.29</v>
      </c>
      <c r="E942" s="9">
        <f t="array" ref="E942">XLOOKUP($A942, Quotations!$G$2:G1756, Quotations!$H$2:H1756, "")
</f>
        <v>118.23</v>
      </c>
      <c r="F942" s="9">
        <f t="array" ref="F942">XLOOKUP($A942, Quotations!$I$2:I1756, Quotations!$J$2:J1756, "")
</f>
        <v>127.27</v>
      </c>
      <c r="G942" s="9">
        <f t="array" ref="G942">XLOOKUP($A942, Quotations!$K$2:K1756, Quotations!$L$2:L1756, "")
</f>
        <v>1433.759</v>
      </c>
    </row>
    <row r="943">
      <c r="A943" s="8">
        <v>43006.0</v>
      </c>
      <c r="B943" s="9">
        <f t="array" ref="B943">XLOOKUP($A943, Quotations!$A$2:A1756, Quotations!$B$2:B1756, "")
</f>
        <v>119.08</v>
      </c>
      <c r="C943" s="9">
        <f t="array" ref="C943">XLOOKUP($A943, Quotations!$C$2:C1756, Quotations!$D$2:D1756, "")</f>
        <v>24.25</v>
      </c>
      <c r="D943" s="9">
        <f t="array" ref="D943">XLOOKUP($A943, Quotations!$E$2:E1756, Quotations!$F$2:F1756, "")
</f>
        <v>115.28</v>
      </c>
      <c r="E943" s="9">
        <f t="array" ref="E943">XLOOKUP($A943, Quotations!$G$2:G1756, Quotations!$H$2:H1756, "")
</f>
        <v>117.98</v>
      </c>
      <c r="F943" s="9">
        <f t="array" ref="F943">XLOOKUP($A943, Quotations!$I$2:I1756, Quotations!$J$2:J1756, "")
</f>
        <v>127.51</v>
      </c>
      <c r="G943" s="9">
        <f t="array" ref="G943">XLOOKUP($A943, Quotations!$K$2:K1756, Quotations!$L$2:L1756, "")
</f>
        <v>1437.081</v>
      </c>
    </row>
    <row r="944">
      <c r="A944" s="8">
        <v>43007.0</v>
      </c>
      <c r="B944" s="9">
        <f t="array" ref="B944">XLOOKUP($A944, Quotations!$A$2:A1756, Quotations!$B$2:B1756, "")
</f>
        <v>119.26</v>
      </c>
      <c r="C944" s="9">
        <f t="array" ref="C944">XLOOKUP($A944, Quotations!$C$2:C1756, Quotations!$D$2:D1756, "")</f>
        <v>24.24</v>
      </c>
      <c r="D944" s="9">
        <f t="array" ref="D944">XLOOKUP($A944, Quotations!$E$2:E1756, Quotations!$F$2:F1756, "")
</f>
        <v>115.32</v>
      </c>
      <c r="E944" s="9">
        <f t="array" ref="E944">XLOOKUP($A944, Quotations!$G$2:G1756, Quotations!$H$2:H1756, "")
</f>
        <v>117.99</v>
      </c>
      <c r="F944" s="9">
        <f t="array" ref="F944">XLOOKUP($A944, Quotations!$I$2:I1756, Quotations!$J$2:J1756, "")
</f>
        <v>127.44</v>
      </c>
      <c r="G944" s="9">
        <f t="array" ref="G944">XLOOKUP($A944, Quotations!$K$2:K1756, Quotations!$L$2:L1756, "")
</f>
        <v>1438.505</v>
      </c>
    </row>
    <row r="945">
      <c r="A945" s="8">
        <v>43010.0</v>
      </c>
      <c r="B945" s="9">
        <f t="array" ref="B945">XLOOKUP($A945, Quotations!$A$2:A1756, Quotations!$B$2:B1756, "")
</f>
        <v>119.31</v>
      </c>
      <c r="C945" s="9">
        <f t="array" ref="C945">XLOOKUP($A945, Quotations!$C$2:C1756, Quotations!$D$2:D1756, "")</f>
        <v>24.25</v>
      </c>
      <c r="D945" s="9">
        <f t="array" ref="D945">XLOOKUP($A945, Quotations!$E$2:E1756, Quotations!$F$2:F1756, "")
</f>
        <v>115.33</v>
      </c>
      <c r="E945" s="9">
        <f t="array" ref="E945">XLOOKUP($A945, Quotations!$G$2:G1756, Quotations!$H$2:H1756, "")
</f>
        <v>118.14</v>
      </c>
      <c r="F945" s="9">
        <f t="array" ref="F945">XLOOKUP($A945, Quotations!$I$2:I1756, Quotations!$J$2:J1756, "")
</f>
        <v>127.8</v>
      </c>
      <c r="G945" s="9">
        <f t="array" ref="G945">XLOOKUP($A945, Quotations!$K$2:K1756, Quotations!$L$2:L1756, "")
</f>
        <v>1441.707</v>
      </c>
    </row>
    <row r="946">
      <c r="A946" s="8">
        <v>43011.0</v>
      </c>
      <c r="B946" s="9">
        <f t="array" ref="B946">XLOOKUP($A946, Quotations!$A$2:A1756, Quotations!$B$2:B1756, "")
</f>
        <v>119.35</v>
      </c>
      <c r="C946" s="9">
        <f t="array" ref="C946">XLOOKUP($A946, Quotations!$C$2:C1756, Quotations!$D$2:D1756, "")</f>
        <v>24.25</v>
      </c>
      <c r="D946" s="9">
        <f t="array" ref="D946">XLOOKUP($A946, Quotations!$E$2:E1756, Quotations!$F$2:F1756, "")
</f>
        <v>115.33</v>
      </c>
      <c r="E946" s="9">
        <f t="array" ref="E946">XLOOKUP($A946, Quotations!$G$2:G1756, Quotations!$H$2:H1756, "")
</f>
        <v>118.16</v>
      </c>
      <c r="F946" s="9">
        <f t="array" ref="F946">XLOOKUP($A946, Quotations!$I$2:I1756, Quotations!$J$2:J1756, "")
</f>
        <v>128.07</v>
      </c>
      <c r="G946" s="9">
        <f t="array" ref="G946">XLOOKUP($A946, Quotations!$K$2:K1756, Quotations!$L$2:L1756, "")
</f>
        <v>1445.76</v>
      </c>
    </row>
    <row r="947">
      <c r="A947" s="8">
        <v>43012.0</v>
      </c>
      <c r="B947" s="9">
        <f t="array" ref="B947">XLOOKUP($A947, Quotations!$A$2:A1756, Quotations!$B$2:B1756, "")
</f>
        <v>119.29</v>
      </c>
      <c r="C947" s="9">
        <f t="array" ref="C947">XLOOKUP($A947, Quotations!$C$2:C1756, Quotations!$D$2:D1756, "")</f>
        <v>24.25</v>
      </c>
      <c r="D947" s="9">
        <f t="array" ref="D947">XLOOKUP($A947, Quotations!$E$2:E1756, Quotations!$F$2:F1756, "")
</f>
        <v>115.34</v>
      </c>
      <c r="E947" s="9">
        <f t="array" ref="E947">XLOOKUP($A947, Quotations!$G$2:G1756, Quotations!$H$2:H1756, "")
</f>
        <v>118.18</v>
      </c>
      <c r="F947" s="9">
        <f t="array" ref="F947">XLOOKUP($A947, Quotations!$I$2:I1756, Quotations!$J$2:J1756, "")
</f>
        <v>128.24</v>
      </c>
      <c r="G947" s="9">
        <f t="array" ref="G947">XLOOKUP($A947, Quotations!$K$2:K1756, Quotations!$L$2:L1756, "")
</f>
        <v>1447.838</v>
      </c>
    </row>
    <row r="948">
      <c r="A948" s="8">
        <v>43013.0</v>
      </c>
      <c r="B948" s="9">
        <f t="array" ref="B948">XLOOKUP($A948, Quotations!$A$2:A1756, Quotations!$B$2:B1756, "")
</f>
        <v>119.35</v>
      </c>
      <c r="C948" s="9">
        <f t="array" ref="C948">XLOOKUP($A948, Quotations!$C$2:C1756, Quotations!$D$2:D1756, "")</f>
        <v>24.25</v>
      </c>
      <c r="D948" s="9">
        <f t="array" ref="D948">XLOOKUP($A948, Quotations!$E$2:E1756, Quotations!$F$2:F1756, "")
</f>
        <v>115.32</v>
      </c>
      <c r="E948" s="9">
        <f t="array" ref="E948">XLOOKUP($A948, Quotations!$G$2:G1756, Quotations!$H$2:H1756, "")
</f>
        <v>118.21</v>
      </c>
      <c r="F948" s="9">
        <f t="array" ref="F948">XLOOKUP($A948, Quotations!$I$2:I1756, Quotations!$J$2:J1756, "")
</f>
        <v>128.37</v>
      </c>
      <c r="G948" s="9">
        <f t="array" ref="G948">XLOOKUP($A948, Quotations!$K$2:K1756, Quotations!$L$2:L1756, "")
</f>
        <v>1448.655</v>
      </c>
    </row>
    <row r="949">
      <c r="A949" s="8">
        <v>43014.0</v>
      </c>
      <c r="B949" s="9">
        <f t="array" ref="B949">XLOOKUP($A949, Quotations!$A$2:A1756, Quotations!$B$2:B1756, "")
</f>
        <v>119.29</v>
      </c>
      <c r="C949" s="9">
        <f t="array" ref="C949">XLOOKUP($A949, Quotations!$C$2:C1756, Quotations!$D$2:D1756, "")</f>
        <v>24.24</v>
      </c>
      <c r="D949" s="9">
        <f t="array" ref="D949">XLOOKUP($A949, Quotations!$E$2:E1756, Quotations!$F$2:F1756, "")
</f>
        <v>115.32</v>
      </c>
      <c r="E949" s="9">
        <f t="array" ref="E949">XLOOKUP($A949, Quotations!$G$2:G1756, Quotations!$H$2:H1756, "")
</f>
        <v>118.33</v>
      </c>
      <c r="F949" s="9">
        <f t="array" ref="F949">XLOOKUP($A949, Quotations!$I$2:I1756, Quotations!$J$2:J1756, "")
</f>
        <v>128.58</v>
      </c>
      <c r="G949" s="9">
        <f t="array" ref="G949">XLOOKUP($A949, Quotations!$K$2:K1756, Quotations!$L$2:L1756, "")
</f>
        <v>1449.767</v>
      </c>
    </row>
    <row r="950">
      <c r="A950" s="8">
        <v>43017.0</v>
      </c>
      <c r="B950" s="9">
        <f t="array" ref="B950">XLOOKUP($A950, Quotations!$A$2:A1756, Quotations!$B$2:B1756, "")
</f>
        <v>119.33</v>
      </c>
      <c r="C950" s="9">
        <f t="array" ref="C950">XLOOKUP($A950, Quotations!$C$2:C1756, Quotations!$D$2:D1756, "")</f>
        <v>24.24</v>
      </c>
      <c r="D950" s="9">
        <f t="array" ref="D950">XLOOKUP($A950, Quotations!$E$2:E1756, Quotations!$F$2:F1756, "")
</f>
        <v>115.31</v>
      </c>
      <c r="E950" s="9">
        <f t="array" ref="E950">XLOOKUP($A950, Quotations!$G$2:G1756, Quotations!$H$2:H1756, "")
</f>
        <v>118.17</v>
      </c>
      <c r="F950" s="9">
        <f t="array" ref="F950">XLOOKUP($A950, Quotations!$I$2:I1756, Quotations!$J$2:J1756, "")
</f>
        <v>128.5</v>
      </c>
      <c r="G950" s="9">
        <f t="array" ref="G950">XLOOKUP($A950, Quotations!$K$2:K1756, Quotations!$L$2:L1756, "")
</f>
        <v>1450.068</v>
      </c>
    </row>
    <row r="951">
      <c r="A951" s="8">
        <v>43018.0</v>
      </c>
      <c r="B951" s="9">
        <f t="array" ref="B951">XLOOKUP($A951, Quotations!$A$2:A1756, Quotations!$B$2:B1756, "")
</f>
        <v>119.35</v>
      </c>
      <c r="C951" s="9">
        <f t="array" ref="C951">XLOOKUP($A951, Quotations!$C$2:C1756, Quotations!$D$2:D1756, "")</f>
        <v>24.23</v>
      </c>
      <c r="D951" s="9">
        <f t="array" ref="D951">XLOOKUP($A951, Quotations!$E$2:E1756, Quotations!$F$2:F1756, "")
</f>
        <v>115.33</v>
      </c>
      <c r="E951" s="9">
        <f t="array" ref="E951">XLOOKUP($A951, Quotations!$G$2:G1756, Quotations!$H$2:H1756, "")
</f>
        <v>118.34</v>
      </c>
      <c r="F951" s="9">
        <f t="array" ref="F951">XLOOKUP($A951, Quotations!$I$2:I1756, Quotations!$J$2:J1756, "")
</f>
        <v>128.47</v>
      </c>
      <c r="G951" s="9">
        <f t="array" ref="G951">XLOOKUP($A951, Quotations!$K$2:K1756, Quotations!$L$2:L1756, "")
</f>
        <v>1449.395</v>
      </c>
    </row>
    <row r="952">
      <c r="A952" s="8">
        <v>43019.0</v>
      </c>
      <c r="B952" s="9">
        <f t="array" ref="B952">XLOOKUP($A952, Quotations!$A$2:A1756, Quotations!$B$2:B1756, "")
</f>
        <v>119.53</v>
      </c>
      <c r="C952" s="9">
        <f t="array" ref="C952">XLOOKUP($A952, Quotations!$C$2:C1756, Quotations!$D$2:D1756, "")</f>
        <v>24.22</v>
      </c>
      <c r="D952" s="9">
        <f t="array" ref="D952">XLOOKUP($A952, Quotations!$E$2:E1756, Quotations!$F$2:F1756, "")
</f>
        <v>115.34</v>
      </c>
      <c r="E952" s="9">
        <f t="array" ref="E952">XLOOKUP($A952, Quotations!$G$2:G1756, Quotations!$H$2:H1756, "")
</f>
        <v>118.24</v>
      </c>
      <c r="F952" s="9">
        <f t="array" ref="F952">XLOOKUP($A952, Quotations!$I$2:I1756, Quotations!$J$2:J1756, "")
</f>
        <v>128.59</v>
      </c>
      <c r="G952" s="9">
        <f t="array" ref="G952">XLOOKUP($A952, Quotations!$K$2:K1756, Quotations!$L$2:L1756, "")
</f>
        <v>1448.693</v>
      </c>
    </row>
    <row r="953">
      <c r="A953" s="8">
        <v>43020.0</v>
      </c>
      <c r="B953" s="9">
        <f t="array" ref="B953">XLOOKUP($A953, Quotations!$A$2:A1756, Quotations!$B$2:B1756, "")
</f>
        <v>119.63</v>
      </c>
      <c r="C953" s="9">
        <f t="array" ref="C953">XLOOKUP($A953, Quotations!$C$2:C1756, Quotations!$D$2:D1756, "")</f>
        <v>24.22</v>
      </c>
      <c r="D953" s="9">
        <f t="array" ref="D953">XLOOKUP($A953, Quotations!$E$2:E1756, Quotations!$F$2:F1756, "")
</f>
        <v>115.33</v>
      </c>
      <c r="E953" s="9">
        <f t="array" ref="E953">XLOOKUP($A953, Quotations!$G$2:G1756, Quotations!$H$2:H1756, "")
</f>
        <v>118.33</v>
      </c>
      <c r="F953" s="9">
        <f t="array" ref="F953">XLOOKUP($A953, Quotations!$I$2:I1756, Quotations!$J$2:J1756, "")
</f>
        <v>128.67</v>
      </c>
      <c r="G953" s="9">
        <f t="array" ref="G953">XLOOKUP($A953, Quotations!$K$2:K1756, Quotations!$L$2:L1756, "")
</f>
        <v>1448.437</v>
      </c>
    </row>
    <row r="954">
      <c r="A954" s="8">
        <v>43021.0</v>
      </c>
      <c r="B954" s="9">
        <f t="array" ref="B954">XLOOKUP($A954, Quotations!$A$2:A1756, Quotations!$B$2:B1756, "")
</f>
        <v>119.63</v>
      </c>
      <c r="C954" s="9">
        <f t="array" ref="C954">XLOOKUP($A954, Quotations!$C$2:C1756, Quotations!$D$2:D1756, "")</f>
        <v>24.24</v>
      </c>
      <c r="D954" s="9">
        <f t="array" ref="D954">XLOOKUP($A954, Quotations!$E$2:E1756, Quotations!$F$2:F1756, "")
</f>
        <v>115.33</v>
      </c>
      <c r="E954" s="9">
        <f t="array" ref="E954">XLOOKUP($A954, Quotations!$G$2:G1756, Quotations!$H$2:H1756, "")
</f>
        <v>118.45</v>
      </c>
      <c r="F954" s="9">
        <f t="array" ref="F954">XLOOKUP($A954, Quotations!$I$2:I1756, Quotations!$J$2:J1756, "")
</f>
        <v>128.73</v>
      </c>
      <c r="G954" s="9">
        <f t="array" ref="G954">XLOOKUP($A954, Quotations!$K$2:K1756, Quotations!$L$2:L1756, "")
</f>
        <v>1447.864</v>
      </c>
    </row>
    <row r="955">
      <c r="A955" s="8">
        <v>43024.0</v>
      </c>
      <c r="B955" s="9">
        <f t="array" ref="B955">XLOOKUP($A955, Quotations!$A$2:A1756, Quotations!$B$2:B1756, "")
</f>
        <v>119.64</v>
      </c>
      <c r="C955" s="9">
        <f t="array" ref="C955">XLOOKUP($A955, Quotations!$C$2:C1756, Quotations!$D$2:D1756, "")</f>
        <v>24.24</v>
      </c>
      <c r="D955" s="9">
        <f t="array" ref="D955">XLOOKUP($A955, Quotations!$E$2:E1756, Quotations!$F$2:F1756, "")
</f>
        <v>115.36</v>
      </c>
      <c r="E955" s="9">
        <f t="array" ref="E955">XLOOKUP($A955, Quotations!$G$2:G1756, Quotations!$H$2:H1756, "")
</f>
        <v>118.68</v>
      </c>
      <c r="F955" s="9">
        <f t="array" ref="F955">XLOOKUP($A955, Quotations!$I$2:I1756, Quotations!$J$2:J1756, "")
</f>
        <v>128.86</v>
      </c>
      <c r="G955" s="9">
        <f t="array" ref="G955">XLOOKUP($A955, Quotations!$K$2:K1756, Quotations!$L$2:L1756, "")
</f>
        <v>1449.397</v>
      </c>
    </row>
    <row r="956">
      <c r="A956" s="8">
        <v>43025.0</v>
      </c>
      <c r="B956" s="9">
        <f t="array" ref="B956">XLOOKUP($A956, Quotations!$A$2:A1756, Quotations!$B$2:B1756, "")
</f>
        <v>119.54</v>
      </c>
      <c r="C956" s="9">
        <f t="array" ref="C956">XLOOKUP($A956, Quotations!$C$2:C1756, Quotations!$D$2:D1756, "")</f>
        <v>24.25</v>
      </c>
      <c r="D956" s="9">
        <f t="array" ref="D956">XLOOKUP($A956, Quotations!$E$2:E1756, Quotations!$F$2:F1756, "")
</f>
        <v>115.36</v>
      </c>
      <c r="E956" s="9">
        <f t="array" ref="E956">XLOOKUP($A956, Quotations!$G$2:G1756, Quotations!$H$2:H1756, "")
</f>
        <v>118.71</v>
      </c>
      <c r="F956" s="9">
        <f t="array" ref="F956">XLOOKUP($A956, Quotations!$I$2:I1756, Quotations!$J$2:J1756, "")
</f>
        <v>129.02</v>
      </c>
      <c r="G956" s="9">
        <f t="array" ref="G956">XLOOKUP($A956, Quotations!$K$2:K1756, Quotations!$L$2:L1756, "")
</f>
        <v>1448.839</v>
      </c>
    </row>
    <row r="957">
      <c r="A957" s="8">
        <v>43026.0</v>
      </c>
      <c r="B957" s="9">
        <f t="array" ref="B957">XLOOKUP($A957, Quotations!$A$2:A1756, Quotations!$B$2:B1756, "")
</f>
        <v>119.56</v>
      </c>
      <c r="C957" s="9">
        <f t="array" ref="C957">XLOOKUP($A957, Quotations!$C$2:C1756, Quotations!$D$2:D1756, "")</f>
        <v>24.24</v>
      </c>
      <c r="D957" s="9">
        <f t="array" ref="D957">XLOOKUP($A957, Quotations!$E$2:E1756, Quotations!$F$2:F1756, "")
</f>
        <v>115.36</v>
      </c>
      <c r="E957" s="9">
        <f t="array" ref="E957">XLOOKUP($A957, Quotations!$G$2:G1756, Quotations!$H$2:H1756, "")
</f>
        <v>118.83</v>
      </c>
      <c r="F957" s="9">
        <f t="array" ref="F957">XLOOKUP($A957, Quotations!$I$2:I1756, Quotations!$J$2:J1756, "")
</f>
        <v>128.9</v>
      </c>
      <c r="G957" s="9">
        <f t="array" ref="G957">XLOOKUP($A957, Quotations!$K$2:K1756, Quotations!$L$2:L1756, "")
</f>
        <v>1448.965</v>
      </c>
    </row>
    <row r="958">
      <c r="A958" s="8">
        <v>43027.0</v>
      </c>
      <c r="B958" s="9">
        <f t="array" ref="B958">XLOOKUP($A958, Quotations!$A$2:A1756, Quotations!$B$2:B1756, "")
</f>
        <v>119.4</v>
      </c>
      <c r="C958" s="9">
        <f t="array" ref="C958">XLOOKUP($A958, Quotations!$C$2:C1756, Quotations!$D$2:D1756, "")</f>
        <v>24.22</v>
      </c>
      <c r="D958" s="9">
        <f t="array" ref="D958">XLOOKUP($A958, Quotations!$E$2:E1756, Quotations!$F$2:F1756, "")
</f>
        <v>115.34</v>
      </c>
      <c r="E958" s="9">
        <f t="array" ref="E958">XLOOKUP($A958, Quotations!$G$2:G1756, Quotations!$H$2:H1756, "")
</f>
        <v>118.72</v>
      </c>
      <c r="F958" s="9">
        <f t="array" ref="F958">XLOOKUP($A958, Quotations!$I$2:I1756, Quotations!$J$2:J1756, "")
</f>
        <v>129.03</v>
      </c>
      <c r="G958" s="9">
        <f t="array" ref="G958">XLOOKUP($A958, Quotations!$K$2:K1756, Quotations!$L$2:L1756, "")
</f>
        <v>1448.521</v>
      </c>
    </row>
    <row r="959">
      <c r="A959" s="8">
        <v>43028.0</v>
      </c>
      <c r="B959" s="9">
        <f t="array" ref="B959">XLOOKUP($A959, Quotations!$A$2:A1756, Quotations!$B$2:B1756, "")
</f>
        <v>119.27</v>
      </c>
      <c r="C959" s="9">
        <f t="array" ref="C959">XLOOKUP($A959, Quotations!$C$2:C1756, Quotations!$D$2:D1756, "")</f>
        <v>24.23</v>
      </c>
      <c r="D959" s="9">
        <f t="array" ref="D959">XLOOKUP($A959, Quotations!$E$2:E1756, Quotations!$F$2:F1756, "")
</f>
        <v>115.35</v>
      </c>
      <c r="E959" s="9">
        <f t="array" ref="E959">XLOOKUP($A959, Quotations!$G$2:G1756, Quotations!$H$2:H1756, "")
</f>
        <v>118.53</v>
      </c>
      <c r="F959" s="9">
        <f t="array" ref="F959">XLOOKUP($A959, Quotations!$I$2:I1756, Quotations!$J$2:J1756, "")
</f>
        <v>128.79</v>
      </c>
      <c r="G959" s="9">
        <f t="array" ref="G959">XLOOKUP($A959, Quotations!$K$2:K1756, Quotations!$L$2:L1756, "")
</f>
        <v>1447.231</v>
      </c>
    </row>
    <row r="960">
      <c r="A960" s="8">
        <v>43031.0</v>
      </c>
      <c r="B960" s="9">
        <f t="array" ref="B960">XLOOKUP($A960, Quotations!$A$2:A1756, Quotations!$B$2:B1756, "")
</f>
        <v>119.42</v>
      </c>
      <c r="C960" s="9">
        <f t="array" ref="C960">XLOOKUP($A960, Quotations!$C$2:C1756, Quotations!$D$2:D1756, "")</f>
        <v>24.24</v>
      </c>
      <c r="D960" s="9">
        <f t="array" ref="D960">XLOOKUP($A960, Quotations!$E$2:E1756, Quotations!$F$2:F1756, "")
</f>
        <v>115.37</v>
      </c>
      <c r="E960" s="9">
        <f t="array" ref="E960">XLOOKUP($A960, Quotations!$G$2:G1756, Quotations!$H$2:H1756, "")
</f>
        <v>118.35</v>
      </c>
      <c r="F960" s="9">
        <f t="array" ref="F960">XLOOKUP($A960, Quotations!$I$2:I1756, Quotations!$J$2:J1756, "")
</f>
        <v>128.89</v>
      </c>
      <c r="G960" s="9">
        <f t="array" ref="G960">XLOOKUP($A960, Quotations!$K$2:K1756, Quotations!$L$2:L1756, "")
</f>
        <v>1447.749</v>
      </c>
    </row>
    <row r="961">
      <c r="A961" s="8">
        <v>43032.0</v>
      </c>
      <c r="B961" s="9">
        <f t="array" ref="B961">XLOOKUP($A961, Quotations!$A$2:A1756, Quotations!$B$2:B1756, "")
</f>
        <v>119.58</v>
      </c>
      <c r="C961" s="9">
        <f t="array" ref="C961">XLOOKUP($A961, Quotations!$C$2:C1756, Quotations!$D$2:D1756, "")</f>
        <v>24.23</v>
      </c>
      <c r="D961" s="9">
        <f t="array" ref="D961">XLOOKUP($A961, Quotations!$E$2:E1756, Quotations!$F$2:F1756, "")
</f>
        <v>115.35</v>
      </c>
      <c r="E961" s="9">
        <f t="array" ref="E961">XLOOKUP($A961, Quotations!$G$2:G1756, Quotations!$H$2:H1756, "")
</f>
        <v>118.52</v>
      </c>
      <c r="F961" s="9">
        <f t="array" ref="F961">XLOOKUP($A961, Quotations!$I$2:I1756, Quotations!$J$2:J1756, "")
</f>
        <v>128.88</v>
      </c>
      <c r="G961" s="9">
        <f t="array" ref="G961">XLOOKUP($A961, Quotations!$K$2:K1756, Quotations!$L$2:L1756, "")
</f>
        <v>1446.54</v>
      </c>
    </row>
    <row r="962">
      <c r="A962" s="8">
        <v>43033.0</v>
      </c>
      <c r="B962" s="9">
        <f t="array" ref="B962">XLOOKUP($A962, Quotations!$A$2:A1756, Quotations!$B$2:B1756, "")
</f>
        <v>119.45</v>
      </c>
      <c r="C962" s="9">
        <f t="array" ref="C962">XLOOKUP($A962, Quotations!$C$2:C1756, Quotations!$D$2:D1756, "")</f>
        <v>24.22</v>
      </c>
      <c r="D962" s="9">
        <f t="array" ref="D962">XLOOKUP($A962, Quotations!$E$2:E1756, Quotations!$F$2:F1756, "")
</f>
        <v>115.33</v>
      </c>
      <c r="E962" s="9">
        <f t="array" ref="E962">XLOOKUP($A962, Quotations!$G$2:G1756, Quotations!$H$2:H1756, "")
</f>
        <v>118.4</v>
      </c>
      <c r="F962" s="9">
        <f t="array" ref="F962">XLOOKUP($A962, Quotations!$I$2:I1756, Quotations!$J$2:J1756, "")
</f>
        <v>128.93</v>
      </c>
      <c r="G962" s="9">
        <f t="array" ref="G962">XLOOKUP($A962, Quotations!$K$2:K1756, Quotations!$L$2:L1756, "")
</f>
        <v>1447.368</v>
      </c>
    </row>
    <row r="963">
      <c r="A963" s="8">
        <v>43034.0</v>
      </c>
      <c r="B963" s="9">
        <f t="array" ref="B963">XLOOKUP($A963, Quotations!$A$2:A1756, Quotations!$B$2:B1756, "")
</f>
        <v>119.97</v>
      </c>
      <c r="C963" s="9">
        <f t="array" ref="C963">XLOOKUP($A963, Quotations!$C$2:C1756, Quotations!$D$2:D1756, "")</f>
        <v>24.23</v>
      </c>
      <c r="D963" s="9">
        <f t="array" ref="D963">XLOOKUP($A963, Quotations!$E$2:E1756, Quotations!$F$2:F1756, "")
</f>
        <v>115.29</v>
      </c>
      <c r="E963" s="9">
        <f t="array" ref="E963">XLOOKUP($A963, Quotations!$G$2:G1756, Quotations!$H$2:H1756, "")
</f>
        <v>118.03</v>
      </c>
      <c r="F963" s="9">
        <f t="array" ref="F963">XLOOKUP($A963, Quotations!$I$2:I1756, Quotations!$J$2:J1756, "")
</f>
        <v>128.73</v>
      </c>
      <c r="G963" s="9">
        <f t="array" ref="G963">XLOOKUP($A963, Quotations!$K$2:K1756, Quotations!$L$2:L1756, "")
</f>
        <v>1443.32</v>
      </c>
    </row>
    <row r="964">
      <c r="A964" s="8">
        <v>43035.0</v>
      </c>
      <c r="B964" s="9">
        <f t="array" ref="B964">XLOOKUP($A964, Quotations!$A$2:A1756, Quotations!$B$2:B1756, "")
</f>
        <v>120.11</v>
      </c>
      <c r="C964" s="9">
        <f t="array" ref="C964">XLOOKUP($A964, Quotations!$C$2:C1756, Quotations!$D$2:D1756, "")</f>
        <v>24.25</v>
      </c>
      <c r="D964" s="9">
        <f t="array" ref="D964">XLOOKUP($A964, Quotations!$E$2:E1756, Quotations!$F$2:F1756, "")
</f>
        <v>115.3</v>
      </c>
      <c r="E964" s="9">
        <f t="array" ref="E964">XLOOKUP($A964, Quotations!$G$2:G1756, Quotations!$H$2:H1756, "")
</f>
        <v>118.87</v>
      </c>
      <c r="F964" s="9">
        <f t="array" ref="F964">XLOOKUP($A964, Quotations!$I$2:I1756, Quotations!$J$2:J1756, "")
</f>
        <v>129.15</v>
      </c>
      <c r="G964" s="9">
        <f t="array" ref="G964">XLOOKUP($A964, Quotations!$K$2:K1756, Quotations!$L$2:L1756, "")
</f>
        <v>1446.793</v>
      </c>
    </row>
    <row r="965">
      <c r="A965" s="8">
        <v>43038.0</v>
      </c>
      <c r="B965" s="9">
        <f t="array" ref="B965">XLOOKUP($A965, Quotations!$A$2:A1756, Quotations!$B$2:B1756, "")
</f>
        <v>120.29</v>
      </c>
      <c r="C965" s="9">
        <f t="array" ref="C965">XLOOKUP($A965, Quotations!$C$2:C1756, Quotations!$D$2:D1756, "")</f>
        <v>24.25</v>
      </c>
      <c r="D965" s="9">
        <f t="array" ref="D965">XLOOKUP($A965, Quotations!$E$2:E1756, Quotations!$F$2:F1756, "")
</f>
        <v>115.34</v>
      </c>
      <c r="E965" s="9">
        <f t="array" ref="E965">XLOOKUP($A965, Quotations!$G$2:G1756, Quotations!$H$2:H1756, "")
</f>
        <v>119.24</v>
      </c>
      <c r="F965" s="9">
        <f t="array" ref="F965">XLOOKUP($A965, Quotations!$I$2:I1756, Quotations!$J$2:J1756, "")
</f>
        <v>129.84</v>
      </c>
      <c r="G965" s="9">
        <f t="array" ref="G965">XLOOKUP($A965, Quotations!$K$2:K1756, Quotations!$L$2:L1756, "")
</f>
        <v>1448.876</v>
      </c>
    </row>
    <row r="966">
      <c r="A966" s="8">
        <v>43039.0</v>
      </c>
      <c r="B966" s="9">
        <f t="array" ref="B966">XLOOKUP($A966, Quotations!$A$2:A1756, Quotations!$B$2:B1756, "")
</f>
        <v>120.4</v>
      </c>
      <c r="C966" s="9">
        <f t="array" ref="C966">XLOOKUP($A966, Quotations!$C$2:C1756, Quotations!$D$2:D1756, "")</f>
        <v>24.24</v>
      </c>
      <c r="D966" s="9">
        <f t="array" ref="D966">XLOOKUP($A966, Quotations!$E$2:E1756, Quotations!$F$2:F1756, "")
</f>
        <v>115.33</v>
      </c>
      <c r="E966" s="9">
        <f t="array" ref="E966">XLOOKUP($A966, Quotations!$G$2:G1756, Quotations!$H$2:H1756, "")
</f>
        <v>119.48</v>
      </c>
      <c r="F966" s="9">
        <f t="array" ref="F966">XLOOKUP($A966, Quotations!$I$2:I1756, Quotations!$J$2:J1756, "")
</f>
        <v>129.92</v>
      </c>
      <c r="G966" s="9">
        <f t="array" ref="G966">XLOOKUP($A966, Quotations!$K$2:K1756, Quotations!$L$2:L1756, "")
</f>
        <v>1454.1483</v>
      </c>
    </row>
    <row r="967">
      <c r="A967" s="8">
        <v>43041.0</v>
      </c>
      <c r="B967" s="9">
        <f t="array" ref="B967">XLOOKUP($A967, Quotations!$A$2:A1756, Quotations!$B$2:B1756, "")
</f>
        <v>120.62</v>
      </c>
      <c r="C967" s="9">
        <f t="array" ref="C967">XLOOKUP($A967, Quotations!$C$2:C1756, Quotations!$D$2:D1756, "")</f>
        <v>24.24</v>
      </c>
      <c r="D967" s="9">
        <f t="array" ref="D967">XLOOKUP($A967, Quotations!$E$2:E1756, Quotations!$F$2:F1756, "")
</f>
        <v>115.32</v>
      </c>
      <c r="E967" s="9">
        <f t="array" ref="E967">XLOOKUP($A967, Quotations!$G$2:G1756, Quotations!$H$2:H1756, "")
</f>
        <v>119.65</v>
      </c>
      <c r="F967" s="9">
        <f t="array" ref="F967">XLOOKUP($A967, Quotations!$I$2:I1756, Quotations!$J$2:J1756, "")
</f>
        <v>130.56</v>
      </c>
      <c r="G967" s="9">
        <f t="array" ref="G967">XLOOKUP($A967, Quotations!$K$2:K1756, Quotations!$L$2:L1756, "")
</f>
        <v>1458.859</v>
      </c>
    </row>
    <row r="968">
      <c r="A968" s="8">
        <v>43042.0</v>
      </c>
      <c r="B968" s="9">
        <f t="array" ref="B968">XLOOKUP($A968, Quotations!$A$2:A1756, Quotations!$B$2:B1756, "")
</f>
        <v>120.77</v>
      </c>
      <c r="C968" s="9">
        <f t="array" ref="C968">XLOOKUP($A968, Quotations!$C$2:C1756, Quotations!$D$2:D1756, "")</f>
        <v>24.25</v>
      </c>
      <c r="D968" s="9">
        <f t="array" ref="D968">XLOOKUP($A968, Quotations!$E$2:E1756, Quotations!$F$2:F1756, "")
</f>
        <v>115.32</v>
      </c>
      <c r="E968" s="9">
        <f t="array" ref="E968">XLOOKUP($A968, Quotations!$G$2:G1756, Quotations!$H$2:H1756, "")
</f>
        <v>120.12</v>
      </c>
      <c r="F968" s="9">
        <f t="array" ref="F968">XLOOKUP($A968, Quotations!$I$2:I1756, Quotations!$J$2:J1756, "")
</f>
        <v>130.41</v>
      </c>
      <c r="G968" s="9">
        <f t="array" ref="G968">XLOOKUP($A968, Quotations!$K$2:K1756, Quotations!$L$2:L1756, "")
</f>
        <v>1456.026</v>
      </c>
    </row>
    <row r="969">
      <c r="A969" s="8">
        <v>43045.0</v>
      </c>
      <c r="B969" s="9">
        <f t="array" ref="B969">XLOOKUP($A969, Quotations!$A$2:A1756, Quotations!$B$2:B1756, "")
</f>
        <v>120.77</v>
      </c>
      <c r="C969" s="9">
        <f t="array" ref="C969">XLOOKUP($A969, Quotations!$C$2:C1756, Quotations!$D$2:D1756, "")</f>
        <v>24.26</v>
      </c>
      <c r="D969" s="9">
        <f t="array" ref="D969">XLOOKUP($A969, Quotations!$E$2:E1756, Quotations!$F$2:F1756, "")
</f>
        <v>115.28</v>
      </c>
      <c r="E969" s="9">
        <f t="array" ref="E969">XLOOKUP($A969, Quotations!$G$2:G1756, Quotations!$H$2:H1756, "")
</f>
        <v>120.23</v>
      </c>
      <c r="F969" s="9">
        <f t="array" ref="F969">XLOOKUP($A969, Quotations!$I$2:I1756, Quotations!$J$2:J1756, "")
</f>
        <v>130.5</v>
      </c>
      <c r="G969" s="9">
        <f t="array" ref="G969">XLOOKUP($A969, Quotations!$K$2:K1756, Quotations!$L$2:L1756, "")
</f>
        <v>1459.627</v>
      </c>
    </row>
    <row r="970">
      <c r="A970" s="8">
        <v>43046.0</v>
      </c>
      <c r="B970" s="9">
        <f t="array" ref="B970">XLOOKUP($A970, Quotations!$A$2:A1756, Quotations!$B$2:B1756, "")
</f>
        <v>120.66</v>
      </c>
      <c r="C970" s="9">
        <f t="array" ref="C970">XLOOKUP($A970, Quotations!$C$2:C1756, Quotations!$D$2:D1756, "")</f>
        <v>24.25</v>
      </c>
      <c r="D970" s="9">
        <f t="array" ref="D970">XLOOKUP($A970, Quotations!$E$2:E1756, Quotations!$F$2:F1756, "")
</f>
        <v>115.26</v>
      </c>
      <c r="E970" s="9">
        <f t="array" ref="E970">XLOOKUP($A970, Quotations!$G$2:G1756, Quotations!$H$2:H1756, "")
</f>
        <v>120.22</v>
      </c>
      <c r="F970" s="9">
        <f t="array" ref="F970">XLOOKUP($A970, Quotations!$I$2:I1756, Quotations!$J$2:J1756, "")
</f>
        <v>130.64</v>
      </c>
      <c r="G970" s="9">
        <f t="array" ref="G970">XLOOKUP($A970, Quotations!$K$2:K1756, Quotations!$L$2:L1756, "")
</f>
        <v>1464.007</v>
      </c>
    </row>
    <row r="971">
      <c r="A971" s="8">
        <v>43047.0</v>
      </c>
      <c r="B971" s="9">
        <f t="array" ref="B971">XLOOKUP($A971, Quotations!$A$2:A1756, Quotations!$B$2:B1756, "")
</f>
        <v>120.66</v>
      </c>
      <c r="C971" s="9">
        <f t="array" ref="C971">XLOOKUP($A971, Quotations!$C$2:C1756, Quotations!$D$2:D1756, "")</f>
        <v>24.25</v>
      </c>
      <c r="D971" s="9">
        <f t="array" ref="D971">XLOOKUP($A971, Quotations!$E$2:E1756, Quotations!$F$2:F1756, "")
</f>
        <v>115.25</v>
      </c>
      <c r="E971" s="9">
        <f t="array" ref="E971">XLOOKUP($A971, Quotations!$G$2:G1756, Quotations!$H$2:H1756, "")
</f>
        <v>120.05</v>
      </c>
      <c r="F971" s="9">
        <f t="array" ref="F971">XLOOKUP($A971, Quotations!$I$2:I1756, Quotations!$J$2:J1756, "")
</f>
        <v>130.72</v>
      </c>
      <c r="G971" s="9">
        <f t="array" ref="G971">XLOOKUP($A971, Quotations!$K$2:K1756, Quotations!$L$2:L1756, "")
</f>
        <v>1460.006</v>
      </c>
    </row>
    <row r="972">
      <c r="A972" s="8">
        <v>43048.0</v>
      </c>
      <c r="B972" s="9">
        <f t="array" ref="B972">XLOOKUP($A972, Quotations!$A$2:A1756, Quotations!$B$2:B1756, "")
</f>
        <v>120.22</v>
      </c>
      <c r="C972" s="9">
        <f t="array" ref="C972">XLOOKUP($A972, Quotations!$C$2:C1756, Quotations!$D$2:D1756, "")</f>
        <v>24.24</v>
      </c>
      <c r="D972" s="9">
        <f t="array" ref="D972">XLOOKUP($A972, Quotations!$E$2:E1756, Quotations!$F$2:F1756, "")
</f>
        <v>115.26</v>
      </c>
      <c r="E972" s="9">
        <f t="array" ref="E972">XLOOKUP($A972, Quotations!$G$2:G1756, Quotations!$H$2:H1756, "")
</f>
        <v>119.92</v>
      </c>
      <c r="F972" s="9">
        <f t="array" ref="F972">XLOOKUP($A972, Quotations!$I$2:I1756, Quotations!$J$2:J1756, "")
</f>
        <v>130.71</v>
      </c>
      <c r="G972" s="9">
        <f t="array" ref="G972">XLOOKUP($A972, Quotations!$K$2:K1756, Quotations!$L$2:L1756, "")
</f>
        <v>1460.358</v>
      </c>
    </row>
    <row r="973">
      <c r="A973" s="8">
        <v>43049.0</v>
      </c>
      <c r="B973" s="9">
        <f t="array" ref="B973">XLOOKUP($A973, Quotations!$A$2:A1756, Quotations!$B$2:B1756, "")
</f>
        <v>120.07</v>
      </c>
      <c r="C973" s="9">
        <f t="array" ref="C973">XLOOKUP($A973, Quotations!$C$2:C1756, Quotations!$D$2:D1756, "")</f>
        <v>24.23</v>
      </c>
      <c r="D973" s="9">
        <f t="array" ref="D973">XLOOKUP($A973, Quotations!$E$2:E1756, Quotations!$F$2:F1756, "")
</f>
        <v>115.22</v>
      </c>
      <c r="E973" s="9">
        <f t="array" ref="E973">XLOOKUP($A973, Quotations!$G$2:G1756, Quotations!$H$2:H1756, "")
</f>
        <v>119.26</v>
      </c>
      <c r="F973" s="9">
        <f t="array" ref="F973">XLOOKUP($A973, Quotations!$I$2:I1756, Quotations!$J$2:J1756, "")
</f>
        <v>130.38</v>
      </c>
      <c r="G973" s="9">
        <f t="array" ref="G973">XLOOKUP($A973, Quotations!$K$2:K1756, Quotations!$L$2:L1756, "")
</f>
        <v>1454.653</v>
      </c>
    </row>
    <row r="974">
      <c r="A974" s="8">
        <v>43052.0</v>
      </c>
      <c r="B974" s="9">
        <f t="array" ref="B974">XLOOKUP($A974, Quotations!$A$2:A1756, Quotations!$B$2:B1756, "")
</f>
        <v>119.69</v>
      </c>
      <c r="C974" s="9">
        <f t="array" ref="C974">XLOOKUP($A974, Quotations!$C$2:C1756, Quotations!$D$2:D1756, "")</f>
        <v>24.21</v>
      </c>
      <c r="D974" s="9">
        <f t="array" ref="D974">XLOOKUP($A974, Quotations!$E$2:E1756, Quotations!$F$2:F1756, "")
</f>
        <v>115.24</v>
      </c>
      <c r="E974" s="9">
        <f t="array" ref="E974">XLOOKUP($A974, Quotations!$G$2:G1756, Quotations!$H$2:H1756, "")
</f>
        <v>118.82</v>
      </c>
      <c r="F974" s="9">
        <f t="array" ref="F974">XLOOKUP($A974, Quotations!$I$2:I1756, Quotations!$J$2:J1756, "")
</f>
        <v>130.1</v>
      </c>
      <c r="G974" s="9">
        <f t="array" ref="G974">XLOOKUP($A974, Quotations!$K$2:K1756, Quotations!$L$2:L1756, "")
</f>
        <v>1444.734</v>
      </c>
    </row>
    <row r="975">
      <c r="A975" s="8">
        <v>43053.0</v>
      </c>
      <c r="B975" s="9">
        <f t="array" ref="B975">XLOOKUP($A975, Quotations!$A$2:A1756, Quotations!$B$2:B1756, "")
</f>
        <v>119.54</v>
      </c>
      <c r="C975" s="9">
        <f t="array" ref="C975">XLOOKUP($A975, Quotations!$C$2:C1756, Quotations!$D$2:D1756, "")</f>
        <v>24.18</v>
      </c>
      <c r="D975" s="9">
        <f t="array" ref="D975">XLOOKUP($A975, Quotations!$E$2:E1756, Quotations!$F$2:F1756, "")
</f>
        <v>115.2</v>
      </c>
      <c r="E975" s="9">
        <f t="array" ref="E975">XLOOKUP($A975, Quotations!$G$2:G1756, Quotations!$H$2:H1756, "")
</f>
        <v>118.67</v>
      </c>
      <c r="F975" s="9">
        <f t="array" ref="F975">XLOOKUP($A975, Quotations!$I$2:I1756, Quotations!$J$2:J1756, "")
</f>
        <v>130.06</v>
      </c>
      <c r="G975" s="9">
        <f t="array" ref="G975">XLOOKUP($A975, Quotations!$K$2:K1756, Quotations!$L$2:L1756, "")
</f>
        <v>1449.622</v>
      </c>
    </row>
    <row r="976">
      <c r="A976" s="8">
        <v>43054.0</v>
      </c>
      <c r="B976" s="9">
        <f t="array" ref="B976">XLOOKUP($A976, Quotations!$A$2:A1756, Quotations!$B$2:B1756, "")
</f>
        <v>119.19</v>
      </c>
      <c r="C976" s="9">
        <f t="array" ref="C976">XLOOKUP($A976, Quotations!$C$2:C1756, Quotations!$D$2:D1756, "")</f>
        <v>24.17</v>
      </c>
      <c r="D976" s="9">
        <f t="array" ref="D976">XLOOKUP($A976, Quotations!$E$2:E1756, Quotations!$F$2:F1756, "")
</f>
        <v>115.17</v>
      </c>
      <c r="E976" s="9">
        <f t="array" ref="E976">XLOOKUP($A976, Quotations!$G$2:G1756, Quotations!$H$2:H1756, "")
</f>
        <v>118.47</v>
      </c>
      <c r="F976" s="9">
        <f t="array" ref="F976">XLOOKUP($A976, Quotations!$I$2:I1756, Quotations!$J$2:J1756, "")
</f>
        <v>129.75</v>
      </c>
      <c r="G976" s="9">
        <f t="array" ref="G976">XLOOKUP($A976, Quotations!$K$2:K1756, Quotations!$L$2:L1756, "")
</f>
        <v>1443.297</v>
      </c>
    </row>
    <row r="977">
      <c r="A977" s="8">
        <v>43055.0</v>
      </c>
      <c r="B977" s="9">
        <f t="array" ref="B977">XLOOKUP($A977, Quotations!$A$2:A1756, Quotations!$B$2:B1756, "")
</f>
        <v>119.51</v>
      </c>
      <c r="C977" s="9">
        <f t="array" ref="C977">XLOOKUP($A977, Quotations!$C$2:C1756, Quotations!$D$2:D1756, "")</f>
        <v>24.18</v>
      </c>
      <c r="D977" s="9">
        <f t="array" ref="D977">XLOOKUP($A977, Quotations!$E$2:E1756, Quotations!$F$2:F1756, "")
</f>
        <v>115.19</v>
      </c>
      <c r="E977" s="9">
        <f t="array" ref="E977">XLOOKUP($A977, Quotations!$G$2:G1756, Quotations!$H$2:H1756, "")
</f>
        <v>118.42</v>
      </c>
      <c r="F977" s="9">
        <f t="array" ref="F977">XLOOKUP($A977, Quotations!$I$2:I1756, Quotations!$J$2:J1756, "")
</f>
        <v>129.17</v>
      </c>
      <c r="G977" s="9">
        <f t="array" ref="G977">XLOOKUP($A977, Quotations!$K$2:K1756, Quotations!$L$2:L1756, "")
</f>
        <v>1441.103</v>
      </c>
    </row>
    <row r="978">
      <c r="A978" s="8">
        <v>43056.0</v>
      </c>
      <c r="B978" s="9">
        <f t="array" ref="B978">XLOOKUP($A978, Quotations!$A$2:A1756, Quotations!$B$2:B1756, "")
</f>
        <v>119.59</v>
      </c>
      <c r="C978" s="9">
        <f t="array" ref="C978">XLOOKUP($A978, Quotations!$C$2:C1756, Quotations!$D$2:D1756, "")</f>
        <v>24.17</v>
      </c>
      <c r="D978" s="9">
        <f t="array" ref="D978">XLOOKUP($A978, Quotations!$E$2:E1756, Quotations!$F$2:F1756, "")
</f>
        <v>115.17</v>
      </c>
      <c r="E978" s="9">
        <f t="array" ref="E978">XLOOKUP($A978, Quotations!$G$2:G1756, Quotations!$H$2:H1756, "")
</f>
        <v>118.56</v>
      </c>
      <c r="F978" s="9">
        <f t="array" ref="F978">XLOOKUP($A978, Quotations!$I$2:I1756, Quotations!$J$2:J1756, "")
</f>
        <v>129.64</v>
      </c>
      <c r="G978" s="9">
        <f t="array" ref="G978">XLOOKUP($A978, Quotations!$K$2:K1756, Quotations!$L$2:L1756, "")
</f>
        <v>1444.773</v>
      </c>
    </row>
    <row r="979">
      <c r="A979" s="8">
        <v>43059.0</v>
      </c>
      <c r="B979" s="9">
        <f t="array" ref="B979">XLOOKUP($A979, Quotations!$A$2:A1756, Quotations!$B$2:B1756, "")
</f>
        <v>119.68</v>
      </c>
      <c r="C979" s="9">
        <f t="array" ref="C979">XLOOKUP($A979, Quotations!$C$2:C1756, Quotations!$D$2:D1756, "")</f>
        <v>24.18</v>
      </c>
      <c r="D979" s="9">
        <f t="array" ref="D979">XLOOKUP($A979, Quotations!$E$2:E1756, Quotations!$F$2:F1756, "")
</f>
        <v>115.2</v>
      </c>
      <c r="E979" s="9">
        <f t="array" ref="E979">XLOOKUP($A979, Quotations!$G$2:G1756, Quotations!$H$2:H1756, "")
</f>
        <v>118.36</v>
      </c>
      <c r="F979" s="9">
        <f t="array" ref="F979">XLOOKUP($A979, Quotations!$I$2:I1756, Quotations!$J$2:J1756, "")
</f>
        <v>129.77</v>
      </c>
      <c r="G979" s="9">
        <f t="array" ref="G979">XLOOKUP($A979, Quotations!$K$2:K1756, Quotations!$L$2:L1756, "")
</f>
        <v>1446.324</v>
      </c>
    </row>
    <row r="980">
      <c r="A980" s="8">
        <v>43060.0</v>
      </c>
      <c r="B980" s="9">
        <f t="array" ref="B980">XLOOKUP($A980, Quotations!$A$2:A1756, Quotations!$B$2:B1756, "")
</f>
        <v>119.81</v>
      </c>
      <c r="C980" s="9">
        <f t="array" ref="C980">XLOOKUP($A980, Quotations!$C$2:C1756, Quotations!$D$2:D1756, "")</f>
        <v>24.2</v>
      </c>
      <c r="D980" s="9">
        <f t="array" ref="D980">XLOOKUP($A980, Quotations!$E$2:E1756, Quotations!$F$2:F1756, "")
</f>
        <v>115.21</v>
      </c>
      <c r="E980" s="9">
        <f t="array" ref="E980">XLOOKUP($A980, Quotations!$G$2:G1756, Quotations!$H$2:H1756, "")
</f>
        <v>118.55</v>
      </c>
      <c r="F980" s="9">
        <f t="array" ref="F980">XLOOKUP($A980, Quotations!$I$2:I1756, Quotations!$J$2:J1756, "")
</f>
        <v>129.99</v>
      </c>
      <c r="G980" s="9">
        <f t="array" ref="G980">XLOOKUP($A980, Quotations!$K$2:K1756, Quotations!$L$2:L1756, "")
</f>
        <v>1449.114</v>
      </c>
    </row>
    <row r="981">
      <c r="A981" s="8">
        <v>43061.0</v>
      </c>
      <c r="B981" s="9">
        <f t="array" ref="B981">XLOOKUP($A981, Quotations!$A$2:A1756, Quotations!$B$2:B1756, "")
</f>
        <v>119.7</v>
      </c>
      <c r="C981" s="9">
        <f t="array" ref="C981">XLOOKUP($A981, Quotations!$C$2:C1756, Quotations!$D$2:D1756, "")</f>
        <v>24.19</v>
      </c>
      <c r="D981" s="9">
        <f t="array" ref="D981">XLOOKUP($A981, Quotations!$E$2:E1756, Quotations!$F$2:F1756, "")
</f>
        <v>115.18</v>
      </c>
      <c r="E981" s="9">
        <f t="array" ref="E981">XLOOKUP($A981, Quotations!$G$2:G1756, Quotations!$H$2:H1756, "")
</f>
        <v>118.92</v>
      </c>
      <c r="F981" s="9">
        <f t="array" ref="F981">XLOOKUP($A981, Quotations!$I$2:I1756, Quotations!$J$2:J1756, "")
</f>
        <v>130.46</v>
      </c>
      <c r="G981" s="9">
        <f t="array" ref="G981">XLOOKUP($A981, Quotations!$K$2:K1756, Quotations!$L$2:L1756, "")
</f>
        <v>1455.108</v>
      </c>
    </row>
    <row r="982">
      <c r="A982" s="8">
        <v>43062.0</v>
      </c>
      <c r="B982" s="9">
        <f t="array" ref="B982">XLOOKUP($A982, Quotations!$A$2:A1756, Quotations!$B$2:B1756, "")
</f>
        <v>119.77</v>
      </c>
      <c r="C982" s="9">
        <f t="array" ref="C982">XLOOKUP($A982, Quotations!$C$2:C1756, Quotations!$D$2:D1756, "")</f>
        <v>24.18</v>
      </c>
      <c r="D982" s="9">
        <f t="array" ref="D982">XLOOKUP($A982, Quotations!$E$2:E1756, Quotations!$F$2:F1756, "")
</f>
        <v>115.21</v>
      </c>
      <c r="E982" s="9">
        <f t="array" ref="E982">XLOOKUP($A982, Quotations!$G$2:G1756, Quotations!$H$2:H1756, "")
</f>
        <v>118.65</v>
      </c>
      <c r="F982" s="9">
        <f t="array" ref="F982">XLOOKUP($A982, Quotations!$I$2:I1756, Quotations!$J$2:J1756, "")
</f>
        <v>130.38</v>
      </c>
      <c r="G982" s="9">
        <f t="array" ref="G982">XLOOKUP($A982, Quotations!$K$2:K1756, Quotations!$L$2:L1756, "")
</f>
        <v>1454.375</v>
      </c>
    </row>
    <row r="983">
      <c r="A983" s="8">
        <v>43063.0</v>
      </c>
      <c r="B983" s="9">
        <f t="array" ref="B983">XLOOKUP($A983, Quotations!$A$2:A1756, Quotations!$B$2:B1756, "")
</f>
        <v>119.81</v>
      </c>
      <c r="C983" s="9">
        <f t="array" ref="C983">XLOOKUP($A983, Quotations!$C$2:C1756, Quotations!$D$2:D1756, "")</f>
        <v>24.17</v>
      </c>
      <c r="D983" s="9">
        <f t="array" ref="D983">XLOOKUP($A983, Quotations!$E$2:E1756, Quotations!$F$2:F1756, "")
</f>
        <v>115.2</v>
      </c>
      <c r="E983" s="9">
        <f t="array" ref="E983">XLOOKUP($A983, Quotations!$G$2:G1756, Quotations!$H$2:H1756, "")
</f>
        <v>118.64</v>
      </c>
      <c r="F983" s="9">
        <f t="array" ref="F983">XLOOKUP($A983, Quotations!$I$2:I1756, Quotations!$J$2:J1756, "")
</f>
        <v>130.14</v>
      </c>
      <c r="G983" s="9">
        <f t="array" ref="G983">XLOOKUP($A983, Quotations!$K$2:K1756, Quotations!$L$2:L1756, "")
</f>
        <v>1455.362</v>
      </c>
    </row>
    <row r="984">
      <c r="A984" s="8">
        <v>43066.0</v>
      </c>
      <c r="B984" s="9">
        <f t="array" ref="B984">XLOOKUP($A984, Quotations!$A$2:A1756, Quotations!$B$2:B1756, "")
</f>
        <v>119.68</v>
      </c>
      <c r="C984" s="9">
        <f t="array" ref="C984">XLOOKUP($A984, Quotations!$C$2:C1756, Quotations!$D$2:D1756, "")</f>
        <v>24.17</v>
      </c>
      <c r="D984" s="9">
        <f t="array" ref="D984">XLOOKUP($A984, Quotations!$E$2:E1756, Quotations!$F$2:F1756, "")
</f>
        <v>115.25</v>
      </c>
      <c r="E984" s="9">
        <f t="array" ref="E984">XLOOKUP($A984, Quotations!$G$2:G1756, Quotations!$H$2:H1756, "")
</f>
        <v>118.75</v>
      </c>
      <c r="F984" s="9">
        <f t="array" ref="F984">XLOOKUP($A984, Quotations!$I$2:I1756, Quotations!$J$2:J1756, "")
</f>
        <v>130.2</v>
      </c>
      <c r="G984" s="9">
        <f t="array" ref="G984">XLOOKUP($A984, Quotations!$K$2:K1756, Quotations!$L$2:L1756, "")
</f>
        <v>1454.512</v>
      </c>
    </row>
    <row r="985">
      <c r="A985" s="8">
        <v>43067.0</v>
      </c>
      <c r="B985" s="9">
        <f t="array" ref="B985">XLOOKUP($A985, Quotations!$A$2:A1756, Quotations!$B$2:B1756, "")
</f>
        <v>119.78</v>
      </c>
      <c r="C985" s="9">
        <f t="array" ref="C985">XLOOKUP($A985, Quotations!$C$2:C1756, Quotations!$D$2:D1756, "")</f>
        <v>24.17</v>
      </c>
      <c r="D985" s="9">
        <f t="array" ref="D985">XLOOKUP($A985, Quotations!$E$2:E1756, Quotations!$F$2:F1756, "")
</f>
        <v>115.23</v>
      </c>
      <c r="E985" s="9">
        <f t="array" ref="E985">XLOOKUP($A985, Quotations!$G$2:G1756, Quotations!$H$2:H1756, "")
</f>
        <v>118.59</v>
      </c>
      <c r="F985" s="9">
        <f t="array" ref="F985">XLOOKUP($A985, Quotations!$I$2:I1756, Quotations!$J$2:J1756, "")
</f>
        <v>130.03</v>
      </c>
      <c r="G985" s="9">
        <f t="array" ref="G985">XLOOKUP($A985, Quotations!$K$2:K1756, Quotations!$L$2:L1756, "")
</f>
        <v>1451.03</v>
      </c>
    </row>
    <row r="986">
      <c r="A986" s="8">
        <v>43068.0</v>
      </c>
      <c r="B986" s="9">
        <f t="array" ref="B986">XLOOKUP($A986, Quotations!$A$2:A1756, Quotations!$B$2:B1756, "")
</f>
        <v>119.69</v>
      </c>
      <c r="C986" s="9">
        <f t="array" ref="C986">XLOOKUP($A986, Quotations!$C$2:C1756, Quotations!$D$2:D1756, "")</f>
        <v>24.16</v>
      </c>
      <c r="D986" s="9">
        <f t="array" ref="D986">XLOOKUP($A986, Quotations!$E$2:E1756, Quotations!$F$2:F1756, "")
</f>
        <v>115.22</v>
      </c>
      <c r="E986" s="9">
        <f t="array" ref="E986">XLOOKUP($A986, Quotations!$G$2:G1756, Quotations!$H$2:H1756, "")
</f>
        <v>118.8</v>
      </c>
      <c r="F986" s="9">
        <f t="array" ref="F986">XLOOKUP($A986, Quotations!$I$2:I1756, Quotations!$J$2:J1756, "")
</f>
        <v>130.19</v>
      </c>
      <c r="G986" s="9">
        <f t="array" ref="G986">XLOOKUP($A986, Quotations!$K$2:K1756, Quotations!$L$2:L1756, "")
</f>
        <v>1453.685</v>
      </c>
    </row>
    <row r="987">
      <c r="A987" s="8">
        <v>43069.0</v>
      </c>
      <c r="B987" s="9">
        <f t="array" ref="B987">XLOOKUP($A987, Quotations!$A$2:A1756, Quotations!$B$2:B1756, "")
</f>
        <v>119.73</v>
      </c>
      <c r="C987" s="9">
        <f t="array" ref="C987">XLOOKUP($A987, Quotations!$C$2:C1756, Quotations!$D$2:D1756, "")</f>
        <v>24.14</v>
      </c>
      <c r="D987" s="9">
        <f t="array" ref="D987">XLOOKUP($A987, Quotations!$E$2:E1756, Quotations!$F$2:F1756, "")
</f>
        <v>115.17</v>
      </c>
      <c r="E987" s="9">
        <f t="array" ref="E987">XLOOKUP($A987, Quotations!$G$2:G1756, Quotations!$H$2:H1756, "")
</f>
        <v>118.8</v>
      </c>
      <c r="F987" s="9">
        <f t="array" ref="F987">XLOOKUP($A987, Quotations!$I$2:I1756, Quotations!$J$2:J1756, "")
</f>
        <v>129.99</v>
      </c>
      <c r="G987" s="9">
        <f t="array" ref="G987">XLOOKUP($A987, Quotations!$K$2:K1756, Quotations!$L$2:L1756, "")
</f>
        <v>1448.288</v>
      </c>
    </row>
    <row r="988">
      <c r="A988" s="8">
        <v>43070.0</v>
      </c>
      <c r="B988" s="9">
        <f t="array" ref="B988">XLOOKUP($A988, Quotations!$A$2:A1756, Quotations!$B$2:B1756, "")
</f>
        <v>119.54</v>
      </c>
      <c r="C988" s="9">
        <f t="array" ref="C988">XLOOKUP($A988, Quotations!$C$2:C1756, Quotations!$D$2:D1756, "")</f>
        <v>24.16</v>
      </c>
      <c r="D988" s="9">
        <f t="array" ref="D988">XLOOKUP($A988, Quotations!$E$2:E1756, Quotations!$F$2:F1756, "")
</f>
        <v>115.17</v>
      </c>
      <c r="E988" s="9">
        <f t="array" ref="E988">XLOOKUP($A988, Quotations!$G$2:G1756, Quotations!$H$2:H1756, "")
</f>
        <v>118.68</v>
      </c>
      <c r="F988" s="9">
        <f t="array" ref="F988">XLOOKUP($A988, Quotations!$I$2:I1756, Quotations!$J$2:J1756, "")
</f>
        <v>129.87</v>
      </c>
      <c r="G988" s="9">
        <f t="array" ref="G988">XLOOKUP($A988, Quotations!$K$2:K1756, Quotations!$L$2:L1756, "")
</f>
        <v>1448.4514</v>
      </c>
    </row>
    <row r="989">
      <c r="A989" s="8">
        <v>43073.0</v>
      </c>
      <c r="B989" s="9">
        <f t="array" ref="B989">XLOOKUP($A989, Quotations!$A$2:A1756, Quotations!$B$2:B1756, "")
</f>
        <v>119.52</v>
      </c>
      <c r="C989" s="9">
        <f t="array" ref="C989">XLOOKUP($A989, Quotations!$C$2:C1756, Quotations!$D$2:D1756, "")</f>
        <v>24.15</v>
      </c>
      <c r="D989" s="9">
        <f t="array" ref="D989">XLOOKUP($A989, Quotations!$E$2:E1756, Quotations!$F$2:F1756, "")
</f>
        <v>115.2</v>
      </c>
      <c r="E989" s="9">
        <f t="array" ref="E989">XLOOKUP($A989, Quotations!$G$2:G1756, Quotations!$H$2:H1756, "")
</f>
        <v>118.15</v>
      </c>
      <c r="F989" s="9">
        <f t="array" ref="F989">XLOOKUP($A989, Quotations!$I$2:I1756, Quotations!$J$2:J1756, "")
</f>
        <v>129.59</v>
      </c>
      <c r="G989" s="9">
        <f t="array" ref="G989">XLOOKUP($A989, Quotations!$K$2:K1756, Quotations!$L$2:L1756, "")
</f>
        <v>1445.588</v>
      </c>
    </row>
    <row r="990">
      <c r="A990" s="8">
        <v>43074.0</v>
      </c>
      <c r="B990" s="9">
        <f t="array" ref="B990">XLOOKUP($A990, Quotations!$A$2:A1756, Quotations!$B$2:B1756, "")
</f>
        <v>119.31</v>
      </c>
      <c r="C990" s="9">
        <f t="array" ref="C990">XLOOKUP($A990, Quotations!$C$2:C1756, Quotations!$D$2:D1756, "")</f>
        <v>24.16</v>
      </c>
      <c r="D990" s="9">
        <f t="array" ref="D990">XLOOKUP($A990, Quotations!$E$2:E1756, Quotations!$F$2:F1756, "")
</f>
        <v>115.24</v>
      </c>
      <c r="E990" s="9">
        <f t="array" ref="E990">XLOOKUP($A990, Quotations!$G$2:G1756, Quotations!$H$2:H1756, "")
</f>
        <v>118.76</v>
      </c>
      <c r="F990" s="9">
        <f t="array" ref="F990">XLOOKUP($A990, Quotations!$I$2:I1756, Quotations!$J$2:J1756, "")
</f>
        <v>129.65</v>
      </c>
      <c r="G990" s="9">
        <f t="array" ref="G990">XLOOKUP($A990, Quotations!$K$2:K1756, Quotations!$L$2:L1756, "")
</f>
        <v>1442.924</v>
      </c>
    </row>
    <row r="991">
      <c r="A991" s="8">
        <v>43075.0</v>
      </c>
      <c r="B991" s="9">
        <f t="array" ref="B991">XLOOKUP($A991, Quotations!$A$2:A1756, Quotations!$B$2:B1756, "")
</f>
        <v>117.83</v>
      </c>
      <c r="C991" s="9">
        <f t="array" ref="C991">XLOOKUP($A991, Quotations!$C$2:C1756, Quotations!$D$2:D1756, "")</f>
        <v>24.18</v>
      </c>
      <c r="D991" s="9">
        <f t="array" ref="D991">XLOOKUP($A991, Quotations!$E$2:E1756, Quotations!$F$2:F1756, "")
</f>
        <v>115.23</v>
      </c>
      <c r="E991" s="9">
        <f t="array" ref="E991">XLOOKUP($A991, Quotations!$G$2:G1756, Quotations!$H$2:H1756, "")
</f>
        <v>118.85</v>
      </c>
      <c r="F991" s="9">
        <f t="array" ref="F991">XLOOKUP($A991, Quotations!$I$2:I1756, Quotations!$J$2:J1756, "")
</f>
        <v>129.64</v>
      </c>
      <c r="G991" s="9">
        <f t="array" ref="G991">XLOOKUP($A991, Quotations!$K$2:K1756, Quotations!$L$2:L1756, "")
</f>
        <v>1438.666</v>
      </c>
    </row>
    <row r="992">
      <c r="A992" s="8">
        <v>43076.0</v>
      </c>
      <c r="B992" s="9">
        <f t="array" ref="B992">XLOOKUP($A992, Quotations!$A$2:A1756, Quotations!$B$2:B1756, "")
</f>
        <v>118.1</v>
      </c>
      <c r="C992" s="9">
        <f t="array" ref="C992">XLOOKUP($A992, Quotations!$C$2:C1756, Quotations!$D$2:D1756, "")</f>
        <v>24.17</v>
      </c>
      <c r="D992" s="9">
        <f t="array" ref="D992">XLOOKUP($A992, Quotations!$E$2:E1756, Quotations!$F$2:F1756, "")
</f>
        <v>115.22</v>
      </c>
      <c r="E992" s="9">
        <f t="array" ref="E992">XLOOKUP($A992, Quotations!$G$2:G1756, Quotations!$H$2:H1756, "")
</f>
        <v>118.72</v>
      </c>
      <c r="F992" s="9">
        <f t="array" ref="F992">XLOOKUP($A992, Quotations!$I$2:I1756, Quotations!$J$2:J1756, "")
</f>
        <v>129.5</v>
      </c>
      <c r="G992" s="9">
        <f t="array" ref="G992">XLOOKUP($A992, Quotations!$K$2:K1756, Quotations!$L$2:L1756, "")
</f>
        <v>1433.718</v>
      </c>
    </row>
    <row r="993">
      <c r="A993" s="8">
        <v>43077.0</v>
      </c>
      <c r="B993" s="9">
        <f t="array" ref="B993">XLOOKUP($A993, Quotations!$A$2:A1756, Quotations!$B$2:B1756, "")
</f>
        <v>117.62</v>
      </c>
      <c r="C993" s="9">
        <f t="array" ref="C993">XLOOKUP($A993, Quotations!$C$2:C1756, Quotations!$D$2:D1756, "")</f>
        <v>24.18</v>
      </c>
      <c r="D993" s="9">
        <f t="array" ref="D993">XLOOKUP($A993, Quotations!$E$2:E1756, Quotations!$F$2:F1756, "")
</f>
        <v>115.22</v>
      </c>
      <c r="E993" s="9">
        <f t="array" ref="E993">XLOOKUP($A993, Quotations!$G$2:G1756, Quotations!$H$2:H1756, "")
</f>
        <v>118.83</v>
      </c>
      <c r="F993" s="9">
        <f t="array" ref="F993">XLOOKUP($A993, Quotations!$I$2:I1756, Quotations!$J$2:J1756, "")
</f>
        <v>129.65</v>
      </c>
      <c r="G993" s="9">
        <f t="array" ref="G993">XLOOKUP($A993, Quotations!$K$2:K1756, Quotations!$L$2:L1756, "")
</f>
        <v>1436.442</v>
      </c>
    </row>
    <row r="994">
      <c r="A994" s="8">
        <v>43080.0</v>
      </c>
      <c r="B994" s="9">
        <f t="array" ref="B994">XLOOKUP($A994, Quotations!$A$2:A1756, Quotations!$B$2:B1756, "")
</f>
        <v>117.8</v>
      </c>
      <c r="C994" s="9">
        <f t="array" ref="C994">XLOOKUP($A994, Quotations!$C$2:C1756, Quotations!$D$2:D1756, "")</f>
        <v>24.17</v>
      </c>
      <c r="D994" s="9">
        <f t="array" ref="D994">XLOOKUP($A994, Quotations!$E$2:E1756, Quotations!$F$2:F1756, "")
</f>
        <v>115.22</v>
      </c>
      <c r="E994" s="9">
        <f t="array" ref="E994">XLOOKUP($A994, Quotations!$G$2:G1756, Quotations!$H$2:H1756, "")
</f>
        <v>119.03</v>
      </c>
      <c r="F994" s="9">
        <f t="array" ref="F994">XLOOKUP($A994, Quotations!$I$2:I1756, Quotations!$J$2:J1756, "")
</f>
        <v>129.95</v>
      </c>
      <c r="G994" s="9">
        <f t="array" ref="G994">XLOOKUP($A994, Quotations!$K$2:K1756, Quotations!$L$2:L1756, "")
</f>
        <v>1437.989</v>
      </c>
    </row>
    <row r="995">
      <c r="A995" s="8">
        <v>43081.0</v>
      </c>
      <c r="B995" s="9">
        <f t="array" ref="B995">XLOOKUP($A995, Quotations!$A$2:A1756, Quotations!$B$2:B1756, "")
</f>
        <v>117.93</v>
      </c>
      <c r="C995" s="9">
        <f t="array" ref="C995">XLOOKUP($A995, Quotations!$C$2:C1756, Quotations!$D$2:D1756, "")</f>
        <v>24.19</v>
      </c>
      <c r="D995" s="9">
        <f t="array" ref="D995">XLOOKUP($A995, Quotations!$E$2:E1756, Quotations!$F$2:F1756, "")
</f>
        <v>115.26</v>
      </c>
      <c r="E995" s="9">
        <f t="array" ref="E995">XLOOKUP($A995, Quotations!$G$2:G1756, Quotations!$H$2:H1756, "")
</f>
        <v>119.02</v>
      </c>
      <c r="F995" s="9">
        <f t="array" ref="F995">XLOOKUP($A995, Quotations!$I$2:I1756, Quotations!$J$2:J1756, "")
</f>
        <v>130.15</v>
      </c>
      <c r="G995" s="9">
        <f t="array" ref="G995">XLOOKUP($A995, Quotations!$K$2:K1756, Quotations!$L$2:L1756, "")
</f>
        <v>1440.934</v>
      </c>
    </row>
    <row r="996">
      <c r="A996" s="8">
        <v>43082.0</v>
      </c>
      <c r="B996" s="9">
        <f t="array" ref="B996">XLOOKUP($A996, Quotations!$A$2:A1756, Quotations!$B$2:B1756, "")
</f>
        <v>117.84</v>
      </c>
      <c r="C996" s="9">
        <f t="array" ref="C996">XLOOKUP($A996, Quotations!$C$2:C1756, Quotations!$D$2:D1756, "")</f>
        <v>24.18</v>
      </c>
      <c r="D996" s="9">
        <f t="array" ref="D996">XLOOKUP($A996, Quotations!$E$2:E1756, Quotations!$F$2:F1756, "")
</f>
        <v>115.29</v>
      </c>
      <c r="E996" s="9">
        <f t="array" ref="E996">XLOOKUP($A996, Quotations!$G$2:G1756, Quotations!$H$2:H1756, "")
</f>
        <v>119.1</v>
      </c>
      <c r="F996" s="9">
        <f t="array" ref="F996">XLOOKUP($A996, Quotations!$I$2:I1756, Quotations!$J$2:J1756, "")
</f>
        <v>130.21</v>
      </c>
      <c r="G996" s="9">
        <f t="array" ref="G996">XLOOKUP($A996, Quotations!$K$2:K1756, Quotations!$L$2:L1756, "")
</f>
        <v>1440.054</v>
      </c>
    </row>
    <row r="997">
      <c r="A997" s="8">
        <v>43083.0</v>
      </c>
      <c r="B997" s="9">
        <f t="array" ref="B997">XLOOKUP($A997, Quotations!$A$2:A1756, Quotations!$B$2:B1756, "")
</f>
        <v>117.7</v>
      </c>
      <c r="C997" s="9">
        <f t="array" ref="C997">XLOOKUP($A997, Quotations!$C$2:C1756, Quotations!$D$2:D1756, "")</f>
        <v>24.18</v>
      </c>
      <c r="D997" s="9">
        <f t="array" ref="D997">XLOOKUP($A997, Quotations!$E$2:E1756, Quotations!$F$2:F1756, "")
</f>
        <v>115.29</v>
      </c>
      <c r="E997" s="9">
        <f t="array" ref="E997">XLOOKUP($A997, Quotations!$G$2:G1756, Quotations!$H$2:H1756, "")
</f>
        <v>119.01</v>
      </c>
      <c r="F997" s="9">
        <f t="array" ref="F997">XLOOKUP($A997, Quotations!$I$2:I1756, Quotations!$J$2:J1756, "")
</f>
        <v>130.09</v>
      </c>
      <c r="G997" s="9">
        <f t="array" ref="G997">XLOOKUP($A997, Quotations!$K$2:K1756, Quotations!$L$2:L1756, "")
</f>
        <v>1441.65</v>
      </c>
    </row>
    <row r="998">
      <c r="A998" s="8">
        <v>43084.0</v>
      </c>
      <c r="B998" s="9">
        <f t="array" ref="B998">XLOOKUP($A998, Quotations!$A$2:A1756, Quotations!$B$2:B1756, "")
</f>
        <v>117.72</v>
      </c>
      <c r="C998" s="9">
        <f t="array" ref="C998">XLOOKUP($A998, Quotations!$C$2:C1756, Quotations!$D$2:D1756, "")</f>
        <v>24.18</v>
      </c>
      <c r="D998" s="9">
        <f t="array" ref="D998">XLOOKUP($A998, Quotations!$E$2:E1756, Quotations!$F$2:F1756, "")
</f>
        <v>115.33</v>
      </c>
      <c r="E998" s="9">
        <f t="array" ref="E998">XLOOKUP($A998, Quotations!$G$2:G1756, Quotations!$H$2:H1756, "")
</f>
        <v>118.8</v>
      </c>
      <c r="F998" s="9">
        <f t="array" ref="F998">XLOOKUP($A998, Quotations!$I$2:I1756, Quotations!$J$2:J1756, "")
</f>
        <v>129.91</v>
      </c>
      <c r="G998" s="9">
        <f t="array" ref="G998">XLOOKUP($A998, Quotations!$K$2:K1756, Quotations!$L$2:L1756, "")
</f>
        <v>1439.46</v>
      </c>
    </row>
    <row r="999">
      <c r="A999" s="8">
        <v>43087.0</v>
      </c>
      <c r="B999" s="9">
        <f t="array" ref="B999">XLOOKUP($A999, Quotations!$A$2:A1756, Quotations!$B$2:B1756, "")
</f>
        <v>118.14</v>
      </c>
      <c r="C999" s="9">
        <f t="array" ref="C999">XLOOKUP($A999, Quotations!$C$2:C1756, Quotations!$D$2:D1756, "")</f>
        <v>24.17</v>
      </c>
      <c r="D999" s="9">
        <f t="array" ref="D999">XLOOKUP($A999, Quotations!$E$2:E1756, Quotations!$F$2:F1756, "")
</f>
        <v>115.33</v>
      </c>
      <c r="E999" s="9">
        <f t="array" ref="E999">XLOOKUP($A999, Quotations!$G$2:G1756, Quotations!$H$2:H1756, "")
</f>
        <v>118.81</v>
      </c>
      <c r="F999" s="9">
        <f t="array" ref="F999">XLOOKUP($A999, Quotations!$I$2:I1756, Quotations!$J$2:J1756, "")
</f>
        <v>130.01</v>
      </c>
      <c r="G999" s="9">
        <f t="array" ref="G999">XLOOKUP($A999, Quotations!$K$2:K1756, Quotations!$L$2:L1756, "")
</f>
        <v>1440.9205</v>
      </c>
    </row>
    <row r="1000">
      <c r="A1000" s="8">
        <v>43088.0</v>
      </c>
      <c r="B1000" s="9">
        <f t="array" ref="B1000">XLOOKUP($A1000, Quotations!$A$2:A1756, Quotations!$B$2:B1756, "")
</f>
        <v>118.12</v>
      </c>
      <c r="C1000" s="9">
        <f t="array" ref="C1000">XLOOKUP($A1000, Quotations!$C$2:C1756, Quotations!$D$2:D1756, "")</f>
        <v>24.16</v>
      </c>
      <c r="D1000" s="9">
        <f t="array" ref="D1000">XLOOKUP($A1000, Quotations!$E$2:E1756, Quotations!$F$2:F1756, "")
</f>
        <v>115.29</v>
      </c>
      <c r="E1000" s="9">
        <f t="array" ref="E1000">XLOOKUP($A1000, Quotations!$G$2:G1756, Quotations!$H$2:H1756, "")
</f>
        <v>119.48</v>
      </c>
      <c r="F1000" s="9">
        <f t="array" ref="F1000">XLOOKUP($A1000, Quotations!$I$2:I1756, Quotations!$J$2:J1756, "")
</f>
        <v>130.41</v>
      </c>
      <c r="G1000" s="9">
        <f t="array" ref="G1000">XLOOKUP($A1000, Quotations!$K$2:K1756, Quotations!$L$2:L1756, "")
</f>
        <v>1446.8092</v>
      </c>
    </row>
    <row r="1001">
      <c r="A1001" s="8">
        <v>43089.0</v>
      </c>
      <c r="B1001" s="9">
        <f t="array" ref="B1001">XLOOKUP($A1001, Quotations!$A$2:A1756, Quotations!$B$2:B1756, "")
</f>
        <v>117.94</v>
      </c>
      <c r="C1001" s="9">
        <f t="array" ref="C1001">XLOOKUP($A1001, Quotations!$C$2:C1756, Quotations!$D$2:D1756, "")</f>
        <v>24.13</v>
      </c>
      <c r="D1001" s="9">
        <f t="array" ref="D1001">XLOOKUP($A1001, Quotations!$E$2:E1756, Quotations!$F$2:F1756, "")
</f>
        <v>115.27</v>
      </c>
      <c r="E1001" s="9">
        <f t="array" ref="E1001">XLOOKUP($A1001, Quotations!$G$2:G1756, Quotations!$H$2:H1756, "")
</f>
        <v>118.88</v>
      </c>
      <c r="F1001" s="9">
        <f t="array" ref="F1001">XLOOKUP($A1001, Quotations!$I$2:I1756, Quotations!$J$2:J1756, "")
</f>
        <v>130.33</v>
      </c>
      <c r="G1001" s="9">
        <f t="array" ref="G1001">XLOOKUP($A1001, Quotations!$K$2:K1756, Quotations!$L$2:L1756, "")
</f>
        <v>1446.1488</v>
      </c>
    </row>
    <row r="1002">
      <c r="A1002" s="8">
        <v>43090.0</v>
      </c>
      <c r="B1002" s="9">
        <f t="array" ref="B1002">XLOOKUP($A1002, Quotations!$A$2:A1756, Quotations!$B$2:B1756, "")
</f>
        <v>118</v>
      </c>
      <c r="C1002" s="9">
        <f t="array" ref="C1002">XLOOKUP($A1002, Quotations!$C$2:C1756, Quotations!$D$2:D1756, "")</f>
        <v>24.14</v>
      </c>
      <c r="D1002" s="9">
        <f t="array" ref="D1002">XLOOKUP($A1002, Quotations!$E$2:E1756, Quotations!$F$2:F1756, "")
</f>
        <v>115.29</v>
      </c>
      <c r="E1002" s="9">
        <f t="array" ref="E1002">XLOOKUP($A1002, Quotations!$G$2:G1756, Quotations!$H$2:H1756, "")
</f>
        <v>118.22</v>
      </c>
      <c r="F1002" s="9">
        <f t="array" ref="F1002">XLOOKUP($A1002, Quotations!$I$2:I1756, Quotations!$J$2:J1756, "")
</f>
        <v>130.08</v>
      </c>
      <c r="G1002" s="9">
        <f t="array" ref="G1002">XLOOKUP($A1002, Quotations!$K$2:K1756, Quotations!$L$2:L1756, "")
</f>
        <v>1445.3517</v>
      </c>
    </row>
    <row r="1003">
      <c r="A1003" s="8">
        <v>43091.0</v>
      </c>
      <c r="B1003" s="9">
        <f t="array" ref="B1003">XLOOKUP($A1003, Quotations!$A$2:A1756, Quotations!$B$2:B1756, "")
</f>
        <v>117.9</v>
      </c>
      <c r="C1003" s="9">
        <f t="array" ref="C1003">XLOOKUP($A1003, Quotations!$C$2:C1756, Quotations!$D$2:D1756, "")</f>
        <v>24.16</v>
      </c>
      <c r="D1003" s="9">
        <f t="array" ref="D1003">XLOOKUP($A1003, Quotations!$E$2:E1756, Quotations!$F$2:F1756, "")
</f>
        <v>115.3</v>
      </c>
      <c r="E1003" s="9">
        <f t="array" ref="E1003">XLOOKUP($A1003, Quotations!$G$2:G1756, Quotations!$H$2:H1756, "")
</f>
        <v>118.42</v>
      </c>
      <c r="F1003" s="9">
        <f t="array" ref="F1003">XLOOKUP($A1003, Quotations!$I$2:I1756, Quotations!$J$2:J1756, "")
</f>
        <v>130.24</v>
      </c>
      <c r="G1003" s="9">
        <f t="array" ref="G1003">XLOOKUP($A1003, Quotations!$K$2:K1756, Quotations!$L$2:L1756, "")
</f>
        <v>1447.2386</v>
      </c>
    </row>
    <row r="1004">
      <c r="A1004" s="8">
        <v>43096.0</v>
      </c>
      <c r="B1004" s="9">
        <f t="array" ref="B1004">XLOOKUP($A1004, Quotations!$A$2:A1756, Quotations!$B$2:B1756, "")
</f>
        <v>117.88</v>
      </c>
      <c r="C1004" s="9">
        <f t="array" ref="C1004">XLOOKUP($A1004, Quotations!$C$2:C1756, Quotations!$D$2:D1756, "")</f>
        <v>24.15</v>
      </c>
      <c r="D1004" s="9">
        <f t="array" ref="D1004">XLOOKUP($A1004, Quotations!$E$2:E1756, Quotations!$F$2:F1756, "")
</f>
        <v>115.32</v>
      </c>
      <c r="E1004" s="9">
        <f t="array" ref="E1004">XLOOKUP($A1004, Quotations!$G$2:G1756, Quotations!$H$2:H1756, "")
</f>
        <v>118.19</v>
      </c>
      <c r="F1004" s="9">
        <f t="array" ref="F1004">XLOOKUP($A1004, Quotations!$I$2:I1756, Quotations!$J$2:J1756, "")
</f>
        <v>130.23</v>
      </c>
      <c r="G1004" s="9">
        <f t="array" ref="G1004">XLOOKUP($A1004, Quotations!$K$2:K1756, Quotations!$L$2:L1756, "")
</f>
        <v>1444.3239</v>
      </c>
    </row>
    <row r="1005">
      <c r="A1005" s="8">
        <v>43097.0</v>
      </c>
      <c r="B1005" s="9">
        <f t="array" ref="B1005">XLOOKUP($A1005, Quotations!$A$2:A1756, Quotations!$B$2:B1756, "")
</f>
        <v>117.86</v>
      </c>
      <c r="C1005" s="9">
        <f t="array" ref="C1005">XLOOKUP($A1005, Quotations!$C$2:C1756, Quotations!$D$2:D1756, "")</f>
        <v>24.13</v>
      </c>
      <c r="D1005" s="9">
        <f t="array" ref="D1005">XLOOKUP($A1005, Quotations!$E$2:E1756, Quotations!$F$2:F1756, "")
</f>
        <v>115.25</v>
      </c>
      <c r="E1005" s="9">
        <f t="array" ref="E1005">XLOOKUP($A1005, Quotations!$G$2:G1756, Quotations!$H$2:H1756, "")
</f>
        <v>118.28</v>
      </c>
      <c r="F1005" s="9">
        <f t="array" ref="F1005">XLOOKUP($A1005, Quotations!$I$2:I1756, Quotations!$J$2:J1756, "")
</f>
        <v>130.09</v>
      </c>
      <c r="G1005" s="9">
        <f t="array" ref="G1005">XLOOKUP($A1005, Quotations!$K$2:K1756, Quotations!$L$2:L1756, "")
</f>
        <v>1442.26</v>
      </c>
    </row>
    <row r="1006">
      <c r="A1006" s="8">
        <v>43098.0</v>
      </c>
      <c r="B1006" s="9">
        <f t="array" ref="B1006">XLOOKUP($A1006, Quotations!$A$2:A1756, Quotations!$B$2:B1756, "")
</f>
        <v>117.8</v>
      </c>
      <c r="C1006" s="9">
        <f t="array" ref="C1006">XLOOKUP($A1006, Quotations!$C$2:C1756, Quotations!$D$2:D1756, "")</f>
        <v>24.13</v>
      </c>
      <c r="D1006" s="9">
        <f t="array" ref="D1006">XLOOKUP($A1006, Quotations!$E$2:E1756, Quotations!$F$2:F1756, "")
</f>
        <v>115.29</v>
      </c>
      <c r="E1006" s="9">
        <f t="array" ref="E1006">XLOOKUP($A1006, Quotations!$G$2:G1756, Quotations!$H$2:H1756, "")
</f>
        <v>117.73</v>
      </c>
      <c r="F1006" s="9">
        <f t="array" ref="F1006">XLOOKUP($A1006, Quotations!$I$2:I1756, Quotations!$J$2:J1756, "")
</f>
        <v>130.24</v>
      </c>
      <c r="G1006" s="9">
        <f t="array" ref="G1006">XLOOKUP($A1006, Quotations!$K$2:K1756, Quotations!$L$2:L1756, "")
</f>
        <v>1442.7939</v>
      </c>
    </row>
    <row r="1007">
      <c r="A1007" s="8">
        <v>43102.0</v>
      </c>
      <c r="B1007" s="9">
        <f t="array" ref="B1007">XLOOKUP($A1007, Quotations!$A$2:A1756, Quotations!$B$2:B1756, "")
</f>
        <v>117.73</v>
      </c>
      <c r="C1007" s="9">
        <f t="array" ref="C1007">XLOOKUP($A1007, Quotations!$C$2:C1756, Quotations!$D$2:D1756, "")</f>
        <v>24.12</v>
      </c>
      <c r="D1007" s="9">
        <f t="array" ref="D1007">XLOOKUP($A1007, Quotations!$E$2:E1756, Quotations!$F$2:F1756, "")
</f>
        <v>115.3</v>
      </c>
      <c r="E1007" s="9">
        <f t="array" ref="E1007">XLOOKUP($A1007, Quotations!$G$2:G1756, Quotations!$H$2:H1756, "")
</f>
        <v>117.46</v>
      </c>
      <c r="F1007" s="9">
        <f t="array" ref="F1007">XLOOKUP($A1007, Quotations!$I$2:I1756, Quotations!$J$2:J1756, "")
</f>
        <v>129.96</v>
      </c>
      <c r="G1007" s="9">
        <f t="array" ref="G1007">XLOOKUP($A1007, Quotations!$K$2:K1756, Quotations!$L$2:L1756, "")
</f>
        <v>1441.3029</v>
      </c>
    </row>
    <row r="1008">
      <c r="A1008" s="8">
        <v>43103.0</v>
      </c>
      <c r="B1008" s="9">
        <f t="array" ref="B1008">XLOOKUP($A1008, Quotations!$A$2:A1756, Quotations!$B$2:B1756, "")
</f>
        <v>117.96</v>
      </c>
      <c r="C1008" s="9">
        <f t="array" ref="C1008">XLOOKUP($A1008, Quotations!$C$2:C1756, Quotations!$D$2:D1756, "")</f>
        <v>24.13</v>
      </c>
      <c r="D1008" s="9">
        <f t="array" ref="D1008">XLOOKUP($A1008, Quotations!$E$2:E1756, Quotations!$F$2:F1756, "")
</f>
        <v>115.32</v>
      </c>
      <c r="E1008" s="9">
        <f t="array" ref="E1008">XLOOKUP($A1008, Quotations!$G$2:G1756, Quotations!$H$2:H1756, "")
</f>
        <v>117.11</v>
      </c>
      <c r="F1008" s="9">
        <f t="array" ref="F1008">XLOOKUP($A1008, Quotations!$I$2:I1756, Quotations!$J$2:J1756, "")
</f>
        <v>130.28</v>
      </c>
      <c r="G1008" s="9">
        <f t="array" ref="G1008">XLOOKUP($A1008, Quotations!$K$2:K1756, Quotations!$L$2:L1756, "")
</f>
        <v>1447.6658</v>
      </c>
    </row>
    <row r="1009">
      <c r="A1009" s="8">
        <v>43104.0</v>
      </c>
      <c r="B1009" s="9">
        <f t="array" ref="B1009">XLOOKUP($A1009, Quotations!$A$2:A1756, Quotations!$B$2:B1756, "")
</f>
        <v>118.34</v>
      </c>
      <c r="C1009" s="9">
        <f t="array" ref="C1009">XLOOKUP($A1009, Quotations!$C$2:C1756, Quotations!$D$2:D1756, "")</f>
        <v>24.12</v>
      </c>
      <c r="D1009" s="9">
        <f t="array" ref="D1009">XLOOKUP($A1009, Quotations!$E$2:E1756, Quotations!$F$2:F1756, "")
</f>
        <v>115.3</v>
      </c>
      <c r="E1009" s="9">
        <f t="array" ref="E1009">XLOOKUP($A1009, Quotations!$G$2:G1756, Quotations!$H$2:H1756, "")
</f>
        <v>117.58</v>
      </c>
      <c r="F1009" s="9">
        <f t="array" ref="F1009">XLOOKUP($A1009, Quotations!$I$2:I1756, Quotations!$J$2:J1756, "")
</f>
        <v>130.66</v>
      </c>
      <c r="G1009" s="9">
        <f t="array" ref="G1009">XLOOKUP($A1009, Quotations!$K$2:K1756, Quotations!$L$2:L1756, "")
</f>
        <v>1456.0037</v>
      </c>
    </row>
    <row r="1010">
      <c r="A1010" s="8">
        <v>43105.0</v>
      </c>
      <c r="B1010" s="9">
        <f t="array" ref="B1010">XLOOKUP($A1010, Quotations!$A$2:A1756, Quotations!$B$2:B1756, "")
</f>
        <v>118.63</v>
      </c>
      <c r="C1010" s="9">
        <f t="array" ref="C1010">XLOOKUP($A1010, Quotations!$C$2:C1756, Quotations!$D$2:D1756, "")</f>
        <v>24.13</v>
      </c>
      <c r="D1010" s="9">
        <f t="array" ref="D1010">XLOOKUP($A1010, Quotations!$E$2:E1756, Quotations!$F$2:F1756, "")
</f>
        <v>115.32</v>
      </c>
      <c r="E1010" s="9">
        <f t="array" ref="E1010">XLOOKUP($A1010, Quotations!$G$2:G1756, Quotations!$H$2:H1756, "")
</f>
        <v>118.25</v>
      </c>
      <c r="F1010" s="9">
        <f t="array" ref="F1010">XLOOKUP($A1010, Quotations!$I$2:I1756, Quotations!$J$2:J1756, "")
</f>
        <v>131.07</v>
      </c>
      <c r="G1010" s="9">
        <f t="array" ref="G1010">XLOOKUP($A1010, Quotations!$K$2:K1756, Quotations!$L$2:L1756, "")
</f>
        <v>1460.2819</v>
      </c>
    </row>
    <row r="1011">
      <c r="A1011" s="8">
        <v>43108.0</v>
      </c>
      <c r="B1011" s="9">
        <f t="array" ref="B1011">XLOOKUP($A1011, Quotations!$A$2:A1756, Quotations!$B$2:B1756, "")
</f>
        <v>118.64</v>
      </c>
      <c r="C1011" s="9">
        <f t="array" ref="C1011">XLOOKUP($A1011, Quotations!$C$2:C1756, Quotations!$D$2:D1756, "")</f>
        <v>24.14</v>
      </c>
      <c r="D1011" s="9">
        <f t="array" ref="D1011">XLOOKUP($A1011, Quotations!$E$2:E1756, Quotations!$F$2:F1756, "")
</f>
        <v>115.35</v>
      </c>
      <c r="E1011" s="9">
        <f t="array" ref="E1011">XLOOKUP($A1011, Quotations!$G$2:G1756, Quotations!$H$2:H1756, "")
</f>
        <v>118.75</v>
      </c>
      <c r="F1011" s="9">
        <f t="array" ref="F1011">XLOOKUP($A1011, Quotations!$I$2:I1756, Quotations!$J$2:J1756, "")
</f>
        <v>131.51</v>
      </c>
      <c r="G1011" s="9">
        <f t="array" ref="G1011">XLOOKUP($A1011, Quotations!$K$2:K1756, Quotations!$L$2:L1756, "")
</f>
        <v>1463.6907</v>
      </c>
    </row>
    <row r="1012">
      <c r="A1012" s="8">
        <v>43109.0</v>
      </c>
      <c r="B1012" s="9">
        <f t="array" ref="B1012">XLOOKUP($A1012, Quotations!$A$2:A1756, Quotations!$B$2:B1756, "")
</f>
        <v>118.74</v>
      </c>
      <c r="C1012" s="9">
        <f t="array" ref="C1012">XLOOKUP($A1012, Quotations!$C$2:C1756, Quotations!$D$2:D1756, "")</f>
        <v>24.15</v>
      </c>
      <c r="D1012" s="9">
        <f t="array" ref="D1012">XLOOKUP($A1012, Quotations!$E$2:E1756, Quotations!$F$2:F1756, "")
</f>
        <v>115.36</v>
      </c>
      <c r="E1012" s="9">
        <f t="array" ref="E1012">XLOOKUP($A1012, Quotations!$G$2:G1756, Quotations!$H$2:H1756, "")
</f>
        <v>118.98</v>
      </c>
      <c r="F1012" s="9">
        <f t="array" ref="F1012">XLOOKUP($A1012, Quotations!$I$2:I1756, Quotations!$J$2:J1756, "")
</f>
        <v>131.66</v>
      </c>
      <c r="G1012" s="9">
        <f t="array" ref="G1012">XLOOKUP($A1012, Quotations!$K$2:K1756, Quotations!$L$2:L1756, "")
</f>
        <v>1466.276</v>
      </c>
    </row>
    <row r="1013">
      <c r="A1013" s="8">
        <v>43110.0</v>
      </c>
      <c r="B1013" s="9">
        <f t="array" ref="B1013">XLOOKUP($A1013, Quotations!$A$2:A1756, Quotations!$B$2:B1756, "")
</f>
        <v>118.48</v>
      </c>
      <c r="C1013" s="9">
        <f t="array" ref="C1013">XLOOKUP($A1013, Quotations!$C$2:C1756, Quotations!$D$2:D1756, "")</f>
        <v>24.14</v>
      </c>
      <c r="D1013" s="9">
        <f t="array" ref="D1013">XLOOKUP($A1013, Quotations!$E$2:E1756, Quotations!$F$2:F1756, "")
</f>
        <v>115.35</v>
      </c>
      <c r="E1013" s="9">
        <f t="array" ref="E1013">XLOOKUP($A1013, Quotations!$G$2:G1756, Quotations!$H$2:H1756, "")
</f>
        <v>118.95</v>
      </c>
      <c r="F1013" s="9">
        <f t="array" ref="F1013">XLOOKUP($A1013, Quotations!$I$2:I1756, Quotations!$J$2:J1756, "")
</f>
        <v>131.91</v>
      </c>
      <c r="G1013" s="9">
        <f t="array" ref="G1013">XLOOKUP($A1013, Quotations!$K$2:K1756, Quotations!$L$2:L1756, "")
</f>
        <v>1466.0641</v>
      </c>
    </row>
    <row r="1014">
      <c r="A1014" s="8">
        <v>43111.0</v>
      </c>
      <c r="B1014" s="9">
        <f t="array" ref="B1014">XLOOKUP($A1014, Quotations!$A$2:A1756, Quotations!$B$2:B1756, "")
</f>
        <v>118.31</v>
      </c>
      <c r="C1014" s="9">
        <f t="array" ref="C1014">XLOOKUP($A1014, Quotations!$C$2:C1756, Quotations!$D$2:D1756, "")</f>
        <v>24.13</v>
      </c>
      <c r="D1014" s="9">
        <f t="array" ref="D1014">XLOOKUP($A1014, Quotations!$E$2:E1756, Quotations!$F$2:F1756, "")
</f>
        <v>115.33</v>
      </c>
      <c r="E1014" s="9">
        <f t="array" ref="E1014">XLOOKUP($A1014, Quotations!$G$2:G1756, Quotations!$H$2:H1756, "")
</f>
        <v>118.56</v>
      </c>
      <c r="F1014" s="9">
        <f t="array" ref="F1014">XLOOKUP($A1014, Quotations!$I$2:I1756, Quotations!$J$2:J1756, "")
</f>
        <v>131.7</v>
      </c>
      <c r="G1014" s="9">
        <f t="array" ref="G1014">XLOOKUP($A1014, Quotations!$K$2:K1756, Quotations!$L$2:L1756, "")
</f>
        <v>1464.2045</v>
      </c>
    </row>
    <row r="1015">
      <c r="A1015" s="8">
        <v>43112.0</v>
      </c>
      <c r="B1015" s="9">
        <f t="array" ref="B1015">XLOOKUP($A1015, Quotations!$A$2:A1756, Quotations!$B$2:B1756, "")
</f>
        <v>118.4</v>
      </c>
      <c r="C1015" s="9">
        <f t="array" ref="C1015">XLOOKUP($A1015, Quotations!$C$2:C1756, Quotations!$D$2:D1756, "")</f>
        <v>24.11</v>
      </c>
      <c r="D1015" s="9">
        <f t="array" ref="D1015">XLOOKUP($A1015, Quotations!$E$2:E1756, Quotations!$F$2:F1756, "")
</f>
        <v>115.34</v>
      </c>
      <c r="E1015" s="9">
        <f t="array" ref="E1015">XLOOKUP($A1015, Quotations!$G$2:G1756, Quotations!$H$2:H1756, "")
</f>
        <v>118.25</v>
      </c>
      <c r="F1015" s="9">
        <f t="array" ref="F1015">XLOOKUP($A1015, Quotations!$I$2:I1756, Quotations!$J$2:J1756, "")
</f>
        <v>131.64</v>
      </c>
      <c r="G1015" s="9">
        <f t="array" ref="G1015">XLOOKUP($A1015, Quotations!$K$2:K1756, Quotations!$L$2:L1756, "")
</f>
        <v>1467.0609</v>
      </c>
    </row>
    <row r="1016">
      <c r="A1016" s="8">
        <v>43115.0</v>
      </c>
      <c r="B1016" s="9">
        <f t="array" ref="B1016">XLOOKUP($A1016, Quotations!$A$2:A1756, Quotations!$B$2:B1756, "")
</f>
        <v>118.31</v>
      </c>
      <c r="C1016" s="9">
        <f t="array" ref="C1016">XLOOKUP($A1016, Quotations!$C$2:C1756, Quotations!$D$2:D1756, "")</f>
        <v>24.09</v>
      </c>
      <c r="D1016" s="9">
        <f t="array" ref="D1016">XLOOKUP($A1016, Quotations!$E$2:E1756, Quotations!$F$2:F1756, "")
</f>
        <v>115.38</v>
      </c>
      <c r="E1016" s="9">
        <f t="array" ref="E1016">XLOOKUP($A1016, Quotations!$G$2:G1756, Quotations!$H$2:H1756, "")
</f>
        <v>118.35</v>
      </c>
      <c r="F1016" s="9">
        <f t="array" ref="F1016">XLOOKUP($A1016, Quotations!$I$2:I1756, Quotations!$J$2:J1756, "")
</f>
        <v>131.97</v>
      </c>
      <c r="G1016" s="9">
        <f t="array" ref="G1016">XLOOKUP($A1016, Quotations!$K$2:K1756, Quotations!$L$2:L1756, "")
</f>
        <v>1467.9044</v>
      </c>
    </row>
    <row r="1017">
      <c r="A1017" s="8">
        <v>43116.0</v>
      </c>
      <c r="B1017" s="9">
        <f t="array" ref="B1017">XLOOKUP($A1017, Quotations!$A$2:A1756, Quotations!$B$2:B1756, "")
</f>
        <v>118.43</v>
      </c>
      <c r="C1017" s="9">
        <f t="array" ref="C1017">XLOOKUP($A1017, Quotations!$C$2:C1756, Quotations!$D$2:D1756, "")</f>
        <v>24.1</v>
      </c>
      <c r="D1017" s="9">
        <f t="array" ref="D1017">XLOOKUP($A1017, Quotations!$E$2:E1756, Quotations!$F$2:F1756, "")
</f>
        <v>115.38</v>
      </c>
      <c r="E1017" s="9">
        <f t="array" ref="E1017">XLOOKUP($A1017, Quotations!$G$2:G1756, Quotations!$H$2:H1756, "")
</f>
        <v>118.39</v>
      </c>
      <c r="F1017" s="9">
        <f t="array" ref="F1017">XLOOKUP($A1017, Quotations!$I$2:I1756, Quotations!$J$2:J1756, "")
</f>
        <v>131.85</v>
      </c>
      <c r="G1017" s="9">
        <f t="array" ref="G1017">XLOOKUP($A1017, Quotations!$K$2:K1756, Quotations!$L$2:L1756, "")
</f>
        <v>1469.5487</v>
      </c>
    </row>
    <row r="1018">
      <c r="A1018" s="8">
        <v>43117.0</v>
      </c>
      <c r="B1018" s="9">
        <f t="array" ref="B1018">XLOOKUP($A1018, Quotations!$A$2:A1756, Quotations!$B$2:B1756, "")
</f>
        <v>118.38</v>
      </c>
      <c r="C1018" s="9">
        <f t="array" ref="C1018">XLOOKUP($A1018, Quotations!$C$2:C1756, Quotations!$D$2:D1756, "")</f>
        <v>24.1</v>
      </c>
      <c r="D1018" s="9">
        <f t="array" ref="D1018">XLOOKUP($A1018, Quotations!$E$2:E1756, Quotations!$F$2:F1756, "")
</f>
        <v>115.39</v>
      </c>
      <c r="E1018" s="9">
        <f t="array" ref="E1018">XLOOKUP($A1018, Quotations!$G$2:G1756, Quotations!$H$2:H1756, "")
</f>
        <v>118.47</v>
      </c>
      <c r="F1018" s="9">
        <f t="array" ref="F1018">XLOOKUP($A1018, Quotations!$I$2:I1756, Quotations!$J$2:J1756, "")
</f>
        <v>132.05</v>
      </c>
      <c r="G1018" s="9">
        <f t="array" ref="G1018">XLOOKUP($A1018, Quotations!$K$2:K1756, Quotations!$L$2:L1756, "")
</f>
        <v>1467.2858</v>
      </c>
    </row>
    <row r="1019">
      <c r="A1019" s="8">
        <v>43118.0</v>
      </c>
      <c r="B1019" s="9">
        <f t="array" ref="B1019">XLOOKUP($A1019, Quotations!$A$2:A1756, Quotations!$B$2:B1756, "")
</f>
        <v>118.38</v>
      </c>
      <c r="C1019" s="9">
        <f t="array" ref="C1019">XLOOKUP($A1019, Quotations!$C$2:C1756, Quotations!$D$2:D1756, "")</f>
        <v>24.11</v>
      </c>
      <c r="D1019" s="9">
        <f t="array" ref="D1019">XLOOKUP($A1019, Quotations!$E$2:E1756, Quotations!$F$2:F1756, "")
</f>
        <v>115.38</v>
      </c>
      <c r="E1019" s="9">
        <f t="array" ref="E1019">XLOOKUP($A1019, Quotations!$G$2:G1756, Quotations!$H$2:H1756, "")
</f>
        <v>118.27</v>
      </c>
      <c r="F1019" s="9">
        <f t="array" ref="F1019">XLOOKUP($A1019, Quotations!$I$2:I1756, Quotations!$J$2:J1756, "")
</f>
        <v>132.19</v>
      </c>
      <c r="G1019" s="9">
        <f t="array" ref="G1019">XLOOKUP($A1019, Quotations!$K$2:K1756, Quotations!$L$2:L1756, "")
</f>
        <v>1466.9772</v>
      </c>
    </row>
    <row r="1020">
      <c r="A1020" s="8">
        <v>43119.0</v>
      </c>
      <c r="B1020" s="9">
        <f t="array" ref="B1020">XLOOKUP($A1020, Quotations!$A$2:A1756, Quotations!$B$2:B1756, "")
</f>
        <v>118.43</v>
      </c>
      <c r="C1020" s="9">
        <f t="array" ref="C1020">XLOOKUP($A1020, Quotations!$C$2:C1756, Quotations!$D$2:D1756, "")</f>
        <v>24.11</v>
      </c>
      <c r="D1020" s="9">
        <f t="array" ref="D1020">XLOOKUP($A1020, Quotations!$E$2:E1756, Quotations!$F$2:F1756, "")
</f>
        <v>115.38</v>
      </c>
      <c r="E1020" s="9">
        <f t="array" ref="E1020">XLOOKUP($A1020, Quotations!$G$2:G1756, Quotations!$H$2:H1756, "")
</f>
        <v>118.43</v>
      </c>
      <c r="F1020" s="9">
        <f t="array" ref="F1020">XLOOKUP($A1020, Quotations!$I$2:I1756, Quotations!$J$2:J1756, "")
</f>
        <v>132.17</v>
      </c>
      <c r="G1020" s="9">
        <f t="array" ref="G1020">XLOOKUP($A1020, Quotations!$K$2:K1756, Quotations!$L$2:L1756, "")
</f>
        <v>1467.9423</v>
      </c>
    </row>
    <row r="1021">
      <c r="A1021" s="8">
        <v>43122.0</v>
      </c>
      <c r="B1021" s="9">
        <f t="array" ref="B1021">XLOOKUP($A1021, Quotations!$A$2:A1756, Quotations!$B$2:B1756, "")
</f>
        <v>118.37</v>
      </c>
      <c r="C1021" s="9">
        <f t="array" ref="C1021">XLOOKUP($A1021, Quotations!$C$2:C1756, Quotations!$D$2:D1756, "")</f>
        <v>24.11</v>
      </c>
      <c r="D1021" s="9">
        <f t="array" ref="D1021">XLOOKUP($A1021, Quotations!$E$2:E1756, Quotations!$F$2:F1756, "")
</f>
        <v>115.39</v>
      </c>
      <c r="E1021" s="9">
        <f t="array" ref="E1021">XLOOKUP($A1021, Quotations!$G$2:G1756, Quotations!$H$2:H1756, "")
</f>
        <v>118.94</v>
      </c>
      <c r="F1021" s="9">
        <f t="array" ref="F1021">XLOOKUP($A1021, Quotations!$I$2:I1756, Quotations!$J$2:J1756, "")
</f>
        <v>132.35</v>
      </c>
      <c r="G1021" s="9">
        <f t="array" ref="G1021">XLOOKUP($A1021, Quotations!$K$2:K1756, Quotations!$L$2:L1756, "")
</f>
        <v>1469.7258</v>
      </c>
    </row>
    <row r="1022">
      <c r="A1022" s="8">
        <v>43123.0</v>
      </c>
      <c r="B1022" s="9">
        <f t="array" ref="B1022">XLOOKUP($A1022, Quotations!$A$2:A1756, Quotations!$B$2:B1756, "")
</f>
        <v>118.47</v>
      </c>
      <c r="C1022" s="9">
        <f t="array" ref="C1022">XLOOKUP($A1022, Quotations!$C$2:C1756, Quotations!$D$2:D1756, "")</f>
        <v>24.1</v>
      </c>
      <c r="D1022" s="9">
        <f t="array" ref="D1022">XLOOKUP($A1022, Quotations!$E$2:E1756, Quotations!$F$2:F1756, "")
</f>
        <v>115.39</v>
      </c>
      <c r="E1022" s="9">
        <f t="array" ref="E1022">XLOOKUP($A1022, Quotations!$G$2:G1756, Quotations!$H$2:H1756, "")
</f>
        <v>119.06</v>
      </c>
      <c r="F1022" s="9">
        <f t="array" ref="F1022">XLOOKUP($A1022, Quotations!$I$2:I1756, Quotations!$J$2:J1756, "")
</f>
        <v>132.48</v>
      </c>
      <c r="G1022" s="9">
        <f t="array" ref="G1022">XLOOKUP($A1022, Quotations!$K$2:K1756, Quotations!$L$2:L1756, "")
</f>
        <v>1473.7509</v>
      </c>
    </row>
    <row r="1023">
      <c r="A1023" s="8">
        <v>43124.0</v>
      </c>
      <c r="B1023" s="9">
        <f t="array" ref="B1023">XLOOKUP($A1023, Quotations!$A$2:A1756, Quotations!$B$2:B1756, "")
</f>
        <v>118.23</v>
      </c>
      <c r="C1023" s="9">
        <f t="array" ref="C1023">XLOOKUP($A1023, Quotations!$C$2:C1756, Quotations!$D$2:D1756, "")</f>
        <v>24.09</v>
      </c>
      <c r="D1023" s="9">
        <f t="array" ref="D1023">XLOOKUP($A1023, Quotations!$E$2:E1756, Quotations!$F$2:F1756, "")
</f>
        <v>115.39</v>
      </c>
      <c r="E1023" s="9">
        <f t="array" ref="E1023">XLOOKUP($A1023, Quotations!$G$2:G1756, Quotations!$H$2:H1756, "")
</f>
        <v>119.38</v>
      </c>
      <c r="F1023" s="9">
        <f t="array" ref="F1023">XLOOKUP($A1023, Quotations!$I$2:I1756, Quotations!$J$2:J1756, "")
</f>
        <v>132.58</v>
      </c>
      <c r="G1023" s="9">
        <f t="array" ref="G1023">XLOOKUP($A1023, Quotations!$K$2:K1756, Quotations!$L$2:L1756, "")
</f>
        <v>1475.314</v>
      </c>
    </row>
    <row r="1024">
      <c r="A1024" s="8">
        <v>43125.0</v>
      </c>
      <c r="B1024" s="9">
        <f t="array" ref="B1024">XLOOKUP($A1024, Quotations!$A$2:A1756, Quotations!$B$2:B1756, "")
</f>
        <v>118.09</v>
      </c>
      <c r="C1024" s="9">
        <f t="array" ref="C1024">XLOOKUP($A1024, Quotations!$C$2:C1756, Quotations!$D$2:D1756, "")</f>
        <v>24.07</v>
      </c>
      <c r="D1024" s="9">
        <f t="array" ref="D1024">XLOOKUP($A1024, Quotations!$E$2:E1756, Quotations!$F$2:F1756, "")
</f>
        <v>115.38</v>
      </c>
      <c r="E1024" s="9">
        <f t="array" ref="E1024">XLOOKUP($A1024, Quotations!$G$2:G1756, Quotations!$H$2:H1756, "")
</f>
        <v>118.96</v>
      </c>
      <c r="F1024" s="9">
        <f t="array" ref="F1024">XLOOKUP($A1024, Quotations!$I$2:I1756, Quotations!$J$2:J1756, "")
</f>
        <v>132.43</v>
      </c>
      <c r="G1024" s="9">
        <f t="array" ref="G1024">XLOOKUP($A1024, Quotations!$K$2:K1756, Quotations!$L$2:L1756, "")
</f>
        <v>1469.656</v>
      </c>
    </row>
    <row r="1025">
      <c r="A1025" s="8">
        <v>43126.0</v>
      </c>
      <c r="B1025" s="9">
        <f t="array" ref="B1025">XLOOKUP($A1025, Quotations!$A$2:A1756, Quotations!$B$2:B1756, "")
</f>
        <v>118.16</v>
      </c>
      <c r="C1025" s="9">
        <f t="array" ref="C1025">XLOOKUP($A1025, Quotations!$C$2:C1756, Quotations!$D$2:D1756, "")</f>
        <v>24.08</v>
      </c>
      <c r="D1025" s="9">
        <f t="array" ref="D1025">XLOOKUP($A1025, Quotations!$E$2:E1756, Quotations!$F$2:F1756, "")
</f>
        <v>115.4</v>
      </c>
      <c r="E1025" s="9">
        <f t="array" ref="E1025">XLOOKUP($A1025, Quotations!$G$2:G1756, Quotations!$H$2:H1756, "")
</f>
        <v>118.45</v>
      </c>
      <c r="F1025" s="9">
        <f t="array" ref="F1025">XLOOKUP($A1025, Quotations!$I$2:I1756, Quotations!$J$2:J1756, "")
</f>
        <v>132.19</v>
      </c>
      <c r="G1025" s="9">
        <f t="array" ref="G1025">XLOOKUP($A1025, Quotations!$K$2:K1756, Quotations!$L$2:L1756, "")
</f>
        <v>1468.683</v>
      </c>
    </row>
    <row r="1026">
      <c r="A1026" s="8">
        <v>43129.0</v>
      </c>
      <c r="B1026" s="9">
        <f t="array" ref="B1026">XLOOKUP($A1026, Quotations!$A$2:A1756, Quotations!$B$2:B1756, "")
</f>
        <v>118.06</v>
      </c>
      <c r="C1026" s="9">
        <f t="array" ref="C1026">XLOOKUP($A1026, Quotations!$C$2:C1756, Quotations!$D$2:D1756, "")</f>
        <v>24.09</v>
      </c>
      <c r="D1026" s="9">
        <f t="array" ref="D1026">XLOOKUP($A1026, Quotations!$E$2:E1756, Quotations!$F$2:F1756, "")
</f>
        <v>115.43</v>
      </c>
      <c r="E1026" s="9">
        <f t="array" ref="E1026">XLOOKUP($A1026, Quotations!$G$2:G1756, Quotations!$H$2:H1756, "")
</f>
        <v>118.48</v>
      </c>
      <c r="F1026" s="9">
        <f t="array" ref="F1026">XLOOKUP($A1026, Quotations!$I$2:I1756, Quotations!$J$2:J1756, "")
</f>
        <v>132.57</v>
      </c>
      <c r="G1026" s="9">
        <f t="array" ref="G1026">XLOOKUP($A1026, Quotations!$K$2:K1756, Quotations!$L$2:L1756, "")
</f>
        <v>1473.658</v>
      </c>
    </row>
    <row r="1027">
      <c r="A1027" s="8">
        <v>43130.0</v>
      </c>
      <c r="B1027" s="9">
        <f t="array" ref="B1027">XLOOKUP($A1027, Quotations!$A$2:A1756, Quotations!$B$2:B1756, "")
</f>
        <v>117.84</v>
      </c>
      <c r="C1027" s="9">
        <f t="array" ref="C1027">XLOOKUP($A1027, Quotations!$C$2:C1756, Quotations!$D$2:D1756, "")</f>
        <v>24.07</v>
      </c>
      <c r="D1027" s="9">
        <f t="array" ref="D1027">XLOOKUP($A1027, Quotations!$E$2:E1756, Quotations!$F$2:F1756, "")
</f>
        <v>115.43</v>
      </c>
      <c r="E1027" s="9">
        <f t="array" ref="E1027">XLOOKUP($A1027, Quotations!$G$2:G1756, Quotations!$H$2:H1756, "")
</f>
        <v>118.26</v>
      </c>
      <c r="F1027" s="9">
        <f t="array" ref="F1027">XLOOKUP($A1027, Quotations!$I$2:I1756, Quotations!$J$2:J1756, "")
</f>
        <v>132.49</v>
      </c>
      <c r="G1027" s="9">
        <f t="array" ref="G1027">XLOOKUP($A1027, Quotations!$K$2:K1756, Quotations!$L$2:L1756, "")
</f>
        <v>1468.201</v>
      </c>
    </row>
    <row r="1028">
      <c r="A1028" s="8">
        <v>43131.0</v>
      </c>
      <c r="B1028" s="9">
        <f t="array" ref="B1028">XLOOKUP($A1028, Quotations!$A$2:A1756, Quotations!$B$2:B1756, "")
</f>
        <v>117.84</v>
      </c>
      <c r="C1028" s="9">
        <f t="array" ref="C1028">XLOOKUP($A1028, Quotations!$C$2:C1756, Quotations!$D$2:D1756, "")</f>
        <v>24.07</v>
      </c>
      <c r="D1028" s="9">
        <f t="array" ref="D1028">XLOOKUP($A1028, Quotations!$E$2:E1756, Quotations!$F$2:F1756, "")
</f>
        <v>115.42</v>
      </c>
      <c r="E1028" s="9">
        <f t="array" ref="E1028">XLOOKUP($A1028, Quotations!$G$2:G1756, Quotations!$H$2:H1756, "")
</f>
        <v>117.83</v>
      </c>
      <c r="F1028" s="9">
        <f t="array" ref="F1028">XLOOKUP($A1028, Quotations!$I$2:I1756, Quotations!$J$2:J1756, "")
</f>
        <v>132.18</v>
      </c>
      <c r="G1028" s="9">
        <f t="array" ref="G1028">XLOOKUP($A1028, Quotations!$K$2:K1756, Quotations!$L$2:L1756, "")
</f>
        <v>1461.267</v>
      </c>
    </row>
    <row r="1029">
      <c r="A1029" s="8">
        <v>43132.0</v>
      </c>
      <c r="B1029" s="9">
        <f t="array" ref="B1029">XLOOKUP($A1029, Quotations!$A$2:A1756, Quotations!$B$2:B1756, "")
</f>
        <v>117.65</v>
      </c>
      <c r="C1029" s="9">
        <f t="array" ref="C1029">XLOOKUP($A1029, Quotations!$C$2:C1756, Quotations!$D$2:D1756, "")</f>
        <v>24.07</v>
      </c>
      <c r="D1029" s="9">
        <f t="array" ref="D1029">XLOOKUP($A1029, Quotations!$E$2:E1756, Quotations!$F$2:F1756, "")
</f>
        <v>115.42</v>
      </c>
      <c r="E1029" s="9">
        <f t="array" ref="E1029">XLOOKUP($A1029, Quotations!$G$2:G1756, Quotations!$H$2:H1756, "")
</f>
        <v>117.76</v>
      </c>
      <c r="F1029" s="9">
        <f t="array" ref="F1029">XLOOKUP($A1029, Quotations!$I$2:I1756, Quotations!$J$2:J1756, "")
</f>
        <v>132.23</v>
      </c>
      <c r="G1029" s="9">
        <f t="array" ref="G1029">XLOOKUP($A1029, Quotations!$K$2:K1756, Quotations!$L$2:L1756, "")
</f>
        <v>1461.43</v>
      </c>
    </row>
    <row r="1030">
      <c r="A1030" s="8">
        <v>43133.0</v>
      </c>
      <c r="B1030" s="9">
        <f t="array" ref="B1030">XLOOKUP($A1030, Quotations!$A$2:A1756, Quotations!$B$2:B1756, "")
</f>
        <v>117.18</v>
      </c>
      <c r="C1030" s="9">
        <f t="array" ref="C1030">XLOOKUP($A1030, Quotations!$C$2:C1756, Quotations!$D$2:D1756, "")</f>
        <v>24.06</v>
      </c>
      <c r="D1030" s="9">
        <f t="array" ref="D1030">XLOOKUP($A1030, Quotations!$E$2:E1756, Quotations!$F$2:F1756, "")
</f>
        <v>115.44</v>
      </c>
      <c r="E1030" s="9">
        <f t="array" ref="E1030">XLOOKUP($A1030, Quotations!$G$2:G1756, Quotations!$H$2:H1756, "")
</f>
        <v>117.14</v>
      </c>
      <c r="F1030" s="9">
        <f t="array" ref="F1030">XLOOKUP($A1030, Quotations!$I$2:I1756, Quotations!$J$2:J1756, "")
</f>
        <v>132.22</v>
      </c>
      <c r="G1030" s="9">
        <f t="array" ref="G1030">XLOOKUP($A1030, Quotations!$K$2:K1756, Quotations!$L$2:L1756, "")
</f>
        <v>1459.803</v>
      </c>
    </row>
    <row r="1031">
      <c r="A1031" s="8">
        <v>43136.0</v>
      </c>
      <c r="B1031" s="9">
        <f t="array" ref="B1031">XLOOKUP($A1031, Quotations!$A$2:A1756, Quotations!$B$2:B1756, "")
</f>
        <v>116.84</v>
      </c>
      <c r="C1031" s="9">
        <f t="array" ref="C1031">XLOOKUP($A1031, Quotations!$C$2:C1756, Quotations!$D$2:D1756, "")</f>
        <v>24.06</v>
      </c>
      <c r="D1031" s="9">
        <f t="array" ref="D1031">XLOOKUP($A1031, Quotations!$E$2:E1756, Quotations!$F$2:F1756, "")
</f>
        <v>115.43</v>
      </c>
      <c r="E1031" s="9">
        <f t="array" ref="E1031">XLOOKUP($A1031, Quotations!$G$2:G1756, Quotations!$H$2:H1756, "")
</f>
        <v>116.32</v>
      </c>
      <c r="F1031" s="9">
        <f t="array" ref="F1031">XLOOKUP($A1031, Quotations!$I$2:I1756, Quotations!$J$2:J1756, "")
</f>
        <v>131.96</v>
      </c>
      <c r="G1031" s="9">
        <f t="array" ref="G1031">XLOOKUP($A1031, Quotations!$K$2:K1756, Quotations!$L$2:L1756, "")
</f>
        <v>1448.744</v>
      </c>
    </row>
    <row r="1032">
      <c r="A1032" s="8">
        <v>43137.0</v>
      </c>
      <c r="B1032" s="9">
        <f t="array" ref="B1032">XLOOKUP($A1032, Quotations!$A$2:A1756, Quotations!$B$2:B1756, "")
</f>
        <v>116.44</v>
      </c>
      <c r="C1032" s="9">
        <f t="array" ref="C1032">XLOOKUP($A1032, Quotations!$C$2:C1756, Quotations!$D$2:D1756, "")</f>
        <v>24.07</v>
      </c>
      <c r="D1032" s="9">
        <f t="array" ref="D1032">XLOOKUP($A1032, Quotations!$E$2:E1756, Quotations!$F$2:F1756, "")
</f>
        <v>115.39</v>
      </c>
      <c r="E1032" s="9">
        <f t="array" ref="E1032">XLOOKUP($A1032, Quotations!$G$2:G1756, Quotations!$H$2:H1756, "")
</f>
        <v>115.95</v>
      </c>
      <c r="F1032" s="9">
        <f t="array" ref="F1032">XLOOKUP($A1032, Quotations!$I$2:I1756, Quotations!$J$2:J1756, "")
</f>
        <v>131.73</v>
      </c>
      <c r="G1032" s="9">
        <f t="array" ref="G1032">XLOOKUP($A1032, Quotations!$K$2:K1756, Quotations!$L$2:L1756, "")
</f>
        <v>1429.648</v>
      </c>
    </row>
    <row r="1033">
      <c r="A1033" s="8">
        <v>43138.0</v>
      </c>
      <c r="B1033" s="9">
        <f t="array" ref="B1033">XLOOKUP($A1033, Quotations!$A$2:A1756, Quotations!$B$2:B1756, "")
</f>
        <v>116.85</v>
      </c>
      <c r="C1033" s="9">
        <f t="array" ref="C1033">XLOOKUP($A1033, Quotations!$C$2:C1756, Quotations!$D$2:D1756, "")</f>
        <v>24.07</v>
      </c>
      <c r="D1033" s="9">
        <f t="array" ref="D1033">XLOOKUP($A1033, Quotations!$E$2:E1756, Quotations!$F$2:F1756, "")
</f>
        <v>115.41</v>
      </c>
      <c r="E1033" s="9">
        <f t="array" ref="E1033">XLOOKUP($A1033, Quotations!$G$2:G1756, Quotations!$H$2:H1756, "")
</f>
        <v>114.94</v>
      </c>
      <c r="F1033" s="9">
        <f t="array" ref="F1033">XLOOKUP($A1033, Quotations!$I$2:I1756, Quotations!$J$2:J1756, "")
</f>
        <v>131.63</v>
      </c>
      <c r="G1033" s="9">
        <f t="array" ref="G1033">XLOOKUP($A1033, Quotations!$K$2:K1756, Quotations!$L$2:L1756, "")
</f>
        <v>1425.759</v>
      </c>
    </row>
    <row r="1034">
      <c r="A1034" s="8">
        <v>43139.0</v>
      </c>
      <c r="B1034" s="9">
        <f t="array" ref="B1034">XLOOKUP($A1034, Quotations!$A$2:A1756, Quotations!$B$2:B1756, "")
</f>
        <v>116.41</v>
      </c>
      <c r="C1034" s="9">
        <f t="array" ref="C1034">XLOOKUP($A1034, Quotations!$C$2:C1756, Quotations!$D$2:D1756, "")</f>
        <v>24.06</v>
      </c>
      <c r="D1034" s="9">
        <f t="array" ref="D1034">XLOOKUP($A1034, Quotations!$E$2:E1756, Quotations!$F$2:F1756, "")
</f>
        <v>115.39</v>
      </c>
      <c r="E1034" s="9">
        <f t="array" ref="E1034">XLOOKUP($A1034, Quotations!$G$2:G1756, Quotations!$H$2:H1756, "")
</f>
        <v>115.64</v>
      </c>
      <c r="F1034" s="9">
        <f t="array" ref="F1034">XLOOKUP($A1034, Quotations!$I$2:I1756, Quotations!$J$2:J1756, "")
</f>
        <v>131.86</v>
      </c>
      <c r="G1034" s="9">
        <f t="array" ref="G1034">XLOOKUP($A1034, Quotations!$K$2:K1756, Quotations!$L$2:L1756, "")
</f>
        <v>1427.4</v>
      </c>
    </row>
    <row r="1035">
      <c r="A1035" s="8">
        <v>43140.0</v>
      </c>
      <c r="B1035" s="9">
        <f t="array" ref="B1035">XLOOKUP($A1035, Quotations!$A$2:A1756, Quotations!$B$2:B1756, "")
</f>
        <v>116.06</v>
      </c>
      <c r="C1035" s="9">
        <f t="array" ref="C1035">XLOOKUP($A1035, Quotations!$C$2:C1756, Quotations!$D$2:D1756, "")</f>
        <v>24.06</v>
      </c>
      <c r="D1035" s="9">
        <f t="array" ref="D1035">XLOOKUP($A1035, Quotations!$E$2:E1756, Quotations!$F$2:F1756, "")
</f>
        <v>115.36</v>
      </c>
      <c r="E1035" s="9">
        <f t="array" ref="E1035">XLOOKUP($A1035, Quotations!$G$2:G1756, Quotations!$H$2:H1756, "")
</f>
        <v>114.21</v>
      </c>
      <c r="F1035" s="9">
        <f t="array" ref="F1035">XLOOKUP($A1035, Quotations!$I$2:I1756, Quotations!$J$2:J1756, "")
</f>
        <v>131.13</v>
      </c>
      <c r="G1035" s="9">
        <f t="array" ref="G1035">XLOOKUP($A1035, Quotations!$K$2:K1756, Quotations!$L$2:L1756, "")
</f>
        <v>1410.8</v>
      </c>
    </row>
    <row r="1036">
      <c r="A1036" s="8">
        <v>43143.0</v>
      </c>
      <c r="B1036" s="9">
        <f t="array" ref="B1036">XLOOKUP($A1036, Quotations!$A$2:A1756, Quotations!$B$2:B1756, "")
</f>
        <v>116.23</v>
      </c>
      <c r="C1036" s="9">
        <f t="array" ref="C1036">XLOOKUP($A1036, Quotations!$C$2:C1756, Quotations!$D$2:D1756, "")</f>
        <v>24.04</v>
      </c>
      <c r="D1036" s="9">
        <f t="array" ref="D1036">XLOOKUP($A1036, Quotations!$E$2:E1756, Quotations!$F$2:F1756, "")
</f>
        <v>115.38</v>
      </c>
      <c r="E1036" s="9">
        <f t="array" ref="E1036">XLOOKUP($A1036, Quotations!$G$2:G1756, Quotations!$H$2:H1756, "")
</f>
        <v>113.89</v>
      </c>
      <c r="F1036" s="9">
        <f t="array" ref="F1036">XLOOKUP($A1036, Quotations!$I$2:I1756, Quotations!$J$2:J1756, "")
</f>
        <v>130.81</v>
      </c>
      <c r="G1036" s="9">
        <f t="array" ref="G1036">XLOOKUP($A1036, Quotations!$K$2:K1756, Quotations!$L$2:L1756, "")
</f>
        <v>1408.838</v>
      </c>
    </row>
    <row r="1037">
      <c r="A1037" s="8">
        <v>43144.0</v>
      </c>
      <c r="B1037" s="9">
        <f t="array" ref="B1037">XLOOKUP($A1037, Quotations!$A$2:A1756, Quotations!$B$2:B1756, "")
</f>
        <v>116.1</v>
      </c>
      <c r="C1037" s="9">
        <f t="array" ref="C1037">XLOOKUP($A1037, Quotations!$C$2:C1756, Quotations!$D$2:D1756, "")</f>
        <v>24.02</v>
      </c>
      <c r="D1037" s="9">
        <f t="array" ref="D1037">XLOOKUP($A1037, Quotations!$E$2:E1756, Quotations!$F$2:F1756, "")
</f>
        <v>115.37</v>
      </c>
      <c r="E1037" s="9">
        <f t="array" ref="E1037">XLOOKUP($A1037, Quotations!$G$2:G1756, Quotations!$H$2:H1756, "")
</f>
        <v>114.29</v>
      </c>
      <c r="F1037" s="9">
        <f t="array" ref="F1037">XLOOKUP($A1037, Quotations!$I$2:I1756, Quotations!$J$2:J1756, "")
</f>
        <v>131.04</v>
      </c>
      <c r="G1037" s="9">
        <f t="array" ref="G1037">XLOOKUP($A1037, Quotations!$K$2:K1756, Quotations!$L$2:L1756, "")
</f>
        <v>1414.945</v>
      </c>
    </row>
    <row r="1038">
      <c r="A1038" s="8">
        <v>43145.0</v>
      </c>
      <c r="B1038" s="9">
        <f t="array" ref="B1038">XLOOKUP($A1038, Quotations!$A$2:A1756, Quotations!$B$2:B1756, "")
</f>
        <v>116.28</v>
      </c>
      <c r="C1038" s="9">
        <f t="array" ref="C1038">XLOOKUP($A1038, Quotations!$C$2:C1756, Quotations!$D$2:D1756, "")</f>
        <v>24.02</v>
      </c>
      <c r="D1038" s="9">
        <f t="array" ref="D1038">XLOOKUP($A1038, Quotations!$E$2:E1756, Quotations!$F$2:F1756, "")
</f>
        <v>115.37</v>
      </c>
      <c r="E1038" s="9">
        <f t="array" ref="E1038">XLOOKUP($A1038, Quotations!$G$2:G1756, Quotations!$H$2:H1756, "")
</f>
        <v>114.05</v>
      </c>
      <c r="F1038" s="9">
        <f t="array" ref="F1038">XLOOKUP($A1038, Quotations!$I$2:I1756, Quotations!$J$2:J1756, "")
</f>
        <v>130.71</v>
      </c>
      <c r="G1038" s="9">
        <f t="array" ref="G1038">XLOOKUP($A1038, Quotations!$K$2:K1756, Quotations!$L$2:L1756, "")
</f>
        <v>1424.751</v>
      </c>
    </row>
    <row r="1039">
      <c r="A1039" s="8">
        <v>43146.0</v>
      </c>
      <c r="B1039" s="9">
        <f t="array" ref="B1039">XLOOKUP($A1039, Quotations!$A$2:A1756, Quotations!$B$2:B1756, "")
</f>
        <v>116.33</v>
      </c>
      <c r="C1039" s="9">
        <f t="array" ref="C1039">XLOOKUP($A1039, Quotations!$C$2:C1756, Quotations!$D$2:D1756, "")</f>
        <v>24.01</v>
      </c>
      <c r="D1039" s="9">
        <f t="array" ref="D1039">XLOOKUP($A1039, Quotations!$E$2:E1756, Quotations!$F$2:F1756, "")
</f>
        <v>115.37</v>
      </c>
      <c r="E1039" s="9">
        <f t="array" ref="E1039">XLOOKUP($A1039, Quotations!$G$2:G1756, Quotations!$H$2:H1756, "")
</f>
        <v>114.23</v>
      </c>
      <c r="F1039" s="9">
        <f t="array" ref="F1039">XLOOKUP($A1039, Quotations!$I$2:I1756, Quotations!$J$2:J1756, "")
</f>
        <v>131.01</v>
      </c>
      <c r="G1039" s="9">
        <f t="array" ref="G1039">XLOOKUP($A1039, Quotations!$K$2:K1756, Quotations!$L$2:L1756, "")
</f>
        <v>1425.77</v>
      </c>
    </row>
    <row r="1040">
      <c r="A1040" s="8">
        <v>43147.0</v>
      </c>
      <c r="B1040" s="9">
        <f t="array" ref="B1040">XLOOKUP($A1040, Quotations!$A$2:A1756, Quotations!$B$2:B1756, "")
</f>
        <v>116.66</v>
      </c>
      <c r="C1040" s="9">
        <f t="array" ref="C1040">XLOOKUP($A1040, Quotations!$C$2:C1756, Quotations!$D$2:D1756, "")</f>
        <v>24.03</v>
      </c>
      <c r="D1040" s="9">
        <f t="array" ref="D1040">XLOOKUP($A1040, Quotations!$E$2:E1756, Quotations!$F$2:F1756, "")
</f>
        <v>115.36</v>
      </c>
      <c r="E1040" s="9">
        <f t="array" ref="E1040">XLOOKUP($A1040, Quotations!$G$2:G1756, Quotations!$H$2:H1756, "")
</f>
        <v>114.28</v>
      </c>
      <c r="F1040" s="9">
        <f t="array" ref="F1040">XLOOKUP($A1040, Quotations!$I$2:I1756, Quotations!$J$2:J1756, "")
</f>
        <v>131.19</v>
      </c>
      <c r="G1040" s="9">
        <f t="array" ref="G1040">XLOOKUP($A1040, Quotations!$K$2:K1756, Quotations!$L$2:L1756, "")
</f>
        <v>1432.56</v>
      </c>
    </row>
    <row r="1041">
      <c r="A1041" s="8">
        <v>43150.0</v>
      </c>
      <c r="B1041" s="9">
        <f t="array" ref="B1041">XLOOKUP($A1041, Quotations!$A$2:A1756, Quotations!$B$2:B1756, "")
</f>
        <v>116.54</v>
      </c>
      <c r="C1041" s="9">
        <f t="array" ref="C1041">XLOOKUP($A1041, Quotations!$C$2:C1756, Quotations!$D$2:D1756, "")</f>
        <v>24.03</v>
      </c>
      <c r="D1041" s="9">
        <f t="array" ref="D1041">XLOOKUP($A1041, Quotations!$E$2:E1756, Quotations!$F$2:F1756, "")
</f>
        <v>115.4</v>
      </c>
      <c r="E1041" s="9">
        <f t="array" ref="E1041">XLOOKUP($A1041, Quotations!$G$2:G1756, Quotations!$H$2:H1756, "")
</f>
        <v>114.66</v>
      </c>
      <c r="F1041" s="9">
        <f t="array" ref="F1041">XLOOKUP($A1041, Quotations!$I$2:I1756, Quotations!$J$2:J1756, "")
</f>
        <v>131.4</v>
      </c>
      <c r="G1041" s="9">
        <f t="array" ref="G1041">XLOOKUP($A1041, Quotations!$K$2:K1756, Quotations!$L$2:L1756, "")
</f>
        <v>1437</v>
      </c>
    </row>
    <row r="1042">
      <c r="A1042" s="8">
        <v>43151.0</v>
      </c>
      <c r="B1042" s="9">
        <f t="array" ref="B1042">XLOOKUP($A1042, Quotations!$A$2:A1756, Quotations!$B$2:B1756, "")
</f>
        <v>116.77</v>
      </c>
      <c r="C1042" s="9">
        <f t="array" ref="C1042">XLOOKUP($A1042, Quotations!$C$2:C1756, Quotations!$D$2:D1756, "")</f>
        <v>24.03</v>
      </c>
      <c r="D1042" s="9">
        <f t="array" ref="D1042">XLOOKUP($A1042, Quotations!$E$2:E1756, Quotations!$F$2:F1756, "")
</f>
        <v>115.41</v>
      </c>
      <c r="E1042" s="9">
        <f t="array" ref="E1042">XLOOKUP($A1042, Quotations!$G$2:G1756, Quotations!$H$2:H1756, "")
</f>
        <v>114.43</v>
      </c>
      <c r="F1042" s="9">
        <f t="array" ref="F1042">XLOOKUP($A1042, Quotations!$I$2:I1756, Quotations!$J$2:J1756, "")
</f>
        <v>131.38</v>
      </c>
      <c r="G1042" s="9">
        <f t="array" ref="G1042">XLOOKUP($A1042, Quotations!$K$2:K1756, Quotations!$L$2:L1756, "")
</f>
        <v>1435.984</v>
      </c>
    </row>
    <row r="1043">
      <c r="A1043" s="8">
        <v>43152.0</v>
      </c>
      <c r="B1043" s="9">
        <f t="array" ref="B1043">XLOOKUP($A1043, Quotations!$A$2:A1756, Quotations!$B$2:B1756, "")
</f>
        <v>116.77</v>
      </c>
      <c r="C1043" s="9">
        <f t="array" ref="C1043">XLOOKUP($A1043, Quotations!$C$2:C1756, Quotations!$D$2:D1756, "")</f>
        <v>24.04</v>
      </c>
      <c r="D1043" s="9">
        <f t="array" ref="D1043">XLOOKUP($A1043, Quotations!$E$2:E1756, Quotations!$F$2:F1756, "")
</f>
        <v>115.41</v>
      </c>
      <c r="E1043" s="9">
        <f t="array" ref="E1043">XLOOKUP($A1043, Quotations!$G$2:G1756, Quotations!$H$2:H1756, "")
</f>
        <v>114.6</v>
      </c>
      <c r="F1043" s="9">
        <f t="array" ref="F1043">XLOOKUP($A1043, Quotations!$I$2:I1756, Quotations!$J$2:J1756, "")
</f>
        <v>131.34</v>
      </c>
      <c r="G1043" s="9">
        <f t="array" ref="G1043">XLOOKUP($A1043, Quotations!$K$2:K1756, Quotations!$L$2:L1756, "")
</f>
        <v>1439.934</v>
      </c>
    </row>
    <row r="1044">
      <c r="A1044" s="8">
        <v>43153.0</v>
      </c>
      <c r="B1044" s="9">
        <f t="array" ref="B1044">XLOOKUP($A1044, Quotations!$A$2:A1756, Quotations!$B$2:B1756, "")
</f>
        <v>116.72</v>
      </c>
      <c r="C1044" s="9">
        <f t="array" ref="C1044">XLOOKUP($A1044, Quotations!$C$2:C1756, Quotations!$D$2:D1756, "")</f>
        <v>24.03</v>
      </c>
      <c r="D1044" s="9">
        <f t="array" ref="D1044">XLOOKUP($A1044, Quotations!$E$2:E1756, Quotations!$F$2:F1756, "")
</f>
        <v>115.4</v>
      </c>
      <c r="E1044" s="9">
        <f t="array" ref="E1044">XLOOKUP($A1044, Quotations!$G$2:G1756, Quotations!$H$2:H1756, "")
</f>
        <v>114.55</v>
      </c>
      <c r="F1044" s="9">
        <f t="array" ref="F1044">XLOOKUP($A1044, Quotations!$I$2:I1756, Quotations!$J$2:J1756, "")
</f>
        <v>131.45</v>
      </c>
      <c r="G1044" s="9">
        <f t="array" ref="G1044">XLOOKUP($A1044, Quotations!$K$2:K1756, Quotations!$L$2:L1756, "")
</f>
        <v>1438.423</v>
      </c>
    </row>
    <row r="1045">
      <c r="A1045" s="8">
        <v>43154.0</v>
      </c>
      <c r="B1045" s="9">
        <f t="array" ref="B1045">XLOOKUP($A1045, Quotations!$A$2:A1756, Quotations!$B$2:B1756, "")
</f>
        <v>116.8</v>
      </c>
      <c r="C1045" s="9">
        <f t="array" ref="C1045">XLOOKUP($A1045, Quotations!$C$2:C1756, Quotations!$D$2:D1756, "")</f>
        <v>24.04</v>
      </c>
      <c r="D1045" s="9">
        <f t="array" ref="D1045">XLOOKUP($A1045, Quotations!$E$2:E1756, Quotations!$F$2:F1756, "")
</f>
        <v>115.39</v>
      </c>
      <c r="E1045" s="9">
        <f t="array" ref="E1045">XLOOKUP($A1045, Quotations!$G$2:G1756, Quotations!$H$2:H1756, "")
</f>
        <v>114.64</v>
      </c>
      <c r="F1045" s="9">
        <f t="array" ref="F1045">XLOOKUP($A1045, Quotations!$I$2:I1756, Quotations!$J$2:J1756, "")
</f>
        <v>131.35</v>
      </c>
      <c r="G1045" s="9">
        <f t="array" ref="G1045">XLOOKUP($A1045, Quotations!$K$2:K1756, Quotations!$L$2:L1756, "")
</f>
        <v>1440.047</v>
      </c>
    </row>
    <row r="1046">
      <c r="A1046" s="8">
        <v>43157.0</v>
      </c>
      <c r="B1046" s="9">
        <f t="array" ref="B1046">XLOOKUP($A1046, Quotations!$A$2:A1756, Quotations!$B$2:B1756, "")
</f>
        <v>116.88</v>
      </c>
      <c r="C1046" s="9">
        <f t="array" ref="C1046">XLOOKUP($A1046, Quotations!$C$2:C1756, Quotations!$D$2:D1756, "")</f>
        <v>24.04</v>
      </c>
      <c r="D1046" s="9">
        <f t="array" ref="D1046">XLOOKUP($A1046, Quotations!$E$2:E1756, Quotations!$F$2:F1756, "")
</f>
        <v>115.42</v>
      </c>
      <c r="E1046" s="9">
        <f t="array" ref="E1046">XLOOKUP($A1046, Quotations!$G$2:G1756, Quotations!$H$2:H1756, "")
</f>
        <v>114.74</v>
      </c>
      <c r="F1046" s="9">
        <f t="array" ref="F1046">XLOOKUP($A1046, Quotations!$I$2:I1756, Quotations!$J$2:J1756, "")
</f>
        <v>131.46</v>
      </c>
      <c r="G1046" s="9">
        <f t="array" ref="G1046">XLOOKUP($A1046, Quotations!$K$2:K1756, Quotations!$L$2:L1756, "")
</f>
        <v>1446.229</v>
      </c>
    </row>
    <row r="1047">
      <c r="A1047" s="8">
        <v>43158.0</v>
      </c>
      <c r="B1047" s="9">
        <f t="array" ref="B1047">XLOOKUP($A1047, Quotations!$A$2:A1756, Quotations!$B$2:B1756, "")
</f>
        <v>116.74</v>
      </c>
      <c r="C1047" s="9">
        <f t="array" ref="C1047">XLOOKUP($A1047, Quotations!$C$2:C1756, Quotations!$D$2:D1756, "")</f>
        <v>24.04</v>
      </c>
      <c r="D1047" s="9">
        <f t="array" ref="D1047">XLOOKUP($A1047, Quotations!$E$2:E1756, Quotations!$F$2:F1756, "")
</f>
        <v>115.45</v>
      </c>
      <c r="E1047" s="9">
        <f t="array" ref="E1047">XLOOKUP($A1047, Quotations!$G$2:G1756, Quotations!$H$2:H1756, "")
</f>
        <v>114.95</v>
      </c>
      <c r="F1047" s="9">
        <f t="array" ref="F1047">XLOOKUP($A1047, Quotations!$I$2:I1756, Quotations!$J$2:J1756, "")
</f>
        <v>131.65</v>
      </c>
      <c r="G1047" s="9">
        <f t="array" ref="G1047">XLOOKUP($A1047, Quotations!$K$2:K1756, Quotations!$L$2:L1756, "")
</f>
        <v>1448.561</v>
      </c>
    </row>
    <row r="1048">
      <c r="A1048" s="8">
        <v>43159.0</v>
      </c>
      <c r="B1048" s="9">
        <f t="array" ref="B1048">XLOOKUP($A1048, Quotations!$A$2:A1756, Quotations!$B$2:B1756, "")
</f>
        <v>116.58</v>
      </c>
      <c r="C1048" s="9">
        <f t="array" ref="C1048">XLOOKUP($A1048, Quotations!$C$2:C1756, Quotations!$D$2:D1756, "")</f>
        <v>24.05</v>
      </c>
      <c r="D1048" s="9">
        <f t="array" ref="D1048">XLOOKUP($A1048, Quotations!$E$2:E1756, Quotations!$F$2:F1756, "")
</f>
        <v>115.46</v>
      </c>
      <c r="E1048" s="9">
        <f t="array" ref="E1048">XLOOKUP($A1048, Quotations!$G$2:G1756, Quotations!$H$2:H1756, "")
</f>
        <v>114.76</v>
      </c>
      <c r="F1048" s="9">
        <f t="array" ref="F1048">XLOOKUP($A1048, Quotations!$I$2:I1756, Quotations!$J$2:J1756, "")
</f>
        <v>131.34</v>
      </c>
      <c r="G1048" s="9">
        <f t="array" ref="G1048">XLOOKUP($A1048, Quotations!$K$2:K1756, Quotations!$L$2:L1756, "")
</f>
        <v>1443.861</v>
      </c>
    </row>
    <row r="1049">
      <c r="A1049" s="8">
        <v>43160.0</v>
      </c>
      <c r="B1049" s="9">
        <f t="array" ref="B1049">XLOOKUP($A1049, Quotations!$A$2:A1756, Quotations!$B$2:B1756, "")
</f>
        <v>116.17</v>
      </c>
      <c r="C1049" s="9">
        <f t="array" ref="C1049">XLOOKUP($A1049, Quotations!$C$2:C1756, Quotations!$D$2:D1756, "")</f>
        <v>24.05</v>
      </c>
      <c r="D1049" s="9">
        <f t="array" ref="D1049">XLOOKUP($A1049, Quotations!$E$2:E1756, Quotations!$F$2:F1756, "")
</f>
        <v>115.45</v>
      </c>
      <c r="E1049" s="9">
        <f t="array" ref="E1049">XLOOKUP($A1049, Quotations!$G$2:G1756, Quotations!$H$2:H1756, "")
</f>
        <v>114.74</v>
      </c>
      <c r="F1049" s="9">
        <f t="array" ref="F1049">XLOOKUP($A1049, Quotations!$I$2:I1756, Quotations!$J$2:J1756, "")
</f>
        <v>131.07</v>
      </c>
      <c r="G1049" s="9">
        <f t="array" ref="G1049">XLOOKUP($A1049, Quotations!$K$2:K1756, Quotations!$L$2:L1756, "")
</f>
        <v>1439.243</v>
      </c>
    </row>
    <row r="1050">
      <c r="A1050" s="8">
        <v>43161.0</v>
      </c>
      <c r="B1050" s="9">
        <f t="array" ref="B1050">XLOOKUP($A1050, Quotations!$A$2:A1756, Quotations!$B$2:B1756, "")
</f>
        <v>115.58</v>
      </c>
      <c r="C1050" s="9">
        <f t="array" ref="C1050">XLOOKUP($A1050, Quotations!$C$2:C1756, Quotations!$D$2:D1756, "")</f>
        <v>24.02</v>
      </c>
      <c r="D1050" s="9">
        <f t="array" ref="D1050">XLOOKUP($A1050, Quotations!$E$2:E1756, Quotations!$F$2:F1756, "")
</f>
        <v>115.43</v>
      </c>
      <c r="E1050" s="9">
        <f t="array" ref="E1050">XLOOKUP($A1050, Quotations!$G$2:G1756, Quotations!$H$2:H1756, "")
</f>
        <v>114.84</v>
      </c>
      <c r="F1050" s="9">
        <f t="array" ref="F1050">XLOOKUP($A1050, Quotations!$I$2:I1756, Quotations!$J$2:J1756, "")
</f>
        <v>130.56</v>
      </c>
      <c r="G1050" s="9">
        <f t="array" ref="G1050">XLOOKUP($A1050, Quotations!$K$2:K1756, Quotations!$L$2:L1756, "")
</f>
        <v>1430.821</v>
      </c>
    </row>
    <row r="1051">
      <c r="A1051" s="8">
        <v>43164.0</v>
      </c>
      <c r="B1051" s="9">
        <f t="array" ref="B1051">XLOOKUP($A1051, Quotations!$A$2:A1756, Quotations!$B$2:B1756, "")
</f>
        <v>115.89</v>
      </c>
      <c r="C1051" s="9">
        <f t="array" ref="C1051">XLOOKUP($A1051, Quotations!$C$2:C1756, Quotations!$D$2:D1756, "")</f>
        <v>24.01</v>
      </c>
      <c r="D1051" s="9">
        <f t="array" ref="D1051">XLOOKUP($A1051, Quotations!$E$2:E1756, Quotations!$F$2:F1756, "")
</f>
        <v>115.45</v>
      </c>
      <c r="E1051" s="9">
        <f t="array" ref="E1051">XLOOKUP($A1051, Quotations!$G$2:G1756, Quotations!$H$2:H1756, "")
</f>
        <v>114.72</v>
      </c>
      <c r="F1051" s="9">
        <f t="array" ref="F1051">XLOOKUP($A1051, Quotations!$I$2:I1756, Quotations!$J$2:J1756, "")
</f>
        <v>130.16</v>
      </c>
      <c r="G1051" s="9">
        <f t="array" ref="G1051">XLOOKUP($A1051, Quotations!$K$2:K1756, Quotations!$L$2:L1756, "")
</f>
        <v>1428.118</v>
      </c>
    </row>
    <row r="1052">
      <c r="A1052" s="8">
        <v>43165.0</v>
      </c>
      <c r="B1052" s="9">
        <f t="array" ref="B1052">XLOOKUP($A1052, Quotations!$A$2:A1756, Quotations!$B$2:B1756, "")
</f>
        <v>116.04</v>
      </c>
      <c r="C1052" s="9">
        <f t="array" ref="C1052">XLOOKUP($A1052, Quotations!$C$2:C1756, Quotations!$D$2:D1756, "")</f>
        <v>24</v>
      </c>
      <c r="D1052" s="9">
        <f t="array" ref="D1052">XLOOKUP($A1052, Quotations!$E$2:E1756, Quotations!$F$2:F1756, "")
</f>
        <v>115.47</v>
      </c>
      <c r="E1052" s="9">
        <f t="array" ref="E1052">XLOOKUP($A1052, Quotations!$G$2:G1756, Quotations!$H$2:H1756, "")
</f>
        <v>114.72</v>
      </c>
      <c r="F1052" s="9">
        <f t="array" ref="F1052">XLOOKUP($A1052, Quotations!$I$2:I1756, Quotations!$J$2:J1756, "")
</f>
        <v>130.09</v>
      </c>
      <c r="G1052" s="9">
        <f t="array" ref="G1052">XLOOKUP($A1052, Quotations!$K$2:K1756, Quotations!$L$2:L1756, "")
</f>
        <v>1436.634</v>
      </c>
    </row>
    <row r="1053">
      <c r="A1053" s="8">
        <v>43166.0</v>
      </c>
      <c r="B1053" s="9">
        <f t="array" ref="B1053">XLOOKUP($A1053, Quotations!$A$2:A1756, Quotations!$B$2:B1756, "")
</f>
        <v>116.07</v>
      </c>
      <c r="C1053" s="9">
        <f t="array" ref="C1053">XLOOKUP($A1053, Quotations!$C$2:C1756, Quotations!$D$2:D1756, "")</f>
        <v>23.99</v>
      </c>
      <c r="D1053" s="9">
        <f t="array" ref="D1053">XLOOKUP($A1053, Quotations!$E$2:E1756, Quotations!$F$2:F1756, "")
</f>
        <v>115.46</v>
      </c>
      <c r="E1053" s="9">
        <f t="array" ref="E1053">XLOOKUP($A1053, Quotations!$G$2:G1756, Quotations!$H$2:H1756, "")
</f>
        <v>114.61</v>
      </c>
      <c r="F1053" s="9">
        <f t="array" ref="F1053">XLOOKUP($A1053, Quotations!$I$2:I1756, Quotations!$J$2:J1756, "")
</f>
        <v>130.07</v>
      </c>
      <c r="G1053" s="9">
        <f t="array" ref="G1053">XLOOKUP($A1053, Quotations!$K$2:K1756, Quotations!$L$2:L1756, "")
</f>
        <v>1441.748</v>
      </c>
    </row>
    <row r="1054">
      <c r="A1054" s="8">
        <v>43167.0</v>
      </c>
      <c r="B1054" s="9">
        <f t="array" ref="B1054">XLOOKUP($A1054, Quotations!$A$2:A1756, Quotations!$B$2:B1756, "")
</f>
        <v>116.41</v>
      </c>
      <c r="C1054" s="9">
        <f t="array" ref="C1054">XLOOKUP($A1054, Quotations!$C$2:C1756, Quotations!$D$2:D1756, "")</f>
        <v>24.01</v>
      </c>
      <c r="D1054" s="9">
        <f t="array" ref="D1054">XLOOKUP($A1054, Quotations!$E$2:E1756, Quotations!$F$2:F1756, "")
</f>
        <v>115.43</v>
      </c>
      <c r="E1054" s="9">
        <f t="array" ref="E1054">XLOOKUP($A1054, Quotations!$G$2:G1756, Quotations!$H$2:H1756, "")
</f>
        <v>114.67</v>
      </c>
      <c r="F1054" s="9">
        <f t="array" ref="F1054">XLOOKUP($A1054, Quotations!$I$2:I1756, Quotations!$J$2:J1756, "")
</f>
        <v>130.03</v>
      </c>
      <c r="G1054" s="9">
        <f t="array" ref="G1054">XLOOKUP($A1054, Quotations!$K$2:K1756, Quotations!$L$2:L1756, "")
</f>
        <v>1445.455</v>
      </c>
    </row>
    <row r="1055">
      <c r="A1055" s="8">
        <v>43168.0</v>
      </c>
      <c r="B1055" s="9">
        <f t="array" ref="B1055">XLOOKUP($A1055, Quotations!$A$2:A1756, Quotations!$B$2:B1756, "")
</f>
        <v>116.39</v>
      </c>
      <c r="C1055" s="9">
        <f t="array" ref="C1055">XLOOKUP($A1055, Quotations!$C$2:C1756, Quotations!$D$2:D1756, "")</f>
        <v>24.02</v>
      </c>
      <c r="D1055" s="9">
        <f t="array" ref="D1055">XLOOKUP($A1055, Quotations!$E$2:E1756, Quotations!$F$2:F1756, "")
</f>
        <v>115.43</v>
      </c>
      <c r="E1055" s="9">
        <f t="array" ref="E1055">XLOOKUP($A1055, Quotations!$G$2:G1756, Quotations!$H$2:H1756, "")
</f>
        <v>114.77</v>
      </c>
      <c r="F1055" s="9">
        <f t="array" ref="F1055">XLOOKUP($A1055, Quotations!$I$2:I1756, Quotations!$J$2:J1756, "")
</f>
        <v>130.23</v>
      </c>
      <c r="G1055" s="9">
        <f t="array" ref="G1055">XLOOKUP($A1055, Quotations!$K$2:K1756, Quotations!$L$2:L1756, "")
</f>
        <v>1450.189</v>
      </c>
    </row>
    <row r="1056">
      <c r="A1056" s="8">
        <v>43171.0</v>
      </c>
      <c r="B1056" s="9">
        <f t="array" ref="B1056">XLOOKUP($A1056, Quotations!$A$2:A1756, Quotations!$B$2:B1756, "")
</f>
        <v>116.43</v>
      </c>
      <c r="C1056" s="9">
        <f t="array" ref="C1056">XLOOKUP($A1056, Quotations!$C$2:C1756, Quotations!$D$2:D1756, "")</f>
        <v>24.02</v>
      </c>
      <c r="D1056" s="9">
        <f t="array" ref="D1056">XLOOKUP($A1056, Quotations!$E$2:E1756, Quotations!$F$2:F1756, "")
</f>
        <v>115.44</v>
      </c>
      <c r="E1056" s="9">
        <f t="array" ref="E1056">XLOOKUP($A1056, Quotations!$G$2:G1756, Quotations!$H$2:H1756, "")
</f>
        <v>114.67</v>
      </c>
      <c r="F1056" s="9">
        <f t="array" ref="F1056">XLOOKUP($A1056, Quotations!$I$2:I1756, Quotations!$J$2:J1756, "")
</f>
        <v>130.32</v>
      </c>
      <c r="G1056" s="9">
        <f t="array" ref="G1056">XLOOKUP($A1056, Quotations!$K$2:K1756, Quotations!$L$2:L1756, "")
</f>
        <v>1457.198</v>
      </c>
    </row>
    <row r="1057">
      <c r="A1057" s="8">
        <v>43172.0</v>
      </c>
      <c r="B1057" s="9">
        <f t="array" ref="B1057">XLOOKUP($A1057, Quotations!$A$2:A1756, Quotations!$B$2:B1756, "")
</f>
        <v>116.16</v>
      </c>
      <c r="C1057" s="9">
        <f t="array" ref="C1057">XLOOKUP($A1057, Quotations!$C$2:C1756, Quotations!$D$2:D1756, "")</f>
        <v>24</v>
      </c>
      <c r="D1057" s="9">
        <f t="array" ref="D1057">XLOOKUP($A1057, Quotations!$E$2:E1756, Quotations!$F$2:F1756, "")
</f>
        <v>115.43</v>
      </c>
      <c r="E1057" s="9">
        <f t="array" ref="E1057">XLOOKUP($A1057, Quotations!$G$2:G1756, Quotations!$H$2:H1756, "")
</f>
        <v>114.8</v>
      </c>
      <c r="F1057" s="9">
        <f t="array" ref="F1057">XLOOKUP($A1057, Quotations!$I$2:I1756, Quotations!$J$2:J1756, "")
</f>
        <v>130.42</v>
      </c>
      <c r="G1057" s="9">
        <f t="array" ref="G1057">XLOOKUP($A1057, Quotations!$K$2:K1756, Quotations!$L$2:L1756, "")
</f>
        <v>1461.805</v>
      </c>
    </row>
    <row r="1058">
      <c r="A1058" s="8">
        <v>43173.0</v>
      </c>
      <c r="B1058" s="9">
        <f t="array" ref="B1058">XLOOKUP($A1058, Quotations!$A$2:A1756, Quotations!$B$2:B1756, "")
</f>
        <v>116.03</v>
      </c>
      <c r="C1058" s="9">
        <f t="array" ref="C1058">XLOOKUP($A1058, Quotations!$C$2:C1756, Quotations!$D$2:D1756, "")</f>
        <v>24.01</v>
      </c>
      <c r="D1058" s="9">
        <f t="array" ref="D1058">XLOOKUP($A1058, Quotations!$E$2:E1756, Quotations!$F$2:F1756, "")
</f>
        <v>115.43</v>
      </c>
      <c r="E1058" s="9">
        <f t="array" ref="E1058">XLOOKUP($A1058, Quotations!$G$2:G1756, Quotations!$H$2:H1756, "")
</f>
        <v>114.86</v>
      </c>
      <c r="F1058" s="9">
        <f t="array" ref="F1058">XLOOKUP($A1058, Quotations!$I$2:I1756, Quotations!$J$2:J1756, "")
</f>
        <v>129.94</v>
      </c>
      <c r="G1058" s="9">
        <f t="array" ref="G1058">XLOOKUP($A1058, Quotations!$K$2:K1756, Quotations!$L$2:L1756, "")
</f>
        <v>1456.77</v>
      </c>
    </row>
    <row r="1059">
      <c r="A1059" s="8">
        <v>43174.0</v>
      </c>
      <c r="B1059" s="9">
        <f t="array" ref="B1059">XLOOKUP($A1059, Quotations!$A$2:A1756, Quotations!$B$2:B1756, "")
</f>
        <v>116.15</v>
      </c>
      <c r="C1059" s="9">
        <f t="array" ref="C1059">XLOOKUP($A1059, Quotations!$C$2:C1756, Quotations!$D$2:D1756, "")</f>
        <v>24.02</v>
      </c>
      <c r="D1059" s="9">
        <f t="array" ref="D1059">XLOOKUP($A1059, Quotations!$E$2:E1756, Quotations!$F$2:F1756, "")
</f>
        <v>115.42</v>
      </c>
      <c r="E1059" s="9">
        <f t="array" ref="E1059">XLOOKUP($A1059, Quotations!$G$2:G1756, Quotations!$H$2:H1756, "")
</f>
        <v>114.99</v>
      </c>
      <c r="F1059" s="9">
        <f t="array" ref="F1059">XLOOKUP($A1059, Quotations!$I$2:I1756, Quotations!$J$2:J1756, "")
</f>
        <v>129.84</v>
      </c>
      <c r="G1059" s="9">
        <f t="array" ref="G1059">XLOOKUP($A1059, Quotations!$K$2:K1756, Quotations!$L$2:L1756, "")
</f>
        <v>1454.255</v>
      </c>
    </row>
    <row r="1060">
      <c r="A1060" s="8">
        <v>43175.0</v>
      </c>
      <c r="B1060" s="9">
        <f t="array" ref="B1060">XLOOKUP($A1060, Quotations!$A$2:A1756, Quotations!$B$2:B1756, "")
</f>
        <v>116.11</v>
      </c>
      <c r="C1060" s="9">
        <f t="array" ref="C1060">XLOOKUP($A1060, Quotations!$C$2:C1756, Quotations!$D$2:D1756, "")</f>
        <v>24.02</v>
      </c>
      <c r="D1060" s="9">
        <f t="array" ref="D1060">XLOOKUP($A1060, Quotations!$E$2:E1756, Quotations!$F$2:F1756, "")
</f>
        <v>115.39</v>
      </c>
      <c r="E1060" s="9">
        <f t="array" ref="E1060">XLOOKUP($A1060, Quotations!$G$2:G1756, Quotations!$H$2:H1756, "")
</f>
        <v>115.03</v>
      </c>
      <c r="F1060" s="9">
        <f t="array" ref="F1060">XLOOKUP($A1060, Quotations!$I$2:I1756, Quotations!$J$2:J1756, "")
</f>
        <v>129.84</v>
      </c>
      <c r="G1060" s="9">
        <f t="array" ref="G1060">XLOOKUP($A1060, Quotations!$K$2:K1756, Quotations!$L$2:L1756, "")
</f>
        <v>1453.988</v>
      </c>
    </row>
    <row r="1061">
      <c r="A1061" s="8">
        <v>43178.0</v>
      </c>
      <c r="B1061" s="9">
        <f t="array" ref="B1061">XLOOKUP($A1061, Quotations!$A$2:A1756, Quotations!$B$2:B1756, "")
</f>
        <v>115.74</v>
      </c>
      <c r="C1061" s="9">
        <f t="array" ref="C1061">XLOOKUP($A1061, Quotations!$C$2:C1756, Quotations!$D$2:D1756, "")</f>
        <v>24.01</v>
      </c>
      <c r="D1061" s="9">
        <f t="array" ref="D1061">XLOOKUP($A1061, Quotations!$E$2:E1756, Quotations!$F$2:F1756, "")
</f>
        <v>115.39</v>
      </c>
      <c r="E1061" s="9">
        <f t="array" ref="E1061">XLOOKUP($A1061, Quotations!$G$2:G1756, Quotations!$H$2:H1756, "")
</f>
        <v>115</v>
      </c>
      <c r="F1061" s="9">
        <f t="array" ref="F1061">XLOOKUP($A1061, Quotations!$I$2:I1756, Quotations!$J$2:J1756, "")
</f>
        <v>129.88</v>
      </c>
      <c r="G1061" s="9">
        <f t="array" ref="G1061">XLOOKUP($A1061, Quotations!$K$2:K1756, Quotations!$L$2:L1756, "")
</f>
        <v>1454.347</v>
      </c>
    </row>
    <row r="1062">
      <c r="A1062" s="8">
        <v>43179.0</v>
      </c>
      <c r="B1062" s="9">
        <f t="array" ref="B1062">XLOOKUP($A1062, Quotations!$A$2:A1756, Quotations!$B$2:B1756, "")
</f>
        <v>115.86</v>
      </c>
      <c r="C1062" s="9">
        <f t="array" ref="C1062">XLOOKUP($A1062, Quotations!$C$2:C1756, Quotations!$D$2:D1756, "")</f>
        <v>24.01</v>
      </c>
      <c r="D1062" s="9">
        <f t="array" ref="D1062">XLOOKUP($A1062, Quotations!$E$2:E1756, Quotations!$F$2:F1756, "")
</f>
        <v>115.39</v>
      </c>
      <c r="E1062" s="9">
        <f t="array" ref="E1062">XLOOKUP($A1062, Quotations!$G$2:G1756, Quotations!$H$2:H1756, "")
</f>
        <v>115.03</v>
      </c>
      <c r="F1062" s="9">
        <f t="array" ref="F1062">XLOOKUP($A1062, Quotations!$I$2:I1756, Quotations!$J$2:J1756, "")
</f>
        <v>129.4</v>
      </c>
      <c r="G1062" s="9">
        <f t="array" ref="G1062">XLOOKUP($A1062, Quotations!$K$2:K1756, Quotations!$L$2:L1756, "")
</f>
        <v>1447.741</v>
      </c>
    </row>
    <row r="1063">
      <c r="A1063" s="8">
        <v>43180.0</v>
      </c>
      <c r="B1063" s="9">
        <f t="array" ref="B1063">XLOOKUP($A1063, Quotations!$A$2:A1756, Quotations!$B$2:B1756, "")
</f>
        <v>115.79</v>
      </c>
      <c r="C1063" s="9">
        <f t="array" ref="C1063">XLOOKUP($A1063, Quotations!$C$2:C1756, Quotations!$D$2:D1756, "")</f>
        <v>24.01</v>
      </c>
      <c r="D1063" s="9">
        <f t="array" ref="D1063">XLOOKUP($A1063, Quotations!$E$2:E1756, Quotations!$F$2:F1756, "")
</f>
        <v>115.38</v>
      </c>
      <c r="E1063" s="9">
        <f t="array" ref="E1063">XLOOKUP($A1063, Quotations!$G$2:G1756, Quotations!$H$2:H1756, "")
</f>
        <v>114.93</v>
      </c>
      <c r="F1063" s="9">
        <f t="array" ref="F1063">XLOOKUP($A1063, Quotations!$I$2:I1756, Quotations!$J$2:J1756, "")
</f>
        <v>129.52</v>
      </c>
      <c r="G1063" s="9">
        <f t="array" ref="G1063">XLOOKUP($A1063, Quotations!$K$2:K1756, Quotations!$L$2:L1756, "")
</f>
        <v>1449.721</v>
      </c>
    </row>
    <row r="1064">
      <c r="A1064" s="8">
        <v>43181.0</v>
      </c>
      <c r="B1064" s="9">
        <f t="array" ref="B1064">XLOOKUP($A1064, Quotations!$A$2:A1756, Quotations!$B$2:B1756, "")
</f>
        <v>115.38</v>
      </c>
      <c r="C1064" s="9">
        <f t="array" ref="C1064">XLOOKUP($A1064, Quotations!$C$2:C1756, Quotations!$D$2:D1756, "")</f>
        <v>24</v>
      </c>
      <c r="D1064" s="9">
        <f t="array" ref="D1064">XLOOKUP($A1064, Quotations!$E$2:E1756, Quotations!$F$2:F1756, "")
</f>
        <v>115.34</v>
      </c>
      <c r="E1064" s="9">
        <f t="array" ref="E1064">XLOOKUP($A1064, Quotations!$G$2:G1756, Quotations!$H$2:H1756, "")
</f>
        <v>114.85</v>
      </c>
      <c r="F1064" s="9">
        <f t="array" ref="F1064">XLOOKUP($A1064, Quotations!$I$2:I1756, Quotations!$J$2:J1756, "")
</f>
        <v>129.49</v>
      </c>
      <c r="G1064" s="9">
        <f t="array" ref="G1064">XLOOKUP($A1064, Quotations!$K$2:K1756, Quotations!$L$2:L1756, "")
</f>
        <v>1450.554</v>
      </c>
    </row>
    <row r="1065">
      <c r="A1065" s="8">
        <v>43182.0</v>
      </c>
      <c r="B1065" s="9">
        <f t="array" ref="B1065">XLOOKUP($A1065, Quotations!$A$2:A1756, Quotations!$B$2:B1756, "")
</f>
        <v>115.13</v>
      </c>
      <c r="C1065" s="9">
        <f t="array" ref="C1065">XLOOKUP($A1065, Quotations!$C$2:C1756, Quotations!$D$2:D1756, "")</f>
        <v>23.99</v>
      </c>
      <c r="D1065" s="9">
        <f t="array" ref="D1065">XLOOKUP($A1065, Quotations!$E$2:E1756, Quotations!$F$2:F1756, "")
</f>
        <v>115.34</v>
      </c>
      <c r="E1065" s="9">
        <f t="array" ref="E1065">XLOOKUP($A1065, Quotations!$G$2:G1756, Quotations!$H$2:H1756, "")
</f>
        <v>115.18</v>
      </c>
      <c r="F1065" s="9">
        <f t="array" ref="F1065">XLOOKUP($A1065, Quotations!$I$2:I1756, Quotations!$J$2:J1756, "")
</f>
        <v>128.79</v>
      </c>
      <c r="G1065" s="9">
        <f t="array" ref="G1065">XLOOKUP($A1065, Quotations!$K$2:K1756, Quotations!$L$2:L1756, "")
</f>
        <v>1435.756</v>
      </c>
    </row>
    <row r="1066">
      <c r="A1066" s="8">
        <v>43185.0</v>
      </c>
      <c r="B1066" s="9">
        <f t="array" ref="B1066">XLOOKUP($A1066, Quotations!$A$2:A1756, Quotations!$B$2:B1756, "")
</f>
        <v>114.84</v>
      </c>
      <c r="C1066" s="9">
        <f t="array" ref="C1066">XLOOKUP($A1066, Quotations!$C$2:C1756, Quotations!$D$2:D1756, "")</f>
        <v>23.97</v>
      </c>
      <c r="D1066" s="9">
        <f t="array" ref="D1066">XLOOKUP($A1066, Quotations!$E$2:E1756, Quotations!$F$2:F1756, "")
</f>
        <v>115.35</v>
      </c>
      <c r="E1066" s="9">
        <f t="array" ref="E1066">XLOOKUP($A1066, Quotations!$G$2:G1756, Quotations!$H$2:H1756, "")
</f>
        <v>115.19</v>
      </c>
      <c r="F1066" s="9">
        <f t="array" ref="F1066">XLOOKUP($A1066, Quotations!$I$2:I1756, Quotations!$J$2:J1756, "")
</f>
        <v>128.38</v>
      </c>
      <c r="G1066" s="9">
        <f t="array" ref="G1066">XLOOKUP($A1066, Quotations!$K$2:K1756, Quotations!$L$2:L1756, "")
</f>
        <v>1427.608</v>
      </c>
    </row>
    <row r="1067">
      <c r="A1067" s="8">
        <v>43186.0</v>
      </c>
      <c r="B1067" s="9">
        <f t="array" ref="B1067">XLOOKUP($A1067, Quotations!$A$2:A1756, Quotations!$B$2:B1756, "")
</f>
        <v>115.22</v>
      </c>
      <c r="C1067" s="9">
        <f t="array" ref="C1067">XLOOKUP($A1067, Quotations!$C$2:C1756, Quotations!$D$2:D1756, "")</f>
        <v>23.98</v>
      </c>
      <c r="D1067" s="9">
        <f t="array" ref="D1067">XLOOKUP($A1067, Quotations!$E$2:E1756, Quotations!$F$2:F1756, "")
</f>
        <v>115.35</v>
      </c>
      <c r="E1067" s="9">
        <f t="array" ref="E1067">XLOOKUP($A1067, Quotations!$G$2:G1756, Quotations!$H$2:H1756, "")
</f>
        <v>115.14</v>
      </c>
      <c r="F1067" s="9">
        <f t="array" ref="F1067">XLOOKUP($A1067, Quotations!$I$2:I1756, Quotations!$J$2:J1756, "")
</f>
        <v>128.63</v>
      </c>
      <c r="G1067" s="9">
        <f t="array" ref="G1067">XLOOKUP($A1067, Quotations!$K$2:K1756, Quotations!$L$2:L1756, "")
</f>
        <v>1436.394</v>
      </c>
    </row>
    <row r="1068">
      <c r="A1068" s="8">
        <v>43187.0</v>
      </c>
      <c r="B1068" s="9">
        <f t="array" ref="B1068">XLOOKUP($A1068, Quotations!$A$2:A1756, Quotations!$B$2:B1756, "")
</f>
        <v>115.14</v>
      </c>
      <c r="C1068" s="9">
        <f t="array" ref="C1068">XLOOKUP($A1068, Quotations!$C$2:C1756, Quotations!$D$2:D1756, "")</f>
        <v>23.98</v>
      </c>
      <c r="D1068" s="9">
        <f t="array" ref="D1068">XLOOKUP($A1068, Quotations!$E$2:E1756, Quotations!$F$2:F1756, "")
</f>
        <v>115.31</v>
      </c>
      <c r="E1068" s="9">
        <f t="array" ref="E1068">XLOOKUP($A1068, Quotations!$G$2:G1756, Quotations!$H$2:H1756, "")
</f>
        <v>115.33</v>
      </c>
      <c r="F1068" s="9">
        <f t="array" ref="F1068">XLOOKUP($A1068, Quotations!$I$2:I1756, Quotations!$J$2:J1756, "")
</f>
        <v>128.56</v>
      </c>
      <c r="G1068" s="9">
        <f t="array" ref="G1068">XLOOKUP($A1068, Quotations!$K$2:K1756, Quotations!$L$2:L1756, "")
</f>
        <v>1429.532</v>
      </c>
    </row>
    <row r="1069">
      <c r="A1069" s="8">
        <v>43188.0</v>
      </c>
      <c r="B1069" s="9">
        <f t="array" ref="B1069">XLOOKUP($A1069, Quotations!$A$2:A1756, Quotations!$B$2:B1756, "")
</f>
        <v>115.42</v>
      </c>
      <c r="C1069" s="9">
        <f t="array" ref="C1069">XLOOKUP($A1069, Quotations!$C$2:C1756, Quotations!$D$2:D1756, "")</f>
        <v>23.98</v>
      </c>
      <c r="D1069" s="9">
        <f t="array" ref="D1069">XLOOKUP($A1069, Quotations!$E$2:E1756, Quotations!$F$2:F1756, "")
</f>
        <v>115.36</v>
      </c>
      <c r="E1069" s="9">
        <f t="array" ref="E1069">XLOOKUP($A1069, Quotations!$G$2:G1756, Quotations!$H$2:H1756, "")
</f>
        <v>115.37</v>
      </c>
      <c r="F1069" s="9">
        <f t="array" ref="F1069">XLOOKUP($A1069, Quotations!$I$2:I1756, Quotations!$J$2:J1756, "")
</f>
        <v>128.32</v>
      </c>
      <c r="G1069" s="9">
        <f t="array" ref="G1069">XLOOKUP($A1069, Quotations!$K$2:K1756, Quotations!$L$2:L1756, "")
</f>
        <v>1422.646</v>
      </c>
    </row>
    <row r="1070">
      <c r="A1070" s="8">
        <v>43193.0</v>
      </c>
      <c r="B1070" s="9">
        <f t="array" ref="B1070">XLOOKUP($A1070, Quotations!$A$2:A1756, Quotations!$B$2:B1756, "")
</f>
        <v>115.23</v>
      </c>
      <c r="C1070" s="9">
        <f t="array" ref="C1070">XLOOKUP($A1070, Quotations!$C$2:C1756, Quotations!$D$2:D1756, "")</f>
        <v>23.99</v>
      </c>
      <c r="D1070" s="9">
        <f t="array" ref="D1070">XLOOKUP($A1070, Quotations!$E$2:E1756, Quotations!$F$2:F1756, "")
</f>
        <v>115.36</v>
      </c>
      <c r="E1070" s="9">
        <f t="array" ref="E1070">XLOOKUP($A1070, Quotations!$G$2:G1756, Quotations!$H$2:H1756, "")
</f>
        <v>115.46</v>
      </c>
      <c r="F1070" s="9">
        <f t="array" ref="F1070">XLOOKUP($A1070, Quotations!$I$2:I1756, Quotations!$J$2:J1756, "")
</f>
        <v>128.28</v>
      </c>
      <c r="G1070" s="9">
        <f t="array" ref="G1070">XLOOKUP($A1070, Quotations!$K$2:K1756, Quotations!$L$2:L1756, "")
</f>
        <v>1420.282</v>
      </c>
    </row>
    <row r="1071">
      <c r="A1071" s="8">
        <v>43194.0</v>
      </c>
      <c r="B1071" s="9">
        <f t="array" ref="B1071">XLOOKUP($A1071, Quotations!$A$2:A1756, Quotations!$B$2:B1756, "")
</f>
        <v>115.19</v>
      </c>
      <c r="C1071" s="9">
        <f t="array" ref="C1071">XLOOKUP($A1071, Quotations!$C$2:C1756, Quotations!$D$2:D1756, "")</f>
        <v>23.99</v>
      </c>
      <c r="D1071" s="9">
        <f t="array" ref="D1071">XLOOKUP($A1071, Quotations!$E$2:E1756, Quotations!$F$2:F1756, "")
</f>
        <v>115.36</v>
      </c>
      <c r="E1071" s="9">
        <f t="array" ref="E1071">XLOOKUP($A1071, Quotations!$G$2:G1756, Quotations!$H$2:H1756, "")
</f>
        <v>115.28</v>
      </c>
      <c r="F1071" s="9">
        <f t="array" ref="F1071">XLOOKUP($A1071, Quotations!$I$2:I1756, Quotations!$J$2:J1756, "")
</f>
        <v>128.07</v>
      </c>
      <c r="G1071" s="9">
        <f t="array" ref="G1071">XLOOKUP($A1071, Quotations!$K$2:K1756, Quotations!$L$2:L1756, "")
</f>
        <v>1420.31</v>
      </c>
    </row>
    <row r="1072">
      <c r="A1072" s="8">
        <v>43195.0</v>
      </c>
      <c r="B1072" s="9">
        <f t="array" ref="B1072">XLOOKUP($A1072, Quotations!$A$2:A1756, Quotations!$B$2:B1756, "")
</f>
        <v>115.97</v>
      </c>
      <c r="C1072" s="9">
        <f t="array" ref="C1072">XLOOKUP($A1072, Quotations!$C$2:C1756, Quotations!$D$2:D1756, "")</f>
        <v>23.99</v>
      </c>
      <c r="D1072" s="9">
        <f t="array" ref="D1072">XLOOKUP($A1072, Quotations!$E$2:E1756, Quotations!$F$2:F1756, "")
</f>
        <v>115.35</v>
      </c>
      <c r="E1072" s="9">
        <f t="array" ref="E1072">XLOOKUP($A1072, Quotations!$G$2:G1756, Quotations!$H$2:H1756, "")
</f>
        <v>115.33</v>
      </c>
      <c r="F1072" s="9">
        <f t="array" ref="F1072">XLOOKUP($A1072, Quotations!$I$2:I1756, Quotations!$J$2:J1756, "")
</f>
        <v>128.03</v>
      </c>
      <c r="G1072" s="9">
        <f t="array" ref="G1072">XLOOKUP($A1072, Quotations!$K$2:K1756, Quotations!$L$2:L1756, "")
</f>
        <v>1422.465</v>
      </c>
    </row>
    <row r="1073">
      <c r="A1073" s="8">
        <v>43196.0</v>
      </c>
      <c r="B1073" s="9">
        <f t="array" ref="B1073">XLOOKUP($A1073, Quotations!$A$2:A1756, Quotations!$B$2:B1756, "")
</f>
        <v>115.83</v>
      </c>
      <c r="C1073" s="9">
        <f t="array" ref="C1073">XLOOKUP($A1073, Quotations!$C$2:C1756, Quotations!$D$2:D1756, "")</f>
        <v>23.99</v>
      </c>
      <c r="D1073" s="9">
        <f t="array" ref="D1073">XLOOKUP($A1073, Quotations!$E$2:E1756, Quotations!$F$2:F1756, "")
</f>
        <v>115.34</v>
      </c>
      <c r="E1073" s="9">
        <f t="array" ref="E1073">XLOOKUP($A1073, Quotations!$G$2:G1756, Quotations!$H$2:H1756, "")
</f>
        <v>115.08</v>
      </c>
      <c r="F1073" s="9">
        <f t="array" ref="F1073">XLOOKUP($A1073, Quotations!$I$2:I1756, Quotations!$J$2:J1756, "")
</f>
        <v>128.28</v>
      </c>
      <c r="G1073" s="9">
        <f t="array" ref="G1073">XLOOKUP($A1073, Quotations!$K$2:K1756, Quotations!$L$2:L1756, "")
</f>
        <v>1429.482</v>
      </c>
    </row>
    <row r="1074">
      <c r="A1074" s="8">
        <v>43199.0</v>
      </c>
      <c r="B1074" s="9">
        <f t="array" ref="B1074">XLOOKUP($A1074, Quotations!$A$2:A1756, Quotations!$B$2:B1756, "")
</f>
        <v>115.8</v>
      </c>
      <c r="C1074" s="9">
        <f t="array" ref="C1074">XLOOKUP($A1074, Quotations!$C$2:C1756, Quotations!$D$2:D1756, "")</f>
        <v>23.99</v>
      </c>
      <c r="D1074" s="9">
        <f t="array" ref="D1074">XLOOKUP($A1074, Quotations!$E$2:E1756, Quotations!$F$2:F1756, "")
</f>
        <v>115.34</v>
      </c>
      <c r="E1074" s="9">
        <f t="array" ref="E1074">XLOOKUP($A1074, Quotations!$G$2:G1756, Quotations!$H$2:H1756, "")
</f>
        <v>115.32</v>
      </c>
      <c r="F1074" s="9">
        <f t="array" ref="F1074">XLOOKUP($A1074, Quotations!$I$2:I1756, Quotations!$J$2:J1756, "")
</f>
        <v>128.07</v>
      </c>
      <c r="G1074" s="9">
        <f t="array" ref="G1074">XLOOKUP($A1074, Quotations!$K$2:K1756, Quotations!$L$2:L1756, "")
</f>
        <v>1423.624</v>
      </c>
    </row>
    <row r="1075">
      <c r="A1075" s="8">
        <v>43200.0</v>
      </c>
      <c r="B1075" s="9">
        <f t="array" ref="B1075">XLOOKUP($A1075, Quotations!$A$2:A1756, Quotations!$B$2:B1756, "")
</f>
        <v>116.01</v>
      </c>
      <c r="C1075" s="9">
        <f t="array" ref="C1075">XLOOKUP($A1075, Quotations!$C$2:C1756, Quotations!$D$2:D1756, "")</f>
        <v>23.98</v>
      </c>
      <c r="D1075" s="9">
        <f t="array" ref="D1075">XLOOKUP($A1075, Quotations!$E$2:E1756, Quotations!$F$2:F1756, "")
</f>
        <v>115.34</v>
      </c>
      <c r="E1075" s="9">
        <f t="array" ref="E1075">XLOOKUP($A1075, Quotations!$G$2:G1756, Quotations!$H$2:H1756, "")
</f>
        <v>115.22</v>
      </c>
      <c r="F1075" s="9">
        <f t="array" ref="F1075">XLOOKUP($A1075, Quotations!$I$2:I1756, Quotations!$J$2:J1756, "")
</f>
        <v>128.1</v>
      </c>
      <c r="G1075" s="9">
        <f t="array" ref="G1075">XLOOKUP($A1075, Quotations!$K$2:K1756, Quotations!$L$2:L1756, "")
</f>
        <v>1426.966</v>
      </c>
    </row>
    <row r="1076">
      <c r="A1076" s="8">
        <v>43201.0</v>
      </c>
      <c r="B1076" s="9">
        <f t="array" ref="B1076">XLOOKUP($A1076, Quotations!$A$2:A1756, Quotations!$B$2:B1756, "")
</f>
        <v>115.86</v>
      </c>
      <c r="C1076" s="9">
        <f t="array" ref="C1076">XLOOKUP($A1076, Quotations!$C$2:C1756, Quotations!$D$2:D1756, "")</f>
        <v>23.97</v>
      </c>
      <c r="D1076" s="9">
        <f t="array" ref="D1076">XLOOKUP($A1076, Quotations!$E$2:E1756, Quotations!$F$2:F1756, "")
</f>
        <v>115.33</v>
      </c>
      <c r="E1076" s="9">
        <f t="array" ref="E1076">XLOOKUP($A1076, Quotations!$G$2:G1756, Quotations!$H$2:H1756, "")
</f>
        <v>115.04</v>
      </c>
      <c r="F1076" s="9">
        <f t="array" ref="F1076">XLOOKUP($A1076, Quotations!$I$2:I1756, Quotations!$J$2:J1756, "")
</f>
        <v>128.39</v>
      </c>
      <c r="G1076" s="9">
        <f t="array" ref="G1076">XLOOKUP($A1076, Quotations!$K$2:K1756, Quotations!$L$2:L1756, "")
</f>
        <v>1434.073</v>
      </c>
    </row>
    <row r="1077">
      <c r="A1077" s="8">
        <v>43202.0</v>
      </c>
      <c r="B1077" s="9">
        <f t="array" ref="B1077">XLOOKUP($A1077, Quotations!$A$2:A1756, Quotations!$B$2:B1756, "")
</f>
        <v>116.09</v>
      </c>
      <c r="C1077" s="9">
        <f t="array" ref="C1077">XLOOKUP($A1077, Quotations!$C$2:C1756, Quotations!$D$2:D1756, "")</f>
        <v>23.98</v>
      </c>
      <c r="D1077" s="9">
        <f t="array" ref="D1077">XLOOKUP($A1077, Quotations!$E$2:E1756, Quotations!$F$2:F1756, "")
</f>
        <v>115.34</v>
      </c>
      <c r="E1077" s="9">
        <f t="array" ref="E1077">XLOOKUP($A1077, Quotations!$G$2:G1756, Quotations!$H$2:H1756, "")
</f>
        <v>115.22</v>
      </c>
      <c r="F1077" s="9">
        <f t="array" ref="F1077">XLOOKUP($A1077, Quotations!$I$2:I1756, Quotations!$J$2:J1756, "")
</f>
        <v>128.28</v>
      </c>
      <c r="G1077" s="9">
        <f t="array" ref="G1077">XLOOKUP($A1077, Quotations!$K$2:K1756, Quotations!$L$2:L1756, "")
</f>
        <v>1434.671</v>
      </c>
    </row>
    <row r="1078">
      <c r="A1078" s="8">
        <v>43203.0</v>
      </c>
      <c r="B1078" s="9">
        <f t="array" ref="B1078">XLOOKUP($A1078, Quotations!$A$2:A1756, Quotations!$B$2:B1756, "")
</f>
        <v>116.26</v>
      </c>
      <c r="C1078" s="9">
        <f t="array" ref="C1078">XLOOKUP($A1078, Quotations!$C$2:C1756, Quotations!$D$2:D1756, "")</f>
        <v>23.98</v>
      </c>
      <c r="D1078" s="9">
        <f t="array" ref="D1078">XLOOKUP($A1078, Quotations!$E$2:E1756, Quotations!$F$2:F1756, "")
</f>
        <v>115.34</v>
      </c>
      <c r="E1078" s="9">
        <f t="array" ref="E1078">XLOOKUP($A1078, Quotations!$G$2:G1756, Quotations!$H$2:H1756, "")
</f>
        <v>115.04</v>
      </c>
      <c r="F1078" s="9">
        <f t="array" ref="F1078">XLOOKUP($A1078, Quotations!$I$2:I1756, Quotations!$J$2:J1756, "")
</f>
        <v>128.42</v>
      </c>
      <c r="G1078" s="9">
        <f t="array" ref="G1078">XLOOKUP($A1078, Quotations!$K$2:K1756, Quotations!$L$2:L1756, "")
</f>
        <v>1437.714</v>
      </c>
    </row>
    <row r="1079">
      <c r="A1079" s="8">
        <v>43206.0</v>
      </c>
      <c r="B1079" s="9">
        <f t="array" ref="B1079">XLOOKUP($A1079, Quotations!$A$2:A1756, Quotations!$B$2:B1756, "")
</f>
        <v>116.14</v>
      </c>
      <c r="C1079" s="9">
        <f t="array" ref="C1079">XLOOKUP($A1079, Quotations!$C$2:C1756, Quotations!$D$2:D1756, "")</f>
        <v>23.96</v>
      </c>
      <c r="D1079" s="9">
        <f t="array" ref="D1079">XLOOKUP($A1079, Quotations!$E$2:E1756, Quotations!$F$2:F1756, "")
</f>
        <v>115.35</v>
      </c>
      <c r="E1079" s="9">
        <f t="array" ref="E1079">XLOOKUP($A1079, Quotations!$G$2:G1756, Quotations!$H$2:H1756, "")
</f>
        <v>115.07</v>
      </c>
      <c r="F1079" s="9">
        <f t="array" ref="F1079">XLOOKUP($A1079, Quotations!$I$2:I1756, Quotations!$J$2:J1756, "")
</f>
        <v>128.44</v>
      </c>
      <c r="G1079" s="9">
        <f t="array" ref="G1079">XLOOKUP($A1079, Quotations!$K$2:K1756, Quotations!$L$2:L1756, "")
</f>
        <v>1434.221</v>
      </c>
    </row>
    <row r="1080">
      <c r="A1080" s="8">
        <v>43207.0</v>
      </c>
      <c r="B1080" s="9">
        <f t="array" ref="B1080">XLOOKUP($A1080, Quotations!$A$2:A1756, Quotations!$B$2:B1756, "")
</f>
        <v>116.44</v>
      </c>
      <c r="C1080" s="9">
        <f t="array" ref="C1080">XLOOKUP($A1080, Quotations!$C$2:C1756, Quotations!$D$2:D1756, "")</f>
        <v>23.97</v>
      </c>
      <c r="D1080" s="9">
        <f t="array" ref="D1080">XLOOKUP($A1080, Quotations!$E$2:E1756, Quotations!$F$2:F1756, "")
</f>
        <v>115.35</v>
      </c>
      <c r="E1080" s="9">
        <f t="array" ref="E1080">XLOOKUP($A1080, Quotations!$G$2:G1756, Quotations!$H$2:H1756, "")
</f>
        <v>115.01</v>
      </c>
      <c r="F1080" s="9">
        <f t="array" ref="F1080">XLOOKUP($A1080, Quotations!$I$2:I1756, Quotations!$J$2:J1756, "")
</f>
        <v>128.43</v>
      </c>
      <c r="G1080" s="9">
        <f t="array" ref="G1080">XLOOKUP($A1080, Quotations!$K$2:K1756, Quotations!$L$2:L1756, "")
</f>
        <v>1431.644</v>
      </c>
    </row>
    <row r="1081">
      <c r="A1081" s="8">
        <v>43208.0</v>
      </c>
      <c r="B1081" s="9">
        <f t="array" ref="B1081">XLOOKUP($A1081, Quotations!$A$2:A1756, Quotations!$B$2:B1756, "")
</f>
        <v>116.53</v>
      </c>
      <c r="C1081" s="9">
        <f t="array" ref="C1081">XLOOKUP($A1081, Quotations!$C$2:C1756, Quotations!$D$2:D1756, "")</f>
        <v>23.97</v>
      </c>
      <c r="D1081" s="9">
        <f t="array" ref="D1081">XLOOKUP($A1081, Quotations!$E$2:E1756, Quotations!$F$2:F1756, "")
</f>
        <v>115.38</v>
      </c>
      <c r="E1081" s="9">
        <f t="array" ref="E1081">XLOOKUP($A1081, Quotations!$G$2:G1756, Quotations!$H$2:H1756, "")
</f>
        <v>115.1</v>
      </c>
      <c r="F1081" s="9">
        <f t="array" ref="F1081">XLOOKUP($A1081, Quotations!$I$2:I1756, Quotations!$J$2:J1756, "")
</f>
        <v>128.65</v>
      </c>
      <c r="G1081" s="9">
        <f t="array" ref="G1081">XLOOKUP($A1081, Quotations!$K$2:K1756, Quotations!$L$2:L1756, "")
</f>
        <v>1438.085</v>
      </c>
    </row>
    <row r="1082">
      <c r="A1082" s="8">
        <v>43209.0</v>
      </c>
      <c r="B1082" s="9">
        <f t="array" ref="B1082">XLOOKUP($A1082, Quotations!$A$2:A1756, Quotations!$B$2:B1756, "")
</f>
        <v>116.42</v>
      </c>
      <c r="C1082" s="9">
        <f t="array" ref="C1082">XLOOKUP($A1082, Quotations!$C$2:C1756, Quotations!$D$2:D1756, "")</f>
        <v>23.96</v>
      </c>
      <c r="D1082" s="9">
        <f t="array" ref="D1082">XLOOKUP($A1082, Quotations!$E$2:E1756, Quotations!$F$2:F1756, "")
</f>
        <v>115.4</v>
      </c>
      <c r="E1082" s="9">
        <f t="array" ref="E1082">XLOOKUP($A1082, Quotations!$G$2:G1756, Quotations!$H$2:H1756, "")
</f>
        <v>114.86</v>
      </c>
      <c r="F1082" s="9">
        <f t="array" ref="F1082">XLOOKUP($A1082, Quotations!$I$2:I1756, Quotations!$J$2:J1756, "")
</f>
        <v>128.73</v>
      </c>
      <c r="G1082" s="9">
        <f t="array" ref="G1082">XLOOKUP($A1082, Quotations!$K$2:K1756, Quotations!$L$2:L1756, "")
</f>
        <v>1442.247</v>
      </c>
    </row>
    <row r="1083">
      <c r="A1083" s="8">
        <v>43210.0</v>
      </c>
      <c r="B1083" s="9">
        <f t="array" ref="B1083">XLOOKUP($A1083, Quotations!$A$2:A1756, Quotations!$B$2:B1756, "")
</f>
        <v>116.44</v>
      </c>
      <c r="C1083" s="9">
        <f t="array" ref="C1083">XLOOKUP($A1083, Quotations!$C$2:C1756, Quotations!$D$2:D1756, "")</f>
        <v>23.97</v>
      </c>
      <c r="D1083" s="9">
        <f t="array" ref="D1083">XLOOKUP($A1083, Quotations!$E$2:E1756, Quotations!$F$2:F1756, "")
</f>
        <v>115.41</v>
      </c>
      <c r="E1083" s="9">
        <f t="array" ref="E1083">XLOOKUP($A1083, Quotations!$G$2:G1756, Quotations!$H$2:H1756, "")
</f>
        <v>114.47</v>
      </c>
      <c r="F1083" s="9">
        <f t="array" ref="F1083">XLOOKUP($A1083, Quotations!$I$2:I1756, Quotations!$J$2:J1756, "")
</f>
        <v>128.71</v>
      </c>
      <c r="G1083" s="9">
        <f t="array" ref="G1083">XLOOKUP($A1083, Quotations!$K$2:K1756, Quotations!$L$2:L1756, "")
</f>
        <v>1437.953</v>
      </c>
    </row>
    <row r="1084">
      <c r="A1084" s="8">
        <v>43213.0</v>
      </c>
      <c r="B1084" s="9">
        <f t="array" ref="B1084">XLOOKUP($A1084, Quotations!$A$2:A1756, Quotations!$B$2:B1756, "")
</f>
        <v>116.41</v>
      </c>
      <c r="C1084" s="9">
        <f t="array" ref="C1084">XLOOKUP($A1084, Quotations!$C$2:C1756, Quotations!$D$2:D1756, "")</f>
        <v>23.97</v>
      </c>
      <c r="D1084" s="9">
        <f t="array" ref="D1084">XLOOKUP($A1084, Quotations!$E$2:E1756, Quotations!$F$2:F1756, "")
</f>
        <v>115.43</v>
      </c>
      <c r="E1084" s="9">
        <f t="array" ref="E1084">XLOOKUP($A1084, Quotations!$G$2:G1756, Quotations!$H$2:H1756, "")
</f>
        <v>114.35</v>
      </c>
      <c r="F1084" s="9">
        <f t="array" ref="F1084">XLOOKUP($A1084, Quotations!$I$2:I1756, Quotations!$J$2:J1756, "")
</f>
        <v>128.55</v>
      </c>
      <c r="G1084" s="9">
        <f t="array" ref="G1084">XLOOKUP($A1084, Quotations!$K$2:K1756, Quotations!$L$2:L1756, "")
</f>
        <v>1434.435</v>
      </c>
    </row>
    <row r="1085">
      <c r="A1085" s="8">
        <v>43214.0</v>
      </c>
      <c r="B1085" s="9">
        <f t="array" ref="B1085">XLOOKUP($A1085, Quotations!$A$2:A1756, Quotations!$B$2:B1756, "")
</f>
        <v>116.27</v>
      </c>
      <c r="C1085" s="9">
        <f t="array" ref="C1085">XLOOKUP($A1085, Quotations!$C$2:C1756, Quotations!$D$2:D1756, "")</f>
        <v>23.96</v>
      </c>
      <c r="D1085" s="9">
        <f t="array" ref="D1085">XLOOKUP($A1085, Quotations!$E$2:E1756, Quotations!$F$2:F1756, "")
</f>
        <v>115.45</v>
      </c>
      <c r="E1085" s="9">
        <f t="array" ref="E1085">XLOOKUP($A1085, Quotations!$G$2:G1756, Quotations!$H$2:H1756, "")
</f>
        <v>114.13</v>
      </c>
      <c r="F1085" s="9">
        <f t="array" ref="F1085">XLOOKUP($A1085, Quotations!$I$2:I1756, Quotations!$J$2:J1756, "")
</f>
        <v>128.58</v>
      </c>
      <c r="G1085" s="9">
        <f t="array" ref="G1085">XLOOKUP($A1085, Quotations!$K$2:K1756, Quotations!$L$2:L1756, "")
</f>
        <v>1433.7015</v>
      </c>
    </row>
    <row r="1086">
      <c r="A1086" s="8">
        <v>43215.0</v>
      </c>
      <c r="B1086" s="9">
        <f t="array" ref="B1086">XLOOKUP($A1086, Quotations!$A$2:A1756, Quotations!$B$2:B1756, "")
</f>
        <v>115.99</v>
      </c>
      <c r="C1086" s="9">
        <f t="array" ref="C1086">XLOOKUP($A1086, Quotations!$C$2:C1756, Quotations!$D$2:D1756, "")</f>
        <v>23.96</v>
      </c>
      <c r="D1086" s="9">
        <f t="array" ref="D1086">XLOOKUP($A1086, Quotations!$E$2:E1756, Quotations!$F$2:F1756, "")
</f>
        <v>115.44</v>
      </c>
      <c r="E1086" s="9">
        <f t="array" ref="E1086">XLOOKUP($A1086, Quotations!$G$2:G1756, Quotations!$H$2:H1756, "")
</f>
        <v>114.11</v>
      </c>
      <c r="F1086" s="9">
        <f t="array" ref="F1086">XLOOKUP($A1086, Quotations!$I$2:I1756, Quotations!$J$2:J1756, "")
</f>
        <v>128.5</v>
      </c>
      <c r="G1086" s="9">
        <f t="array" ref="G1086">XLOOKUP($A1086, Quotations!$K$2:K1756, Quotations!$L$2:L1756, "")
</f>
        <v>1429.0782</v>
      </c>
    </row>
    <row r="1087">
      <c r="A1087" s="8">
        <v>43216.0</v>
      </c>
      <c r="B1087" s="9">
        <f t="array" ref="B1087">XLOOKUP($A1087, Quotations!$A$2:A1756, Quotations!$B$2:B1756, "")
</f>
        <v>116.14</v>
      </c>
      <c r="C1087" s="9">
        <f t="array" ref="C1087">XLOOKUP($A1087, Quotations!$C$2:C1756, Quotations!$D$2:D1756, "")</f>
        <v>23.98</v>
      </c>
      <c r="D1087" s="9">
        <f t="array" ref="D1087">XLOOKUP($A1087, Quotations!$E$2:E1756, Quotations!$F$2:F1756, "")
</f>
        <v>115.42</v>
      </c>
      <c r="E1087" s="9">
        <f t="array" ref="E1087">XLOOKUP($A1087, Quotations!$G$2:G1756, Quotations!$H$2:H1756, "")
</f>
        <v>114</v>
      </c>
      <c r="F1087" s="9">
        <f t="array" ref="F1087">XLOOKUP($A1087, Quotations!$I$2:I1756, Quotations!$J$2:J1756, "")
</f>
        <v>128.32</v>
      </c>
      <c r="G1087" s="9">
        <f t="array" ref="G1087">XLOOKUP($A1087, Quotations!$K$2:K1756, Quotations!$L$2:L1756, "")
</f>
        <v>1424.2535</v>
      </c>
    </row>
    <row r="1088">
      <c r="A1088" s="8">
        <v>43217.0</v>
      </c>
      <c r="B1088" s="9">
        <f t="array" ref="B1088">XLOOKUP($A1088, Quotations!$A$2:A1756, Quotations!$B$2:B1756, "")
</f>
        <v>116.23</v>
      </c>
      <c r="C1088" s="9">
        <f t="array" ref="C1088">XLOOKUP($A1088, Quotations!$C$2:C1756, Quotations!$D$2:D1756, "")</f>
        <v>23.98</v>
      </c>
      <c r="D1088" s="9">
        <f t="array" ref="D1088">XLOOKUP($A1088, Quotations!$E$2:E1756, Quotations!$F$2:F1756, "")
</f>
        <v>115.38</v>
      </c>
      <c r="E1088" s="9">
        <f t="array" ref="E1088">XLOOKUP($A1088, Quotations!$G$2:G1756, Quotations!$H$2:H1756, "")
</f>
        <v>114.25</v>
      </c>
      <c r="F1088" s="9">
        <f t="array" ref="F1088">XLOOKUP($A1088, Quotations!$I$2:I1756, Quotations!$J$2:J1756, "")
</f>
        <v>128.33</v>
      </c>
      <c r="G1088" s="9">
        <f t="array" ref="G1088">XLOOKUP($A1088, Quotations!$K$2:K1756, Quotations!$L$2:L1756, "")
</f>
        <v>1429.4464</v>
      </c>
    </row>
    <row r="1089">
      <c r="A1089" s="8">
        <v>43220.0</v>
      </c>
      <c r="B1089" s="9">
        <f t="array" ref="B1089">XLOOKUP($A1089, Quotations!$A$2:A1756, Quotations!$B$2:B1756, "")
</f>
        <v>116.39</v>
      </c>
      <c r="C1089" s="9">
        <f t="array" ref="C1089">XLOOKUP($A1089, Quotations!$C$2:C1756, Quotations!$D$2:D1756, "")</f>
        <v>23.98</v>
      </c>
      <c r="D1089" s="9">
        <f t="array" ref="D1089">XLOOKUP($A1089, Quotations!$E$2:E1756, Quotations!$F$2:F1756, "")
</f>
        <v>115.42</v>
      </c>
      <c r="E1089" s="9">
        <f t="array" ref="E1089">XLOOKUP($A1089, Quotations!$G$2:G1756, Quotations!$H$2:H1756, "")
</f>
        <v>114.44</v>
      </c>
      <c r="F1089" s="9">
        <f t="array" ref="F1089">XLOOKUP($A1089, Quotations!$I$2:I1756, Quotations!$J$2:J1756, "")
</f>
        <v>128.34</v>
      </c>
      <c r="G1089" s="9">
        <f t="array" ref="G1089">XLOOKUP($A1089, Quotations!$K$2:K1756, Quotations!$L$2:L1756, "")
</f>
        <v>1428.251</v>
      </c>
    </row>
    <row r="1090">
      <c r="A1090" s="8">
        <v>43222.0</v>
      </c>
      <c r="B1090" s="9">
        <f t="array" ref="B1090">XLOOKUP($A1090, Quotations!$A$2:A1756, Quotations!$B$2:B1756, "")
</f>
        <v>116.7</v>
      </c>
      <c r="C1090" s="9">
        <f t="array" ref="C1090">XLOOKUP($A1090, Quotations!$C$2:C1756, Quotations!$D$2:D1756, "")</f>
        <v>23.99</v>
      </c>
      <c r="D1090" s="9">
        <f t="array" ref="D1090">XLOOKUP($A1090, Quotations!$E$2:E1756, Quotations!$F$2:F1756, "")
</f>
        <v>115.41</v>
      </c>
      <c r="E1090" s="9">
        <f t="array" ref="E1090">XLOOKUP($A1090, Quotations!$G$2:G1756, Quotations!$H$2:H1756, "")
</f>
        <v>114.49</v>
      </c>
      <c r="F1090" s="9">
        <f t="array" ref="F1090">XLOOKUP($A1090, Quotations!$I$2:I1756, Quotations!$J$2:J1756, "")
</f>
        <v>128.33</v>
      </c>
      <c r="G1090" s="9">
        <f t="array" ref="G1090">XLOOKUP($A1090, Quotations!$K$2:K1756, Quotations!$L$2:L1756, "")
</f>
        <v>1425.8887</v>
      </c>
    </row>
    <row r="1091">
      <c r="A1091" s="8">
        <v>43223.0</v>
      </c>
      <c r="B1091" s="9">
        <f t="array" ref="B1091">XLOOKUP($A1091, Quotations!$A$2:A1756, Quotations!$B$2:B1756, "")
</f>
        <v>116.58</v>
      </c>
      <c r="C1091" s="9">
        <f t="array" ref="C1091">XLOOKUP($A1091, Quotations!$C$2:C1756, Quotations!$D$2:D1756, "")</f>
        <v>24</v>
      </c>
      <c r="D1091" s="9">
        <f t="array" ref="D1091">XLOOKUP($A1091, Quotations!$E$2:E1756, Quotations!$F$2:F1756, "")
</f>
        <v>115.33</v>
      </c>
      <c r="E1091" s="9">
        <f t="array" ref="E1091">XLOOKUP($A1091, Quotations!$G$2:G1756, Quotations!$H$2:H1756, "")
</f>
        <v>114.41</v>
      </c>
      <c r="F1091" s="9">
        <f t="array" ref="F1091">XLOOKUP($A1091, Quotations!$I$2:I1756, Quotations!$J$2:J1756, "")
</f>
        <v>128.18</v>
      </c>
      <c r="G1091" s="9">
        <f t="array" ref="G1091">XLOOKUP($A1091, Quotations!$K$2:K1756, Quotations!$L$2:L1756, "")
</f>
        <v>1425.9613</v>
      </c>
    </row>
    <row r="1092">
      <c r="A1092" s="8">
        <v>43224.0</v>
      </c>
      <c r="B1092" s="9">
        <f t="array" ref="B1092">XLOOKUP($A1092, Quotations!$A$2:A1756, Quotations!$B$2:B1756, "")
</f>
        <v>116.73</v>
      </c>
      <c r="C1092" s="9">
        <f t="array" ref="C1092">XLOOKUP($A1092, Quotations!$C$2:C1756, Quotations!$D$2:D1756, "")</f>
        <v>24.01</v>
      </c>
      <c r="D1092" s="9">
        <f t="array" ref="D1092">XLOOKUP($A1092, Quotations!$E$2:E1756, Quotations!$F$2:F1756, "")
</f>
        <v>115.3</v>
      </c>
      <c r="E1092" s="9">
        <f t="array" ref="E1092">XLOOKUP($A1092, Quotations!$G$2:G1756, Quotations!$H$2:H1756, "")
</f>
        <v>114.63</v>
      </c>
      <c r="F1092" s="9">
        <f t="array" ref="F1092">XLOOKUP($A1092, Quotations!$I$2:I1756, Quotations!$J$2:J1756, "")
</f>
        <v>128.09</v>
      </c>
      <c r="G1092" s="9">
        <f t="array" ref="G1092">XLOOKUP($A1092, Quotations!$K$2:K1756, Quotations!$L$2:L1756, "")
</f>
        <v>1424.0153</v>
      </c>
    </row>
    <row r="1093">
      <c r="A1093" s="8">
        <v>43227.0</v>
      </c>
      <c r="B1093" s="9">
        <f t="array" ref="B1093">XLOOKUP($A1093, Quotations!$A$2:A1756, Quotations!$B$2:B1756, "")
</f>
        <v>116.99</v>
      </c>
      <c r="C1093" s="9">
        <f t="array" ref="C1093">XLOOKUP($A1093, Quotations!$C$2:C1756, Quotations!$D$2:D1756, "")</f>
        <v>24.02</v>
      </c>
      <c r="D1093" s="9">
        <f t="array" ref="D1093">XLOOKUP($A1093, Quotations!$E$2:E1756, Quotations!$F$2:F1756, "")
</f>
        <v>115.32</v>
      </c>
      <c r="E1093" s="9">
        <f t="array" ref="E1093">XLOOKUP($A1093, Quotations!$G$2:G1756, Quotations!$H$2:H1756, "")
</f>
        <v>114.55</v>
      </c>
      <c r="F1093" s="9">
        <f t="array" ref="F1093">XLOOKUP($A1093, Quotations!$I$2:I1756, Quotations!$J$2:J1756, "")
</f>
        <v>128.2</v>
      </c>
      <c r="G1093" s="9" t="str">
        <f t="array" ref="G1093">XLOOKUP($A1093, Quotations!$K$2:K1756, Quotations!$L$2:L1756, "")
</f>
        <v/>
      </c>
    </row>
    <row r="1094">
      <c r="A1094" s="8">
        <v>43228.0</v>
      </c>
      <c r="B1094" s="9" t="str">
        <f t="array" ref="B1094">XLOOKUP($A1094, Quotations!$A$2:A1756, Quotations!$B$2:B1756, "")
</f>
        <v/>
      </c>
      <c r="C1094" s="9">
        <f t="array" ref="C1094">XLOOKUP($A1094, Quotations!$C$2:C1756, Quotations!$D$2:D1756, "")</f>
        <v>24.02</v>
      </c>
      <c r="D1094" s="9">
        <f t="array" ref="D1094">XLOOKUP($A1094, Quotations!$E$2:E1756, Quotations!$F$2:F1756, "")
</f>
        <v>115.32</v>
      </c>
      <c r="E1094" s="9">
        <f t="array" ref="E1094">XLOOKUP($A1094, Quotations!$G$2:G1756, Quotations!$H$2:H1756, "")
</f>
        <v>114.59</v>
      </c>
      <c r="F1094" s="9">
        <f t="array" ref="F1094">XLOOKUP($A1094, Quotations!$I$2:I1756, Quotations!$J$2:J1756, "")
</f>
        <v>128.33</v>
      </c>
      <c r="G1094" s="9">
        <f t="array" ref="G1094">XLOOKUP($A1094, Quotations!$K$2:K1756, Quotations!$L$2:L1756, "")
</f>
        <v>1437.0566</v>
      </c>
    </row>
    <row r="1095">
      <c r="A1095" s="8">
        <v>43229.0</v>
      </c>
      <c r="B1095" s="9">
        <f t="array" ref="B1095">XLOOKUP($A1095, Quotations!$A$2:A1756, Quotations!$B$2:B1756, "")
</f>
        <v>116.96</v>
      </c>
      <c r="C1095" s="9">
        <f t="array" ref="C1095">XLOOKUP($A1095, Quotations!$C$2:C1756, Quotations!$D$2:D1756, "")</f>
        <v>24.02</v>
      </c>
      <c r="D1095" s="9">
        <f t="array" ref="D1095">XLOOKUP($A1095, Quotations!$E$2:E1756, Quotations!$F$2:F1756, "")
</f>
        <v>115.29</v>
      </c>
      <c r="E1095" s="9">
        <f t="array" ref="E1095">XLOOKUP($A1095, Quotations!$G$2:G1756, Quotations!$H$2:H1756, "")
</f>
        <v>114.4</v>
      </c>
      <c r="F1095" s="9">
        <f t="array" ref="F1095">XLOOKUP($A1095, Quotations!$I$2:I1756, Quotations!$J$2:J1756, "")
</f>
        <v>128.45</v>
      </c>
      <c r="G1095" s="9">
        <f t="array" ref="G1095">XLOOKUP($A1095, Quotations!$K$2:K1756, Quotations!$L$2:L1756, "")
</f>
        <v>1437.3278</v>
      </c>
    </row>
    <row r="1096">
      <c r="A1096" s="8">
        <v>43231.0</v>
      </c>
      <c r="B1096" s="9">
        <f t="array" ref="B1096">XLOOKUP($A1096, Quotations!$A$2:A1756, Quotations!$B$2:B1756, "")
</f>
        <v>117.04</v>
      </c>
      <c r="C1096" s="9">
        <f t="array" ref="C1096">XLOOKUP($A1096, Quotations!$C$2:C1756, Quotations!$D$2:D1756, "")</f>
        <v>24.01</v>
      </c>
      <c r="D1096" s="9">
        <f t="array" ref="D1096">XLOOKUP($A1096, Quotations!$E$2:E1756, Quotations!$F$2:F1756, "")
</f>
        <v>115.31</v>
      </c>
      <c r="E1096" s="9">
        <f t="array" ref="E1096">XLOOKUP($A1096, Quotations!$G$2:G1756, Quotations!$H$2:H1756, "")
</f>
        <v>114.32</v>
      </c>
      <c r="F1096" s="9">
        <f t="array" ref="F1096">XLOOKUP($A1096, Quotations!$I$2:I1756, Quotations!$J$2:J1756, "")
</f>
        <v>128.57</v>
      </c>
      <c r="G1096" s="9">
        <f t="array" ref="G1096">XLOOKUP($A1096, Quotations!$K$2:K1756, Quotations!$L$2:L1756, "")
</f>
        <v>1446.706</v>
      </c>
    </row>
    <row r="1097">
      <c r="A1097" s="8">
        <v>43234.0</v>
      </c>
      <c r="B1097" s="9">
        <f t="array" ref="B1097">XLOOKUP($A1097, Quotations!$A$2:A1756, Quotations!$B$2:B1756, "")
</f>
        <v>116.96</v>
      </c>
      <c r="C1097" s="9">
        <f t="array" ref="C1097">XLOOKUP($A1097, Quotations!$C$2:C1756, Quotations!$D$2:D1756, "")</f>
        <v>24</v>
      </c>
      <c r="D1097" s="9">
        <f t="array" ref="D1097">XLOOKUP($A1097, Quotations!$E$2:E1756, Quotations!$F$2:F1756, "")
</f>
        <v>115.32</v>
      </c>
      <c r="E1097" s="9">
        <f t="array" ref="E1097">XLOOKUP($A1097, Quotations!$G$2:G1756, Quotations!$H$2:H1756, "")
</f>
        <v>114.35</v>
      </c>
      <c r="F1097" s="9">
        <f t="array" ref="F1097">XLOOKUP($A1097, Quotations!$I$2:I1756, Quotations!$J$2:J1756, "")
</f>
        <v>128.6</v>
      </c>
      <c r="G1097" s="9">
        <f t="array" ref="G1097">XLOOKUP($A1097, Quotations!$K$2:K1756, Quotations!$L$2:L1756, "")
</f>
        <v>1446.647</v>
      </c>
    </row>
    <row r="1098">
      <c r="A1098" s="8">
        <v>43235.0</v>
      </c>
      <c r="B1098" s="9">
        <f t="array" ref="B1098">XLOOKUP($A1098, Quotations!$A$2:A1756, Quotations!$B$2:B1756, "")
</f>
        <v>116.73</v>
      </c>
      <c r="C1098" s="9">
        <f t="array" ref="C1098">XLOOKUP($A1098, Quotations!$C$2:C1756, Quotations!$D$2:D1756, "")</f>
        <v>24.01</v>
      </c>
      <c r="D1098" s="9">
        <f t="array" ref="D1098">XLOOKUP($A1098, Quotations!$E$2:E1756, Quotations!$F$2:F1756, "")
</f>
        <v>115.3</v>
      </c>
      <c r="E1098" s="9">
        <f t="array" ref="E1098">XLOOKUP($A1098, Quotations!$G$2:G1756, Quotations!$H$2:H1756, "")
</f>
        <v>114.16</v>
      </c>
      <c r="F1098" s="9">
        <f t="array" ref="F1098">XLOOKUP($A1098, Quotations!$I$2:I1756, Quotations!$J$2:J1756, "")
</f>
        <v>128.77</v>
      </c>
      <c r="G1098" s="9">
        <f t="array" ref="G1098">XLOOKUP($A1098, Quotations!$K$2:K1756, Quotations!$L$2:L1756, "")
</f>
        <v>1449.02</v>
      </c>
    </row>
    <row r="1099">
      <c r="A1099" s="8">
        <v>43236.0</v>
      </c>
      <c r="B1099" s="9">
        <f t="array" ref="B1099">XLOOKUP($A1099, Quotations!$A$2:A1756, Quotations!$B$2:B1756, "")
</f>
        <v>116.59</v>
      </c>
      <c r="C1099" s="9">
        <f t="array" ref="C1099">XLOOKUP($A1099, Quotations!$C$2:C1756, Quotations!$D$2:D1756, "")</f>
        <v>24.03</v>
      </c>
      <c r="D1099" s="9">
        <f t="array" ref="D1099">XLOOKUP($A1099, Quotations!$E$2:E1756, Quotations!$F$2:F1756, "")
</f>
        <v>115.29</v>
      </c>
      <c r="E1099" s="9">
        <f t="array" ref="E1099">XLOOKUP($A1099, Quotations!$G$2:G1756, Quotations!$H$2:H1756, "")
</f>
        <v>113.92</v>
      </c>
      <c r="F1099" s="9">
        <f t="array" ref="F1099">XLOOKUP($A1099, Quotations!$I$2:I1756, Quotations!$J$2:J1756, "")
</f>
        <v>128.68</v>
      </c>
      <c r="G1099" s="9">
        <f t="array" ref="G1099">XLOOKUP($A1099, Quotations!$K$2:K1756, Quotations!$L$2:L1756, "")
</f>
        <v>1448.052</v>
      </c>
    </row>
    <row r="1100">
      <c r="A1100" s="8">
        <v>43237.0</v>
      </c>
      <c r="B1100" s="9">
        <f t="array" ref="B1100">XLOOKUP($A1100, Quotations!$A$2:A1756, Quotations!$B$2:B1756, "")
</f>
        <v>116.7</v>
      </c>
      <c r="C1100" s="9">
        <f t="array" ref="C1100">XLOOKUP($A1100, Quotations!$C$2:C1756, Quotations!$D$2:D1756, "")</f>
        <v>24.02</v>
      </c>
      <c r="D1100" s="9">
        <f t="array" ref="D1100">XLOOKUP($A1100, Quotations!$E$2:E1756, Quotations!$F$2:F1756, "")
</f>
        <v>115.28</v>
      </c>
      <c r="E1100" s="9">
        <f t="array" ref="E1100">XLOOKUP($A1100, Quotations!$G$2:G1756, Quotations!$H$2:H1756, "")
</f>
        <v>113.93</v>
      </c>
      <c r="F1100" s="9">
        <f t="array" ref="F1100">XLOOKUP($A1100, Quotations!$I$2:I1756, Quotations!$J$2:J1756, "")
</f>
        <v>128.75</v>
      </c>
      <c r="G1100" s="9">
        <f t="array" ref="G1100">XLOOKUP($A1100, Quotations!$K$2:K1756, Quotations!$L$2:L1756, "")
</f>
        <v>1448.911</v>
      </c>
    </row>
    <row r="1101">
      <c r="A1101" s="8">
        <v>43238.0</v>
      </c>
      <c r="B1101" s="9">
        <f t="array" ref="B1101">XLOOKUP($A1101, Quotations!$A$2:A1756, Quotations!$B$2:B1756, "")
</f>
        <v>116.59</v>
      </c>
      <c r="C1101" s="9">
        <f t="array" ref="C1101">XLOOKUP($A1101, Quotations!$C$2:C1756, Quotations!$D$2:D1756, "")</f>
        <v>24.03</v>
      </c>
      <c r="D1101" s="9">
        <f t="array" ref="D1101">XLOOKUP($A1101, Quotations!$E$2:E1756, Quotations!$F$2:F1756, "")
</f>
        <v>115.26</v>
      </c>
      <c r="E1101" s="9">
        <f t="array" ref="E1101">XLOOKUP($A1101, Quotations!$G$2:G1756, Quotations!$H$2:H1756, "")
</f>
        <v>113.86</v>
      </c>
      <c r="F1101" s="9">
        <f t="array" ref="F1101">XLOOKUP($A1101, Quotations!$I$2:I1756, Quotations!$J$2:J1756, "")
</f>
        <v>128.6</v>
      </c>
      <c r="G1101" s="9">
        <f t="array" ref="G1101">XLOOKUP($A1101, Quotations!$K$2:K1756, Quotations!$L$2:L1756, "")
</f>
        <v>1451.073</v>
      </c>
    </row>
    <row r="1102">
      <c r="A1102" s="8">
        <v>43242.0</v>
      </c>
      <c r="B1102" s="9">
        <f t="array" ref="B1102">XLOOKUP($A1102, Quotations!$A$2:A1756, Quotations!$B$2:B1756, "")
</f>
        <v>116.7</v>
      </c>
      <c r="C1102" s="9">
        <f t="array" ref="C1102">XLOOKUP($A1102, Quotations!$C$2:C1756, Quotations!$D$2:D1756, "")</f>
        <v>24.03</v>
      </c>
      <c r="D1102" s="9">
        <f t="array" ref="D1102">XLOOKUP($A1102, Quotations!$E$2:E1756, Quotations!$F$2:F1756, "")
</f>
        <v>115.29</v>
      </c>
      <c r="E1102" s="9">
        <f t="array" ref="E1102">XLOOKUP($A1102, Quotations!$G$2:G1756, Quotations!$H$2:H1756, "")
</f>
        <v>114.01</v>
      </c>
      <c r="F1102" s="9">
        <f t="array" ref="F1102">XLOOKUP($A1102, Quotations!$I$2:I1756, Quotations!$J$2:J1756, "")
</f>
        <v>128.59</v>
      </c>
      <c r="G1102" s="9">
        <f t="array" ref="G1102">XLOOKUP($A1102, Quotations!$K$2:K1756, Quotations!$L$2:L1756, "")
</f>
        <v>1452.147</v>
      </c>
    </row>
    <row r="1103">
      <c r="A1103" s="8">
        <v>43243.0</v>
      </c>
      <c r="B1103" s="9">
        <f t="array" ref="B1103">XLOOKUP($A1103, Quotations!$A$2:A1756, Quotations!$B$2:B1756, "")
</f>
        <v>116.2</v>
      </c>
      <c r="C1103" s="9">
        <f t="array" ref="C1103">XLOOKUP($A1103, Quotations!$C$2:C1756, Quotations!$D$2:D1756, "")</f>
        <v>24.04</v>
      </c>
      <c r="D1103" s="9">
        <f t="array" ref="D1103">XLOOKUP($A1103, Quotations!$E$2:E1756, Quotations!$F$2:F1756, "")
</f>
        <v>115.3</v>
      </c>
      <c r="E1103" s="9">
        <f t="array" ref="E1103">XLOOKUP($A1103, Quotations!$G$2:G1756, Quotations!$H$2:H1756, "")
</f>
        <v>114.03</v>
      </c>
      <c r="F1103" s="9">
        <f t="array" ref="F1103">XLOOKUP($A1103, Quotations!$I$2:I1756, Quotations!$J$2:J1756, "")
</f>
        <v>128.43</v>
      </c>
      <c r="G1103" s="9">
        <f t="array" ref="G1103">XLOOKUP($A1103, Quotations!$K$2:K1756, Quotations!$L$2:L1756, "")
</f>
        <v>1448.559</v>
      </c>
    </row>
    <row r="1104">
      <c r="A1104" s="8">
        <v>43244.0</v>
      </c>
      <c r="B1104" s="9">
        <f t="array" ref="B1104">XLOOKUP($A1104, Quotations!$A$2:A1756, Quotations!$B$2:B1756, "")
</f>
        <v>116</v>
      </c>
      <c r="C1104" s="9">
        <f t="array" ref="C1104">XLOOKUP($A1104, Quotations!$C$2:C1756, Quotations!$D$2:D1756, "")</f>
        <v>24.04</v>
      </c>
      <c r="D1104" s="9">
        <f t="array" ref="D1104">XLOOKUP($A1104, Quotations!$E$2:E1756, Quotations!$F$2:F1756, "")
</f>
        <v>115.27</v>
      </c>
      <c r="E1104" s="9">
        <f t="array" ref="E1104">XLOOKUP($A1104, Quotations!$G$2:G1756, Quotations!$H$2:H1756, "")
</f>
        <v>114.39</v>
      </c>
      <c r="F1104" s="9">
        <f t="array" ref="F1104">XLOOKUP($A1104, Quotations!$I$2:I1756, Quotations!$J$2:J1756, "")
</f>
        <v>128.25</v>
      </c>
      <c r="G1104" s="9">
        <f t="array" ref="G1104">XLOOKUP($A1104, Quotations!$K$2:K1756, Quotations!$L$2:L1756, "")
</f>
        <v>1443.801</v>
      </c>
    </row>
    <row r="1105">
      <c r="A1105" s="8">
        <v>43245.0</v>
      </c>
      <c r="B1105" s="9">
        <f t="array" ref="B1105">XLOOKUP($A1105, Quotations!$A$2:A1756, Quotations!$B$2:B1756, "")
</f>
        <v>116.02</v>
      </c>
      <c r="C1105" s="9">
        <f t="array" ref="C1105">XLOOKUP($A1105, Quotations!$C$2:C1756, Quotations!$D$2:D1756, "")</f>
        <v>24.06</v>
      </c>
      <c r="D1105" s="9">
        <f t="array" ref="D1105">XLOOKUP($A1105, Quotations!$E$2:E1756, Quotations!$F$2:F1756, "")
</f>
        <v>115.25</v>
      </c>
      <c r="E1105" s="9">
        <f t="array" ref="E1105">XLOOKUP($A1105, Quotations!$G$2:G1756, Quotations!$H$2:H1756, "")
</f>
        <v>114.55</v>
      </c>
      <c r="F1105" s="9">
        <f t="array" ref="F1105">XLOOKUP($A1105, Quotations!$I$2:I1756, Quotations!$J$2:J1756, "")
</f>
        <v>128.15</v>
      </c>
      <c r="G1105" s="9">
        <f t="array" ref="G1105">XLOOKUP($A1105, Quotations!$K$2:K1756, Quotations!$L$2:L1756, "")
</f>
        <v>1442.911</v>
      </c>
    </row>
    <row r="1106">
      <c r="A1106" s="8">
        <v>43248.0</v>
      </c>
      <c r="B1106" s="9">
        <f t="array" ref="B1106">XLOOKUP($A1106, Quotations!$A$2:A1756, Quotations!$B$2:B1756, "")
</f>
        <v>115.85</v>
      </c>
      <c r="C1106" s="9">
        <f t="array" ref="C1106">XLOOKUP($A1106, Quotations!$C$2:C1756, Quotations!$D$2:D1756, "")</f>
        <v>24.05</v>
      </c>
      <c r="D1106" s="9">
        <f t="array" ref="D1106">XLOOKUP($A1106, Quotations!$E$2:E1756, Quotations!$F$2:F1756, "")
</f>
        <v>115.22</v>
      </c>
      <c r="E1106" s="9">
        <f t="array" ref="E1106">XLOOKUP($A1106, Quotations!$G$2:G1756, Quotations!$H$2:H1756, "")
</f>
        <v>114.79</v>
      </c>
      <c r="F1106" s="9">
        <f t="array" ref="F1106">XLOOKUP($A1106, Quotations!$I$2:I1756, Quotations!$J$2:J1756, "")
</f>
        <v>128.02</v>
      </c>
      <c r="G1106" s="9" t="str">
        <f t="array" ref="G1106">XLOOKUP($A1106, Quotations!$K$2:K1756, Quotations!$L$2:L1756, "")
</f>
        <v/>
      </c>
    </row>
    <row r="1107">
      <c r="A1107" s="8">
        <v>43249.0</v>
      </c>
      <c r="B1107" s="9">
        <f t="array" ref="B1107">XLOOKUP($A1107, Quotations!$A$2:A1756, Quotations!$B$2:B1756, "")
</f>
        <v>115.3</v>
      </c>
      <c r="C1107" s="9">
        <f t="array" ref="C1107">XLOOKUP($A1107, Quotations!$C$2:C1756, Quotations!$D$2:D1756, "")</f>
        <v>24.04</v>
      </c>
      <c r="D1107" s="9">
        <f t="array" ref="D1107">XLOOKUP($A1107, Quotations!$E$2:E1756, Quotations!$F$2:F1756, "")
</f>
        <v>115.23</v>
      </c>
      <c r="E1107" s="9">
        <f t="array" ref="E1107">XLOOKUP($A1107, Quotations!$G$2:G1756, Quotations!$H$2:H1756, "")
</f>
        <v>114.91</v>
      </c>
      <c r="F1107" s="9">
        <f t="array" ref="F1107">XLOOKUP($A1107, Quotations!$I$2:I1756, Quotations!$J$2:J1756, "")
</f>
        <v>128.01</v>
      </c>
      <c r="G1107" s="9">
        <f t="array" ref="G1107">XLOOKUP($A1107, Quotations!$K$2:K1756, Quotations!$L$2:L1756, "")
</f>
        <v>1441.571</v>
      </c>
    </row>
    <row r="1108">
      <c r="A1108" s="8">
        <v>43250.0</v>
      </c>
      <c r="B1108" s="9">
        <f t="array" ref="B1108">XLOOKUP($A1108, Quotations!$A$2:A1756, Quotations!$B$2:B1756, "")
</f>
        <v>115.22</v>
      </c>
      <c r="C1108" s="9">
        <f t="array" ref="C1108">XLOOKUP($A1108, Quotations!$C$2:C1756, Quotations!$D$2:D1756, "")</f>
        <v>24.03</v>
      </c>
      <c r="D1108" s="9">
        <f t="array" ref="D1108">XLOOKUP($A1108, Quotations!$E$2:E1756, Quotations!$F$2:F1756, "")
</f>
        <v>115.22</v>
      </c>
      <c r="E1108" s="9">
        <f t="array" ref="E1108">XLOOKUP($A1108, Quotations!$G$2:G1756, Quotations!$H$2:H1756, "")
</f>
        <v>115.48</v>
      </c>
      <c r="F1108" s="9">
        <f t="array" ref="F1108">XLOOKUP($A1108, Quotations!$I$2:I1756, Quotations!$J$2:J1756, "")
</f>
        <v>127.69</v>
      </c>
      <c r="G1108" s="9">
        <f t="array" ref="G1108">XLOOKUP($A1108, Quotations!$K$2:K1756, Quotations!$L$2:L1756, "")
</f>
        <v>1434.616</v>
      </c>
    </row>
    <row r="1109">
      <c r="A1109" s="8">
        <v>43251.0</v>
      </c>
      <c r="B1109" s="9">
        <f t="array" ref="B1109">XLOOKUP($A1109, Quotations!$A$2:A1756, Quotations!$B$2:B1756, "")
</f>
        <v>115.09</v>
      </c>
      <c r="C1109" s="9">
        <f t="array" ref="C1109">XLOOKUP($A1109, Quotations!$C$2:C1756, Quotations!$D$2:D1756, "")</f>
        <v>24.03</v>
      </c>
      <c r="D1109" s="9">
        <f t="array" ref="D1109">XLOOKUP($A1109, Quotations!$E$2:E1756, Quotations!$F$2:F1756, "")
</f>
        <v>115.17</v>
      </c>
      <c r="E1109" s="9">
        <f t="array" ref="E1109">XLOOKUP($A1109, Quotations!$G$2:G1756, Quotations!$H$2:H1756, "")
</f>
        <v>115.12</v>
      </c>
      <c r="F1109" s="9">
        <f t="array" ref="F1109">XLOOKUP($A1109, Quotations!$I$2:I1756, Quotations!$J$2:J1756, "")
</f>
        <v>127.47</v>
      </c>
      <c r="G1109" s="9">
        <f t="array" ref="G1109">XLOOKUP($A1109, Quotations!$K$2:K1756, Quotations!$L$2:L1756, "")
</f>
        <v>1438.424</v>
      </c>
    </row>
    <row r="1110">
      <c r="A1110" s="8">
        <v>43252.0</v>
      </c>
      <c r="B1110" s="9">
        <f t="array" ref="B1110">XLOOKUP($A1110, Quotations!$A$2:A1756, Quotations!$B$2:B1756, "")
</f>
        <v>115.27</v>
      </c>
      <c r="C1110" s="9">
        <f t="array" ref="C1110">XLOOKUP($A1110, Quotations!$C$2:C1756, Quotations!$D$2:D1756, "")</f>
        <v>24.02</v>
      </c>
      <c r="D1110" s="9">
        <f t="array" ref="D1110">XLOOKUP($A1110, Quotations!$E$2:E1756, Quotations!$F$2:F1756, "")
</f>
        <v>115.16</v>
      </c>
      <c r="E1110" s="9">
        <f t="array" ref="E1110">XLOOKUP($A1110, Quotations!$G$2:G1756, Quotations!$H$2:H1756, "")
</f>
        <v>115.27</v>
      </c>
      <c r="F1110" s="9">
        <f t="array" ref="F1110">XLOOKUP($A1110, Quotations!$I$2:I1756, Quotations!$J$2:J1756, "")
</f>
        <v>127.64</v>
      </c>
      <c r="G1110" s="9">
        <f t="array" ref="G1110">XLOOKUP($A1110, Quotations!$K$2:K1756, Quotations!$L$2:L1756, "")
</f>
        <v>1437.099</v>
      </c>
    </row>
    <row r="1111">
      <c r="A1111" s="8">
        <v>43255.0</v>
      </c>
      <c r="B1111" s="9">
        <f t="array" ref="B1111">XLOOKUP($A1111, Quotations!$A$2:A1756, Quotations!$B$2:B1756, "")
</f>
        <v>115.46</v>
      </c>
      <c r="C1111" s="9">
        <f t="array" ref="C1111">XLOOKUP($A1111, Quotations!$C$2:C1756, Quotations!$D$2:D1756, "")</f>
        <v>24.03</v>
      </c>
      <c r="D1111" s="9">
        <f t="array" ref="D1111">XLOOKUP($A1111, Quotations!$E$2:E1756, Quotations!$F$2:F1756, "")
</f>
        <v>115.2</v>
      </c>
      <c r="E1111" s="9">
        <f t="array" ref="E1111">XLOOKUP($A1111, Quotations!$G$2:G1756, Quotations!$H$2:H1756, "")
</f>
        <v>115.01</v>
      </c>
      <c r="F1111" s="9">
        <f t="array" ref="F1111">XLOOKUP($A1111, Quotations!$I$2:I1756, Quotations!$J$2:J1756, "")
</f>
        <v>127.77</v>
      </c>
      <c r="G1111" s="9">
        <f t="array" ref="G1111">XLOOKUP($A1111, Quotations!$K$2:K1756, Quotations!$L$2:L1756, "")
</f>
        <v>1444.782</v>
      </c>
    </row>
    <row r="1112">
      <c r="A1112" s="8">
        <v>43256.0</v>
      </c>
      <c r="B1112" s="9">
        <f t="array" ref="B1112">XLOOKUP($A1112, Quotations!$A$2:A1756, Quotations!$B$2:B1756, "")
</f>
        <v>115.49</v>
      </c>
      <c r="C1112" s="9">
        <f t="array" ref="C1112">XLOOKUP($A1112, Quotations!$C$2:C1756, Quotations!$D$2:D1756, "")</f>
        <v>24.03</v>
      </c>
      <c r="D1112" s="9">
        <f t="array" ref="D1112">XLOOKUP($A1112, Quotations!$E$2:E1756, Quotations!$F$2:F1756, "")
</f>
        <v>115.18</v>
      </c>
      <c r="E1112" s="9">
        <f t="array" ref="E1112">XLOOKUP($A1112, Quotations!$G$2:G1756, Quotations!$H$2:H1756, "")
</f>
        <v>115.02</v>
      </c>
      <c r="F1112" s="9">
        <f t="array" ref="F1112">XLOOKUP($A1112, Quotations!$I$2:I1756, Quotations!$J$2:J1756, "")
</f>
        <v>127.98</v>
      </c>
      <c r="G1112" s="9">
        <f t="array" ref="G1112">XLOOKUP($A1112, Quotations!$K$2:K1756, Quotations!$L$2:L1756, "")
</f>
        <v>1448.735</v>
      </c>
    </row>
    <row r="1113">
      <c r="A1113" s="8">
        <v>43257.0</v>
      </c>
      <c r="B1113" s="9">
        <f t="array" ref="B1113">XLOOKUP($A1113, Quotations!$A$2:A1756, Quotations!$B$2:B1756, "")
</f>
        <v>115.58</v>
      </c>
      <c r="C1113" s="9">
        <f t="array" ref="C1113">XLOOKUP($A1113, Quotations!$C$2:C1756, Quotations!$D$2:D1756, "")</f>
        <v>23.98</v>
      </c>
      <c r="D1113" s="9">
        <f t="array" ref="D1113">XLOOKUP($A1113, Quotations!$E$2:E1756, Quotations!$F$2:F1756, "")
</f>
        <v>115.23</v>
      </c>
      <c r="E1113" s="9">
        <f t="array" ref="E1113">XLOOKUP($A1113, Quotations!$G$2:G1756, Quotations!$H$2:H1756, "")
</f>
        <v>115.22</v>
      </c>
      <c r="F1113" s="9">
        <f t="array" ref="F1113">XLOOKUP($A1113, Quotations!$I$2:I1756, Quotations!$J$2:J1756, "")
</f>
        <v>128.19</v>
      </c>
      <c r="G1113" s="9">
        <f t="array" ref="G1113">XLOOKUP($A1113, Quotations!$K$2:K1756, Quotations!$L$2:L1756, "")
</f>
        <v>1451.512</v>
      </c>
    </row>
    <row r="1114">
      <c r="A1114" s="8">
        <v>43258.0</v>
      </c>
      <c r="B1114" s="9">
        <f t="array" ref="B1114">XLOOKUP($A1114, Quotations!$A$2:A1756, Quotations!$B$2:B1756, "")
</f>
        <v>115.49</v>
      </c>
      <c r="C1114" s="9">
        <f t="array" ref="C1114">XLOOKUP($A1114, Quotations!$C$2:C1756, Quotations!$D$2:D1756, "")</f>
        <v>23.97</v>
      </c>
      <c r="D1114" s="9">
        <f t="array" ref="D1114">XLOOKUP($A1114, Quotations!$E$2:E1756, Quotations!$F$2:F1756, "")
</f>
        <v>115.23</v>
      </c>
      <c r="E1114" s="9">
        <f t="array" ref="E1114">XLOOKUP($A1114, Quotations!$G$2:G1756, Quotations!$H$2:H1756, "")
</f>
        <v>114.72</v>
      </c>
      <c r="F1114" s="9">
        <f t="array" ref="F1114">XLOOKUP($A1114, Quotations!$I$2:I1756, Quotations!$J$2:J1756, "")
</f>
        <v>128.12</v>
      </c>
      <c r="G1114" s="9">
        <f t="array" ref="G1114">XLOOKUP($A1114, Quotations!$K$2:K1756, Quotations!$L$2:L1756, "")
</f>
        <v>1455.28</v>
      </c>
    </row>
    <row r="1115">
      <c r="A1115" s="8">
        <v>43259.0</v>
      </c>
      <c r="B1115" s="9">
        <f t="array" ref="B1115">XLOOKUP($A1115, Quotations!$A$2:A1756, Quotations!$B$2:B1756, "")
</f>
        <v>115.27</v>
      </c>
      <c r="C1115" s="9">
        <f t="array" ref="C1115">XLOOKUP($A1115, Quotations!$C$2:C1756, Quotations!$D$2:D1756, "")</f>
        <v>23.98</v>
      </c>
      <c r="D1115" s="9">
        <f t="array" ref="D1115">XLOOKUP($A1115, Quotations!$E$2:E1756, Quotations!$F$2:F1756, "")
</f>
        <v>115.2</v>
      </c>
      <c r="E1115" s="9">
        <f t="array" ref="E1115">XLOOKUP($A1115, Quotations!$G$2:G1756, Quotations!$H$2:H1756, "")
</f>
        <v>114.65</v>
      </c>
      <c r="F1115" s="9">
        <f t="array" ref="F1115">XLOOKUP($A1115, Quotations!$I$2:I1756, Quotations!$J$2:J1756, "")
</f>
        <v>127.92</v>
      </c>
      <c r="G1115" s="9">
        <f t="array" ref="G1115">XLOOKUP($A1115, Quotations!$K$2:K1756, Quotations!$L$2:L1756, "")
</f>
        <v>1452.401</v>
      </c>
    </row>
    <row r="1116">
      <c r="A1116" s="8">
        <v>43262.0</v>
      </c>
      <c r="B1116" s="9">
        <f t="array" ref="B1116">XLOOKUP($A1116, Quotations!$A$2:A1756, Quotations!$B$2:B1756, "")
</f>
        <v>115.52</v>
      </c>
      <c r="C1116" s="9">
        <f t="array" ref="C1116">XLOOKUP($A1116, Quotations!$C$2:C1756, Quotations!$D$2:D1756, "")</f>
        <v>23.98</v>
      </c>
      <c r="D1116" s="9">
        <f t="array" ref="D1116">XLOOKUP($A1116, Quotations!$E$2:E1756, Quotations!$F$2:F1756, "")
</f>
        <v>115.24</v>
      </c>
      <c r="E1116" s="9">
        <f t="array" ref="E1116">XLOOKUP($A1116, Quotations!$G$2:G1756, Quotations!$H$2:H1756, "")
</f>
        <v>114.7</v>
      </c>
      <c r="F1116" s="9">
        <f t="array" ref="F1116">XLOOKUP($A1116, Quotations!$I$2:I1756, Quotations!$J$2:J1756, "")
</f>
        <v>127.85</v>
      </c>
      <c r="G1116" s="9">
        <f t="array" ref="G1116">XLOOKUP($A1116, Quotations!$K$2:K1756, Quotations!$L$2:L1756, "")
</f>
        <v>1453.557</v>
      </c>
    </row>
    <row r="1117">
      <c r="A1117" s="8">
        <v>43263.0</v>
      </c>
      <c r="B1117" s="9">
        <f t="array" ref="B1117">XLOOKUP($A1117, Quotations!$A$2:A1756, Quotations!$B$2:B1756, "")
</f>
        <v>115.57</v>
      </c>
      <c r="C1117" s="9">
        <f t="array" ref="C1117">XLOOKUP($A1117, Quotations!$C$2:C1756, Quotations!$D$2:D1756, "")</f>
        <v>23.99</v>
      </c>
      <c r="D1117" s="9">
        <f t="array" ref="D1117">XLOOKUP($A1117, Quotations!$E$2:E1756, Quotations!$F$2:F1756, "")
</f>
        <v>115.22</v>
      </c>
      <c r="E1117" s="9">
        <f t="array" ref="E1117">XLOOKUP($A1117, Quotations!$G$2:G1756, Quotations!$H$2:H1756, "")
</f>
        <v>114.71</v>
      </c>
      <c r="F1117" s="9">
        <f t="array" ref="F1117">XLOOKUP($A1117, Quotations!$I$2:I1756, Quotations!$J$2:J1756, "")
</f>
        <v>127.78</v>
      </c>
      <c r="G1117" s="9">
        <f t="array" ref="G1117">XLOOKUP($A1117, Quotations!$K$2:K1756, Quotations!$L$2:L1756, "")
</f>
        <v>1457.83</v>
      </c>
    </row>
    <row r="1118">
      <c r="A1118" s="8">
        <v>43264.0</v>
      </c>
      <c r="B1118" s="9">
        <f t="array" ref="B1118">XLOOKUP($A1118, Quotations!$A$2:A1756, Quotations!$B$2:B1756, "")
</f>
        <v>115.73</v>
      </c>
      <c r="C1118" s="9">
        <f t="array" ref="C1118">XLOOKUP($A1118, Quotations!$C$2:C1756, Quotations!$D$2:D1756, "")</f>
        <v>23.99</v>
      </c>
      <c r="D1118" s="9">
        <f t="array" ref="D1118">XLOOKUP($A1118, Quotations!$E$2:E1756, Quotations!$F$2:F1756, "")
</f>
        <v>115.16</v>
      </c>
      <c r="E1118" s="9">
        <f t="array" ref="E1118">XLOOKUP($A1118, Quotations!$G$2:G1756, Quotations!$H$2:H1756, "")
</f>
        <v>114.69</v>
      </c>
      <c r="F1118" s="9">
        <f t="array" ref="F1118">XLOOKUP($A1118, Quotations!$I$2:I1756, Quotations!$J$2:J1756, "")
</f>
        <v>127.89</v>
      </c>
      <c r="G1118" s="9">
        <f t="array" ref="G1118">XLOOKUP($A1118, Quotations!$K$2:K1756, Quotations!$L$2:L1756, "")
</f>
        <v>1458.647</v>
      </c>
    </row>
    <row r="1119">
      <c r="A1119" s="8">
        <v>43265.0</v>
      </c>
      <c r="B1119" s="9">
        <f t="array" ref="B1119">XLOOKUP($A1119, Quotations!$A$2:A1756, Quotations!$B$2:B1756, "")
</f>
        <v>115.96</v>
      </c>
      <c r="C1119" s="9">
        <f t="array" ref="C1119">XLOOKUP($A1119, Quotations!$C$2:C1756, Quotations!$D$2:D1756, "")</f>
        <v>24.03</v>
      </c>
      <c r="D1119" s="9">
        <f t="array" ref="D1119">XLOOKUP($A1119, Quotations!$E$2:E1756, Quotations!$F$2:F1756, "")
</f>
        <v>115.16</v>
      </c>
      <c r="E1119" s="9">
        <f t="array" ref="E1119">XLOOKUP($A1119, Quotations!$G$2:G1756, Quotations!$H$2:H1756, "")
</f>
        <v>114.85</v>
      </c>
      <c r="F1119" s="9">
        <f t="array" ref="F1119">XLOOKUP($A1119, Quotations!$I$2:I1756, Quotations!$J$2:J1756, "")
</f>
        <v>127.9</v>
      </c>
      <c r="G1119" s="9">
        <f t="array" ref="G1119">XLOOKUP($A1119, Quotations!$K$2:K1756, Quotations!$L$2:L1756, "")
</f>
        <v>1458.393</v>
      </c>
    </row>
    <row r="1120">
      <c r="A1120" s="8">
        <v>43266.0</v>
      </c>
      <c r="B1120" s="9">
        <f t="array" ref="B1120">XLOOKUP($A1120, Quotations!$A$2:A1756, Quotations!$B$2:B1756, "")
</f>
        <v>115.74</v>
      </c>
      <c r="C1120" s="9">
        <f t="array" ref="C1120">XLOOKUP($A1120, Quotations!$C$2:C1756, Quotations!$D$2:D1756, "")</f>
        <v>24.03</v>
      </c>
      <c r="D1120" s="9">
        <f t="array" ref="D1120">XLOOKUP($A1120, Quotations!$E$2:E1756, Quotations!$F$2:F1756, "")
</f>
        <v>115.13</v>
      </c>
      <c r="E1120" s="9">
        <f t="array" ref="E1120">XLOOKUP($A1120, Quotations!$G$2:G1756, Quotations!$H$2:H1756, "")
</f>
        <v>115.58</v>
      </c>
      <c r="F1120" s="9">
        <f t="array" ref="F1120">XLOOKUP($A1120, Quotations!$I$2:I1756, Quotations!$J$2:J1756, "")
</f>
        <v>128.29</v>
      </c>
      <c r="G1120" s="9">
        <f t="array" ref="G1120">XLOOKUP($A1120, Quotations!$K$2:K1756, Quotations!$L$2:L1756, "")
</f>
        <v>1461.553</v>
      </c>
    </row>
    <row r="1121">
      <c r="A1121" s="8">
        <v>43269.0</v>
      </c>
      <c r="B1121" s="9">
        <f t="array" ref="B1121">XLOOKUP($A1121, Quotations!$A$2:A1756, Quotations!$B$2:B1756, "")
</f>
        <v>115.41</v>
      </c>
      <c r="C1121" s="9">
        <f t="array" ref="C1121">XLOOKUP($A1121, Quotations!$C$2:C1756, Quotations!$D$2:D1756, "")</f>
        <v>24.03</v>
      </c>
      <c r="D1121" s="9">
        <f t="array" ref="D1121">XLOOKUP($A1121, Quotations!$E$2:E1756, Quotations!$F$2:F1756, "")
</f>
        <v>115.14</v>
      </c>
      <c r="E1121" s="9">
        <f t="array" ref="E1121">XLOOKUP($A1121, Quotations!$G$2:G1756, Quotations!$H$2:H1756, "")
</f>
        <v>115.64</v>
      </c>
      <c r="F1121" s="9">
        <f t="array" ref="F1121">XLOOKUP($A1121, Quotations!$I$2:I1756, Quotations!$J$2:J1756, "")
</f>
        <v>128.07</v>
      </c>
      <c r="G1121" s="9">
        <f t="array" ref="G1121">XLOOKUP($A1121, Quotations!$K$2:K1756, Quotations!$L$2:L1756, "")
</f>
        <v>1459.309</v>
      </c>
    </row>
    <row r="1122">
      <c r="A1122" s="8">
        <v>43270.0</v>
      </c>
      <c r="B1122" s="9">
        <f t="array" ref="B1122">XLOOKUP($A1122, Quotations!$A$2:A1756, Quotations!$B$2:B1756, "")
</f>
        <v>115.11</v>
      </c>
      <c r="C1122" s="9">
        <f t="array" ref="C1122">XLOOKUP($A1122, Quotations!$C$2:C1756, Quotations!$D$2:D1756, "")</f>
        <v>24.03</v>
      </c>
      <c r="D1122" s="9">
        <f t="array" ref="D1122">XLOOKUP($A1122, Quotations!$E$2:E1756, Quotations!$F$2:F1756, "")
</f>
        <v>115.05</v>
      </c>
      <c r="E1122" s="9">
        <f t="array" ref="E1122">XLOOKUP($A1122, Quotations!$G$2:G1756, Quotations!$H$2:H1756, "")
</f>
        <v>115.36</v>
      </c>
      <c r="F1122" s="9">
        <f t="array" ref="F1122">XLOOKUP($A1122, Quotations!$I$2:I1756, Quotations!$J$2:J1756, "")
</f>
        <v>127.85</v>
      </c>
      <c r="G1122" s="9">
        <f t="array" ref="G1122">XLOOKUP($A1122, Quotations!$K$2:K1756, Quotations!$L$2:L1756, "")
</f>
        <v>1453.131</v>
      </c>
    </row>
    <row r="1123">
      <c r="A1123" s="8">
        <v>43271.0</v>
      </c>
      <c r="B1123" s="9">
        <f t="array" ref="B1123">XLOOKUP($A1123, Quotations!$A$2:A1756, Quotations!$B$2:B1756, "")
</f>
        <v>115.16</v>
      </c>
      <c r="C1123" s="9">
        <f t="array" ref="C1123">XLOOKUP($A1123, Quotations!$C$2:C1756, Quotations!$D$2:D1756, "")</f>
        <v>24.03</v>
      </c>
      <c r="D1123" s="9">
        <f t="array" ref="D1123">XLOOKUP($A1123, Quotations!$E$2:E1756, Quotations!$F$2:F1756, "")
</f>
        <v>115.09</v>
      </c>
      <c r="E1123" s="9">
        <f t="array" ref="E1123">XLOOKUP($A1123, Quotations!$G$2:G1756, Quotations!$H$2:H1756, "")
</f>
        <v>115.26</v>
      </c>
      <c r="F1123" s="9">
        <f t="array" ref="F1123">XLOOKUP($A1123, Quotations!$I$2:I1756, Quotations!$J$2:J1756, "")
</f>
        <v>127.46</v>
      </c>
      <c r="G1123" s="9">
        <f t="array" ref="G1123">XLOOKUP($A1123, Quotations!$K$2:K1756, Quotations!$L$2:L1756, "")
</f>
        <v>1448.252</v>
      </c>
    </row>
    <row r="1124">
      <c r="A1124" s="8">
        <v>43272.0</v>
      </c>
      <c r="B1124" s="9">
        <f t="array" ref="B1124">XLOOKUP($A1124, Quotations!$A$2:A1756, Quotations!$B$2:B1756, "")
</f>
        <v>114.82</v>
      </c>
      <c r="C1124" s="9">
        <f t="array" ref="C1124">XLOOKUP($A1124, Quotations!$C$2:C1756, Quotations!$D$2:D1756, "")</f>
        <v>24.02</v>
      </c>
      <c r="D1124" s="9">
        <f t="array" ref="D1124">XLOOKUP($A1124, Quotations!$E$2:E1756, Quotations!$F$2:F1756, "")
</f>
        <v>115.1</v>
      </c>
      <c r="E1124" s="9">
        <f t="array" ref="E1124">XLOOKUP($A1124, Quotations!$G$2:G1756, Quotations!$H$2:H1756, "")
</f>
        <v>115.24</v>
      </c>
      <c r="F1124" s="9">
        <f t="array" ref="F1124">XLOOKUP($A1124, Quotations!$I$2:I1756, Quotations!$J$2:J1756, "")
</f>
        <v>127.49</v>
      </c>
      <c r="G1124" s="9">
        <f t="array" ref="G1124">XLOOKUP($A1124, Quotations!$K$2:K1756, Quotations!$L$2:L1756, "")
</f>
        <v>1450.742</v>
      </c>
    </row>
    <row r="1125">
      <c r="A1125" s="8">
        <v>43273.0</v>
      </c>
      <c r="B1125" s="9">
        <f t="array" ref="B1125">XLOOKUP($A1125, Quotations!$A$2:A1756, Quotations!$B$2:B1756, "")
</f>
        <v>115.24</v>
      </c>
      <c r="C1125" s="9">
        <f t="array" ref="C1125">XLOOKUP($A1125, Quotations!$C$2:C1756, Quotations!$D$2:D1756, "")</f>
        <v>24.01</v>
      </c>
      <c r="D1125" s="9">
        <f t="array" ref="D1125">XLOOKUP($A1125, Quotations!$E$2:E1756, Quotations!$F$2:F1756, "")
</f>
        <v>115.14</v>
      </c>
      <c r="E1125" s="9">
        <f t="array" ref="E1125">XLOOKUP($A1125, Quotations!$G$2:G1756, Quotations!$H$2:H1756, "")
</f>
        <v>114.97</v>
      </c>
      <c r="F1125" s="9">
        <f t="array" ref="F1125">XLOOKUP($A1125, Quotations!$I$2:I1756, Quotations!$J$2:J1756, "")
</f>
        <v>127.28</v>
      </c>
      <c r="G1125" s="9">
        <f t="array" ref="G1125">XLOOKUP($A1125, Quotations!$K$2:K1756, Quotations!$L$2:L1756, "")
</f>
        <v>1445.385</v>
      </c>
    </row>
    <row r="1126">
      <c r="A1126" s="8">
        <v>43276.0</v>
      </c>
      <c r="B1126" s="9">
        <f t="array" ref="B1126">XLOOKUP($A1126, Quotations!$A$2:A1756, Quotations!$B$2:B1756, "")
</f>
        <v>114.82</v>
      </c>
      <c r="C1126" s="9">
        <f t="array" ref="C1126">XLOOKUP($A1126, Quotations!$C$2:C1756, Quotations!$D$2:D1756, "")</f>
        <v>23.99</v>
      </c>
      <c r="D1126" s="9">
        <f t="array" ref="D1126">XLOOKUP($A1126, Quotations!$E$2:E1756, Quotations!$F$2:F1756, "")
</f>
        <v>115.16</v>
      </c>
      <c r="E1126" s="9">
        <f t="array" ref="E1126">XLOOKUP($A1126, Quotations!$G$2:G1756, Quotations!$H$2:H1756, "")
</f>
        <v>115</v>
      </c>
      <c r="F1126" s="9">
        <f t="array" ref="F1126">XLOOKUP($A1126, Quotations!$I$2:I1756, Quotations!$J$2:J1756, "")
</f>
        <v>127.24</v>
      </c>
      <c r="G1126" s="9">
        <f t="array" ref="G1126">XLOOKUP($A1126, Quotations!$K$2:K1756, Quotations!$L$2:L1756, "")
</f>
        <v>1444.194</v>
      </c>
    </row>
    <row r="1127">
      <c r="A1127" s="8">
        <v>43277.0</v>
      </c>
      <c r="B1127" s="9">
        <f t="array" ref="B1127">XLOOKUP($A1127, Quotations!$A$2:A1756, Quotations!$B$2:B1756, "")
</f>
        <v>114.57</v>
      </c>
      <c r="C1127" s="9">
        <f t="array" ref="C1127">XLOOKUP($A1127, Quotations!$C$2:C1756, Quotations!$D$2:D1756, "")</f>
        <v>23.99</v>
      </c>
      <c r="D1127" s="9">
        <f t="array" ref="D1127">XLOOKUP($A1127, Quotations!$E$2:E1756, Quotations!$F$2:F1756, "")
</f>
        <v>115.13</v>
      </c>
      <c r="E1127" s="9">
        <f t="array" ref="E1127">XLOOKUP($A1127, Quotations!$G$2:G1756, Quotations!$H$2:H1756, "")
</f>
        <v>114.57</v>
      </c>
      <c r="F1127" s="9">
        <f t="array" ref="F1127">XLOOKUP($A1127, Quotations!$I$2:I1756, Quotations!$J$2:J1756, "")
</f>
        <v>126.85</v>
      </c>
      <c r="G1127" s="9">
        <f t="array" ref="G1127">XLOOKUP($A1127, Quotations!$K$2:K1756, Quotations!$L$2:L1756, "")
</f>
        <v>1433.36</v>
      </c>
    </row>
    <row r="1128">
      <c r="A1128" s="8">
        <v>43278.0</v>
      </c>
      <c r="B1128" s="9">
        <f t="array" ref="B1128">XLOOKUP($A1128, Quotations!$A$2:A1756, Quotations!$B$2:B1756, "")
</f>
        <v>114.7</v>
      </c>
      <c r="C1128" s="9">
        <f t="array" ref="C1128">XLOOKUP($A1128, Quotations!$C$2:C1756, Quotations!$D$2:D1756, "")</f>
        <v>24</v>
      </c>
      <c r="D1128" s="9">
        <f t="array" ref="D1128">XLOOKUP($A1128, Quotations!$E$2:E1756, Quotations!$F$2:F1756, "")
</f>
        <v>115.13</v>
      </c>
      <c r="E1128" s="9">
        <f t="array" ref="E1128">XLOOKUP($A1128, Quotations!$G$2:G1756, Quotations!$H$2:H1756, "")
</f>
        <v>114.55</v>
      </c>
      <c r="F1128" s="9">
        <f t="array" ref="F1128">XLOOKUP($A1128, Quotations!$I$2:I1756, Quotations!$J$2:J1756, "")
</f>
        <v>126.63</v>
      </c>
      <c r="G1128" s="9">
        <f t="array" ref="G1128">XLOOKUP($A1128, Quotations!$K$2:K1756, Quotations!$L$2:L1756, "")
</f>
        <v>1430.921</v>
      </c>
    </row>
    <row r="1129">
      <c r="A1129" s="8">
        <v>43279.0</v>
      </c>
      <c r="B1129" s="9">
        <f t="array" ref="B1129">XLOOKUP($A1129, Quotations!$A$2:A1756, Quotations!$B$2:B1756, "")
</f>
        <v>114.35</v>
      </c>
      <c r="C1129" s="9">
        <f t="array" ref="C1129">XLOOKUP($A1129, Quotations!$C$2:C1756, Quotations!$D$2:D1756, "")</f>
        <v>24</v>
      </c>
      <c r="D1129" s="9">
        <f t="array" ref="D1129">XLOOKUP($A1129, Quotations!$E$2:E1756, Quotations!$F$2:F1756, "")
</f>
        <v>115.12</v>
      </c>
      <c r="E1129" s="9">
        <f t="array" ref="E1129">XLOOKUP($A1129, Quotations!$G$2:G1756, Quotations!$H$2:H1756, "")
</f>
        <v>114.71</v>
      </c>
      <c r="F1129" s="9">
        <f t="array" ref="F1129">XLOOKUP($A1129, Quotations!$I$2:I1756, Quotations!$J$2:J1756, "")
</f>
        <v>126.12</v>
      </c>
      <c r="G1129" s="9">
        <f t="array" ref="G1129">XLOOKUP($A1129, Quotations!$K$2:K1756, Quotations!$L$2:L1756, "")
</f>
        <v>1428.087</v>
      </c>
    </row>
    <row r="1130">
      <c r="A1130" s="8">
        <v>43280.0</v>
      </c>
      <c r="B1130" s="9">
        <f t="array" ref="B1130">XLOOKUP($A1130, Quotations!$A$2:A1756, Quotations!$B$2:B1756, "")
</f>
        <v>114.58</v>
      </c>
      <c r="C1130" s="9">
        <f t="array" ref="C1130">XLOOKUP($A1130, Quotations!$C$2:C1756, Quotations!$D$2:D1756, "")</f>
        <v>23.97</v>
      </c>
      <c r="D1130" s="9">
        <f t="array" ref="D1130">XLOOKUP($A1130, Quotations!$E$2:E1756, Quotations!$F$2:F1756, "")
</f>
        <v>115.14</v>
      </c>
      <c r="E1130" s="9">
        <f t="array" ref="E1130">XLOOKUP($A1130, Quotations!$G$2:G1756, Quotations!$H$2:H1756, "")
</f>
        <v>114.7</v>
      </c>
      <c r="F1130" s="9">
        <f t="array" ref="F1130">XLOOKUP($A1130, Quotations!$I$2:I1756, Quotations!$J$2:J1756, "")
</f>
        <v>126.14</v>
      </c>
      <c r="G1130" s="9">
        <f t="array" ref="G1130">XLOOKUP($A1130, Quotations!$K$2:K1756, Quotations!$L$2:L1756, "")
</f>
        <v>1427.024</v>
      </c>
    </row>
    <row r="1131">
      <c r="A1131" s="8">
        <v>43283.0</v>
      </c>
      <c r="B1131" s="9">
        <f t="array" ref="B1131">XLOOKUP($A1131, Quotations!$A$2:A1756, Quotations!$B$2:B1756, "")
</f>
        <v>114.21</v>
      </c>
      <c r="C1131" s="9">
        <f t="array" ref="C1131">XLOOKUP($A1131, Quotations!$C$2:C1756, Quotations!$D$2:D1756, "")</f>
        <v>23.99</v>
      </c>
      <c r="D1131" s="9">
        <f t="array" ref="D1131">XLOOKUP($A1131, Quotations!$E$2:E1756, Quotations!$F$2:F1756, "")
</f>
        <v>115.16</v>
      </c>
      <c r="E1131" s="9">
        <f t="array" ref="E1131">XLOOKUP($A1131, Quotations!$G$2:G1756, Quotations!$H$2:H1756, "")
</f>
        <v>114.72</v>
      </c>
      <c r="F1131" s="9">
        <f t="array" ref="F1131">XLOOKUP($A1131, Quotations!$I$2:I1756, Quotations!$J$2:J1756, "")
</f>
        <v>126.12</v>
      </c>
      <c r="G1131" s="9">
        <f t="array" ref="G1131">XLOOKUP($A1131, Quotations!$K$2:K1756, Quotations!$L$2:L1756, "")
</f>
        <v>1428.584</v>
      </c>
    </row>
    <row r="1132">
      <c r="A1132" s="8">
        <v>43284.0</v>
      </c>
      <c r="B1132" s="9">
        <f t="array" ref="B1132">XLOOKUP($A1132, Quotations!$A$2:A1756, Quotations!$B$2:B1756, "")
</f>
        <v>114.25</v>
      </c>
      <c r="C1132" s="9">
        <f t="array" ref="C1132">XLOOKUP($A1132, Quotations!$C$2:C1756, Quotations!$D$2:D1756, "")</f>
        <v>23.99</v>
      </c>
      <c r="D1132" s="9">
        <f t="array" ref="D1132">XLOOKUP($A1132, Quotations!$E$2:E1756, Quotations!$F$2:F1756, "")
</f>
        <v>115.16</v>
      </c>
      <c r="E1132" s="9">
        <f t="array" ref="E1132">XLOOKUP($A1132, Quotations!$G$2:G1756, Quotations!$H$2:H1756, "")
</f>
        <v>114.78</v>
      </c>
      <c r="F1132" s="9">
        <f t="array" ref="F1132">XLOOKUP($A1132, Quotations!$I$2:I1756, Quotations!$J$2:J1756, "")
</f>
        <v>125.65</v>
      </c>
      <c r="G1132" s="9">
        <f t="array" ref="G1132">XLOOKUP($A1132, Quotations!$K$2:K1756, Quotations!$L$2:L1756, "")
</f>
        <v>1426.244</v>
      </c>
    </row>
    <row r="1133">
      <c r="A1133" s="8">
        <v>43285.0</v>
      </c>
      <c r="B1133" s="9">
        <f t="array" ref="B1133">XLOOKUP($A1133, Quotations!$A$2:A1756, Quotations!$B$2:B1756, "")
</f>
        <v>114.26</v>
      </c>
      <c r="C1133" s="9">
        <f t="array" ref="C1133">XLOOKUP($A1133, Quotations!$C$2:C1756, Quotations!$D$2:D1756, "")</f>
        <v>24</v>
      </c>
      <c r="D1133" s="9">
        <f t="array" ref="D1133">XLOOKUP($A1133, Quotations!$E$2:E1756, Quotations!$F$2:F1756, "")
</f>
        <v>115.15</v>
      </c>
      <c r="E1133" s="9">
        <f t="array" ref="E1133">XLOOKUP($A1133, Quotations!$G$2:G1756, Quotations!$H$2:H1756, "")
</f>
        <v>114.83</v>
      </c>
      <c r="F1133" s="9">
        <f t="array" ref="F1133">XLOOKUP($A1133, Quotations!$I$2:I1756, Quotations!$J$2:J1756, "")
</f>
        <v>125.59</v>
      </c>
      <c r="G1133" s="9">
        <f t="array" ref="G1133">XLOOKUP($A1133, Quotations!$K$2:K1756, Quotations!$L$2:L1756, "")
</f>
        <v>1423.637</v>
      </c>
    </row>
    <row r="1134">
      <c r="A1134" s="8">
        <v>43286.0</v>
      </c>
      <c r="B1134" s="9">
        <f t="array" ref="B1134">XLOOKUP($A1134, Quotations!$A$2:A1756, Quotations!$B$2:B1756, "")
</f>
        <v>114.37</v>
      </c>
      <c r="C1134" s="9">
        <f t="array" ref="C1134">XLOOKUP($A1134, Quotations!$C$2:C1756, Quotations!$D$2:D1756, "")</f>
        <v>23.98</v>
      </c>
      <c r="D1134" s="9">
        <f t="array" ref="D1134">XLOOKUP($A1134, Quotations!$E$2:E1756, Quotations!$F$2:F1756, "")
</f>
        <v>115.17</v>
      </c>
      <c r="E1134" s="9">
        <f t="array" ref="E1134">XLOOKUP($A1134, Quotations!$G$2:G1756, Quotations!$H$2:H1756, "")
</f>
        <v>114.78</v>
      </c>
      <c r="F1134" s="9">
        <f t="array" ref="F1134">XLOOKUP($A1134, Quotations!$I$2:I1756, Quotations!$J$2:J1756, "")
</f>
        <v>125.52</v>
      </c>
      <c r="G1134" s="9">
        <f t="array" ref="G1134">XLOOKUP($A1134, Quotations!$K$2:K1756, Quotations!$L$2:L1756, "")
</f>
        <v>1421.415</v>
      </c>
    </row>
    <row r="1135">
      <c r="A1135" s="8">
        <v>43287.0</v>
      </c>
      <c r="B1135" s="9">
        <f t="array" ref="B1135">XLOOKUP($A1135, Quotations!$A$2:A1756, Quotations!$B$2:B1756, "")
</f>
        <v>114.17</v>
      </c>
      <c r="C1135" s="9">
        <f t="array" ref="C1135">XLOOKUP($A1135, Quotations!$C$2:C1756, Quotations!$D$2:D1756, "")</f>
        <v>23.97</v>
      </c>
      <c r="D1135" s="9">
        <f t="array" ref="D1135">XLOOKUP($A1135, Quotations!$E$2:E1756, Quotations!$F$2:F1756, "")
</f>
        <v>115.19</v>
      </c>
      <c r="E1135" s="9">
        <f t="array" ref="E1135">XLOOKUP($A1135, Quotations!$G$2:G1756, Quotations!$H$2:H1756, "")
</f>
        <v>114.72</v>
      </c>
      <c r="F1135" s="9">
        <f t="array" ref="F1135">XLOOKUP($A1135, Quotations!$I$2:I1756, Quotations!$J$2:J1756, "")
</f>
        <v>125.77</v>
      </c>
      <c r="G1135" s="9">
        <f t="array" ref="G1135">XLOOKUP($A1135, Quotations!$K$2:K1756, Quotations!$L$2:L1756, "")
</f>
        <v>1423.294</v>
      </c>
    </row>
    <row r="1136">
      <c r="A1136" s="8">
        <v>43290.0</v>
      </c>
      <c r="B1136" s="9">
        <f t="array" ref="B1136">XLOOKUP($A1136, Quotations!$A$2:A1756, Quotations!$B$2:B1756, "")
</f>
        <v>114.23</v>
      </c>
      <c r="C1136" s="9">
        <f t="array" ref="C1136">XLOOKUP($A1136, Quotations!$C$2:C1756, Quotations!$D$2:D1756, "")</f>
        <v>23.97</v>
      </c>
      <c r="D1136" s="9">
        <f t="array" ref="D1136">XLOOKUP($A1136, Quotations!$E$2:E1756, Quotations!$F$2:F1756, "")
</f>
        <v>115.24</v>
      </c>
      <c r="E1136" s="9">
        <f t="array" ref="E1136">XLOOKUP($A1136, Quotations!$G$2:G1756, Quotations!$H$2:H1756, "")
</f>
        <v>114.77</v>
      </c>
      <c r="F1136" s="9">
        <f t="array" ref="F1136">XLOOKUP($A1136, Quotations!$I$2:I1756, Quotations!$J$2:J1756, "")
</f>
        <v>126.03</v>
      </c>
      <c r="G1136" s="9">
        <f t="array" ref="G1136">XLOOKUP($A1136, Quotations!$K$2:K1756, Quotations!$L$2:L1756, "")
</f>
        <v>1428.672</v>
      </c>
    </row>
    <row r="1137">
      <c r="A1137" s="8">
        <v>43291.0</v>
      </c>
      <c r="B1137" s="9">
        <f t="array" ref="B1137">XLOOKUP($A1137, Quotations!$A$2:A1756, Quotations!$B$2:B1756, "")
</f>
        <v>114.37</v>
      </c>
      <c r="C1137" s="9">
        <f t="array" ref="C1137">XLOOKUP($A1137, Quotations!$C$2:C1756, Quotations!$D$2:D1756, "")</f>
        <v>23.98</v>
      </c>
      <c r="D1137" s="9">
        <f t="array" ref="D1137">XLOOKUP($A1137, Quotations!$E$2:E1756, Quotations!$F$2:F1756, "")
</f>
        <v>115.23</v>
      </c>
      <c r="E1137" s="9">
        <f t="array" ref="E1137">XLOOKUP($A1137, Quotations!$G$2:G1756, Quotations!$H$2:H1756, "")
</f>
        <v>114.69</v>
      </c>
      <c r="F1137" s="9">
        <f t="array" ref="F1137">XLOOKUP($A1137, Quotations!$I$2:I1756, Quotations!$J$2:J1756, "")
</f>
        <v>126.44</v>
      </c>
      <c r="G1137" s="9">
        <f t="array" ref="G1137">XLOOKUP($A1137, Quotations!$K$2:K1756, Quotations!$L$2:L1756, "")
</f>
        <v>1431.76</v>
      </c>
    </row>
    <row r="1138">
      <c r="A1138" s="8">
        <v>43292.0</v>
      </c>
      <c r="B1138" s="9">
        <f t="array" ref="B1138">XLOOKUP($A1138, Quotations!$A$2:A1756, Quotations!$B$2:B1756, "")
</f>
        <v>114.02</v>
      </c>
      <c r="C1138" s="9">
        <f t="array" ref="C1138">XLOOKUP($A1138, Quotations!$C$2:C1756, Quotations!$D$2:D1756, "")</f>
        <v>23.97</v>
      </c>
      <c r="D1138" s="9">
        <f t="array" ref="D1138">XLOOKUP($A1138, Quotations!$E$2:E1756, Quotations!$F$2:F1756, "")
</f>
        <v>115.19</v>
      </c>
      <c r="E1138" s="9">
        <f t="array" ref="E1138">XLOOKUP($A1138, Quotations!$G$2:G1756, Quotations!$H$2:H1756, "")
</f>
        <v>114.62</v>
      </c>
      <c r="F1138" s="9">
        <f t="array" ref="F1138">XLOOKUP($A1138, Quotations!$I$2:I1756, Quotations!$J$2:J1756, "")
</f>
        <v>126.46</v>
      </c>
      <c r="G1138" s="9">
        <f t="array" ref="G1138">XLOOKUP($A1138, Quotations!$K$2:K1756, Quotations!$L$2:L1756, "")
</f>
        <v>1433.114</v>
      </c>
    </row>
    <row r="1139">
      <c r="A1139" s="8">
        <v>43293.0</v>
      </c>
      <c r="B1139" s="9">
        <f t="array" ref="B1139">XLOOKUP($A1139, Quotations!$A$2:A1756, Quotations!$B$2:B1756, "")
</f>
        <v>114.12</v>
      </c>
      <c r="C1139" s="9">
        <f t="array" ref="C1139">XLOOKUP($A1139, Quotations!$C$2:C1756, Quotations!$D$2:D1756, "")</f>
        <v>23.98</v>
      </c>
      <c r="D1139" s="9">
        <f t="array" ref="D1139">XLOOKUP($A1139, Quotations!$E$2:E1756, Quotations!$F$2:F1756, "")
</f>
        <v>115.15</v>
      </c>
      <c r="E1139" s="9">
        <f t="array" ref="E1139">XLOOKUP($A1139, Quotations!$G$2:G1756, Quotations!$H$2:H1756, "")
</f>
        <v>114.65</v>
      </c>
      <c r="F1139" s="9">
        <f t="array" ref="F1139">XLOOKUP($A1139, Quotations!$I$2:I1756, Quotations!$J$2:J1756, "")
</f>
        <v>126.11</v>
      </c>
      <c r="G1139" s="9">
        <f t="array" ref="G1139">XLOOKUP($A1139, Quotations!$K$2:K1756, Quotations!$L$2:L1756, "")
</f>
        <v>1429.788</v>
      </c>
    </row>
    <row r="1140">
      <c r="A1140" s="8">
        <v>43294.0</v>
      </c>
      <c r="B1140" s="9">
        <f t="array" ref="B1140">XLOOKUP($A1140, Quotations!$A$2:A1756, Quotations!$B$2:B1756, "")
</f>
        <v>114.17</v>
      </c>
      <c r="C1140" s="9">
        <f t="array" ref="C1140">XLOOKUP($A1140, Quotations!$C$2:C1756, Quotations!$D$2:D1756, "")</f>
        <v>23.98</v>
      </c>
      <c r="D1140" s="9">
        <f t="array" ref="D1140">XLOOKUP($A1140, Quotations!$E$2:E1756, Quotations!$F$2:F1756, "")
</f>
        <v>115.19</v>
      </c>
      <c r="E1140" s="9">
        <f t="array" ref="E1140">XLOOKUP($A1140, Quotations!$G$2:G1756, Quotations!$H$2:H1756, "")
</f>
        <v>114.68</v>
      </c>
      <c r="F1140" s="9">
        <f t="array" ref="F1140">XLOOKUP($A1140, Quotations!$I$2:I1756, Quotations!$J$2:J1756, "")
</f>
        <v>126.4</v>
      </c>
      <c r="G1140" s="9">
        <f t="array" ref="G1140">XLOOKUP($A1140, Quotations!$K$2:K1756, Quotations!$L$2:L1756, "")
</f>
        <v>1434.811</v>
      </c>
    </row>
    <row r="1141">
      <c r="A1141" s="8">
        <v>43297.0</v>
      </c>
      <c r="B1141" s="9">
        <f t="array" ref="B1141">XLOOKUP($A1141, Quotations!$A$2:A1756, Quotations!$B$2:B1756, "")
</f>
        <v>114.19</v>
      </c>
      <c r="C1141" s="9">
        <f t="array" ref="C1141">XLOOKUP($A1141, Quotations!$C$2:C1756, Quotations!$D$2:D1756, "")</f>
        <v>23.97</v>
      </c>
      <c r="D1141" s="9">
        <f t="array" ref="D1141">XLOOKUP($A1141, Quotations!$E$2:E1756, Quotations!$F$2:F1756, "")
</f>
        <v>115.26</v>
      </c>
      <c r="E1141" s="9">
        <f t="array" ref="E1141">XLOOKUP($A1141, Quotations!$G$2:G1756, Quotations!$H$2:H1756, "")
</f>
        <v>114.78</v>
      </c>
      <c r="F1141" s="9">
        <f t="array" ref="F1141">XLOOKUP($A1141, Quotations!$I$2:I1756, Quotations!$J$2:J1756, "")
</f>
        <v>126.43</v>
      </c>
      <c r="G1141" s="9">
        <f t="array" ref="G1141">XLOOKUP($A1141, Quotations!$K$2:K1756, Quotations!$L$2:L1756, "")
</f>
        <v>1434.855</v>
      </c>
    </row>
    <row r="1142">
      <c r="A1142" s="8">
        <v>43298.0</v>
      </c>
      <c r="B1142" s="9">
        <f t="array" ref="B1142">XLOOKUP($A1142, Quotations!$A$2:A1756, Quotations!$B$2:B1756, "")
</f>
        <v>114.23</v>
      </c>
      <c r="C1142" s="9">
        <f t="array" ref="C1142">XLOOKUP($A1142, Quotations!$C$2:C1756, Quotations!$D$2:D1756, "")</f>
        <v>23.98</v>
      </c>
      <c r="D1142" s="9">
        <f t="array" ref="D1142">XLOOKUP($A1142, Quotations!$E$2:E1756, Quotations!$F$2:F1756, "")
</f>
        <v>115.29</v>
      </c>
      <c r="E1142" s="9">
        <f t="array" ref="E1142">XLOOKUP($A1142, Quotations!$G$2:G1756, Quotations!$H$2:H1756, "")
</f>
        <v>114.58</v>
      </c>
      <c r="F1142" s="9">
        <f t="array" ref="F1142">XLOOKUP($A1142, Quotations!$I$2:I1756, Quotations!$J$2:J1756, "")
</f>
        <v>126.26</v>
      </c>
      <c r="G1142" s="9">
        <f t="array" ref="G1142">XLOOKUP($A1142, Quotations!$K$2:K1756, Quotations!$L$2:L1756, "")
</f>
        <v>1432.959</v>
      </c>
    </row>
    <row r="1143">
      <c r="A1143" s="8">
        <v>43299.0</v>
      </c>
      <c r="B1143" s="9">
        <f t="array" ref="B1143">XLOOKUP($A1143, Quotations!$A$2:A1756, Quotations!$B$2:B1756, "")
</f>
        <v>114.43</v>
      </c>
      <c r="C1143" s="9">
        <f t="array" ref="C1143">XLOOKUP($A1143, Quotations!$C$2:C1756, Quotations!$D$2:D1756, "")</f>
        <v>23.98</v>
      </c>
      <c r="D1143" s="9">
        <f t="array" ref="D1143">XLOOKUP($A1143, Quotations!$E$2:E1756, Quotations!$F$2:F1756, "")
</f>
        <v>115.31</v>
      </c>
      <c r="E1143" s="9">
        <f t="array" ref="E1143">XLOOKUP($A1143, Quotations!$G$2:G1756, Quotations!$H$2:H1756, "")
</f>
        <v>114.88</v>
      </c>
      <c r="F1143" s="9">
        <f t="array" ref="F1143">XLOOKUP($A1143, Quotations!$I$2:I1756, Quotations!$J$2:J1756, "")
</f>
        <v>126.3</v>
      </c>
      <c r="G1143" s="9">
        <f t="array" ref="G1143">XLOOKUP($A1143, Quotations!$K$2:K1756, Quotations!$L$2:L1756, "")
</f>
        <v>1435.226</v>
      </c>
    </row>
    <row r="1144">
      <c r="A1144" s="8">
        <v>43300.0</v>
      </c>
      <c r="B1144" s="9">
        <f t="array" ref="B1144">XLOOKUP($A1144, Quotations!$A$2:A1756, Quotations!$B$2:B1756, "")
</f>
        <v>114.29</v>
      </c>
      <c r="C1144" s="9">
        <f t="array" ref="C1144">XLOOKUP($A1144, Quotations!$C$2:C1756, Quotations!$D$2:D1756, "")</f>
        <v>23.98</v>
      </c>
      <c r="D1144" s="9">
        <f t="array" ref="D1144">XLOOKUP($A1144, Quotations!$E$2:E1756, Quotations!$F$2:F1756, "")
</f>
        <v>115.33</v>
      </c>
      <c r="E1144" s="9">
        <f t="array" ref="E1144">XLOOKUP($A1144, Quotations!$G$2:G1756, Quotations!$H$2:H1756, "")
</f>
        <v>115.01</v>
      </c>
      <c r="F1144" s="9">
        <f t="array" ref="F1144">XLOOKUP($A1144, Quotations!$I$2:I1756, Quotations!$J$2:J1756, "")
</f>
        <v>126.26</v>
      </c>
      <c r="G1144" s="9">
        <f t="array" ref="G1144">XLOOKUP($A1144, Quotations!$K$2:K1756, Quotations!$L$2:L1756, "")
</f>
        <v>1435.585</v>
      </c>
    </row>
    <row r="1145">
      <c r="A1145" s="8">
        <v>43301.0</v>
      </c>
      <c r="B1145" s="9">
        <f t="array" ref="B1145">XLOOKUP($A1145, Quotations!$A$2:A1756, Quotations!$B$2:B1756, "")
</f>
        <v>114.27</v>
      </c>
      <c r="C1145" s="9">
        <f t="array" ref="C1145">XLOOKUP($A1145, Quotations!$C$2:C1756, Quotations!$D$2:D1756, "")</f>
        <v>23.95</v>
      </c>
      <c r="D1145" s="9">
        <f t="array" ref="D1145">XLOOKUP($A1145, Quotations!$E$2:E1756, Quotations!$F$2:F1756, "")
</f>
        <v>115.35</v>
      </c>
      <c r="E1145" s="9">
        <f t="array" ref="E1145">XLOOKUP($A1145, Quotations!$G$2:G1756, Quotations!$H$2:H1756, "")
</f>
        <v>114.94</v>
      </c>
      <c r="F1145" s="9">
        <f t="array" ref="F1145">XLOOKUP($A1145, Quotations!$I$2:I1756, Quotations!$J$2:J1756, "")
</f>
        <v>126.16</v>
      </c>
      <c r="G1145" s="9">
        <f t="array" ref="G1145">XLOOKUP($A1145, Quotations!$K$2:K1756, Quotations!$L$2:L1756, "")
</f>
        <v>1434.309</v>
      </c>
    </row>
    <row r="1146">
      <c r="A1146" s="8">
        <v>43304.0</v>
      </c>
      <c r="B1146" s="9">
        <f t="array" ref="B1146">XLOOKUP($A1146, Quotations!$A$2:A1756, Quotations!$B$2:B1756, "")
</f>
        <v>114.08</v>
      </c>
      <c r="C1146" s="9">
        <f t="array" ref="C1146">XLOOKUP($A1146, Quotations!$C$2:C1756, Quotations!$D$2:D1756, "")</f>
        <v>23.95</v>
      </c>
      <c r="D1146" s="9">
        <f t="array" ref="D1146">XLOOKUP($A1146, Quotations!$E$2:E1756, Quotations!$F$2:F1756, "")
</f>
        <v>115.39</v>
      </c>
      <c r="E1146" s="9">
        <f t="array" ref="E1146">XLOOKUP($A1146, Quotations!$G$2:G1756, Quotations!$H$2:H1756, "")
</f>
        <v>114.49</v>
      </c>
      <c r="F1146" s="9">
        <f t="array" ref="F1146">XLOOKUP($A1146, Quotations!$I$2:I1756, Quotations!$J$2:J1756, "")
</f>
        <v>126.25</v>
      </c>
      <c r="G1146" s="9">
        <f t="array" ref="G1146">XLOOKUP($A1146, Quotations!$K$2:K1756, Quotations!$L$2:L1756, "")
</f>
        <v>1433.405</v>
      </c>
    </row>
    <row r="1147">
      <c r="A1147" s="8">
        <v>43305.0</v>
      </c>
      <c r="B1147" s="9">
        <f t="array" ref="B1147">XLOOKUP($A1147, Quotations!$A$2:A1756, Quotations!$B$2:B1756, "")
</f>
        <v>114.35</v>
      </c>
      <c r="C1147" s="9">
        <f t="array" ref="C1147">XLOOKUP($A1147, Quotations!$C$2:C1756, Quotations!$D$2:D1756, "")</f>
        <v>23.95</v>
      </c>
      <c r="D1147" s="9">
        <f t="array" ref="D1147">XLOOKUP($A1147, Quotations!$E$2:E1756, Quotations!$F$2:F1756, "")
</f>
        <v>115.36</v>
      </c>
      <c r="E1147" s="9">
        <f t="array" ref="E1147">XLOOKUP($A1147, Quotations!$G$2:G1756, Quotations!$H$2:H1756, "")
</f>
        <v>114.09</v>
      </c>
      <c r="F1147" s="9">
        <f t="array" ref="F1147">XLOOKUP($A1147, Quotations!$I$2:I1756, Quotations!$J$2:J1756, "")
</f>
        <v>126.34</v>
      </c>
      <c r="G1147" s="9">
        <f t="array" ref="G1147">XLOOKUP($A1147, Quotations!$K$2:K1756, Quotations!$L$2:L1756, "")
</f>
        <v>1431.215</v>
      </c>
    </row>
    <row r="1148">
      <c r="A1148" s="8">
        <v>43306.0</v>
      </c>
      <c r="B1148" s="9">
        <f t="array" ref="B1148">XLOOKUP($A1148, Quotations!$A$2:A1756, Quotations!$B$2:B1756, "")
</f>
        <v>114.06</v>
      </c>
      <c r="C1148" s="9">
        <f t="array" ref="C1148">XLOOKUP($A1148, Quotations!$C$2:C1756, Quotations!$D$2:D1756, "")</f>
        <v>23.97</v>
      </c>
      <c r="D1148" s="9">
        <f t="array" ref="D1148">XLOOKUP($A1148, Quotations!$E$2:E1756, Quotations!$F$2:F1756, "")
</f>
        <v>115.39</v>
      </c>
      <c r="E1148" s="9">
        <f t="array" ref="E1148">XLOOKUP($A1148, Quotations!$G$2:G1756, Quotations!$H$2:H1756, "")
</f>
        <v>114.46</v>
      </c>
      <c r="F1148" s="9">
        <f t="array" ref="F1148">XLOOKUP($A1148, Quotations!$I$2:I1756, Quotations!$J$2:J1756, "")
</f>
        <v>126.62</v>
      </c>
      <c r="G1148" s="9">
        <f t="array" ref="G1148">XLOOKUP($A1148, Quotations!$K$2:K1756, Quotations!$L$2:L1756, "")
</f>
        <v>1430.544</v>
      </c>
    </row>
    <row r="1149">
      <c r="A1149" s="8">
        <v>43307.0</v>
      </c>
      <c r="B1149" s="9">
        <f t="array" ref="B1149">XLOOKUP($A1149, Quotations!$A$2:A1756, Quotations!$B$2:B1756, "")
</f>
        <v>114.3</v>
      </c>
      <c r="C1149" s="9">
        <f t="array" ref="C1149">XLOOKUP($A1149, Quotations!$C$2:C1756, Quotations!$D$2:D1756, "")</f>
        <v>23.97</v>
      </c>
      <c r="D1149" s="9">
        <f t="array" ref="D1149">XLOOKUP($A1149, Quotations!$E$2:E1756, Quotations!$F$2:F1756, "")
</f>
        <v>115.43</v>
      </c>
      <c r="E1149" s="9">
        <f t="array" ref="E1149">XLOOKUP($A1149, Quotations!$G$2:G1756, Quotations!$H$2:H1756, "")
</f>
        <v>114.28</v>
      </c>
      <c r="F1149" s="9">
        <f t="array" ref="F1149">XLOOKUP($A1149, Quotations!$I$2:I1756, Quotations!$J$2:J1756, "")
</f>
        <v>126.83</v>
      </c>
      <c r="G1149" s="9">
        <f t="array" ref="G1149">XLOOKUP($A1149, Quotations!$K$2:K1756, Quotations!$L$2:L1756, "")
</f>
        <v>1430.863</v>
      </c>
    </row>
    <row r="1150">
      <c r="A1150" s="8">
        <v>43308.0</v>
      </c>
      <c r="B1150" s="9">
        <f t="array" ref="B1150">XLOOKUP($A1150, Quotations!$A$2:A1756, Quotations!$B$2:B1756, "")
</f>
        <v>114.45</v>
      </c>
      <c r="C1150" s="9">
        <f t="array" ref="C1150">XLOOKUP($A1150, Quotations!$C$2:C1756, Quotations!$D$2:D1756, "")</f>
        <v>23.97</v>
      </c>
      <c r="D1150" s="9">
        <f t="array" ref="D1150">XLOOKUP($A1150, Quotations!$E$2:E1756, Quotations!$F$2:F1756, "")
</f>
        <v>115.46</v>
      </c>
      <c r="E1150" s="9">
        <f t="array" ref="E1150">XLOOKUP($A1150, Quotations!$G$2:G1756, Quotations!$H$2:H1756, "")
</f>
        <v>114.55</v>
      </c>
      <c r="F1150" s="9">
        <f t="array" ref="F1150">XLOOKUP($A1150, Quotations!$I$2:I1756, Quotations!$J$2:J1756, "")
</f>
        <v>126.82</v>
      </c>
      <c r="G1150" s="9">
        <f t="array" ref="G1150">XLOOKUP($A1150, Quotations!$K$2:K1756, Quotations!$L$2:L1756, "")
</f>
        <v>1435.114</v>
      </c>
    </row>
    <row r="1151">
      <c r="A1151" s="8">
        <v>43311.0</v>
      </c>
      <c r="B1151" s="9">
        <f t="array" ref="B1151">XLOOKUP($A1151, Quotations!$A$2:A1756, Quotations!$B$2:B1756, "")
</f>
        <v>114.31</v>
      </c>
      <c r="C1151" s="9">
        <f t="array" ref="C1151">XLOOKUP($A1151, Quotations!$C$2:C1756, Quotations!$D$2:D1756, "")</f>
        <v>23.95</v>
      </c>
      <c r="D1151" s="9">
        <f t="array" ref="D1151">XLOOKUP($A1151, Quotations!$E$2:E1756, Quotations!$F$2:F1756, "")
</f>
        <v>115.48</v>
      </c>
      <c r="E1151" s="9">
        <f t="array" ref="E1151">XLOOKUP($A1151, Quotations!$G$2:G1756, Quotations!$H$2:H1756, "")
</f>
        <v>114.66</v>
      </c>
      <c r="F1151" s="9">
        <f t="array" ref="F1151">XLOOKUP($A1151, Quotations!$I$2:I1756, Quotations!$J$2:J1756, "")
</f>
        <v>126.6</v>
      </c>
      <c r="G1151" s="9">
        <f t="array" ref="G1151">XLOOKUP($A1151, Quotations!$K$2:K1756, Quotations!$L$2:L1756, "")
</f>
        <v>1429.845</v>
      </c>
    </row>
    <row r="1152">
      <c r="A1152" s="8">
        <v>43312.0</v>
      </c>
      <c r="B1152" s="9">
        <f t="array" ref="B1152">XLOOKUP($A1152, Quotations!$A$2:A1756, Quotations!$B$2:B1756, "")
</f>
        <v>114.27</v>
      </c>
      <c r="C1152" s="9">
        <f t="array" ref="C1152">XLOOKUP($A1152, Quotations!$C$2:C1756, Quotations!$D$2:D1756, "")</f>
        <v>23.96</v>
      </c>
      <c r="D1152" s="9">
        <f t="array" ref="D1152">XLOOKUP($A1152, Quotations!$E$2:E1756, Quotations!$F$2:F1756, "")
</f>
        <v>115.47</v>
      </c>
      <c r="E1152" s="9">
        <f t="array" ref="E1152">XLOOKUP($A1152, Quotations!$G$2:G1756, Quotations!$H$2:H1756, "")
</f>
        <v>114.3</v>
      </c>
      <c r="F1152" s="9">
        <f t="array" ref="F1152">XLOOKUP($A1152, Quotations!$I$2:I1756, Quotations!$J$2:J1756, "")
</f>
        <v>126.43</v>
      </c>
      <c r="G1152" s="9">
        <f t="array" ref="G1152">XLOOKUP($A1152, Quotations!$K$2:K1756, Quotations!$L$2:L1756, "")
</f>
        <v>1422.971</v>
      </c>
    </row>
    <row r="1153">
      <c r="A1153" s="8">
        <v>43313.0</v>
      </c>
      <c r="B1153" s="9">
        <f t="array" ref="B1153">XLOOKUP($A1153, Quotations!$A$2:A1756, Quotations!$B$2:B1756, "")
</f>
        <v>114.16</v>
      </c>
      <c r="C1153" s="9">
        <f t="array" ref="C1153">XLOOKUP($A1153, Quotations!$C$2:C1756, Quotations!$D$2:D1756, "")</f>
        <v>23.95</v>
      </c>
      <c r="D1153" s="9">
        <f t="array" ref="D1153">XLOOKUP($A1153, Quotations!$E$2:E1756, Quotations!$F$2:F1756, "")
</f>
        <v>115.46</v>
      </c>
      <c r="E1153" s="9">
        <f t="array" ref="E1153">XLOOKUP($A1153, Quotations!$G$2:G1756, Quotations!$H$2:H1756, "")
</f>
        <v>114.35</v>
      </c>
      <c r="F1153" s="9">
        <f t="array" ref="F1153">XLOOKUP($A1153, Quotations!$I$2:I1756, Quotations!$J$2:J1756, "")
</f>
        <v>126.47</v>
      </c>
      <c r="G1153" s="9">
        <f t="array" ref="G1153">XLOOKUP($A1153, Quotations!$K$2:K1756, Quotations!$L$2:L1756, "")
</f>
        <v>1425.592</v>
      </c>
    </row>
    <row r="1154">
      <c r="A1154" s="8">
        <v>43314.0</v>
      </c>
      <c r="B1154" s="9">
        <f t="array" ref="B1154">XLOOKUP($A1154, Quotations!$A$2:A1756, Quotations!$B$2:B1756, "")
</f>
        <v>113.92</v>
      </c>
      <c r="C1154" s="9">
        <f t="array" ref="C1154">XLOOKUP($A1154, Quotations!$C$2:C1756, Quotations!$D$2:D1756, "")</f>
        <v>23.96</v>
      </c>
      <c r="D1154" s="9">
        <f t="array" ref="D1154">XLOOKUP($A1154, Quotations!$E$2:E1756, Quotations!$F$2:F1756, "")
</f>
        <v>115.38</v>
      </c>
      <c r="E1154" s="9">
        <f t="array" ref="E1154">XLOOKUP($A1154, Quotations!$G$2:G1756, Quotations!$H$2:H1756, "")
</f>
        <v>113.88</v>
      </c>
      <c r="F1154" s="9">
        <f t="array" ref="F1154">XLOOKUP($A1154, Quotations!$I$2:I1756, Quotations!$J$2:J1756, "")
</f>
        <v>126.21</v>
      </c>
      <c r="G1154" s="9">
        <f t="array" ref="G1154">XLOOKUP($A1154, Quotations!$K$2:K1756, Quotations!$L$2:L1756, "")
</f>
        <v>1423.797</v>
      </c>
    </row>
    <row r="1155">
      <c r="A1155" s="8">
        <v>43315.0</v>
      </c>
      <c r="B1155" s="9">
        <f t="array" ref="B1155">XLOOKUP($A1155, Quotations!$A$2:A1756, Quotations!$B$2:B1756, "")
</f>
        <v>114.02</v>
      </c>
      <c r="C1155" s="9">
        <f t="array" ref="C1155">XLOOKUP($A1155, Quotations!$C$2:C1756, Quotations!$D$2:D1756, "")</f>
        <v>23.97</v>
      </c>
      <c r="D1155" s="9">
        <f t="array" ref="D1155">XLOOKUP($A1155, Quotations!$E$2:E1756, Quotations!$F$2:F1756, "")
</f>
        <v>115.4</v>
      </c>
      <c r="E1155" s="9">
        <f t="array" ref="E1155">XLOOKUP($A1155, Quotations!$G$2:G1756, Quotations!$H$2:H1756, "")
</f>
        <v>113.3</v>
      </c>
      <c r="F1155" s="9">
        <f t="array" ref="F1155">XLOOKUP($A1155, Quotations!$I$2:I1756, Quotations!$J$2:J1756, "")
</f>
        <v>126.16</v>
      </c>
      <c r="G1155" s="9">
        <f t="array" ref="G1155">XLOOKUP($A1155, Quotations!$K$2:K1756, Quotations!$L$2:L1756, "")
</f>
        <v>1423.937</v>
      </c>
    </row>
    <row r="1156">
      <c r="A1156" s="8">
        <v>43318.0</v>
      </c>
      <c r="B1156" s="9">
        <f t="array" ref="B1156">XLOOKUP($A1156, Quotations!$A$2:A1756, Quotations!$B$2:B1756, "")
</f>
        <v>113.89</v>
      </c>
      <c r="C1156" s="9">
        <f t="array" ref="C1156">XLOOKUP($A1156, Quotations!$C$2:C1756, Quotations!$D$2:D1756, "")</f>
        <v>23.98</v>
      </c>
      <c r="D1156" s="9">
        <f t="array" ref="D1156">XLOOKUP($A1156, Quotations!$E$2:E1756, Quotations!$F$2:F1756, "")
</f>
        <v>115.39</v>
      </c>
      <c r="E1156" s="9">
        <f t="array" ref="E1156">XLOOKUP($A1156, Quotations!$G$2:G1756, Quotations!$H$2:H1756, "")
</f>
        <v>113.68</v>
      </c>
      <c r="F1156" s="9">
        <f t="array" ref="F1156">XLOOKUP($A1156, Quotations!$I$2:I1756, Quotations!$J$2:J1756, "")
</f>
        <v>126.36</v>
      </c>
      <c r="G1156" s="9">
        <f t="array" ref="G1156">XLOOKUP($A1156, Quotations!$K$2:K1756, Quotations!$L$2:L1756, "")
</f>
        <v>1422.543</v>
      </c>
    </row>
    <row r="1157">
      <c r="A1157" s="8">
        <v>43319.0</v>
      </c>
      <c r="B1157" s="9">
        <f t="array" ref="B1157">XLOOKUP($A1157, Quotations!$A$2:A1756, Quotations!$B$2:B1756, "")
</f>
        <v>114.02</v>
      </c>
      <c r="C1157" s="9">
        <f t="array" ref="C1157">XLOOKUP($A1157, Quotations!$C$2:C1756, Quotations!$D$2:D1756, "")</f>
        <v>23.97</v>
      </c>
      <c r="D1157" s="9">
        <f t="array" ref="D1157">XLOOKUP($A1157, Quotations!$E$2:E1756, Quotations!$F$2:F1756, "")
</f>
        <v>115.37</v>
      </c>
      <c r="E1157" s="9">
        <f t="array" ref="E1157">XLOOKUP($A1157, Quotations!$G$2:G1756, Quotations!$H$2:H1756, "")
</f>
        <v>113.73</v>
      </c>
      <c r="F1157" s="9">
        <f t="array" ref="F1157">XLOOKUP($A1157, Quotations!$I$2:I1756, Quotations!$J$2:J1756, "")
</f>
        <v>126.4</v>
      </c>
      <c r="G1157" s="9">
        <f t="array" ref="G1157">XLOOKUP($A1157, Quotations!$K$2:K1756, Quotations!$L$2:L1756, "")
</f>
        <v>1426.182</v>
      </c>
    </row>
    <row r="1158">
      <c r="A1158" s="8">
        <v>43320.0</v>
      </c>
      <c r="B1158" s="9">
        <f t="array" ref="B1158">XLOOKUP($A1158, Quotations!$A$2:A1756, Quotations!$B$2:B1756, "")
</f>
        <v>113.91</v>
      </c>
      <c r="C1158" s="9">
        <f t="array" ref="C1158">XLOOKUP($A1158, Quotations!$C$2:C1756, Quotations!$D$2:D1756, "")</f>
        <v>23.97</v>
      </c>
      <c r="D1158" s="9">
        <f t="array" ref="D1158">XLOOKUP($A1158, Quotations!$E$2:E1756, Quotations!$F$2:F1756, "")
</f>
        <v>115.33</v>
      </c>
      <c r="E1158" s="9">
        <f t="array" ref="E1158">XLOOKUP($A1158, Quotations!$G$2:G1756, Quotations!$H$2:H1756, "")
</f>
        <v>113.89</v>
      </c>
      <c r="F1158" s="9">
        <f t="array" ref="F1158">XLOOKUP($A1158, Quotations!$I$2:I1756, Quotations!$J$2:J1756, "")
</f>
        <v>126.72</v>
      </c>
      <c r="G1158" s="9">
        <f t="array" ref="G1158">XLOOKUP($A1158, Quotations!$K$2:K1756, Quotations!$L$2:L1756, "")
</f>
        <v>1430.863</v>
      </c>
    </row>
    <row r="1159">
      <c r="A1159" s="8">
        <v>43321.0</v>
      </c>
      <c r="B1159" s="9">
        <f t="array" ref="B1159">XLOOKUP($A1159, Quotations!$A$2:A1756, Quotations!$B$2:B1756, "")
</f>
        <v>113.91</v>
      </c>
      <c r="C1159" s="9">
        <f t="array" ref="C1159">XLOOKUP($A1159, Quotations!$C$2:C1756, Quotations!$D$2:D1756, "")</f>
        <v>23.97</v>
      </c>
      <c r="D1159" s="9">
        <f t="array" ref="D1159">XLOOKUP($A1159, Quotations!$E$2:E1756, Quotations!$F$2:F1756, "")
</f>
        <v>115.24</v>
      </c>
      <c r="E1159" s="9">
        <f t="array" ref="E1159">XLOOKUP($A1159, Quotations!$G$2:G1756, Quotations!$H$2:H1756, "")
</f>
        <v>113.75</v>
      </c>
      <c r="F1159" s="9">
        <f t="array" ref="F1159">XLOOKUP($A1159, Quotations!$I$2:I1756, Quotations!$J$2:J1756, "")
</f>
        <v>126.49</v>
      </c>
      <c r="G1159" s="9">
        <f t="array" ref="G1159">XLOOKUP($A1159, Quotations!$K$2:K1756, Quotations!$L$2:L1756, "")
</f>
        <v>1429.955</v>
      </c>
    </row>
    <row r="1160">
      <c r="A1160" s="8">
        <v>43322.0</v>
      </c>
      <c r="B1160" s="9">
        <f t="array" ref="B1160">XLOOKUP($A1160, Quotations!$A$2:A1756, Quotations!$B$2:B1756, "")
</f>
        <v>113.38</v>
      </c>
      <c r="C1160" s="9">
        <f t="array" ref="C1160">XLOOKUP($A1160, Quotations!$C$2:C1756, Quotations!$D$2:D1756, "")</f>
        <v>24.01</v>
      </c>
      <c r="D1160" s="9">
        <f t="array" ref="D1160">XLOOKUP($A1160, Quotations!$E$2:E1756, Quotations!$F$2:F1756, "")
</f>
        <v>115.1</v>
      </c>
      <c r="E1160" s="9">
        <f t="array" ref="E1160">XLOOKUP($A1160, Quotations!$G$2:G1756, Quotations!$H$2:H1756, "")
</f>
        <v>113.9</v>
      </c>
      <c r="F1160" s="9">
        <f t="array" ref="F1160">XLOOKUP($A1160, Quotations!$I$2:I1756, Quotations!$J$2:J1756, "")
</f>
        <v>126.73</v>
      </c>
      <c r="G1160" s="9">
        <f t="array" ref="G1160">XLOOKUP($A1160, Quotations!$K$2:K1756, Quotations!$L$2:L1756, "")
</f>
        <v>1428.74</v>
      </c>
    </row>
    <row r="1161">
      <c r="A1161" s="8">
        <v>43325.0</v>
      </c>
      <c r="B1161" s="9">
        <f t="array" ref="B1161">XLOOKUP($A1161, Quotations!$A$2:A1756, Quotations!$B$2:B1756, "")
</f>
        <v>113.33</v>
      </c>
      <c r="C1161" s="9">
        <f t="array" ref="C1161">XLOOKUP($A1161, Quotations!$C$2:C1756, Quotations!$D$2:D1756, "")</f>
        <v>24.01</v>
      </c>
      <c r="D1161" s="9">
        <f t="array" ref="D1161">XLOOKUP($A1161, Quotations!$E$2:E1756, Quotations!$F$2:F1756, "")
</f>
        <v>114.68</v>
      </c>
      <c r="E1161" s="9">
        <f t="array" ref="E1161">XLOOKUP($A1161, Quotations!$G$2:G1756, Quotations!$H$2:H1756, "")
</f>
        <v>113.23</v>
      </c>
      <c r="F1161" s="9">
        <f t="array" ref="F1161">XLOOKUP($A1161, Quotations!$I$2:I1756, Quotations!$J$2:J1756, "")
</f>
        <v>126.88</v>
      </c>
      <c r="G1161" s="9">
        <f t="array" ref="G1161">XLOOKUP($A1161, Quotations!$K$2:K1756, Quotations!$L$2:L1756, "")
</f>
        <v>1418.326</v>
      </c>
    </row>
    <row r="1162">
      <c r="A1162" s="8">
        <v>43326.0</v>
      </c>
      <c r="B1162" s="9">
        <f t="array" ref="B1162">XLOOKUP($A1162, Quotations!$A$2:A1756, Quotations!$B$2:B1756, "")
</f>
        <v>113.19</v>
      </c>
      <c r="C1162" s="9">
        <f t="array" ref="C1162">XLOOKUP($A1162, Quotations!$C$2:C1756, Quotations!$D$2:D1756, "")</f>
        <v>24.02</v>
      </c>
      <c r="D1162" s="9">
        <f t="array" ref="D1162">XLOOKUP($A1162, Quotations!$E$2:E1756, Quotations!$F$2:F1756, "")
</f>
        <v>114.61</v>
      </c>
      <c r="E1162" s="9">
        <f t="array" ref="E1162">XLOOKUP($A1162, Quotations!$G$2:G1756, Quotations!$H$2:H1756, "")
</f>
        <v>113.01</v>
      </c>
      <c r="F1162" s="9">
        <f t="array" ref="F1162">XLOOKUP($A1162, Quotations!$I$2:I1756, Quotations!$J$2:J1756, "")
</f>
        <v>126.7</v>
      </c>
      <c r="G1162" s="9">
        <f t="array" ref="G1162">XLOOKUP($A1162, Quotations!$K$2:K1756, Quotations!$L$2:L1756, "")
</f>
        <v>1416.448</v>
      </c>
    </row>
    <row r="1163">
      <c r="A1163" s="8">
        <v>43328.0</v>
      </c>
      <c r="B1163" s="9">
        <f t="array" ref="B1163">XLOOKUP($A1163, Quotations!$A$2:A1756, Quotations!$B$2:B1756, "")
</f>
        <v>112.94</v>
      </c>
      <c r="C1163" s="9">
        <f t="array" ref="C1163">XLOOKUP($A1163, Quotations!$C$2:C1756, Quotations!$D$2:D1756, "")</f>
        <v>24</v>
      </c>
      <c r="D1163" s="9">
        <f t="array" ref="D1163">XLOOKUP($A1163, Quotations!$E$2:E1756, Quotations!$F$2:F1756, "")
</f>
        <v>114.7</v>
      </c>
      <c r="E1163" s="9">
        <f t="array" ref="E1163">XLOOKUP($A1163, Quotations!$G$2:G1756, Quotations!$H$2:H1756, "")
</f>
        <v>112.97</v>
      </c>
      <c r="F1163" s="9">
        <f t="array" ref="F1163">XLOOKUP($A1163, Quotations!$I$2:I1756, Quotations!$J$2:J1756, "")
</f>
        <v>126.35</v>
      </c>
      <c r="G1163" s="9">
        <f t="array" ref="G1163">XLOOKUP($A1163, Quotations!$K$2:K1756, Quotations!$L$2:L1756, "")
</f>
        <v>1405.351</v>
      </c>
    </row>
    <row r="1164">
      <c r="A1164" s="8">
        <v>43329.0</v>
      </c>
      <c r="B1164" s="9">
        <f t="array" ref="B1164">XLOOKUP($A1164, Quotations!$A$2:A1756, Quotations!$B$2:B1756, "")
</f>
        <v>112.83</v>
      </c>
      <c r="C1164" s="9">
        <f t="array" ref="C1164">XLOOKUP($A1164, Quotations!$C$2:C1756, Quotations!$D$2:D1756, "")</f>
        <v>23.99</v>
      </c>
      <c r="D1164" s="9">
        <f t="array" ref="D1164">XLOOKUP($A1164, Quotations!$E$2:E1756, Quotations!$F$2:F1756, "")
</f>
        <v>114.7</v>
      </c>
      <c r="E1164" s="9">
        <f t="array" ref="E1164">XLOOKUP($A1164, Quotations!$G$2:G1756, Quotations!$H$2:H1756, "")
</f>
        <v>112.52</v>
      </c>
      <c r="F1164" s="9">
        <f t="array" ref="F1164">XLOOKUP($A1164, Quotations!$I$2:I1756, Quotations!$J$2:J1756, "")
</f>
        <v>126.4</v>
      </c>
      <c r="G1164" s="9">
        <f t="array" ref="G1164">XLOOKUP($A1164, Quotations!$K$2:K1756, Quotations!$L$2:L1756, "")
</f>
        <v>1406.671</v>
      </c>
    </row>
    <row r="1165">
      <c r="A1165" s="8">
        <v>43332.0</v>
      </c>
      <c r="B1165" s="9">
        <f t="array" ref="B1165">XLOOKUP($A1165, Quotations!$A$2:A1756, Quotations!$B$2:B1756, "")
</f>
        <v>112.97</v>
      </c>
      <c r="C1165" s="9">
        <f t="array" ref="C1165">XLOOKUP($A1165, Quotations!$C$2:C1756, Quotations!$D$2:D1756, "")</f>
        <v>23.99</v>
      </c>
      <c r="D1165" s="9">
        <f t="array" ref="D1165">XLOOKUP($A1165, Quotations!$E$2:E1756, Quotations!$F$2:F1756, "")
</f>
        <v>114.75</v>
      </c>
      <c r="E1165" s="9">
        <f t="array" ref="E1165">XLOOKUP($A1165, Quotations!$G$2:G1756, Quotations!$H$2:H1756, "")
</f>
        <v>112.44</v>
      </c>
      <c r="F1165" s="9">
        <f t="array" ref="F1165">XLOOKUP($A1165, Quotations!$I$2:I1756, Quotations!$J$2:J1756, "")
</f>
        <v>126.36</v>
      </c>
      <c r="G1165" s="9">
        <f t="array" ref="G1165">XLOOKUP($A1165, Quotations!$K$2:K1756, Quotations!$L$2:L1756, "")
</f>
        <v>1406.164</v>
      </c>
    </row>
    <row r="1166">
      <c r="A1166" s="8">
        <v>43333.0</v>
      </c>
      <c r="B1166" s="9">
        <f t="array" ref="B1166">XLOOKUP($A1166, Quotations!$A$2:A1756, Quotations!$B$2:B1756, "")
</f>
        <v>113.13</v>
      </c>
      <c r="C1166" s="9">
        <f t="array" ref="C1166">XLOOKUP($A1166, Quotations!$C$2:C1756, Quotations!$D$2:D1756, "")</f>
        <v>23.98</v>
      </c>
      <c r="D1166" s="9">
        <f t="array" ref="D1166">XLOOKUP($A1166, Quotations!$E$2:E1756, Quotations!$F$2:F1756, "")
</f>
        <v>114.8</v>
      </c>
      <c r="E1166" s="9">
        <f t="array" ref="E1166">XLOOKUP($A1166, Quotations!$G$2:G1756, Quotations!$H$2:H1756, "")
</f>
        <v>112.74</v>
      </c>
      <c r="F1166" s="9">
        <f t="array" ref="F1166">XLOOKUP($A1166, Quotations!$I$2:I1756, Quotations!$J$2:J1756, "")
</f>
        <v>126.55</v>
      </c>
      <c r="G1166" s="9">
        <f t="array" ref="G1166">XLOOKUP($A1166, Quotations!$K$2:K1756, Quotations!$L$2:L1756, "")
</f>
        <v>1407.443</v>
      </c>
    </row>
    <row r="1167">
      <c r="A1167" s="8">
        <v>43334.0</v>
      </c>
      <c r="B1167" s="9">
        <f t="array" ref="B1167">XLOOKUP($A1167, Quotations!$A$2:A1756, Quotations!$B$2:B1756, "")
</f>
        <v>113.22</v>
      </c>
      <c r="C1167" s="9">
        <f t="array" ref="C1167">XLOOKUP($A1167, Quotations!$C$2:C1756, Quotations!$D$2:D1756, "")</f>
        <v>23.97</v>
      </c>
      <c r="D1167" s="9">
        <f t="array" ref="D1167">XLOOKUP($A1167, Quotations!$E$2:E1756, Quotations!$F$2:F1756, "")
</f>
        <v>114.84</v>
      </c>
      <c r="E1167" s="9">
        <f t="array" ref="E1167">XLOOKUP($A1167, Quotations!$G$2:G1756, Quotations!$H$2:H1756, "")
</f>
        <v>112.84</v>
      </c>
      <c r="F1167" s="9">
        <f t="array" ref="F1167">XLOOKUP($A1167, Quotations!$I$2:I1756, Quotations!$J$2:J1756, "")
</f>
        <v>126.45</v>
      </c>
      <c r="G1167" s="9">
        <f t="array" ref="G1167">XLOOKUP($A1167, Quotations!$K$2:K1756, Quotations!$L$2:L1756, "")
</f>
        <v>1412.569</v>
      </c>
    </row>
    <row r="1168">
      <c r="A1168" s="8">
        <v>43335.0</v>
      </c>
      <c r="B1168" s="9">
        <f t="array" ref="B1168">XLOOKUP($A1168, Quotations!$A$2:A1756, Quotations!$B$2:B1756, "")
</f>
        <v>113.3</v>
      </c>
      <c r="C1168" s="9">
        <f t="array" ref="C1168">XLOOKUP($A1168, Quotations!$C$2:C1756, Quotations!$D$2:D1756, "")</f>
        <v>23.96</v>
      </c>
      <c r="D1168" s="9">
        <f t="array" ref="D1168">XLOOKUP($A1168, Quotations!$E$2:E1756, Quotations!$F$2:F1756, "")
</f>
        <v>114.83</v>
      </c>
      <c r="E1168" s="9">
        <f t="array" ref="E1168">XLOOKUP($A1168, Quotations!$G$2:G1756, Quotations!$H$2:H1756, "")
</f>
        <v>112.88</v>
      </c>
      <c r="F1168" s="9">
        <f t="array" ref="F1168">XLOOKUP($A1168, Quotations!$I$2:I1756, Quotations!$J$2:J1756, "")
</f>
        <v>126.39</v>
      </c>
      <c r="G1168" s="9">
        <f t="array" ref="G1168">XLOOKUP($A1168, Quotations!$K$2:K1756, Quotations!$L$2:L1756, "")
</f>
        <v>1416.19</v>
      </c>
    </row>
    <row r="1169">
      <c r="A1169" s="8">
        <v>43336.0</v>
      </c>
      <c r="B1169" s="9">
        <f t="array" ref="B1169">XLOOKUP($A1169, Quotations!$A$2:A1756, Quotations!$B$2:B1756, "")
</f>
        <v>113.47</v>
      </c>
      <c r="C1169" s="9">
        <f t="array" ref="C1169">XLOOKUP($A1169, Quotations!$C$2:C1756, Quotations!$D$2:D1756, "")</f>
        <v>23.95</v>
      </c>
      <c r="D1169" s="9">
        <f t="array" ref="D1169">XLOOKUP($A1169, Quotations!$E$2:E1756, Quotations!$F$2:F1756, "")
</f>
        <v>114.84</v>
      </c>
      <c r="E1169" s="9">
        <f t="array" ref="E1169">XLOOKUP($A1169, Quotations!$G$2:G1756, Quotations!$H$2:H1756, "")
</f>
        <v>112.86</v>
      </c>
      <c r="F1169" s="9">
        <f t="array" ref="F1169">XLOOKUP($A1169, Quotations!$I$2:I1756, Quotations!$J$2:J1756, "")
</f>
        <v>126.37</v>
      </c>
      <c r="G1169" s="9">
        <f t="array" ref="G1169">XLOOKUP($A1169, Quotations!$K$2:K1756, Quotations!$L$2:L1756, "")
</f>
        <v>1418.344</v>
      </c>
    </row>
    <row r="1170">
      <c r="A1170" s="8">
        <v>43339.0</v>
      </c>
      <c r="B1170" s="9">
        <f t="array" ref="B1170">XLOOKUP($A1170, Quotations!$A$2:A1756, Quotations!$B$2:B1756, "")
</f>
        <v>113.77</v>
      </c>
      <c r="C1170" s="9">
        <f t="array" ref="C1170">XLOOKUP($A1170, Quotations!$C$2:C1756, Quotations!$D$2:D1756, "")</f>
        <v>23.94</v>
      </c>
      <c r="D1170" s="9">
        <f t="array" ref="D1170">XLOOKUP($A1170, Quotations!$E$2:E1756, Quotations!$F$2:F1756, "")
</f>
        <v>114.87</v>
      </c>
      <c r="E1170" s="9">
        <f t="array" ref="E1170">XLOOKUP($A1170, Quotations!$G$2:G1756, Quotations!$H$2:H1756, "")
</f>
        <v>112.89</v>
      </c>
      <c r="F1170" s="9">
        <f t="array" ref="F1170">XLOOKUP($A1170, Quotations!$I$2:I1756, Quotations!$J$2:J1756, "")
</f>
        <v>126.44</v>
      </c>
      <c r="G1170" s="9" t="str">
        <f t="array" ref="G1170">XLOOKUP($A1170, Quotations!$K$2:K1756, Quotations!$L$2:L1756, "")
</f>
        <v/>
      </c>
    </row>
    <row r="1171">
      <c r="A1171" s="8">
        <v>43340.0</v>
      </c>
      <c r="B1171" s="9">
        <f t="array" ref="B1171">XLOOKUP($A1171, Quotations!$A$2:A1756, Quotations!$B$2:B1756, "")
</f>
        <v>113.88</v>
      </c>
      <c r="C1171" s="9">
        <f t="array" ref="C1171">XLOOKUP($A1171, Quotations!$C$2:C1756, Quotations!$D$2:D1756, "")</f>
        <v>23.92</v>
      </c>
      <c r="D1171" s="9">
        <f t="array" ref="D1171">XLOOKUP($A1171, Quotations!$E$2:E1756, Quotations!$F$2:F1756, "")
</f>
        <v>114.9</v>
      </c>
      <c r="E1171" s="9">
        <f t="array" ref="E1171">XLOOKUP($A1171, Quotations!$G$2:G1756, Quotations!$H$2:H1756, "")
</f>
        <v>112.9</v>
      </c>
      <c r="F1171" s="9">
        <f t="array" ref="F1171">XLOOKUP($A1171, Quotations!$I$2:I1756, Quotations!$J$2:J1756, "")
</f>
        <v>126.7</v>
      </c>
      <c r="G1171" s="9">
        <f t="array" ref="G1171">XLOOKUP($A1171, Quotations!$K$2:K1756, Quotations!$L$2:L1756, "")
</f>
        <v>1427.31</v>
      </c>
    </row>
    <row r="1172">
      <c r="A1172" s="8">
        <v>43341.0</v>
      </c>
      <c r="B1172" s="9">
        <f t="array" ref="B1172">XLOOKUP($A1172, Quotations!$A$2:A1756, Quotations!$B$2:B1756, "")
</f>
        <v>114.06</v>
      </c>
      <c r="C1172" s="9">
        <f t="array" ref="C1172">XLOOKUP($A1172, Quotations!$C$2:C1756, Quotations!$D$2:D1756, "")</f>
        <v>23.92</v>
      </c>
      <c r="D1172" s="9">
        <f t="array" ref="D1172">XLOOKUP($A1172, Quotations!$E$2:E1756, Quotations!$F$2:F1756, "")
</f>
        <v>114.88</v>
      </c>
      <c r="E1172" s="9">
        <f t="array" ref="E1172">XLOOKUP($A1172, Quotations!$G$2:G1756, Quotations!$H$2:H1756, "")
</f>
        <v>112.72</v>
      </c>
      <c r="F1172" s="9">
        <f t="array" ref="F1172">XLOOKUP($A1172, Quotations!$I$2:I1756, Quotations!$J$2:J1756, "")
</f>
        <v>126.67</v>
      </c>
      <c r="G1172" s="9">
        <f t="array" ref="G1172">XLOOKUP($A1172, Quotations!$K$2:K1756, Quotations!$L$2:L1756, "")
</f>
        <v>1436.623</v>
      </c>
    </row>
    <row r="1173">
      <c r="A1173" s="8">
        <v>43342.0</v>
      </c>
      <c r="B1173" s="9">
        <f t="array" ref="B1173">XLOOKUP($A1173, Quotations!$A$2:A1756, Quotations!$B$2:B1756, "")
</f>
        <v>113.85</v>
      </c>
      <c r="C1173" s="9">
        <f t="array" ref="C1173">XLOOKUP($A1173, Quotations!$C$2:C1756, Quotations!$D$2:D1756, "")</f>
        <v>23.93</v>
      </c>
      <c r="D1173" s="9">
        <f t="array" ref="D1173">XLOOKUP($A1173, Quotations!$E$2:E1756, Quotations!$F$2:F1756, "")
</f>
        <v>114.75</v>
      </c>
      <c r="E1173" s="9">
        <f t="array" ref="E1173">XLOOKUP($A1173, Quotations!$G$2:G1756, Quotations!$H$2:H1756, "")
</f>
        <v>112.68</v>
      </c>
      <c r="F1173" s="9">
        <f t="array" ref="F1173">XLOOKUP($A1173, Quotations!$I$2:I1756, Quotations!$J$2:J1756, "")
</f>
        <v>126.6</v>
      </c>
      <c r="G1173" s="9">
        <f t="array" ref="G1173">XLOOKUP($A1173, Quotations!$K$2:K1756, Quotations!$L$2:L1756, "")
</f>
        <v>1432.109</v>
      </c>
    </row>
    <row r="1174">
      <c r="A1174" s="8">
        <v>43343.0</v>
      </c>
      <c r="B1174" s="9">
        <f t="array" ref="B1174">XLOOKUP($A1174, Quotations!$A$2:A1756, Quotations!$B$2:B1756, "")
</f>
        <v>113.71</v>
      </c>
      <c r="C1174" s="9">
        <f t="array" ref="C1174">XLOOKUP($A1174, Quotations!$C$2:C1756, Quotations!$D$2:D1756, "")</f>
        <v>23.94</v>
      </c>
      <c r="D1174" s="9">
        <f t="array" ref="D1174">XLOOKUP($A1174, Quotations!$E$2:E1756, Quotations!$F$2:F1756, "")
</f>
        <v>114.68</v>
      </c>
      <c r="E1174" s="9">
        <f t="array" ref="E1174">XLOOKUP($A1174, Quotations!$G$2:G1756, Quotations!$H$2:H1756, "")
</f>
        <v>112.63</v>
      </c>
      <c r="F1174" s="9">
        <f t="array" ref="F1174">XLOOKUP($A1174, Quotations!$I$2:I1756, Quotations!$J$2:J1756, "")
</f>
        <v>126.61</v>
      </c>
      <c r="G1174" s="9">
        <f t="array" ref="G1174">XLOOKUP($A1174, Quotations!$K$2:K1756, Quotations!$L$2:L1756, "")
</f>
        <v>1430.679</v>
      </c>
    </row>
    <row r="1175">
      <c r="A1175" s="8">
        <v>43346.0</v>
      </c>
      <c r="B1175" s="9">
        <f t="array" ref="B1175">XLOOKUP($A1175, Quotations!$A$2:A1756, Quotations!$B$2:B1756, "")
</f>
        <v>113.71</v>
      </c>
      <c r="C1175" s="9">
        <f t="array" ref="C1175">XLOOKUP($A1175, Quotations!$C$2:C1756, Quotations!$D$2:D1756, "")</f>
        <v>23.94</v>
      </c>
      <c r="D1175" s="9">
        <f t="array" ref="D1175">XLOOKUP($A1175, Quotations!$E$2:E1756, Quotations!$F$2:F1756, "")
</f>
        <v>114.7</v>
      </c>
      <c r="E1175" s="9">
        <f t="array" ref="E1175">XLOOKUP($A1175, Quotations!$G$2:G1756, Quotations!$H$2:H1756, "")
</f>
        <v>112.4</v>
      </c>
      <c r="F1175" s="9">
        <f t="array" ref="F1175">XLOOKUP($A1175, Quotations!$I$2:I1756, Quotations!$J$2:J1756, "")
</f>
        <v>126.57</v>
      </c>
      <c r="G1175" s="9">
        <f t="array" ref="G1175">XLOOKUP($A1175, Quotations!$K$2:K1756, Quotations!$L$2:L1756, "")
</f>
        <v>1428.337</v>
      </c>
    </row>
    <row r="1176">
      <c r="A1176" s="8">
        <v>43347.0</v>
      </c>
      <c r="B1176" s="9">
        <f t="array" ref="B1176">XLOOKUP($A1176, Quotations!$A$2:A1756, Quotations!$B$2:B1756, "")
</f>
        <v>113.45</v>
      </c>
      <c r="C1176" s="9">
        <f t="array" ref="C1176">XLOOKUP($A1176, Quotations!$C$2:C1756, Quotations!$D$2:D1756, "")</f>
        <v>23.95</v>
      </c>
      <c r="D1176" s="9">
        <f t="array" ref="D1176">XLOOKUP($A1176, Quotations!$E$2:E1756, Quotations!$F$2:F1756, "")
</f>
        <v>114.72</v>
      </c>
      <c r="E1176" s="9">
        <f t="array" ref="E1176">XLOOKUP($A1176, Quotations!$G$2:G1756, Quotations!$H$2:H1756, "")
</f>
        <v>112.46</v>
      </c>
      <c r="F1176" s="9">
        <f t="array" ref="F1176">XLOOKUP($A1176, Quotations!$I$2:I1756, Quotations!$J$2:J1756, "")
</f>
        <v>126.44</v>
      </c>
      <c r="G1176" s="9">
        <f t="array" ref="G1176">XLOOKUP($A1176, Quotations!$K$2:K1756, Quotations!$L$2:L1756, "")
</f>
        <v>1428.648</v>
      </c>
    </row>
    <row r="1177">
      <c r="A1177" s="8">
        <v>43348.0</v>
      </c>
      <c r="B1177" s="9">
        <f t="array" ref="B1177">XLOOKUP($A1177, Quotations!$A$2:A1756, Quotations!$B$2:B1756, "")
</f>
        <v>113.17</v>
      </c>
      <c r="C1177" s="9">
        <f t="array" ref="C1177">XLOOKUP($A1177, Quotations!$C$2:C1756, Quotations!$D$2:D1756, "")</f>
        <v>23.93</v>
      </c>
      <c r="D1177" s="9">
        <f t="array" ref="D1177">XLOOKUP($A1177, Quotations!$E$2:E1756, Quotations!$F$2:F1756, "")
</f>
        <v>114.75</v>
      </c>
      <c r="E1177" s="9">
        <f t="array" ref="E1177">XLOOKUP($A1177, Quotations!$G$2:G1756, Quotations!$H$2:H1756, "")
</f>
        <v>111.84</v>
      </c>
      <c r="F1177" s="9">
        <f t="array" ref="F1177">XLOOKUP($A1177, Quotations!$I$2:I1756, Quotations!$J$2:J1756, "")
</f>
        <v>126.27</v>
      </c>
      <c r="G1177" s="9">
        <f t="array" ref="G1177">XLOOKUP($A1177, Quotations!$K$2:K1756, Quotations!$L$2:L1756, "")
</f>
        <v>1424.909</v>
      </c>
    </row>
    <row r="1178">
      <c r="A1178" s="8">
        <v>43349.0</v>
      </c>
      <c r="B1178" s="9">
        <f t="array" ref="B1178">XLOOKUP($A1178, Quotations!$A$2:A1756, Quotations!$B$2:B1756, "")
</f>
        <v>112.98</v>
      </c>
      <c r="C1178" s="9">
        <f t="array" ref="C1178">XLOOKUP($A1178, Quotations!$C$2:C1756, Quotations!$D$2:D1756, "")</f>
        <v>23.94</v>
      </c>
      <c r="D1178" s="9">
        <f t="array" ref="D1178">XLOOKUP($A1178, Quotations!$E$2:E1756, Quotations!$F$2:F1756, "")
</f>
        <v>114.78</v>
      </c>
      <c r="E1178" s="9">
        <f t="array" ref="E1178">XLOOKUP($A1178, Quotations!$G$2:G1756, Quotations!$H$2:H1756, "")
</f>
        <v>111.18</v>
      </c>
      <c r="F1178" s="9">
        <f t="array" ref="F1178">XLOOKUP($A1178, Quotations!$I$2:I1756, Quotations!$J$2:J1756, "")
</f>
        <v>125.66</v>
      </c>
      <c r="G1178" s="9">
        <f t="array" ref="G1178">XLOOKUP($A1178, Quotations!$K$2:K1756, Quotations!$L$2:L1756, "")
</f>
        <v>1416.739</v>
      </c>
    </row>
    <row r="1179">
      <c r="A1179" s="8">
        <v>43350.0</v>
      </c>
      <c r="B1179" s="9">
        <f t="array" ref="B1179">XLOOKUP($A1179, Quotations!$A$2:A1756, Quotations!$B$2:B1756, "")
</f>
        <v>112.99</v>
      </c>
      <c r="C1179" s="9">
        <f t="array" ref="C1179">XLOOKUP($A1179, Quotations!$C$2:C1756, Quotations!$D$2:D1756, "")</f>
        <v>23.94</v>
      </c>
      <c r="D1179" s="9">
        <f t="array" ref="D1179">XLOOKUP($A1179, Quotations!$E$2:E1756, Quotations!$F$2:F1756, "")
</f>
        <v>114.87</v>
      </c>
      <c r="E1179" s="9">
        <f t="array" ref="E1179">XLOOKUP($A1179, Quotations!$G$2:G1756, Quotations!$H$2:H1756, "")
</f>
        <v>111.05</v>
      </c>
      <c r="F1179" s="9">
        <f t="array" ref="F1179">XLOOKUP($A1179, Quotations!$I$2:I1756, Quotations!$J$2:J1756, "")
</f>
        <v>125.56</v>
      </c>
      <c r="G1179" s="9">
        <f t="array" ref="G1179">XLOOKUP($A1179, Quotations!$K$2:K1756, Quotations!$L$2:L1756, "")
</f>
        <v>1414.255</v>
      </c>
    </row>
    <row r="1180">
      <c r="A1180" s="8">
        <v>43353.0</v>
      </c>
      <c r="B1180" s="9">
        <f t="array" ref="B1180">XLOOKUP($A1180, Quotations!$A$2:A1756, Quotations!$B$2:B1756, "")
</f>
        <v>113.14</v>
      </c>
      <c r="C1180" s="9">
        <f t="array" ref="C1180">XLOOKUP($A1180, Quotations!$C$2:C1756, Quotations!$D$2:D1756, "")</f>
        <v>23.94</v>
      </c>
      <c r="D1180" s="9">
        <f t="array" ref="D1180">XLOOKUP($A1180, Quotations!$E$2:E1756, Quotations!$F$2:F1756, "")
</f>
        <v>114.9</v>
      </c>
      <c r="E1180" s="9">
        <f t="array" ref="E1180">XLOOKUP($A1180, Quotations!$G$2:G1756, Quotations!$H$2:H1756, "")
</f>
        <v>110.69</v>
      </c>
      <c r="F1180" s="9">
        <f t="array" ref="F1180">XLOOKUP($A1180, Quotations!$I$2:I1756, Quotations!$J$2:J1756, "")
</f>
        <v>125.45</v>
      </c>
      <c r="G1180" s="9">
        <f t="array" ref="G1180">XLOOKUP($A1180, Quotations!$K$2:K1756, Quotations!$L$2:L1756, "")
</f>
        <v>1412.258</v>
      </c>
    </row>
    <row r="1181">
      <c r="A1181" s="8">
        <v>43354.0</v>
      </c>
      <c r="B1181" s="9">
        <f t="array" ref="B1181">XLOOKUP($A1181, Quotations!$A$2:A1756, Quotations!$B$2:B1756, "")
</f>
        <v>113.12</v>
      </c>
      <c r="C1181" s="9">
        <f t="array" ref="C1181">XLOOKUP($A1181, Quotations!$C$2:C1756, Quotations!$D$2:D1756, "")</f>
        <v>23.94</v>
      </c>
      <c r="D1181" s="9">
        <f t="array" ref="D1181">XLOOKUP($A1181, Quotations!$E$2:E1756, Quotations!$F$2:F1756, "")
</f>
        <v>114.92</v>
      </c>
      <c r="E1181" s="9">
        <f t="array" ref="E1181">XLOOKUP($A1181, Quotations!$G$2:G1756, Quotations!$H$2:H1756, "")
</f>
        <v>110.97</v>
      </c>
      <c r="F1181" s="9">
        <f t="array" ref="F1181">XLOOKUP($A1181, Quotations!$I$2:I1756, Quotations!$J$2:J1756, "")
</f>
        <v>125.25</v>
      </c>
      <c r="G1181" s="9">
        <f t="array" ref="G1181">XLOOKUP($A1181, Quotations!$K$2:K1756, Quotations!$L$2:L1756, "")
</f>
        <v>1412.945</v>
      </c>
    </row>
    <row r="1182">
      <c r="A1182" s="8">
        <v>43355.0</v>
      </c>
      <c r="B1182" s="9">
        <f t="array" ref="B1182">XLOOKUP($A1182, Quotations!$A$2:A1756, Quotations!$B$2:B1756, "")
</f>
        <v>113.37</v>
      </c>
      <c r="C1182" s="9">
        <f t="array" ref="C1182">XLOOKUP($A1182, Quotations!$C$2:C1756, Quotations!$D$2:D1756, "")</f>
        <v>23.94</v>
      </c>
      <c r="D1182" s="9">
        <f t="array" ref="D1182">XLOOKUP($A1182, Quotations!$E$2:E1756, Quotations!$F$2:F1756, "")
</f>
        <v>114.92</v>
      </c>
      <c r="E1182" s="9">
        <f t="array" ref="E1182">XLOOKUP($A1182, Quotations!$G$2:G1756, Quotations!$H$2:H1756, "")
</f>
        <v>110.72</v>
      </c>
      <c r="F1182" s="9">
        <f t="array" ref="F1182">XLOOKUP($A1182, Quotations!$I$2:I1756, Quotations!$J$2:J1756, "")
</f>
        <v>125.06</v>
      </c>
      <c r="G1182" s="9">
        <f t="array" ref="G1182">XLOOKUP($A1182, Quotations!$K$2:K1756, Quotations!$L$2:L1756, "")
</f>
        <v>1412.621</v>
      </c>
    </row>
    <row r="1183">
      <c r="A1183" s="8">
        <v>43356.0</v>
      </c>
      <c r="B1183" s="9">
        <f t="array" ref="B1183">XLOOKUP($A1183, Quotations!$A$2:A1756, Quotations!$B$2:B1756, "")
</f>
        <v>113.43</v>
      </c>
      <c r="C1183" s="9">
        <f t="array" ref="C1183">XLOOKUP($A1183, Quotations!$C$2:C1756, Quotations!$D$2:D1756, "")</f>
        <v>23.93</v>
      </c>
      <c r="D1183" s="9">
        <f t="array" ref="D1183">XLOOKUP($A1183, Quotations!$E$2:E1756, Quotations!$F$2:F1756, "")
</f>
        <v>115.03</v>
      </c>
      <c r="E1183" s="9">
        <f t="array" ref="E1183">XLOOKUP($A1183, Quotations!$G$2:G1756, Quotations!$H$2:H1756, "")
</f>
        <v>111.03</v>
      </c>
      <c r="F1183" s="9">
        <f t="array" ref="F1183">XLOOKUP($A1183, Quotations!$I$2:I1756, Quotations!$J$2:J1756, "")
</f>
        <v>125.18</v>
      </c>
      <c r="G1183" s="9">
        <f t="array" ref="G1183">XLOOKUP($A1183, Quotations!$K$2:K1756, Quotations!$L$2:L1756, "")
</f>
        <v>1415.297</v>
      </c>
    </row>
    <row r="1184">
      <c r="A1184" s="8">
        <v>43357.0</v>
      </c>
      <c r="B1184" s="9">
        <f t="array" ref="B1184">XLOOKUP($A1184, Quotations!$A$2:A1756, Quotations!$B$2:B1756, "")
</f>
        <v>113.62</v>
      </c>
      <c r="C1184" s="9">
        <f t="array" ref="C1184">XLOOKUP($A1184, Quotations!$C$2:C1756, Quotations!$D$2:D1756, "")</f>
        <v>23.93</v>
      </c>
      <c r="D1184" s="9">
        <f t="array" ref="D1184">XLOOKUP($A1184, Quotations!$E$2:E1756, Quotations!$F$2:F1756, "")
</f>
        <v>115.16</v>
      </c>
      <c r="E1184" s="9">
        <f t="array" ref="E1184">XLOOKUP($A1184, Quotations!$G$2:G1756, Quotations!$H$2:H1756, "")
</f>
        <v>111.08</v>
      </c>
      <c r="F1184" s="9">
        <f t="array" ref="F1184">XLOOKUP($A1184, Quotations!$I$2:I1756, Quotations!$J$2:J1756, "")
</f>
        <v>125.33</v>
      </c>
      <c r="G1184" s="9">
        <f t="array" ref="G1184">XLOOKUP($A1184, Quotations!$K$2:K1756, Quotations!$L$2:L1756, "")
</f>
        <v>1419.597</v>
      </c>
    </row>
    <row r="1185">
      <c r="A1185" s="8">
        <v>43360.0</v>
      </c>
      <c r="B1185" s="9">
        <f t="array" ref="B1185">XLOOKUP($A1185, Quotations!$A$2:A1756, Quotations!$B$2:B1756, "")
</f>
        <v>113.53</v>
      </c>
      <c r="C1185" s="9">
        <f t="array" ref="C1185">XLOOKUP($A1185, Quotations!$C$2:C1756, Quotations!$D$2:D1756, "")</f>
        <v>23.94</v>
      </c>
      <c r="D1185" s="9">
        <f t="array" ref="D1185">XLOOKUP($A1185, Quotations!$E$2:E1756, Quotations!$F$2:F1756, "")
</f>
        <v>115.18</v>
      </c>
      <c r="E1185" s="9">
        <f t="array" ref="E1185">XLOOKUP($A1185, Quotations!$G$2:G1756, Quotations!$H$2:H1756, "")
</f>
        <v>111.15</v>
      </c>
      <c r="F1185" s="9">
        <f t="array" ref="F1185">XLOOKUP($A1185, Quotations!$I$2:I1756, Quotations!$J$2:J1756, "")
</f>
        <v>125.34</v>
      </c>
      <c r="G1185" s="9">
        <f t="array" ref="G1185">XLOOKUP($A1185, Quotations!$K$2:K1756, Quotations!$L$2:L1756, "")
</f>
        <v>1421.295</v>
      </c>
    </row>
    <row r="1186">
      <c r="A1186" s="8">
        <v>43361.0</v>
      </c>
      <c r="B1186" s="9">
        <f t="array" ref="B1186">XLOOKUP($A1186, Quotations!$A$2:A1756, Quotations!$B$2:B1756, "")
</f>
        <v>113.68</v>
      </c>
      <c r="C1186" s="9">
        <f t="array" ref="C1186">XLOOKUP($A1186, Quotations!$C$2:C1756, Quotations!$D$2:D1756, "")</f>
        <v>23.94</v>
      </c>
      <c r="D1186" s="9">
        <f t="array" ref="D1186">XLOOKUP($A1186, Quotations!$E$2:E1756, Quotations!$F$2:F1756, "")
</f>
        <v>115.19</v>
      </c>
      <c r="E1186" s="9">
        <f t="array" ref="E1186">XLOOKUP($A1186, Quotations!$G$2:G1756, Quotations!$H$2:H1756, "")
</f>
        <v>111.01</v>
      </c>
      <c r="F1186" s="9">
        <f t="array" ref="F1186">XLOOKUP($A1186, Quotations!$I$2:I1756, Quotations!$J$2:J1756, "")
</f>
        <v>125.05</v>
      </c>
      <c r="G1186" s="9">
        <f t="array" ref="G1186">XLOOKUP($A1186, Quotations!$K$2:K1756, Quotations!$L$2:L1756, "")
</f>
        <v>1418.11</v>
      </c>
    </row>
    <row r="1187">
      <c r="A1187" s="8">
        <v>43362.0</v>
      </c>
      <c r="B1187" s="9">
        <f t="array" ref="B1187">XLOOKUP($A1187, Quotations!$A$2:A1756, Quotations!$B$2:B1756, "")
</f>
        <v>113.76</v>
      </c>
      <c r="C1187" s="9">
        <f t="array" ref="C1187">XLOOKUP($A1187, Quotations!$C$2:C1756, Quotations!$D$2:D1756, "")</f>
        <v>23.94</v>
      </c>
      <c r="D1187" s="9">
        <f t="array" ref="D1187">XLOOKUP($A1187, Quotations!$E$2:E1756, Quotations!$F$2:F1756, "")
</f>
        <v>115.27</v>
      </c>
      <c r="E1187" s="9">
        <f t="array" ref="E1187">XLOOKUP($A1187, Quotations!$G$2:G1756, Quotations!$H$2:H1756, "")
</f>
        <v>110.91</v>
      </c>
      <c r="F1187" s="9">
        <f t="array" ref="F1187">XLOOKUP($A1187, Quotations!$I$2:I1756, Quotations!$J$2:J1756, "")
</f>
        <v>125.18</v>
      </c>
      <c r="G1187" s="9">
        <f t="array" ref="G1187">XLOOKUP($A1187, Quotations!$K$2:K1756, Quotations!$L$2:L1756, "")
</f>
        <v>1421.253</v>
      </c>
    </row>
    <row r="1188">
      <c r="A1188" s="8">
        <v>43363.0</v>
      </c>
      <c r="B1188" s="9">
        <f t="array" ref="B1188">XLOOKUP($A1188, Quotations!$A$2:A1756, Quotations!$B$2:B1756, "")
</f>
        <v>114.12</v>
      </c>
      <c r="C1188" s="9">
        <f t="array" ref="C1188">XLOOKUP($A1188, Quotations!$C$2:C1756, Quotations!$D$2:D1756, "")</f>
        <v>23.93</v>
      </c>
      <c r="D1188" s="9">
        <f t="array" ref="D1188">XLOOKUP($A1188, Quotations!$E$2:E1756, Quotations!$F$2:F1756, "")
</f>
        <v>115.32</v>
      </c>
      <c r="E1188" s="9">
        <f t="array" ref="E1188">XLOOKUP($A1188, Quotations!$G$2:G1756, Quotations!$H$2:H1756, "")
</f>
        <v>110.88</v>
      </c>
      <c r="F1188" s="9">
        <f t="array" ref="F1188">XLOOKUP($A1188, Quotations!$I$2:I1756, Quotations!$J$2:J1756, "")
</f>
        <v>125.49</v>
      </c>
      <c r="G1188" s="9">
        <f t="array" ref="G1188">XLOOKUP($A1188, Quotations!$K$2:K1756, Quotations!$L$2:L1756, "")
</f>
        <v>1422.765</v>
      </c>
    </row>
    <row r="1189">
      <c r="A1189" s="8">
        <v>43364.0</v>
      </c>
      <c r="B1189" s="9">
        <f t="array" ref="B1189">XLOOKUP($A1189, Quotations!$A$2:A1756, Quotations!$B$2:B1756, "")
</f>
        <v>114.23</v>
      </c>
      <c r="C1189" s="9" t="str">
        <f t="array" ref="C1189">XLOOKUP($A1189, Quotations!$C$2:C1756, Quotations!$D$2:D1756, "")</f>
        <v/>
      </c>
      <c r="D1189" s="9">
        <f t="array" ref="D1189">XLOOKUP($A1189, Quotations!$E$2:E1756, Quotations!$F$2:F1756, "")
</f>
        <v>115.36</v>
      </c>
      <c r="E1189" s="9">
        <f t="array" ref="E1189">XLOOKUP($A1189, Quotations!$G$2:G1756, Quotations!$H$2:H1756, "")
</f>
        <v>111.14</v>
      </c>
      <c r="F1189" s="9">
        <f t="array" ref="F1189">XLOOKUP($A1189, Quotations!$I$2:I1756, Quotations!$J$2:J1756, "")
</f>
        <v>125.65</v>
      </c>
      <c r="G1189" s="9">
        <f t="array" ref="G1189">XLOOKUP($A1189, Quotations!$K$2:K1756, Quotations!$L$2:L1756, "")
</f>
        <v>1426.964</v>
      </c>
    </row>
    <row r="1190">
      <c r="A1190" s="8">
        <v>43367.0</v>
      </c>
      <c r="B1190" s="9">
        <f t="array" ref="B1190">XLOOKUP($A1190, Quotations!$A$2:A1756, Quotations!$B$2:B1756, "")
</f>
        <v>114.12</v>
      </c>
      <c r="C1190" s="9" t="str">
        <f t="array" ref="C1190">XLOOKUP($A1190, Quotations!$C$2:C1756, Quotations!$D$2:D1756, "")</f>
        <v/>
      </c>
      <c r="D1190" s="9">
        <f t="array" ref="D1190">XLOOKUP($A1190, Quotations!$E$2:E1756, Quotations!$F$2:F1756, "")
</f>
        <v>115.47</v>
      </c>
      <c r="E1190" s="9">
        <f t="array" ref="E1190">XLOOKUP($A1190, Quotations!$G$2:G1756, Quotations!$H$2:H1756, "")
</f>
        <v>111.38</v>
      </c>
      <c r="F1190" s="9">
        <f t="array" ref="F1190">XLOOKUP($A1190, Quotations!$I$2:I1756, Quotations!$J$2:J1756, "")
</f>
        <v>125.96</v>
      </c>
      <c r="G1190" s="9">
        <f t="array" ref="G1190">XLOOKUP($A1190, Quotations!$K$2:K1756, Quotations!$L$2:L1756, "")
</f>
        <v>1426.532</v>
      </c>
    </row>
    <row r="1191">
      <c r="A1191" s="8">
        <v>43368.0</v>
      </c>
      <c r="B1191" s="9">
        <f t="array" ref="B1191">XLOOKUP($A1191, Quotations!$A$2:A1756, Quotations!$B$2:B1756, "")
</f>
        <v>114.1</v>
      </c>
      <c r="C1191" s="9" t="str">
        <f t="array" ref="C1191">XLOOKUP($A1191, Quotations!$C$2:C1756, Quotations!$D$2:D1756, "")</f>
        <v/>
      </c>
      <c r="D1191" s="9">
        <f t="array" ref="D1191">XLOOKUP($A1191, Quotations!$E$2:E1756, Quotations!$F$2:F1756, "")
</f>
        <v>115.5</v>
      </c>
      <c r="E1191" s="9">
        <f t="array" ref="E1191">XLOOKUP($A1191, Quotations!$G$2:G1756, Quotations!$H$2:H1756, "")
</f>
        <v>111.07</v>
      </c>
      <c r="F1191" s="9">
        <f t="array" ref="F1191">XLOOKUP($A1191, Quotations!$I$2:I1756, Quotations!$J$2:J1756, "")
</f>
        <v>125.64</v>
      </c>
      <c r="G1191" s="9">
        <f t="array" ref="G1191">XLOOKUP($A1191, Quotations!$K$2:K1756, Quotations!$L$2:L1756, "")
</f>
        <v>1425.318</v>
      </c>
    </row>
    <row r="1192">
      <c r="A1192" s="8">
        <v>43369.0</v>
      </c>
      <c r="B1192" s="9">
        <f t="array" ref="B1192">XLOOKUP($A1192, Quotations!$A$2:A1756, Quotations!$B$2:B1756, "")
</f>
        <v>114.08</v>
      </c>
      <c r="C1192" s="9" t="str">
        <f t="array" ref="C1192">XLOOKUP($A1192, Quotations!$C$2:C1756, Quotations!$D$2:D1756, "")</f>
        <v/>
      </c>
      <c r="D1192" s="9">
        <f t="array" ref="D1192">XLOOKUP($A1192, Quotations!$E$2:E1756, Quotations!$F$2:F1756, "")
</f>
        <v>115.53</v>
      </c>
      <c r="E1192" s="9">
        <f t="array" ref="E1192">XLOOKUP($A1192, Quotations!$G$2:G1756, Quotations!$H$2:H1756, "")
</f>
        <v>111.04</v>
      </c>
      <c r="F1192" s="9">
        <f t="array" ref="F1192">XLOOKUP($A1192, Quotations!$I$2:I1756, Quotations!$J$2:J1756, "")
</f>
        <v>125.52</v>
      </c>
      <c r="G1192" s="9">
        <f t="array" ref="G1192">XLOOKUP($A1192, Quotations!$K$2:K1756, Quotations!$L$2:L1756, "")
</f>
        <v>1425.982</v>
      </c>
    </row>
    <row r="1193">
      <c r="A1193" s="8">
        <v>43370.0</v>
      </c>
      <c r="B1193" s="9">
        <f t="array" ref="B1193">XLOOKUP($A1193, Quotations!$A$2:A1756, Quotations!$B$2:B1756, "")
</f>
        <v>114.01</v>
      </c>
      <c r="C1193" s="9" t="str">
        <f t="array" ref="C1193">XLOOKUP($A1193, Quotations!$C$2:C1756, Quotations!$D$2:D1756, "")</f>
        <v/>
      </c>
      <c r="D1193" s="9">
        <f t="array" ref="D1193">XLOOKUP($A1193, Quotations!$E$2:E1756, Quotations!$F$2:F1756, "")
</f>
        <v>115.56</v>
      </c>
      <c r="E1193" s="9">
        <f t="array" ref="E1193">XLOOKUP($A1193, Quotations!$G$2:G1756, Quotations!$H$2:H1756, "")
</f>
        <v>111.22</v>
      </c>
      <c r="F1193" s="9">
        <f t="array" ref="F1193">XLOOKUP($A1193, Quotations!$I$2:I1756, Quotations!$J$2:J1756, "")
</f>
        <v>125.6</v>
      </c>
      <c r="G1193" s="9">
        <f t="array" ref="G1193">XLOOKUP($A1193, Quotations!$K$2:K1756, Quotations!$L$2:L1756, "")
</f>
        <v>1424</v>
      </c>
    </row>
    <row r="1194">
      <c r="A1194" s="8">
        <v>43371.0</v>
      </c>
      <c r="B1194" s="9">
        <f t="array" ref="B1194">XLOOKUP($A1194, Quotations!$A$2:A1756, Quotations!$B$2:B1756, "")
</f>
        <v>113.67</v>
      </c>
      <c r="C1194" s="9" t="str">
        <f t="array" ref="C1194">XLOOKUP($A1194, Quotations!$C$2:C1756, Quotations!$D$2:D1756, "")</f>
        <v/>
      </c>
      <c r="D1194" s="9">
        <f t="array" ref="D1194">XLOOKUP($A1194, Quotations!$E$2:E1756, Quotations!$F$2:F1756, "")
</f>
        <v>115.58</v>
      </c>
      <c r="E1194" s="9">
        <f t="array" ref="E1194">XLOOKUP($A1194, Quotations!$G$2:G1756, Quotations!$H$2:H1756, "")
</f>
        <v>111.32</v>
      </c>
      <c r="F1194" s="9">
        <f t="array" ref="F1194">XLOOKUP($A1194, Quotations!$I$2:I1756, Quotations!$J$2:J1756, "")
</f>
        <v>125.65</v>
      </c>
      <c r="G1194" s="9">
        <f t="array" ref="G1194">XLOOKUP($A1194, Quotations!$K$2:K1756, Quotations!$L$2:L1756, "")
</f>
        <v>1424.721</v>
      </c>
    </row>
    <row r="1195">
      <c r="A1195" s="8">
        <v>43374.0</v>
      </c>
      <c r="B1195" s="9">
        <f t="array" ref="B1195">XLOOKUP($A1195, Quotations!$A$2:A1756, Quotations!$B$2:B1756, "")
</f>
        <v>113.83</v>
      </c>
      <c r="C1195" s="9" t="str">
        <f t="array" ref="C1195">XLOOKUP($A1195, Quotations!$C$2:C1756, Quotations!$D$2:D1756, "")</f>
        <v/>
      </c>
      <c r="D1195" s="9">
        <f t="array" ref="D1195">XLOOKUP($A1195, Quotations!$E$2:E1756, Quotations!$F$2:F1756, "")
</f>
        <v>115.6</v>
      </c>
      <c r="E1195" s="9">
        <f t="array" ref="E1195">XLOOKUP($A1195, Quotations!$G$2:G1756, Quotations!$H$2:H1756, "")
</f>
        <v>111.08</v>
      </c>
      <c r="F1195" s="9">
        <f t="array" ref="F1195">XLOOKUP($A1195, Quotations!$I$2:I1756, Quotations!$J$2:J1756, "")
</f>
        <v>125.97</v>
      </c>
      <c r="G1195" s="9">
        <f t="array" ref="G1195">XLOOKUP($A1195, Quotations!$K$2:K1756, Quotations!$L$2:L1756, "")
</f>
        <v>1424.272</v>
      </c>
    </row>
    <row r="1196">
      <c r="A1196" s="8">
        <v>43375.0</v>
      </c>
      <c r="B1196" s="9">
        <f t="array" ref="B1196">XLOOKUP($A1196, Quotations!$A$2:A1756, Quotations!$B$2:B1756, "")
</f>
        <v>113.65</v>
      </c>
      <c r="C1196" s="9" t="str">
        <f t="array" ref="C1196">XLOOKUP($A1196, Quotations!$C$2:C1756, Quotations!$D$2:D1756, "")</f>
        <v/>
      </c>
      <c r="D1196" s="9">
        <f t="array" ref="D1196">XLOOKUP($A1196, Quotations!$E$2:E1756, Quotations!$F$2:F1756, "")
</f>
        <v>115.56</v>
      </c>
      <c r="E1196" s="9">
        <f t="array" ref="E1196">XLOOKUP($A1196, Quotations!$G$2:G1756, Quotations!$H$2:H1756, "")
</f>
        <v>111.11</v>
      </c>
      <c r="F1196" s="9">
        <f t="array" ref="F1196">XLOOKUP($A1196, Quotations!$I$2:I1756, Quotations!$J$2:J1756, "")
</f>
        <v>126.09</v>
      </c>
      <c r="G1196" s="9">
        <f t="array" ref="G1196">XLOOKUP($A1196, Quotations!$K$2:K1756, Quotations!$L$2:L1756, "")
</f>
        <v>1422.736</v>
      </c>
    </row>
    <row r="1197">
      <c r="A1197" s="8">
        <v>43376.0</v>
      </c>
      <c r="B1197" s="9">
        <f t="array" ref="B1197">XLOOKUP($A1197, Quotations!$A$2:A1756, Quotations!$B$2:B1756, "")
</f>
        <v>113.73</v>
      </c>
      <c r="C1197" s="9" t="str">
        <f t="array" ref="C1197">XLOOKUP($A1197, Quotations!$C$2:C1756, Quotations!$D$2:D1756, "")</f>
        <v/>
      </c>
      <c r="D1197" s="9">
        <f t="array" ref="D1197">XLOOKUP($A1197, Quotations!$E$2:E1756, Quotations!$F$2:F1756, "")
</f>
        <v>115.57</v>
      </c>
      <c r="E1197" s="9">
        <f t="array" ref="E1197">XLOOKUP($A1197, Quotations!$G$2:G1756, Quotations!$H$2:H1756, "")
</f>
        <v>110.98</v>
      </c>
      <c r="F1197" s="9">
        <f t="array" ref="F1197">XLOOKUP($A1197, Quotations!$I$2:I1756, Quotations!$J$2:J1756, "")
</f>
        <v>126.04</v>
      </c>
      <c r="G1197" s="9">
        <f t="array" ref="G1197">XLOOKUP($A1197, Quotations!$K$2:K1756, Quotations!$L$2:L1756, "")
</f>
        <v>1418.634</v>
      </c>
    </row>
    <row r="1198">
      <c r="A1198" s="8">
        <v>43377.0</v>
      </c>
      <c r="B1198" s="9">
        <f t="array" ref="B1198">XLOOKUP($A1198, Quotations!$A$2:A1756, Quotations!$B$2:B1756, "")
</f>
        <v>113.24</v>
      </c>
      <c r="C1198" s="9" t="str">
        <f t="array" ref="C1198">XLOOKUP($A1198, Quotations!$C$2:C1756, Quotations!$D$2:D1756, "")</f>
        <v/>
      </c>
      <c r="D1198" s="9">
        <f t="array" ref="D1198">XLOOKUP($A1198, Quotations!$E$2:E1756, Quotations!$F$2:F1756, "")
</f>
        <v>115.53</v>
      </c>
      <c r="E1198" s="9">
        <f t="array" ref="E1198">XLOOKUP($A1198, Quotations!$G$2:G1756, Quotations!$H$2:H1756, "")
</f>
        <v>110.95</v>
      </c>
      <c r="F1198" s="9">
        <f t="array" ref="F1198">XLOOKUP($A1198, Quotations!$I$2:I1756, Quotations!$J$2:J1756, "")
</f>
        <v>126.11</v>
      </c>
      <c r="G1198" s="9">
        <f t="array" ref="G1198">XLOOKUP($A1198, Quotations!$K$2:K1756, Quotations!$L$2:L1756, "")
</f>
        <v>1417.606</v>
      </c>
    </row>
    <row r="1199">
      <c r="A1199" s="8">
        <v>43378.0</v>
      </c>
      <c r="B1199" s="9">
        <f t="array" ref="B1199">XLOOKUP($A1199, Quotations!$A$2:A1756, Quotations!$B$2:B1756, "")
</f>
        <v>112.96</v>
      </c>
      <c r="C1199" s="9" t="str">
        <f t="array" ref="C1199">XLOOKUP($A1199, Quotations!$C$2:C1756, Quotations!$D$2:D1756, "")</f>
        <v/>
      </c>
      <c r="D1199" s="9">
        <f t="array" ref="D1199">XLOOKUP($A1199, Quotations!$E$2:E1756, Quotations!$F$2:F1756, "")
</f>
        <v>115.52</v>
      </c>
      <c r="E1199" s="9">
        <f t="array" ref="E1199">XLOOKUP($A1199, Quotations!$G$2:G1756, Quotations!$H$2:H1756, "")
</f>
        <v>110.53</v>
      </c>
      <c r="F1199" s="9">
        <f t="array" ref="F1199">XLOOKUP($A1199, Quotations!$I$2:I1756, Quotations!$J$2:J1756, "")
</f>
        <v>125.36</v>
      </c>
      <c r="G1199" s="9">
        <f t="array" ref="G1199">XLOOKUP($A1199, Quotations!$K$2:K1756, Quotations!$L$2:L1756, "")
</f>
        <v>1409.104</v>
      </c>
    </row>
    <row r="1200">
      <c r="A1200" s="8">
        <v>43381.0</v>
      </c>
      <c r="B1200" s="9">
        <f t="array" ref="B1200">XLOOKUP($A1200, Quotations!$A$2:A1756, Quotations!$B$2:B1756, "")
</f>
        <v>112.59</v>
      </c>
      <c r="C1200" s="9" t="str">
        <f t="array" ref="C1200">XLOOKUP($A1200, Quotations!$C$2:C1756, Quotations!$D$2:D1756, "")</f>
        <v/>
      </c>
      <c r="D1200" s="9">
        <f t="array" ref="D1200">XLOOKUP($A1200, Quotations!$E$2:E1756, Quotations!$F$2:F1756, "")
</f>
        <v>115.54</v>
      </c>
      <c r="E1200" s="9">
        <f t="array" ref="E1200">XLOOKUP($A1200, Quotations!$G$2:G1756, Quotations!$H$2:H1756, "")
</f>
        <v>110.21</v>
      </c>
      <c r="F1200" s="9">
        <f t="array" ref="F1200">XLOOKUP($A1200, Quotations!$I$2:I1756, Quotations!$J$2:J1756, "")
</f>
        <v>125.11</v>
      </c>
      <c r="G1200" s="9">
        <f t="array" ref="G1200">XLOOKUP($A1200, Quotations!$K$2:K1756, Quotations!$L$2:L1756, "")
</f>
        <v>1403.557</v>
      </c>
    </row>
    <row r="1201">
      <c r="A1201" s="8">
        <v>43382.0</v>
      </c>
      <c r="B1201" s="9">
        <f t="array" ref="B1201">XLOOKUP($A1201, Quotations!$A$2:A1756, Quotations!$B$2:B1756, "")
</f>
        <v>112.58</v>
      </c>
      <c r="C1201" s="9" t="str">
        <f t="array" ref="C1201">XLOOKUP($A1201, Quotations!$C$2:C1756, Quotations!$D$2:D1756, "")</f>
        <v/>
      </c>
      <c r="D1201" s="9">
        <f t="array" ref="D1201">XLOOKUP($A1201, Quotations!$E$2:E1756, Quotations!$F$2:F1756, "")
</f>
        <v>115.55</v>
      </c>
      <c r="E1201" s="9">
        <f t="array" ref="E1201">XLOOKUP($A1201, Quotations!$G$2:G1756, Quotations!$H$2:H1756, "")
</f>
        <v>109.98</v>
      </c>
      <c r="F1201" s="9">
        <f t="array" ref="F1201">XLOOKUP($A1201, Quotations!$I$2:I1756, Quotations!$J$2:J1756, "")
</f>
        <v>124.97</v>
      </c>
      <c r="G1201" s="9">
        <f t="array" ref="G1201">XLOOKUP($A1201, Quotations!$K$2:K1756, Quotations!$L$2:L1756, "")
</f>
        <v>1398.317</v>
      </c>
    </row>
    <row r="1202">
      <c r="A1202" s="8">
        <v>43383.0</v>
      </c>
      <c r="B1202" s="9">
        <f t="array" ref="B1202">XLOOKUP($A1202, Quotations!$A$2:A1756, Quotations!$B$2:B1756, "")
</f>
        <v>112.18</v>
      </c>
      <c r="C1202" s="9" t="str">
        <f t="array" ref="C1202">XLOOKUP($A1202, Quotations!$C$2:C1756, Quotations!$D$2:D1756, "")</f>
        <v/>
      </c>
      <c r="D1202" s="9">
        <f t="array" ref="D1202">XLOOKUP($A1202, Quotations!$E$2:E1756, Quotations!$F$2:F1756, "")
</f>
        <v>115.58</v>
      </c>
      <c r="E1202" s="9">
        <f t="array" ref="E1202">XLOOKUP($A1202, Quotations!$G$2:G1756, Quotations!$H$2:H1756, "")
</f>
        <v>110.09</v>
      </c>
      <c r="F1202" s="9">
        <f t="array" ref="F1202">XLOOKUP($A1202, Quotations!$I$2:I1756, Quotations!$J$2:J1756, "")
</f>
        <v>124.95</v>
      </c>
      <c r="G1202" s="9">
        <f t="array" ref="G1202">XLOOKUP($A1202, Quotations!$K$2:K1756, Quotations!$L$2:L1756, "")
</f>
        <v>1396.984</v>
      </c>
    </row>
    <row r="1203">
      <c r="A1203" s="8">
        <v>43384.0</v>
      </c>
      <c r="B1203" s="9">
        <f t="array" ref="B1203">XLOOKUP($A1203, Quotations!$A$2:A1756, Quotations!$B$2:B1756, "")
</f>
        <v>111.85</v>
      </c>
      <c r="C1203" s="9" t="str">
        <f t="array" ref="C1203">XLOOKUP($A1203, Quotations!$C$2:C1756, Quotations!$D$2:D1756, "")</f>
        <v/>
      </c>
      <c r="D1203" s="9">
        <f t="array" ref="D1203">XLOOKUP($A1203, Quotations!$E$2:E1756, Quotations!$F$2:F1756, "")
</f>
        <v>115.54</v>
      </c>
      <c r="E1203" s="9">
        <f t="array" ref="E1203">XLOOKUP($A1203, Quotations!$G$2:G1756, Quotations!$H$2:H1756, "")
</f>
        <v>109.72</v>
      </c>
      <c r="F1203" s="9">
        <f t="array" ref="F1203">XLOOKUP($A1203, Quotations!$I$2:I1756, Quotations!$J$2:J1756, "")
</f>
        <v>124.24</v>
      </c>
      <c r="G1203" s="9">
        <f t="array" ref="G1203">XLOOKUP($A1203, Quotations!$K$2:K1756, Quotations!$L$2:L1756, "")
</f>
        <v>1385.093</v>
      </c>
    </row>
    <row r="1204">
      <c r="A1204" s="8">
        <v>43385.0</v>
      </c>
      <c r="B1204" s="9">
        <f t="array" ref="B1204">XLOOKUP($A1204, Quotations!$A$2:A1756, Quotations!$B$2:B1756, "")
</f>
        <v>111.8</v>
      </c>
      <c r="C1204" s="9" t="str">
        <f t="array" ref="C1204">XLOOKUP($A1204, Quotations!$C$2:C1756, Quotations!$D$2:D1756, "")</f>
        <v/>
      </c>
      <c r="D1204" s="9">
        <f t="array" ref="D1204">XLOOKUP($A1204, Quotations!$E$2:E1756, Quotations!$F$2:F1756, "")
</f>
        <v>115.56</v>
      </c>
      <c r="E1204" s="9">
        <f t="array" ref="E1204">XLOOKUP($A1204, Quotations!$G$2:G1756, Quotations!$H$2:H1756, "")
</f>
        <v>109.45</v>
      </c>
      <c r="F1204" s="9">
        <f t="array" ref="F1204">XLOOKUP($A1204, Quotations!$I$2:I1756, Quotations!$J$2:J1756, "")
</f>
        <v>123.47</v>
      </c>
      <c r="G1204" s="9">
        <f t="array" ref="G1204">XLOOKUP($A1204, Quotations!$K$2:K1756, Quotations!$L$2:L1756, "")
</f>
        <v>1380.818</v>
      </c>
    </row>
    <row r="1205">
      <c r="A1205" s="8">
        <v>43388.0</v>
      </c>
      <c r="B1205" s="9">
        <f t="array" ref="B1205">XLOOKUP($A1205, Quotations!$A$2:A1756, Quotations!$B$2:B1756, "")
</f>
        <v>111.79</v>
      </c>
      <c r="C1205" s="9" t="str">
        <f t="array" ref="C1205">XLOOKUP($A1205, Quotations!$C$2:C1756, Quotations!$D$2:D1756, "")</f>
        <v/>
      </c>
      <c r="D1205" s="9">
        <f t="array" ref="D1205">XLOOKUP($A1205, Quotations!$E$2:E1756, Quotations!$F$2:F1756, "")
</f>
        <v>115.59</v>
      </c>
      <c r="E1205" s="9">
        <f t="array" ref="E1205">XLOOKUP($A1205, Quotations!$G$2:G1756, Quotations!$H$2:H1756, "")
</f>
        <v>109.32</v>
      </c>
      <c r="F1205" s="9">
        <f t="array" ref="F1205">XLOOKUP($A1205, Quotations!$I$2:I1756, Quotations!$J$2:J1756, "")
</f>
        <v>123.82</v>
      </c>
      <c r="G1205" s="9">
        <f t="array" ref="G1205">XLOOKUP($A1205, Quotations!$K$2:K1756, Quotations!$L$2:L1756, "")
</f>
        <v>1382.496</v>
      </c>
    </row>
    <row r="1206">
      <c r="A1206" s="8">
        <v>43389.0</v>
      </c>
      <c r="B1206" s="9">
        <f t="array" ref="B1206">XLOOKUP($A1206, Quotations!$A$2:A1756, Quotations!$B$2:B1756, "")
</f>
        <v>112.21</v>
      </c>
      <c r="C1206" s="9" t="str">
        <f t="array" ref="C1206">XLOOKUP($A1206, Quotations!$C$2:C1756, Quotations!$D$2:D1756, "")</f>
        <v/>
      </c>
      <c r="D1206" s="9">
        <f t="array" ref="D1206">XLOOKUP($A1206, Quotations!$E$2:E1756, Quotations!$F$2:F1756, "")
</f>
        <v>115.6</v>
      </c>
      <c r="E1206" s="9">
        <f t="array" ref="E1206">XLOOKUP($A1206, Quotations!$G$2:G1756, Quotations!$H$2:H1756, "")
</f>
        <v>109.4</v>
      </c>
      <c r="F1206" s="9">
        <f t="array" ref="F1206">XLOOKUP($A1206, Quotations!$I$2:I1756, Quotations!$J$2:J1756, "")
</f>
        <v>123.59</v>
      </c>
      <c r="G1206" s="9">
        <f t="array" ref="G1206">XLOOKUP($A1206, Quotations!$K$2:K1756, Quotations!$L$2:L1756, "")
</f>
        <v>1383.134</v>
      </c>
    </row>
    <row r="1207">
      <c r="A1207" s="8">
        <v>43390.0</v>
      </c>
      <c r="B1207" s="9">
        <f t="array" ref="B1207">XLOOKUP($A1207, Quotations!$A$2:A1756, Quotations!$B$2:B1756, "")
</f>
        <v>112.11</v>
      </c>
      <c r="C1207" s="9" t="str">
        <f t="array" ref="C1207">XLOOKUP($A1207, Quotations!$C$2:C1756, Quotations!$D$2:D1756, "")</f>
        <v/>
      </c>
      <c r="D1207" s="9">
        <f t="array" ref="D1207">XLOOKUP($A1207, Quotations!$E$2:E1756, Quotations!$F$2:F1756, "")
</f>
        <v>115.64</v>
      </c>
      <c r="E1207" s="9">
        <f t="array" ref="E1207">XLOOKUP($A1207, Quotations!$G$2:G1756, Quotations!$H$2:H1756, "")
</f>
        <v>109.78</v>
      </c>
      <c r="F1207" s="9">
        <f t="array" ref="F1207">XLOOKUP($A1207, Quotations!$I$2:I1756, Quotations!$J$2:J1756, "")
</f>
        <v>124.12</v>
      </c>
      <c r="G1207" s="9">
        <f t="array" ref="G1207">XLOOKUP($A1207, Quotations!$K$2:K1756, Quotations!$L$2:L1756, "")
</f>
        <v>1390.71</v>
      </c>
    </row>
    <row r="1208">
      <c r="A1208" s="8">
        <v>43391.0</v>
      </c>
      <c r="B1208" s="9">
        <f t="array" ref="B1208">XLOOKUP($A1208, Quotations!$A$2:A1756, Quotations!$B$2:B1756, "")
</f>
        <v>111.93</v>
      </c>
      <c r="C1208" s="9" t="str">
        <f t="array" ref="C1208">XLOOKUP($A1208, Quotations!$C$2:C1756, Quotations!$D$2:D1756, "")</f>
        <v/>
      </c>
      <c r="D1208" s="9">
        <f t="array" ref="D1208">XLOOKUP($A1208, Quotations!$E$2:E1756, Quotations!$F$2:F1756, "")
</f>
        <v>115.62</v>
      </c>
      <c r="E1208" s="9">
        <f t="array" ref="E1208">XLOOKUP($A1208, Quotations!$G$2:G1756, Quotations!$H$2:H1756, "")
</f>
        <v>109.68</v>
      </c>
      <c r="F1208" s="9">
        <f t="array" ref="F1208">XLOOKUP($A1208, Quotations!$I$2:I1756, Quotations!$J$2:J1756, "")
</f>
        <v>124.21</v>
      </c>
      <c r="G1208" s="9">
        <f t="array" ref="G1208">XLOOKUP($A1208, Quotations!$K$2:K1756, Quotations!$L$2:L1756, "")
</f>
        <v>1390.385</v>
      </c>
    </row>
    <row r="1209">
      <c r="A1209" s="8">
        <v>43392.0</v>
      </c>
      <c r="B1209" s="9">
        <f t="array" ref="B1209">XLOOKUP($A1209, Quotations!$A$2:A1756, Quotations!$B$2:B1756, "")
</f>
        <v>111.76</v>
      </c>
      <c r="C1209" s="9" t="str">
        <f t="array" ref="C1209">XLOOKUP($A1209, Quotations!$C$2:C1756, Quotations!$D$2:D1756, "")</f>
        <v/>
      </c>
      <c r="D1209" s="9">
        <f t="array" ref="D1209">XLOOKUP($A1209, Quotations!$E$2:E1756, Quotations!$F$2:F1756, "")
</f>
        <v>115.62</v>
      </c>
      <c r="E1209" s="9">
        <f t="array" ref="E1209">XLOOKUP($A1209, Quotations!$G$2:G1756, Quotations!$H$2:H1756, "")
</f>
        <v>109.42</v>
      </c>
      <c r="F1209" s="9">
        <f t="array" ref="F1209">XLOOKUP($A1209, Quotations!$I$2:I1756, Quotations!$J$2:J1756, "")
</f>
        <v>123.79</v>
      </c>
      <c r="G1209" s="9">
        <f t="array" ref="G1209">XLOOKUP($A1209, Quotations!$K$2:K1756, Quotations!$L$2:L1756, "")
</f>
        <v>1384.799</v>
      </c>
    </row>
    <row r="1210">
      <c r="A1210" s="8">
        <v>43395.0</v>
      </c>
      <c r="B1210" s="9">
        <f t="array" ref="B1210">XLOOKUP($A1210, Quotations!$A$2:A1756, Quotations!$B$2:B1756, "")
</f>
        <v>111.57</v>
      </c>
      <c r="C1210" s="9" t="str">
        <f t="array" ref="C1210">XLOOKUP($A1210, Quotations!$C$2:C1756, Quotations!$D$2:D1756, "")</f>
        <v/>
      </c>
      <c r="D1210" s="9">
        <f t="array" ref="D1210">XLOOKUP($A1210, Quotations!$E$2:E1756, Quotations!$F$2:F1756, "")
</f>
        <v>115.64</v>
      </c>
      <c r="E1210" s="9">
        <f t="array" ref="E1210">XLOOKUP($A1210, Quotations!$G$2:G1756, Quotations!$H$2:H1756, "")
</f>
        <v>109.32</v>
      </c>
      <c r="F1210" s="9">
        <f t="array" ref="F1210">XLOOKUP($A1210, Quotations!$I$2:I1756, Quotations!$J$2:J1756, "")
</f>
        <v>123.73</v>
      </c>
      <c r="G1210" s="9">
        <f t="array" ref="G1210">XLOOKUP($A1210, Quotations!$K$2:K1756, Quotations!$L$2:L1756, "")
</f>
        <v>1382.304</v>
      </c>
    </row>
    <row r="1211">
      <c r="A1211" s="8">
        <v>43396.0</v>
      </c>
      <c r="B1211" s="9">
        <f t="array" ref="B1211">XLOOKUP($A1211, Quotations!$A$2:A1756, Quotations!$B$2:B1756, "")
</f>
        <v>111.02</v>
      </c>
      <c r="C1211" s="9" t="str">
        <f t="array" ref="C1211">XLOOKUP($A1211, Quotations!$C$2:C1756, Quotations!$D$2:D1756, "")</f>
        <v/>
      </c>
      <c r="D1211" s="9">
        <f t="array" ref="D1211">XLOOKUP($A1211, Quotations!$E$2:E1756, Quotations!$F$2:F1756, "")
</f>
        <v>115.61</v>
      </c>
      <c r="E1211" s="9">
        <f t="array" ref="E1211">XLOOKUP($A1211, Quotations!$G$2:G1756, Quotations!$H$2:H1756, "")
</f>
        <v>109.23</v>
      </c>
      <c r="F1211" s="9">
        <f t="array" ref="F1211">XLOOKUP($A1211, Quotations!$I$2:I1756, Quotations!$J$2:J1756, "")
</f>
        <v>124</v>
      </c>
      <c r="G1211" s="9">
        <f t="array" ref="G1211">XLOOKUP($A1211, Quotations!$K$2:K1756, Quotations!$L$2:L1756, "")
</f>
        <v>1378.727</v>
      </c>
    </row>
    <row r="1212">
      <c r="A1212" s="8">
        <v>43397.0</v>
      </c>
      <c r="B1212" s="9">
        <f t="array" ref="B1212">XLOOKUP($A1212, Quotations!$A$2:A1756, Quotations!$B$2:B1756, "")
</f>
        <v>110.84</v>
      </c>
      <c r="C1212" s="9" t="str">
        <f t="array" ref="C1212">XLOOKUP($A1212, Quotations!$C$2:C1756, Quotations!$D$2:D1756, "")</f>
        <v/>
      </c>
      <c r="D1212" s="9">
        <f t="array" ref="D1212">XLOOKUP($A1212, Quotations!$E$2:E1756, Quotations!$F$2:F1756, "")
</f>
        <v>115.61</v>
      </c>
      <c r="E1212" s="9">
        <f t="array" ref="E1212">XLOOKUP($A1212, Quotations!$G$2:G1756, Quotations!$H$2:H1756, "")
</f>
        <v>109.05</v>
      </c>
      <c r="F1212" s="9">
        <f t="array" ref="F1212">XLOOKUP($A1212, Quotations!$I$2:I1756, Quotations!$J$2:J1756, "")
</f>
        <v>123.3</v>
      </c>
      <c r="G1212" s="9">
        <f t="array" ref="G1212">XLOOKUP($A1212, Quotations!$K$2:K1756, Quotations!$L$2:L1756, "")
</f>
        <v>1374.889</v>
      </c>
    </row>
    <row r="1213">
      <c r="A1213" s="8">
        <v>43398.0</v>
      </c>
      <c r="B1213" s="9">
        <f t="array" ref="B1213">XLOOKUP($A1213, Quotations!$A$2:A1756, Quotations!$B$2:B1756, "")
</f>
        <v>111.1</v>
      </c>
      <c r="C1213" s="9" t="str">
        <f t="array" ref="C1213">XLOOKUP($A1213, Quotations!$C$2:C1756, Quotations!$D$2:D1756, "")</f>
        <v/>
      </c>
      <c r="D1213" s="9">
        <f t="array" ref="D1213">XLOOKUP($A1213, Quotations!$E$2:E1756, Quotations!$F$2:F1756, "")
</f>
        <v>115.6</v>
      </c>
      <c r="E1213" s="9">
        <f t="array" ref="E1213">XLOOKUP($A1213, Quotations!$G$2:G1756, Quotations!$H$2:H1756, "")
</f>
        <v>109.31</v>
      </c>
      <c r="F1213" s="9">
        <f t="array" ref="F1213">XLOOKUP($A1213, Quotations!$I$2:I1756, Quotations!$J$2:J1756, "")
</f>
        <v>122.84</v>
      </c>
      <c r="G1213" s="9">
        <f t="array" ref="G1213">XLOOKUP($A1213, Quotations!$K$2:K1756, Quotations!$L$2:L1756, "")
</f>
        <v>1366.66</v>
      </c>
    </row>
    <row r="1214">
      <c r="A1214" s="8">
        <v>43399.0</v>
      </c>
      <c r="B1214" s="9">
        <f t="array" ref="B1214">XLOOKUP($A1214, Quotations!$A$2:A1756, Quotations!$B$2:B1756, "")
</f>
        <v>110.94</v>
      </c>
      <c r="C1214" s="9" t="str">
        <f t="array" ref="C1214">XLOOKUP($A1214, Quotations!$C$2:C1756, Quotations!$D$2:D1756, "")</f>
        <v/>
      </c>
      <c r="D1214" s="9">
        <f t="array" ref="D1214">XLOOKUP($A1214, Quotations!$E$2:E1756, Quotations!$F$2:F1756, "")
</f>
        <v>115.59</v>
      </c>
      <c r="E1214" s="9">
        <f t="array" ref="E1214">XLOOKUP($A1214, Quotations!$G$2:G1756, Quotations!$H$2:H1756, "")
</f>
        <v>109.29</v>
      </c>
      <c r="F1214" s="9">
        <f t="array" ref="F1214">XLOOKUP($A1214, Quotations!$I$2:I1756, Quotations!$J$2:J1756, "")
</f>
        <v>122.78</v>
      </c>
      <c r="G1214" s="9">
        <f t="array" ref="G1214">XLOOKUP($A1214, Quotations!$K$2:K1756, Quotations!$L$2:L1756, "")
</f>
        <v>1369.252</v>
      </c>
    </row>
    <row r="1215">
      <c r="A1215" s="8">
        <v>43402.0</v>
      </c>
      <c r="B1215" s="9">
        <f t="array" ref="B1215">XLOOKUP($A1215, Quotations!$A$2:A1756, Quotations!$B$2:B1756, "")
</f>
        <v>111.22</v>
      </c>
      <c r="C1215" s="9" t="str">
        <f t="array" ref="C1215">XLOOKUP($A1215, Quotations!$C$2:C1756, Quotations!$D$2:D1756, "")</f>
        <v/>
      </c>
      <c r="D1215" s="9">
        <f t="array" ref="D1215">XLOOKUP($A1215, Quotations!$E$2:E1756, Quotations!$F$2:F1756, "")
</f>
        <v>115.65</v>
      </c>
      <c r="E1215" s="9">
        <f t="array" ref="E1215">XLOOKUP($A1215, Quotations!$G$2:G1756, Quotations!$H$2:H1756, "")
</f>
        <v>109.48</v>
      </c>
      <c r="F1215" s="9">
        <f t="array" ref="F1215">XLOOKUP($A1215, Quotations!$I$2:I1756, Quotations!$J$2:J1756, "")
</f>
        <v>122.63</v>
      </c>
      <c r="G1215" s="9">
        <f t="array" ref="G1215">XLOOKUP($A1215, Quotations!$K$2:K1756, Quotations!$L$2:L1756, "")
</f>
        <v>1365.285</v>
      </c>
    </row>
    <row r="1216">
      <c r="A1216" s="8">
        <v>43403.0</v>
      </c>
      <c r="B1216" s="9">
        <f t="array" ref="B1216">XLOOKUP($A1216, Quotations!$A$2:A1756, Quotations!$B$2:B1756, "")
</f>
        <v>111.23</v>
      </c>
      <c r="C1216" s="9" t="str">
        <f t="array" ref="C1216">XLOOKUP($A1216, Quotations!$C$2:C1756, Quotations!$D$2:D1756, "")</f>
        <v/>
      </c>
      <c r="D1216" s="9">
        <f t="array" ref="D1216">XLOOKUP($A1216, Quotations!$E$2:E1756, Quotations!$F$2:F1756, "")
</f>
        <v>115.62</v>
      </c>
      <c r="E1216" s="9">
        <f t="array" ref="E1216">XLOOKUP($A1216, Quotations!$G$2:G1756, Quotations!$H$2:H1756, "")
</f>
        <v>109.45</v>
      </c>
      <c r="F1216" s="9">
        <f t="array" ref="F1216">XLOOKUP($A1216, Quotations!$I$2:I1756, Quotations!$J$2:J1756, "")
</f>
        <v>121.83</v>
      </c>
      <c r="G1216" s="9">
        <f t="array" ref="G1216">XLOOKUP($A1216, Quotations!$K$2:K1756, Quotations!$L$2:L1756, "")
</f>
        <v>1364.607</v>
      </c>
    </row>
    <row r="1217">
      <c r="A1217" s="8">
        <v>43404.0</v>
      </c>
      <c r="B1217" s="9">
        <f t="array" ref="B1217">XLOOKUP($A1217, Quotations!$A$2:A1756, Quotations!$B$2:B1756, "")
</f>
        <v>111.62</v>
      </c>
      <c r="C1217" s="9" t="str">
        <f t="array" ref="C1217">XLOOKUP($A1217, Quotations!$C$2:C1756, Quotations!$D$2:D1756, "")</f>
        <v/>
      </c>
      <c r="D1217" s="9">
        <f t="array" ref="D1217">XLOOKUP($A1217, Quotations!$E$2:E1756, Quotations!$F$2:F1756, "")
</f>
        <v>115.65</v>
      </c>
      <c r="E1217" s="9">
        <f t="array" ref="E1217">XLOOKUP($A1217, Quotations!$G$2:G1756, Quotations!$H$2:H1756, "")
</f>
        <v>109.39</v>
      </c>
      <c r="F1217" s="9">
        <f t="array" ref="F1217">XLOOKUP($A1217, Quotations!$I$2:I1756, Quotations!$J$2:J1756, "")
</f>
        <v>122.15</v>
      </c>
      <c r="G1217" s="9">
        <f t="array" ref="G1217">XLOOKUP($A1217, Quotations!$K$2:K1756, Quotations!$L$2:L1756, "")
</f>
        <v>1369.163</v>
      </c>
    </row>
    <row r="1218">
      <c r="A1218" s="8">
        <v>43406.0</v>
      </c>
      <c r="B1218" s="9">
        <f t="array" ref="B1218">XLOOKUP($A1218, Quotations!$A$2:A1756, Quotations!$B$2:B1756, "")
</f>
        <v>111.98</v>
      </c>
      <c r="C1218" s="9" t="str">
        <f t="array" ref="C1218">XLOOKUP($A1218, Quotations!$C$2:C1756, Quotations!$D$2:D1756, "")</f>
        <v/>
      </c>
      <c r="D1218" s="9">
        <f t="array" ref="D1218">XLOOKUP($A1218, Quotations!$E$2:E1756, Quotations!$F$2:F1756, "")
</f>
        <v>115.65</v>
      </c>
      <c r="E1218" s="9">
        <f t="array" ref="E1218">XLOOKUP($A1218, Quotations!$G$2:G1756, Quotations!$H$2:H1756, "")
</f>
        <v>109.3</v>
      </c>
      <c r="F1218" s="9">
        <f t="array" ref="F1218">XLOOKUP($A1218, Quotations!$I$2:I1756, Quotations!$J$2:J1756, "")
</f>
        <v>122.61</v>
      </c>
      <c r="G1218" s="9">
        <f t="array" ref="G1218">XLOOKUP($A1218, Quotations!$K$2:K1756, Quotations!$L$2:L1756, "")
</f>
        <v>1385.399</v>
      </c>
    </row>
    <row r="1219">
      <c r="A1219" s="8">
        <v>43409.0</v>
      </c>
      <c r="B1219" s="9">
        <f t="array" ref="B1219">XLOOKUP($A1219, Quotations!$A$2:A1756, Quotations!$B$2:B1756, "")
</f>
        <v>111.86</v>
      </c>
      <c r="C1219" s="9" t="str">
        <f t="array" ref="C1219">XLOOKUP($A1219, Quotations!$C$2:C1756, Quotations!$D$2:D1756, "")</f>
        <v/>
      </c>
      <c r="D1219" s="9">
        <f t="array" ref="D1219">XLOOKUP($A1219, Quotations!$E$2:E1756, Quotations!$F$2:F1756, "")
</f>
        <v>115.71</v>
      </c>
      <c r="E1219" s="9">
        <f t="array" ref="E1219">XLOOKUP($A1219, Quotations!$G$2:G1756, Quotations!$H$2:H1756, "")
</f>
        <v>109.06</v>
      </c>
      <c r="F1219" s="9">
        <f t="array" ref="F1219">XLOOKUP($A1219, Quotations!$I$2:I1756, Quotations!$J$2:J1756, "")
</f>
        <v>122.78</v>
      </c>
      <c r="G1219" s="9">
        <f t="array" ref="G1219">XLOOKUP($A1219, Quotations!$K$2:K1756, Quotations!$L$2:L1756, "")
</f>
        <v>1384.308</v>
      </c>
    </row>
    <row r="1220">
      <c r="A1220" s="8">
        <v>43410.0</v>
      </c>
      <c r="B1220" s="9">
        <f t="array" ref="B1220">XLOOKUP($A1220, Quotations!$A$2:A1756, Quotations!$B$2:B1756, "")
</f>
        <v>111.82</v>
      </c>
      <c r="C1220" s="9" t="str">
        <f t="array" ref="C1220">XLOOKUP($A1220, Quotations!$C$2:C1756, Quotations!$D$2:D1756, "")</f>
        <v/>
      </c>
      <c r="D1220" s="9">
        <f t="array" ref="D1220">XLOOKUP($A1220, Quotations!$E$2:E1756, Quotations!$F$2:F1756, "")
</f>
        <v>115.74</v>
      </c>
      <c r="E1220" s="9">
        <f t="array" ref="E1220">XLOOKUP($A1220, Quotations!$G$2:G1756, Quotations!$H$2:H1756, "")
</f>
        <v>109.11</v>
      </c>
      <c r="F1220" s="9">
        <f t="array" ref="F1220">XLOOKUP($A1220, Quotations!$I$2:I1756, Quotations!$J$2:J1756, "")
</f>
        <v>122.64</v>
      </c>
      <c r="G1220" s="9">
        <f t="array" ref="G1220">XLOOKUP($A1220, Quotations!$K$2:K1756, Quotations!$L$2:L1756, "")
</f>
        <v>1383.318</v>
      </c>
    </row>
    <row r="1221">
      <c r="A1221" s="8">
        <v>43411.0</v>
      </c>
      <c r="B1221" s="9">
        <f t="array" ref="B1221">XLOOKUP($A1221, Quotations!$A$2:A1756, Quotations!$B$2:B1756, "")
</f>
        <v>112.13</v>
      </c>
      <c r="C1221" s="9" t="str">
        <f t="array" ref="C1221">XLOOKUP($A1221, Quotations!$C$2:C1756, Quotations!$D$2:D1756, "")</f>
        <v/>
      </c>
      <c r="D1221" s="9">
        <f t="array" ref="D1221">XLOOKUP($A1221, Quotations!$E$2:E1756, Quotations!$F$2:F1756, "")
</f>
        <v>115.79</v>
      </c>
      <c r="E1221" s="9">
        <f t="array" ref="E1221">XLOOKUP($A1221, Quotations!$G$2:G1756, Quotations!$H$2:H1756, "")
</f>
        <v>109.05</v>
      </c>
      <c r="F1221" s="9">
        <f t="array" ref="F1221">XLOOKUP($A1221, Quotations!$I$2:I1756, Quotations!$J$2:J1756, "")
</f>
        <v>122.63</v>
      </c>
      <c r="G1221" s="9">
        <f t="array" ref="G1221">XLOOKUP($A1221, Quotations!$K$2:K1756, Quotations!$L$2:L1756, "")
</f>
        <v>1383.885</v>
      </c>
    </row>
    <row r="1222">
      <c r="A1222" s="8">
        <v>43412.0</v>
      </c>
      <c r="B1222" s="9">
        <f t="array" ref="B1222">XLOOKUP($A1222, Quotations!$A$2:A1756, Quotations!$B$2:B1756, "")
</f>
        <v>112.03</v>
      </c>
      <c r="C1222" s="9" t="str">
        <f t="array" ref="C1222">XLOOKUP($A1222, Quotations!$C$2:C1756, Quotations!$D$2:D1756, "")</f>
        <v/>
      </c>
      <c r="D1222" s="9">
        <f t="array" ref="D1222">XLOOKUP($A1222, Quotations!$E$2:E1756, Quotations!$F$2:F1756, "")
</f>
        <v>115.78</v>
      </c>
      <c r="E1222" s="9">
        <f t="array" ref="E1222">XLOOKUP($A1222, Quotations!$G$2:G1756, Quotations!$H$2:H1756, "")
</f>
        <v>108.96</v>
      </c>
      <c r="F1222" s="9">
        <f t="array" ref="F1222">XLOOKUP($A1222, Quotations!$I$2:I1756, Quotations!$J$2:J1756, "")
</f>
        <v>122.9</v>
      </c>
      <c r="G1222" s="9">
        <f t="array" ref="G1222">XLOOKUP($A1222, Quotations!$K$2:K1756, Quotations!$L$2:L1756, "")
</f>
        <v>1389.633</v>
      </c>
    </row>
    <row r="1223">
      <c r="A1223" s="8">
        <v>43413.0</v>
      </c>
      <c r="B1223" s="9">
        <f t="array" ref="B1223">XLOOKUP($A1223, Quotations!$A$2:A1756, Quotations!$B$2:B1756, "")
</f>
        <v>111.74</v>
      </c>
      <c r="C1223" s="9" t="str">
        <f t="array" ref="C1223">XLOOKUP($A1223, Quotations!$C$2:C1756, Quotations!$D$2:D1756, "")</f>
        <v/>
      </c>
      <c r="D1223" s="9">
        <f t="array" ref="D1223">XLOOKUP($A1223, Quotations!$E$2:E1756, Quotations!$F$2:F1756, "")
</f>
        <v>115.76</v>
      </c>
      <c r="E1223" s="9">
        <f t="array" ref="E1223">XLOOKUP($A1223, Quotations!$G$2:G1756, Quotations!$H$2:H1756, "")
</f>
        <v>108.86</v>
      </c>
      <c r="F1223" s="9">
        <f t="array" ref="F1223">XLOOKUP($A1223, Quotations!$I$2:I1756, Quotations!$J$2:J1756, "")
</f>
        <v>122.83</v>
      </c>
      <c r="G1223" s="9">
        <f t="array" ref="G1223">XLOOKUP($A1223, Quotations!$K$2:K1756, Quotations!$L$2:L1756, "")
</f>
        <v>1390.406</v>
      </c>
    </row>
    <row r="1224">
      <c r="A1224" s="8">
        <v>43416.0</v>
      </c>
      <c r="B1224" s="9">
        <f t="array" ref="B1224">XLOOKUP($A1224, Quotations!$A$2:A1756, Quotations!$B$2:B1756, "")
</f>
        <v>111.33</v>
      </c>
      <c r="C1224" s="9" t="str">
        <f t="array" ref="C1224">XLOOKUP($A1224, Quotations!$C$2:C1756, Quotations!$D$2:D1756, "")</f>
        <v/>
      </c>
      <c r="D1224" s="9">
        <f t="array" ref="D1224">XLOOKUP($A1224, Quotations!$E$2:E1756, Quotations!$F$2:F1756, "")
</f>
        <v>115.76</v>
      </c>
      <c r="E1224" s="9">
        <f t="array" ref="E1224">XLOOKUP($A1224, Quotations!$G$2:G1756, Quotations!$H$2:H1756, "")
</f>
        <v>109.07</v>
      </c>
      <c r="F1224" s="9">
        <f t="array" ref="F1224">XLOOKUP($A1224, Quotations!$I$2:I1756, Quotations!$J$2:J1756, "")
</f>
        <v>122.6</v>
      </c>
      <c r="G1224" s="9">
        <f t="array" ref="G1224">XLOOKUP($A1224, Quotations!$K$2:K1756, Quotations!$L$2:L1756, "")
</f>
        <v>1385.311</v>
      </c>
    </row>
    <row r="1225">
      <c r="A1225" s="8">
        <v>43417.0</v>
      </c>
      <c r="B1225" s="9">
        <f t="array" ref="B1225">XLOOKUP($A1225, Quotations!$A$2:A1756, Quotations!$B$2:B1756, "")
</f>
        <v>111.43</v>
      </c>
      <c r="C1225" s="9" t="str">
        <f t="array" ref="C1225">XLOOKUP($A1225, Quotations!$C$2:C1756, Quotations!$D$2:D1756, "")</f>
        <v/>
      </c>
      <c r="D1225" s="9">
        <f t="array" ref="D1225">XLOOKUP($A1225, Quotations!$E$2:E1756, Quotations!$F$2:F1756, "")
</f>
        <v>115.77</v>
      </c>
      <c r="E1225" s="9">
        <f t="array" ref="E1225">XLOOKUP($A1225, Quotations!$G$2:G1756, Quotations!$H$2:H1756, "")
</f>
        <v>109.21</v>
      </c>
      <c r="F1225" s="9">
        <f t="array" ref="F1225">XLOOKUP($A1225, Quotations!$I$2:I1756, Quotations!$J$2:J1756, "")
</f>
        <v>122.46</v>
      </c>
      <c r="G1225" s="9">
        <f t="array" ref="G1225">XLOOKUP($A1225, Quotations!$K$2:K1756, Quotations!$L$2:L1756, "")
</f>
        <v>1373.507</v>
      </c>
    </row>
    <row r="1226">
      <c r="A1226" s="8">
        <v>43418.0</v>
      </c>
      <c r="B1226" s="9">
        <f t="array" ref="B1226">XLOOKUP($A1226, Quotations!$A$2:A1756, Quotations!$B$2:B1756, "")
</f>
        <v>111.31</v>
      </c>
      <c r="C1226" s="9" t="str">
        <f t="array" ref="C1226">XLOOKUP($A1226, Quotations!$C$2:C1756, Quotations!$D$2:D1756, "")</f>
        <v/>
      </c>
      <c r="D1226" s="9">
        <f t="array" ref="D1226">XLOOKUP($A1226, Quotations!$E$2:E1756, Quotations!$F$2:F1756, "")
</f>
        <v>115.76</v>
      </c>
      <c r="E1226" s="9">
        <f t="array" ref="E1226">XLOOKUP($A1226, Quotations!$G$2:G1756, Quotations!$H$2:H1756, "")
</f>
        <v>109.17</v>
      </c>
      <c r="F1226" s="9">
        <f t="array" ref="F1226">XLOOKUP($A1226, Quotations!$I$2:I1756, Quotations!$J$2:J1756, "")
</f>
        <v>122.51</v>
      </c>
      <c r="G1226" s="9">
        <f t="array" ref="G1226">XLOOKUP($A1226, Quotations!$K$2:K1756, Quotations!$L$2:L1756, "")
</f>
        <v>1375.286</v>
      </c>
    </row>
    <row r="1227">
      <c r="A1227" s="8">
        <v>43419.0</v>
      </c>
      <c r="B1227" s="9">
        <f t="array" ref="B1227">XLOOKUP($A1227, Quotations!$A$2:A1756, Quotations!$B$2:B1756, "")
</f>
        <v>111.06</v>
      </c>
      <c r="C1227" s="9" t="str">
        <f t="array" ref="C1227">XLOOKUP($A1227, Quotations!$C$2:C1756, Quotations!$D$2:D1756, "")</f>
        <v/>
      </c>
      <c r="D1227" s="9">
        <f t="array" ref="D1227">XLOOKUP($A1227, Quotations!$E$2:E1756, Quotations!$F$2:F1756, "")
</f>
        <v>115.71</v>
      </c>
      <c r="E1227" s="9">
        <f t="array" ref="E1227">XLOOKUP($A1227, Quotations!$G$2:G1756, Quotations!$H$2:H1756, "")
</f>
        <v>109.21</v>
      </c>
      <c r="F1227" s="9">
        <f t="array" ref="F1227">XLOOKUP($A1227, Quotations!$I$2:I1756, Quotations!$J$2:J1756, "")
</f>
        <v>122.19</v>
      </c>
      <c r="G1227" s="9">
        <f t="array" ref="G1227">XLOOKUP($A1227, Quotations!$K$2:K1756, Quotations!$L$2:L1756, "")
</f>
        <v>1373.593</v>
      </c>
    </row>
    <row r="1228">
      <c r="A1228" s="8">
        <v>43420.0</v>
      </c>
      <c r="B1228" s="9">
        <f t="array" ref="B1228">XLOOKUP($A1228, Quotations!$A$2:A1756, Quotations!$B$2:B1756, "")
</f>
        <v>110.82</v>
      </c>
      <c r="C1228" s="9" t="str">
        <f t="array" ref="C1228">XLOOKUP($A1228, Quotations!$C$2:C1756, Quotations!$D$2:D1756, "")</f>
        <v/>
      </c>
      <c r="D1228" s="9">
        <f t="array" ref="D1228">XLOOKUP($A1228, Quotations!$E$2:E1756, Quotations!$F$2:F1756, "")
</f>
        <v>115.72</v>
      </c>
      <c r="E1228" s="9">
        <f t="array" ref="E1228">XLOOKUP($A1228, Quotations!$G$2:G1756, Quotations!$H$2:H1756, "")
</f>
        <v>109.39</v>
      </c>
      <c r="F1228" s="9">
        <f t="array" ref="F1228">XLOOKUP($A1228, Quotations!$I$2:I1756, Quotations!$J$2:J1756, "")
</f>
        <v>122.39</v>
      </c>
      <c r="G1228" s="9">
        <f t="array" ref="G1228">XLOOKUP($A1228, Quotations!$K$2:K1756, Quotations!$L$2:L1756, "")
</f>
        <v>1373.3</v>
      </c>
    </row>
    <row r="1229">
      <c r="A1229" s="8">
        <v>43423.0</v>
      </c>
      <c r="B1229" s="9">
        <f t="array" ref="B1229">XLOOKUP($A1229, Quotations!$A$2:A1756, Quotations!$B$2:B1756, "")
</f>
        <v>110.52</v>
      </c>
      <c r="C1229" s="9" t="str">
        <f t="array" ref="C1229">XLOOKUP($A1229, Quotations!$C$2:C1756, Quotations!$D$2:D1756, "")</f>
        <v/>
      </c>
      <c r="D1229" s="9">
        <f t="array" ref="D1229">XLOOKUP($A1229, Quotations!$E$2:E1756, Quotations!$F$2:F1756, "")
</f>
        <v>115.72</v>
      </c>
      <c r="E1229" s="9">
        <f t="array" ref="E1229">XLOOKUP($A1229, Quotations!$G$2:G1756, Quotations!$H$2:H1756, "")
</f>
        <v>109.41</v>
      </c>
      <c r="F1229" s="9">
        <f t="array" ref="F1229">XLOOKUP($A1229, Quotations!$I$2:I1756, Quotations!$J$2:J1756, "")
</f>
        <v>122.35</v>
      </c>
      <c r="G1229" s="9">
        <f t="array" ref="G1229">XLOOKUP($A1229, Quotations!$K$2:K1756, Quotations!$L$2:L1756, "")
</f>
        <v>1373.586</v>
      </c>
    </row>
    <row r="1230">
      <c r="A1230" s="8">
        <v>43424.0</v>
      </c>
      <c r="B1230" s="9">
        <f t="array" ref="B1230">XLOOKUP($A1230, Quotations!$A$2:A1756, Quotations!$B$2:B1756, "")
</f>
        <v>109.98</v>
      </c>
      <c r="C1230" s="9" t="str">
        <f t="array" ref="C1230">XLOOKUP($A1230, Quotations!$C$2:C1756, Quotations!$D$2:D1756, "")</f>
        <v/>
      </c>
      <c r="D1230" s="9">
        <f t="array" ref="D1230">XLOOKUP($A1230, Quotations!$E$2:E1756, Quotations!$F$2:F1756, "")
</f>
        <v>115.65</v>
      </c>
      <c r="E1230" s="9">
        <f t="array" ref="E1230">XLOOKUP($A1230, Quotations!$G$2:G1756, Quotations!$H$2:H1756, "")
</f>
        <v>109.39</v>
      </c>
      <c r="F1230" s="9">
        <f t="array" ref="F1230">XLOOKUP($A1230, Quotations!$I$2:I1756, Quotations!$J$2:J1756, "")
</f>
        <v>122.2</v>
      </c>
      <c r="G1230" s="9">
        <f t="array" ref="G1230">XLOOKUP($A1230, Quotations!$K$2:K1756, Quotations!$L$2:L1756, "")
</f>
        <v>1366.473</v>
      </c>
    </row>
    <row r="1231">
      <c r="A1231" s="8">
        <v>43425.0</v>
      </c>
      <c r="B1231" s="9">
        <f t="array" ref="B1231">XLOOKUP($A1231, Quotations!$A$2:A1756, Quotations!$B$2:B1756, "")
</f>
        <v>110.23</v>
      </c>
      <c r="C1231" s="9" t="str">
        <f t="array" ref="C1231">XLOOKUP($A1231, Quotations!$C$2:C1756, Quotations!$D$2:D1756, "")</f>
        <v/>
      </c>
      <c r="D1231" s="9">
        <f t="array" ref="D1231">XLOOKUP($A1231, Quotations!$E$2:E1756, Quotations!$F$2:F1756, "")
</f>
        <v>115.67</v>
      </c>
      <c r="E1231" s="9">
        <f t="array" ref="E1231">XLOOKUP($A1231, Quotations!$G$2:G1756, Quotations!$H$2:H1756, "")
</f>
        <v>109.46</v>
      </c>
      <c r="F1231" s="9">
        <f t="array" ref="F1231">XLOOKUP($A1231, Quotations!$I$2:I1756, Quotations!$J$2:J1756, "")
</f>
        <v>121.56</v>
      </c>
      <c r="G1231" s="9">
        <f t="array" ref="G1231">XLOOKUP($A1231, Quotations!$K$2:K1756, Quotations!$L$2:L1756, "")
</f>
        <v>1359.885</v>
      </c>
    </row>
    <row r="1232">
      <c r="A1232" s="8">
        <v>43426.0</v>
      </c>
      <c r="B1232" s="9">
        <f t="array" ref="B1232">XLOOKUP($A1232, Quotations!$A$2:A1756, Quotations!$B$2:B1756, "")
</f>
        <v>109.96</v>
      </c>
      <c r="C1232" s="9" t="str">
        <f t="array" ref="C1232">XLOOKUP($A1232, Quotations!$C$2:C1756, Quotations!$D$2:D1756, "")</f>
        <v/>
      </c>
      <c r="D1232" s="9">
        <f t="array" ref="D1232">XLOOKUP($A1232, Quotations!$E$2:E1756, Quotations!$F$2:F1756, "")
</f>
        <v>115.67</v>
      </c>
      <c r="E1232" s="9">
        <f t="array" ref="E1232">XLOOKUP($A1232, Quotations!$G$2:G1756, Quotations!$H$2:H1756, "")
</f>
        <v>109.36</v>
      </c>
      <c r="F1232" s="9">
        <f t="array" ref="F1232">XLOOKUP($A1232, Quotations!$I$2:I1756, Quotations!$J$2:J1756, "")
</f>
        <v>121.61</v>
      </c>
      <c r="G1232" s="9">
        <f t="array" ref="G1232">XLOOKUP($A1232, Quotations!$K$2:K1756, Quotations!$L$2:L1756, "")
</f>
        <v>1362.434</v>
      </c>
    </row>
    <row r="1233">
      <c r="A1233" s="8">
        <v>43427.0</v>
      </c>
      <c r="B1233" s="9">
        <f t="array" ref="B1233">XLOOKUP($A1233, Quotations!$A$2:A1756, Quotations!$B$2:B1756, "")
</f>
        <v>109.94</v>
      </c>
      <c r="C1233" s="9" t="str">
        <f t="array" ref="C1233">XLOOKUP($A1233, Quotations!$C$2:C1756, Quotations!$D$2:D1756, "")</f>
        <v/>
      </c>
      <c r="D1233" s="9">
        <f t="array" ref="D1233">XLOOKUP($A1233, Quotations!$E$2:E1756, Quotations!$F$2:F1756, "")
</f>
        <v>115.67</v>
      </c>
      <c r="E1233" s="9">
        <f t="array" ref="E1233">XLOOKUP($A1233, Quotations!$G$2:G1756, Quotations!$H$2:H1756, "")
</f>
        <v>109.36</v>
      </c>
      <c r="F1233" s="9">
        <f t="array" ref="F1233">XLOOKUP($A1233, Quotations!$I$2:I1756, Quotations!$J$2:J1756, "")
</f>
        <v>121.44</v>
      </c>
      <c r="G1233" s="9">
        <f t="array" ref="G1233">XLOOKUP($A1233, Quotations!$K$2:K1756, Quotations!$L$2:L1756, "")
</f>
        <v>1361.64</v>
      </c>
    </row>
    <row r="1234">
      <c r="A1234" s="8">
        <v>43430.0</v>
      </c>
      <c r="B1234" s="9">
        <f t="array" ref="B1234">XLOOKUP($A1234, Quotations!$A$2:A1756, Quotations!$B$2:B1756, "")
</f>
        <v>110.19</v>
      </c>
      <c r="C1234" s="9" t="str">
        <f t="array" ref="C1234">XLOOKUP($A1234, Quotations!$C$2:C1756, Quotations!$D$2:D1756, "")</f>
        <v/>
      </c>
      <c r="D1234" s="9">
        <f t="array" ref="D1234">XLOOKUP($A1234, Quotations!$E$2:E1756, Quotations!$F$2:F1756, "")
</f>
        <v>115.69</v>
      </c>
      <c r="E1234" s="9">
        <f t="array" ref="E1234">XLOOKUP($A1234, Quotations!$G$2:G1756, Quotations!$H$2:H1756, "")
</f>
        <v>109.42</v>
      </c>
      <c r="F1234" s="9">
        <f t="array" ref="F1234">XLOOKUP($A1234, Quotations!$I$2:I1756, Quotations!$J$2:J1756, "")
</f>
        <v>121.34</v>
      </c>
      <c r="G1234" s="9">
        <f t="array" ref="G1234">XLOOKUP($A1234, Quotations!$K$2:K1756, Quotations!$L$2:L1756, "")
</f>
        <v>1361.992</v>
      </c>
    </row>
    <row r="1235">
      <c r="A1235" s="8">
        <v>43431.0</v>
      </c>
      <c r="B1235" s="9">
        <f t="array" ref="B1235">XLOOKUP($A1235, Quotations!$A$2:A1756, Quotations!$B$2:B1756, "")
</f>
        <v>110.16</v>
      </c>
      <c r="C1235" s="9" t="str">
        <f t="array" ref="C1235">XLOOKUP($A1235, Quotations!$C$2:C1756, Quotations!$D$2:D1756, "")</f>
        <v/>
      </c>
      <c r="D1235" s="9">
        <f t="array" ref="D1235">XLOOKUP($A1235, Quotations!$E$2:E1756, Quotations!$F$2:F1756, "")
</f>
        <v>115.67</v>
      </c>
      <c r="E1235" s="9">
        <f t="array" ref="E1235">XLOOKUP($A1235, Quotations!$G$2:G1756, Quotations!$H$2:H1756, "")
</f>
        <v>109.38</v>
      </c>
      <c r="F1235" s="9">
        <f t="array" ref="F1235">XLOOKUP($A1235, Quotations!$I$2:I1756, Quotations!$J$2:J1756, "")
</f>
        <v>121.38</v>
      </c>
      <c r="G1235" s="9">
        <f t="array" ref="G1235">XLOOKUP($A1235, Quotations!$K$2:K1756, Quotations!$L$2:L1756, "")
</f>
        <v>1366.914</v>
      </c>
    </row>
    <row r="1236">
      <c r="A1236" s="8">
        <v>43432.0</v>
      </c>
      <c r="B1236" s="9">
        <f t="array" ref="B1236">XLOOKUP($A1236, Quotations!$A$2:A1756, Quotations!$B$2:B1756, "")
</f>
        <v>110.17</v>
      </c>
      <c r="C1236" s="9" t="str">
        <f t="array" ref="C1236">XLOOKUP($A1236, Quotations!$C$2:C1756, Quotations!$D$2:D1756, "")</f>
        <v/>
      </c>
      <c r="D1236" s="9">
        <f t="array" ref="D1236">XLOOKUP($A1236, Quotations!$E$2:E1756, Quotations!$F$2:F1756, "")
</f>
        <v>115.66</v>
      </c>
      <c r="E1236" s="9">
        <f t="array" ref="E1236">XLOOKUP($A1236, Quotations!$G$2:G1756, Quotations!$H$2:H1756, "")
</f>
        <v>109.46</v>
      </c>
      <c r="F1236" s="9">
        <f t="array" ref="F1236">XLOOKUP($A1236, Quotations!$I$2:I1756, Quotations!$J$2:J1756, "")
</f>
        <v>121.32</v>
      </c>
      <c r="G1236" s="9">
        <f t="array" ref="G1236">XLOOKUP($A1236, Quotations!$K$2:K1756, Quotations!$L$2:L1756, "")
</f>
        <v>1366.354</v>
      </c>
    </row>
    <row r="1237">
      <c r="A1237" s="8">
        <v>43433.0</v>
      </c>
      <c r="B1237" s="9">
        <f t="array" ref="B1237">XLOOKUP($A1237, Quotations!$A$2:A1756, Quotations!$B$2:B1756, "")
</f>
        <v>110.23</v>
      </c>
      <c r="C1237" s="9" t="str">
        <f t="array" ref="C1237">XLOOKUP($A1237, Quotations!$C$2:C1756, Quotations!$D$2:D1756, "")</f>
        <v/>
      </c>
      <c r="D1237" s="9">
        <f t="array" ref="D1237">XLOOKUP($A1237, Quotations!$E$2:E1756, Quotations!$F$2:F1756, "")
</f>
        <v>115.66</v>
      </c>
      <c r="E1237" s="9">
        <f t="array" ref="E1237">XLOOKUP($A1237, Quotations!$G$2:G1756, Quotations!$H$2:H1756, "")
</f>
        <v>109.48</v>
      </c>
      <c r="F1237" s="9">
        <f t="array" ref="F1237">XLOOKUP($A1237, Quotations!$I$2:I1756, Quotations!$J$2:J1756, "")
</f>
        <v>121.69</v>
      </c>
      <c r="G1237" s="9">
        <f t="array" ref="G1237">XLOOKUP($A1237, Quotations!$K$2:K1756, Quotations!$L$2:L1756, "")
</f>
        <v>1367.854</v>
      </c>
    </row>
    <row r="1238">
      <c r="A1238" s="8">
        <v>43434.0</v>
      </c>
      <c r="B1238" s="9">
        <f t="array" ref="B1238">XLOOKUP($A1238, Quotations!$A$2:A1756, Quotations!$B$2:B1756, "")
</f>
        <v>110.02</v>
      </c>
      <c r="C1238" s="9" t="str">
        <f t="array" ref="C1238">XLOOKUP($A1238, Quotations!$C$2:C1756, Quotations!$D$2:D1756, "")</f>
        <v/>
      </c>
      <c r="D1238" s="9">
        <f t="array" ref="D1238">XLOOKUP($A1238, Quotations!$E$2:E1756, Quotations!$F$2:F1756, "")
</f>
        <v>115.68</v>
      </c>
      <c r="E1238" s="9">
        <f t="array" ref="E1238">XLOOKUP($A1238, Quotations!$G$2:G1756, Quotations!$H$2:H1756, "")
</f>
        <v>109.64</v>
      </c>
      <c r="F1238" s="9">
        <f t="array" ref="F1238">XLOOKUP($A1238, Quotations!$I$2:I1756, Quotations!$J$2:J1756, "")
</f>
        <v>121.65</v>
      </c>
      <c r="G1238" s="9">
        <f t="array" ref="G1238">XLOOKUP($A1238, Quotations!$K$2:K1756, Quotations!$L$2:L1756, "")
</f>
        <v>1370.566</v>
      </c>
    </row>
    <row r="1239">
      <c r="A1239" s="8">
        <v>43437.0</v>
      </c>
      <c r="B1239" s="9">
        <f t="array" ref="B1239">XLOOKUP($A1239, Quotations!$A$2:A1756, Quotations!$B$2:B1756, "")
</f>
        <v>110.3</v>
      </c>
      <c r="C1239" s="9" t="str">
        <f t="array" ref="C1239">XLOOKUP($A1239, Quotations!$C$2:C1756, Quotations!$D$2:D1756, "")</f>
        <v/>
      </c>
      <c r="D1239" s="9">
        <f t="array" ref="D1239">XLOOKUP($A1239, Quotations!$E$2:E1756, Quotations!$F$2:F1756, "")
</f>
        <v>115.71</v>
      </c>
      <c r="E1239" s="9">
        <f t="array" ref="E1239">XLOOKUP($A1239, Quotations!$G$2:G1756, Quotations!$H$2:H1756, "")
</f>
        <v>109.69</v>
      </c>
      <c r="F1239" s="9">
        <f t="array" ref="F1239">XLOOKUP($A1239, Quotations!$I$2:I1756, Quotations!$J$2:J1756, "")
</f>
        <v>121.75</v>
      </c>
      <c r="G1239" s="9">
        <f t="array" ref="G1239">XLOOKUP($A1239, Quotations!$K$2:K1756, Quotations!$L$2:L1756, "")
</f>
        <v>1366.565</v>
      </c>
    </row>
    <row r="1240">
      <c r="A1240" s="8">
        <v>43438.0</v>
      </c>
      <c r="B1240" s="9">
        <f t="array" ref="B1240">XLOOKUP($A1240, Quotations!$A$2:A1756, Quotations!$B$2:B1756, "")
</f>
        <v>110</v>
      </c>
      <c r="C1240" s="9" t="str">
        <f t="array" ref="C1240">XLOOKUP($A1240, Quotations!$C$2:C1756, Quotations!$D$2:D1756, "")</f>
        <v/>
      </c>
      <c r="D1240" s="9">
        <f t="array" ref="D1240">XLOOKUP($A1240, Quotations!$E$2:E1756, Quotations!$F$2:F1756, "")
</f>
        <v>115.68</v>
      </c>
      <c r="E1240" s="9">
        <f t="array" ref="E1240">XLOOKUP($A1240, Quotations!$G$2:G1756, Quotations!$H$2:H1756, "")
</f>
        <v>109.61</v>
      </c>
      <c r="F1240" s="9">
        <f t="array" ref="F1240">XLOOKUP($A1240, Quotations!$I$2:I1756, Quotations!$J$2:J1756, "")
</f>
        <v>122.5</v>
      </c>
      <c r="G1240" s="9">
        <f t="array" ref="G1240">XLOOKUP($A1240, Quotations!$K$2:K1756, Quotations!$L$2:L1756, "")
</f>
        <v>1378.978</v>
      </c>
    </row>
    <row r="1241">
      <c r="A1241" s="8">
        <v>43439.0</v>
      </c>
      <c r="B1241" s="9">
        <f t="array" ref="B1241">XLOOKUP($A1241, Quotations!$A$2:A1756, Quotations!$B$2:B1756, "")
</f>
        <v>109.65</v>
      </c>
      <c r="C1241" s="9" t="str">
        <f t="array" ref="C1241">XLOOKUP($A1241, Quotations!$C$2:C1756, Quotations!$D$2:D1756, "")</f>
        <v/>
      </c>
      <c r="D1241" s="9">
        <f t="array" ref="D1241">XLOOKUP($A1241, Quotations!$E$2:E1756, Quotations!$F$2:F1756, "")
</f>
        <v>115.67</v>
      </c>
      <c r="E1241" s="9">
        <f t="array" ref="E1241">XLOOKUP($A1241, Quotations!$G$2:G1756, Quotations!$H$2:H1756, "")
</f>
        <v>109.62</v>
      </c>
      <c r="F1241" s="9">
        <f t="array" ref="F1241">XLOOKUP($A1241, Quotations!$I$2:I1756, Quotations!$J$2:J1756, "")
</f>
        <v>122.14</v>
      </c>
      <c r="G1241" s="9">
        <f t="array" ref="G1241">XLOOKUP($A1241, Quotations!$K$2:K1756, Quotations!$L$2:L1756, "")
</f>
        <v>1372.962</v>
      </c>
    </row>
    <row r="1242">
      <c r="A1242" s="8">
        <v>43440.0</v>
      </c>
      <c r="B1242" s="9">
        <f t="array" ref="B1242">XLOOKUP($A1242, Quotations!$A$2:A1756, Quotations!$B$2:B1756, "")
</f>
        <v>108.82</v>
      </c>
      <c r="C1242" s="9" t="str">
        <f t="array" ref="C1242">XLOOKUP($A1242, Quotations!$C$2:C1756, Quotations!$D$2:D1756, "")</f>
        <v/>
      </c>
      <c r="D1242" s="9">
        <f t="array" ref="D1242">XLOOKUP($A1242, Quotations!$E$2:E1756, Quotations!$F$2:F1756, "")
</f>
        <v>115.63</v>
      </c>
      <c r="E1242" s="9">
        <f t="array" ref="E1242">XLOOKUP($A1242, Quotations!$G$2:G1756, Quotations!$H$2:H1756, "")
</f>
        <v>109.32</v>
      </c>
      <c r="F1242" s="9">
        <f t="array" ref="F1242">XLOOKUP($A1242, Quotations!$I$2:I1756, Quotations!$J$2:J1756, "")
</f>
        <v>121.87</v>
      </c>
      <c r="G1242" s="9">
        <f t="array" ref="G1242">XLOOKUP($A1242, Quotations!$K$2:K1756, Quotations!$L$2:L1756, "")
</f>
        <v>1367.184</v>
      </c>
    </row>
    <row r="1243">
      <c r="A1243" s="8">
        <v>43441.0</v>
      </c>
      <c r="B1243" s="9">
        <f t="array" ref="B1243">XLOOKUP($A1243, Quotations!$A$2:A1756, Quotations!$B$2:B1756, "")
</f>
        <v>108.85</v>
      </c>
      <c r="C1243" s="9" t="str">
        <f t="array" ref="C1243">XLOOKUP($A1243, Quotations!$C$2:C1756, Quotations!$D$2:D1756, "")</f>
        <v/>
      </c>
      <c r="D1243" s="9">
        <f t="array" ref="D1243">XLOOKUP($A1243, Quotations!$E$2:E1756, Quotations!$F$2:F1756, "")
</f>
        <v>115.64</v>
      </c>
      <c r="E1243" s="9">
        <f t="array" ref="E1243">XLOOKUP($A1243, Quotations!$G$2:G1756, Quotations!$H$2:H1756, "")
</f>
        <v>108.73</v>
      </c>
      <c r="F1243" s="9">
        <f t="array" ref="F1243">XLOOKUP($A1243, Quotations!$I$2:I1756, Quotations!$J$2:J1756, "")
</f>
        <v>121.35</v>
      </c>
      <c r="G1243" s="9">
        <f t="array" ref="G1243">XLOOKUP($A1243, Quotations!$K$2:K1756, Quotations!$L$2:L1756, "")
</f>
        <v>1361.876</v>
      </c>
    </row>
    <row r="1244">
      <c r="A1244" s="8">
        <v>43444.0</v>
      </c>
      <c r="B1244" s="9">
        <f t="array" ref="B1244">XLOOKUP($A1244, Quotations!$A$2:A1756, Quotations!$B$2:B1756, "")
</f>
        <v>108.43</v>
      </c>
      <c r="C1244" s="9" t="str">
        <f t="array" ref="C1244">XLOOKUP($A1244, Quotations!$C$2:C1756, Quotations!$D$2:D1756, "")</f>
        <v/>
      </c>
      <c r="D1244" s="9">
        <f t="array" ref="D1244">XLOOKUP($A1244, Quotations!$E$2:E1756, Quotations!$F$2:F1756, "")
</f>
        <v>115.63</v>
      </c>
      <c r="E1244" s="9">
        <f t="array" ref="E1244">XLOOKUP($A1244, Quotations!$G$2:G1756, Quotations!$H$2:H1756, "")
</f>
        <v>108.91</v>
      </c>
      <c r="F1244" s="9">
        <f t="array" ref="F1244">XLOOKUP($A1244, Quotations!$I$2:I1756, Quotations!$J$2:J1756, "")
</f>
        <v>121.08</v>
      </c>
      <c r="G1244" s="9">
        <f t="array" ref="G1244">XLOOKUP($A1244, Quotations!$K$2:K1756, Quotations!$L$2:L1756, "")
</f>
        <v>1356.752</v>
      </c>
    </row>
    <row r="1245">
      <c r="A1245" s="8">
        <v>43445.0</v>
      </c>
      <c r="B1245" s="9">
        <f t="array" ref="B1245">XLOOKUP($A1245, Quotations!$A$2:A1756, Quotations!$B$2:B1756, "")
</f>
        <v>108.69</v>
      </c>
      <c r="C1245" s="9" t="str">
        <f t="array" ref="C1245">XLOOKUP($A1245, Quotations!$C$2:C1756, Quotations!$D$2:D1756, "")</f>
        <v/>
      </c>
      <c r="D1245" s="9">
        <f t="array" ref="D1245">XLOOKUP($A1245, Quotations!$E$2:E1756, Quotations!$F$2:F1756, "")
</f>
        <v>115.64</v>
      </c>
      <c r="E1245" s="9">
        <f t="array" ref="E1245">XLOOKUP($A1245, Quotations!$G$2:G1756, Quotations!$H$2:H1756, "")
</f>
        <v>108.5</v>
      </c>
      <c r="F1245" s="9">
        <f t="array" ref="F1245">XLOOKUP($A1245, Quotations!$I$2:I1756, Quotations!$J$2:J1756, "")
</f>
        <v>120.82</v>
      </c>
      <c r="G1245" s="9">
        <f t="array" ref="G1245">XLOOKUP($A1245, Quotations!$K$2:K1756, Quotations!$L$2:L1756, "")
</f>
        <v>1352.079</v>
      </c>
    </row>
    <row r="1246">
      <c r="A1246" s="8">
        <v>43446.0</v>
      </c>
      <c r="B1246" s="9">
        <f t="array" ref="B1246">XLOOKUP($A1246, Quotations!$A$2:A1756, Quotations!$B$2:B1756, "")
</f>
        <v>109.04</v>
      </c>
      <c r="C1246" s="9" t="str">
        <f t="array" ref="C1246">XLOOKUP($A1246, Quotations!$C$2:C1756, Quotations!$D$2:D1756, "")</f>
        <v/>
      </c>
      <c r="D1246" s="9">
        <f t="array" ref="D1246">XLOOKUP($A1246, Quotations!$E$2:E1756, Quotations!$F$2:F1756, "")
</f>
        <v>115.65</v>
      </c>
      <c r="E1246" s="9">
        <f t="array" ref="E1246">XLOOKUP($A1246, Quotations!$G$2:G1756, Quotations!$H$2:H1756, "")
</f>
        <v>108.81</v>
      </c>
      <c r="F1246" s="9">
        <f t="array" ref="F1246">XLOOKUP($A1246, Quotations!$I$2:I1756, Quotations!$J$2:J1756, "")
</f>
        <v>120.9</v>
      </c>
      <c r="G1246" s="9">
        <f t="array" ref="G1246">XLOOKUP($A1246, Quotations!$K$2:K1756, Quotations!$L$2:L1756, "")
</f>
        <v>1354.648</v>
      </c>
    </row>
    <row r="1247">
      <c r="A1247" s="8">
        <v>43447.0</v>
      </c>
      <c r="B1247" s="9">
        <f t="array" ref="B1247">XLOOKUP($A1247, Quotations!$A$2:A1756, Quotations!$B$2:B1756, "")
</f>
        <v>108.93</v>
      </c>
      <c r="C1247" s="9" t="str">
        <f t="array" ref="C1247">XLOOKUP($A1247, Quotations!$C$2:C1756, Quotations!$D$2:D1756, "")</f>
        <v/>
      </c>
      <c r="D1247" s="9">
        <f t="array" ref="D1247">XLOOKUP($A1247, Quotations!$E$2:E1756, Quotations!$F$2:F1756, "")
</f>
        <v>115.68</v>
      </c>
      <c r="E1247" s="9">
        <f t="array" ref="E1247">XLOOKUP($A1247, Quotations!$G$2:G1756, Quotations!$H$2:H1756, "")
</f>
        <v>108.95</v>
      </c>
      <c r="F1247" s="9">
        <f t="array" ref="F1247">XLOOKUP($A1247, Quotations!$I$2:I1756, Quotations!$J$2:J1756, "")
</f>
        <v>120.89</v>
      </c>
      <c r="G1247" s="9">
        <f t="array" ref="G1247">XLOOKUP($A1247, Quotations!$K$2:K1756, Quotations!$L$2:L1756, "")
</f>
        <v>1361.06</v>
      </c>
    </row>
    <row r="1248">
      <c r="A1248" s="8">
        <v>43448.0</v>
      </c>
      <c r="B1248" s="9">
        <f t="array" ref="B1248">XLOOKUP($A1248, Quotations!$A$2:A1756, Quotations!$B$2:B1756, "")
</f>
        <v>108.73</v>
      </c>
      <c r="C1248" s="9" t="str">
        <f t="array" ref="C1248">XLOOKUP($A1248, Quotations!$C$2:C1756, Quotations!$D$2:D1756, "")</f>
        <v/>
      </c>
      <c r="D1248" s="9">
        <f t="array" ref="D1248">XLOOKUP($A1248, Quotations!$E$2:E1756, Quotations!$F$2:F1756, "")
</f>
        <v>115.68</v>
      </c>
      <c r="E1248" s="9">
        <f t="array" ref="E1248">XLOOKUP($A1248, Quotations!$G$2:G1756, Quotations!$H$2:H1756, "")
</f>
        <v>108.92</v>
      </c>
      <c r="F1248" s="9">
        <f t="array" ref="F1248">XLOOKUP($A1248, Quotations!$I$2:I1756, Quotations!$J$2:J1756, "")
</f>
        <v>121.11</v>
      </c>
      <c r="G1248" s="9">
        <f t="array" ref="G1248">XLOOKUP($A1248, Quotations!$K$2:K1756, Quotations!$L$2:L1756, "")
</f>
        <v>1357.79</v>
      </c>
    </row>
    <row r="1249">
      <c r="A1249" s="8">
        <v>43451.0</v>
      </c>
      <c r="B1249" s="9">
        <f t="array" ref="B1249">XLOOKUP($A1249, Quotations!$A$2:A1756, Quotations!$B$2:B1756, "")
</f>
        <v>108.38</v>
      </c>
      <c r="C1249" s="9" t="str">
        <f t="array" ref="C1249">XLOOKUP($A1249, Quotations!$C$2:C1756, Quotations!$D$2:D1756, "")</f>
        <v/>
      </c>
      <c r="D1249" s="9">
        <f t="array" ref="D1249">XLOOKUP($A1249, Quotations!$E$2:E1756, Quotations!$F$2:F1756, "")
</f>
        <v>115.69</v>
      </c>
      <c r="E1249" s="9">
        <f t="array" ref="E1249">XLOOKUP($A1249, Quotations!$G$2:G1756, Quotations!$H$2:H1756, "")
</f>
        <v>108.91</v>
      </c>
      <c r="F1249" s="9">
        <f t="array" ref="F1249">XLOOKUP($A1249, Quotations!$I$2:I1756, Quotations!$J$2:J1756, "")
</f>
        <v>120.96</v>
      </c>
      <c r="G1249" s="9">
        <f t="array" ref="G1249">XLOOKUP($A1249, Quotations!$K$2:K1756, Quotations!$L$2:L1756, "")
</f>
        <v>1354.865</v>
      </c>
    </row>
    <row r="1250">
      <c r="A1250" s="8">
        <v>43452.0</v>
      </c>
      <c r="B1250" s="9">
        <f t="array" ref="B1250">XLOOKUP($A1250, Quotations!$A$2:A1756, Quotations!$B$2:B1756, "")
</f>
        <v>108.28</v>
      </c>
      <c r="C1250" s="9" t="str">
        <f t="array" ref="C1250">XLOOKUP($A1250, Quotations!$C$2:C1756, Quotations!$D$2:D1756, "")</f>
        <v/>
      </c>
      <c r="D1250" s="9">
        <f t="array" ref="D1250">XLOOKUP($A1250, Quotations!$E$2:E1756, Quotations!$F$2:F1756, "")
</f>
        <v>115.68</v>
      </c>
      <c r="E1250" s="9">
        <f t="array" ref="E1250">XLOOKUP($A1250, Quotations!$G$2:G1756, Quotations!$H$2:H1756, "")
</f>
        <v>109</v>
      </c>
      <c r="F1250" s="9">
        <f t="array" ref="F1250">XLOOKUP($A1250, Quotations!$I$2:I1756, Quotations!$J$2:J1756, "")
</f>
        <v>120.63</v>
      </c>
      <c r="G1250" s="9">
        <f t="array" ref="G1250">XLOOKUP($A1250, Quotations!$K$2:K1756, Quotations!$L$2:L1756, "")
</f>
        <v>1345.449</v>
      </c>
    </row>
    <row r="1251">
      <c r="A1251" s="8">
        <v>43453.0</v>
      </c>
      <c r="B1251" s="9">
        <f t="array" ref="B1251">XLOOKUP($A1251, Quotations!$A$2:A1756, Quotations!$B$2:B1756, "")
</f>
        <v>108.29</v>
      </c>
      <c r="C1251" s="9" t="str">
        <f t="array" ref="C1251">XLOOKUP($A1251, Quotations!$C$2:C1756, Quotations!$D$2:D1756, "")</f>
        <v/>
      </c>
      <c r="D1251" s="9">
        <f t="array" ref="D1251">XLOOKUP($A1251, Quotations!$E$2:E1756, Quotations!$F$2:F1756, "")
</f>
        <v>115.67</v>
      </c>
      <c r="E1251" s="9">
        <f t="array" ref="E1251">XLOOKUP($A1251, Quotations!$G$2:G1756, Quotations!$H$2:H1756, "")
</f>
        <v>109.14</v>
      </c>
      <c r="F1251" s="9">
        <f t="array" ref="F1251">XLOOKUP($A1251, Quotations!$I$2:I1756, Quotations!$J$2:J1756, "")
</f>
        <v>120.55</v>
      </c>
      <c r="G1251" s="9">
        <f t="array" ref="G1251">XLOOKUP($A1251, Quotations!$K$2:K1756, Quotations!$L$2:L1756, "")
</f>
        <v>1343.3</v>
      </c>
    </row>
    <row r="1252">
      <c r="A1252" s="8">
        <v>43454.0</v>
      </c>
      <c r="B1252" s="9">
        <f t="array" ref="B1252">XLOOKUP($A1252, Quotations!$A$2:A1756, Quotations!$B$2:B1756, "")
</f>
        <v>107.87</v>
      </c>
      <c r="C1252" s="9" t="str">
        <f t="array" ref="C1252">XLOOKUP($A1252, Quotations!$C$2:C1756, Quotations!$D$2:D1756, "")</f>
        <v/>
      </c>
      <c r="D1252" s="9">
        <f t="array" ref="D1252">XLOOKUP($A1252, Quotations!$E$2:E1756, Quotations!$F$2:F1756, "")
</f>
        <v>115.62</v>
      </c>
      <c r="E1252" s="9">
        <f t="array" ref="E1252">XLOOKUP($A1252, Quotations!$G$2:G1756, Quotations!$H$2:H1756, "")
</f>
        <v>109.29</v>
      </c>
      <c r="F1252" s="9">
        <f t="array" ref="F1252">XLOOKUP($A1252, Quotations!$I$2:I1756, Quotations!$J$2:J1756, "")
</f>
        <v>120.69</v>
      </c>
      <c r="G1252" s="9">
        <f t="array" ref="G1252">XLOOKUP($A1252, Quotations!$K$2:K1756, Quotations!$L$2:L1756, "")
</f>
        <v>1337.783</v>
      </c>
    </row>
    <row r="1253">
      <c r="A1253" s="8">
        <v>43455.0</v>
      </c>
      <c r="B1253" s="9">
        <f t="array" ref="B1253">XLOOKUP($A1253, Quotations!$A$2:A1756, Quotations!$B$2:B1756, "")
</f>
        <v>107.84</v>
      </c>
      <c r="C1253" s="9" t="str">
        <f t="array" ref="C1253">XLOOKUP($A1253, Quotations!$C$2:C1756, Quotations!$D$2:D1756, "")</f>
        <v/>
      </c>
      <c r="D1253" s="9">
        <f t="array" ref="D1253">XLOOKUP($A1253, Quotations!$E$2:E1756, Quotations!$F$2:F1756, "")
</f>
        <v>115.61</v>
      </c>
      <c r="E1253" s="9">
        <f t="array" ref="E1253">XLOOKUP($A1253, Quotations!$G$2:G1756, Quotations!$H$2:H1756, "")
</f>
        <v>109.29</v>
      </c>
      <c r="F1253" s="9">
        <f t="array" ref="F1253">XLOOKUP($A1253, Quotations!$I$2:I1756, Quotations!$J$2:J1756, "")
</f>
        <v>120.4</v>
      </c>
      <c r="G1253" s="9">
        <f t="array" ref="G1253">XLOOKUP($A1253, Quotations!$K$2:K1756, Quotations!$L$2:L1756, "")
</f>
        <v>1322.597</v>
      </c>
    </row>
    <row r="1254">
      <c r="A1254" s="8">
        <v>43461.0</v>
      </c>
      <c r="B1254" s="9">
        <f t="array" ref="B1254">XLOOKUP($A1254, Quotations!$A$2:A1756, Quotations!$B$2:B1756, "")
</f>
        <v>107.38</v>
      </c>
      <c r="C1254" s="9" t="str">
        <f t="array" ref="C1254">XLOOKUP($A1254, Quotations!$C$2:C1756, Quotations!$D$2:D1756, "")</f>
        <v/>
      </c>
      <c r="D1254" s="9">
        <f t="array" ref="D1254">XLOOKUP($A1254, Quotations!$E$2:E1756, Quotations!$F$2:F1756, "")
</f>
        <v>115.61</v>
      </c>
      <c r="E1254" s="9">
        <f t="array" ref="E1254">XLOOKUP($A1254, Quotations!$G$2:G1756, Quotations!$H$2:H1756, "")
</f>
        <v>109.34</v>
      </c>
      <c r="F1254" s="9">
        <f t="array" ref="F1254">XLOOKUP($A1254, Quotations!$I$2:I1756, Quotations!$J$2:J1756, "")
</f>
        <v>120.29</v>
      </c>
      <c r="G1254" s="9">
        <f t="array" ref="G1254">XLOOKUP($A1254, Quotations!$K$2:K1756, Quotations!$L$2:L1756, "")
</f>
        <v>1326.244</v>
      </c>
    </row>
    <row r="1255">
      <c r="A1255" s="8">
        <v>43462.0</v>
      </c>
      <c r="B1255" s="9">
        <f t="array" ref="B1255">XLOOKUP($A1255, Quotations!$A$2:A1756, Quotations!$B$2:B1756, "")
</f>
        <v>107.71</v>
      </c>
      <c r="C1255" s="9" t="str">
        <f t="array" ref="C1255">XLOOKUP($A1255, Quotations!$C$2:C1756, Quotations!$D$2:D1756, "")</f>
        <v/>
      </c>
      <c r="D1255" s="9">
        <f t="array" ref="D1255">XLOOKUP($A1255, Quotations!$E$2:E1756, Quotations!$F$2:F1756, "")
</f>
        <v>115.62</v>
      </c>
      <c r="E1255" s="9">
        <f t="array" ref="E1255">XLOOKUP($A1255, Quotations!$G$2:G1756, Quotations!$H$2:H1756, "")
</f>
        <v>109.46</v>
      </c>
      <c r="F1255" s="9">
        <f t="array" ref="F1255">XLOOKUP($A1255, Quotations!$I$2:I1756, Quotations!$J$2:J1756, "")
</f>
        <v>120.54</v>
      </c>
      <c r="G1255" s="9">
        <f t="array" ref="G1255">XLOOKUP($A1255, Quotations!$K$2:K1756, Quotations!$L$2:L1756, "")
</f>
        <v>1326.26</v>
      </c>
    </row>
    <row r="1256">
      <c r="A1256" s="8">
        <v>43465.0</v>
      </c>
      <c r="B1256" s="9">
        <f t="array" ref="B1256">XLOOKUP($A1256, Quotations!$A$2:A1756, Quotations!$B$2:B1756, "")
</f>
        <v>107.74</v>
      </c>
      <c r="C1256" s="9" t="str">
        <f t="array" ref="C1256">XLOOKUP($A1256, Quotations!$C$2:C1756, Quotations!$D$2:D1756, "")</f>
        <v/>
      </c>
      <c r="D1256" s="9">
        <f t="array" ref="D1256">XLOOKUP($A1256, Quotations!$E$2:E1756, Quotations!$F$2:F1756, "")
</f>
        <v>115.65</v>
      </c>
      <c r="E1256" s="9" t="str">
        <f t="array" ref="E1256">XLOOKUP($A1256, Quotations!$G$2:G1756, Quotations!$H$2:H1756, "")
</f>
        <v/>
      </c>
      <c r="F1256" s="9" t="str">
        <f t="array" ref="F1256">XLOOKUP($A1256, Quotations!$I$2:I1756, Quotations!$J$2:J1756, "")
</f>
        <v/>
      </c>
      <c r="G1256" s="9">
        <f t="array" ref="G1256">XLOOKUP($A1256, Quotations!$K$2:K1756, Quotations!$L$2:L1756, "")
</f>
        <v>1327.918</v>
      </c>
    </row>
    <row r="1257">
      <c r="A1257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" t="s">
        <v>8</v>
      </c>
      <c r="C1" s="1" t="s">
        <v>9</v>
      </c>
      <c r="D1" s="1" t="s">
        <v>10</v>
      </c>
      <c r="E1" s="1" t="s">
        <v>11</v>
      </c>
    </row>
    <row r="2">
      <c r="A2" s="3">
        <v>43215.0</v>
      </c>
      <c r="B2" s="11">
        <v>-0.0037099999999999998</v>
      </c>
      <c r="C2" s="11">
        <v>-0.00328</v>
      </c>
      <c r="D2" s="11">
        <v>-0.0027</v>
      </c>
      <c r="E2" s="11">
        <v>-0.00189</v>
      </c>
    </row>
    <row r="3">
      <c r="A3" s="3">
        <v>43214.0</v>
      </c>
      <c r="B3" s="11">
        <v>-0.0037199999999999998</v>
      </c>
      <c r="C3" s="11">
        <v>-0.00328</v>
      </c>
      <c r="D3" s="11">
        <v>-0.0027</v>
      </c>
      <c r="E3" s="11">
        <v>-0.00189</v>
      </c>
    </row>
    <row r="4">
      <c r="A4" s="3">
        <v>43213.0</v>
      </c>
      <c r="B4" s="11">
        <v>-0.0037199999999999998</v>
      </c>
      <c r="C4" s="11">
        <v>-0.00328</v>
      </c>
      <c r="D4" s="11">
        <v>-0.0027</v>
      </c>
      <c r="E4" s="11">
        <v>-0.00189</v>
      </c>
    </row>
    <row r="5">
      <c r="A5" s="3">
        <v>43210.0</v>
      </c>
      <c r="B5" s="11">
        <v>-0.0037199999999999998</v>
      </c>
      <c r="C5" s="11">
        <v>-0.00328</v>
      </c>
      <c r="D5" s="11">
        <v>-0.00271</v>
      </c>
      <c r="E5" s="11">
        <v>-0.00189</v>
      </c>
    </row>
    <row r="6">
      <c r="A6" s="3">
        <v>43209.0</v>
      </c>
      <c r="B6" s="11">
        <v>-0.0037199999999999998</v>
      </c>
      <c r="C6" s="11">
        <v>-0.00328</v>
      </c>
      <c r="D6" s="11">
        <v>-0.0027</v>
      </c>
      <c r="E6" s="11">
        <v>-0.00189</v>
      </c>
    </row>
    <row r="7">
      <c r="A7" s="3">
        <v>43208.0</v>
      </c>
      <c r="B7" s="11">
        <v>-0.0037099999999999998</v>
      </c>
      <c r="C7" s="11">
        <v>-0.00328</v>
      </c>
      <c r="D7" s="11">
        <v>-0.00271</v>
      </c>
      <c r="E7" s="11">
        <v>-0.00189</v>
      </c>
    </row>
    <row r="8">
      <c r="A8" s="3">
        <v>43207.0</v>
      </c>
      <c r="B8" s="11">
        <v>-0.0037099999999999998</v>
      </c>
      <c r="C8" s="11">
        <v>-0.00328</v>
      </c>
      <c r="D8" s="11">
        <v>-0.0027</v>
      </c>
      <c r="E8" s="11">
        <v>-0.00189</v>
      </c>
    </row>
    <row r="9">
      <c r="A9" s="3">
        <v>43206.0</v>
      </c>
      <c r="B9" s="11">
        <v>-0.0037099999999999998</v>
      </c>
      <c r="C9" s="11">
        <v>-0.00329</v>
      </c>
      <c r="D9" s="11">
        <v>-0.0027</v>
      </c>
      <c r="E9" s="11">
        <v>-0.00189</v>
      </c>
    </row>
    <row r="10">
      <c r="A10" s="3">
        <v>43203.0</v>
      </c>
      <c r="B10" s="11">
        <v>-0.0037099999999999998</v>
      </c>
      <c r="C10" s="11">
        <v>-0.00329</v>
      </c>
      <c r="D10" s="11">
        <v>-0.00271</v>
      </c>
      <c r="E10" s="11">
        <v>-0.0019</v>
      </c>
    </row>
    <row r="11">
      <c r="A11" s="3">
        <v>43202.0</v>
      </c>
      <c r="B11" s="11">
        <v>-0.0037099999999999998</v>
      </c>
      <c r="C11" s="11">
        <v>-0.00329</v>
      </c>
      <c r="D11" s="11">
        <v>-0.00271</v>
      </c>
      <c r="E11" s="11">
        <v>-0.00191</v>
      </c>
    </row>
    <row r="12">
      <c r="A12" s="3">
        <v>43201.0</v>
      </c>
      <c r="B12" s="11">
        <v>-0.0037199999999999998</v>
      </c>
      <c r="C12" s="11">
        <v>-0.00329</v>
      </c>
      <c r="D12" s="11">
        <v>-0.0027</v>
      </c>
      <c r="E12" s="11">
        <v>-0.0019</v>
      </c>
    </row>
    <row r="13">
      <c r="A13" s="3">
        <v>43200.0</v>
      </c>
      <c r="B13" s="11">
        <v>-0.0037199999999999998</v>
      </c>
      <c r="C13" s="11">
        <v>-0.00329</v>
      </c>
      <c r="D13" s="11">
        <v>-0.00271</v>
      </c>
      <c r="E13" s="11">
        <v>-0.00191</v>
      </c>
    </row>
    <row r="14">
      <c r="A14" s="3">
        <v>43199.0</v>
      </c>
      <c r="B14" s="11">
        <v>-0.0037199999999999998</v>
      </c>
      <c r="C14" s="11">
        <v>-0.00329</v>
      </c>
      <c r="D14" s="11">
        <v>-0.0027</v>
      </c>
      <c r="E14" s="11">
        <v>-0.00191</v>
      </c>
    </row>
    <row r="15">
      <c r="A15" s="3">
        <v>43196.0</v>
      </c>
      <c r="B15" s="11">
        <v>-0.0037199999999999998</v>
      </c>
      <c r="C15" s="11">
        <v>-0.00329</v>
      </c>
      <c r="D15" s="11">
        <v>-0.0027</v>
      </c>
      <c r="E15" s="11">
        <v>-0.00191</v>
      </c>
    </row>
    <row r="16">
      <c r="A16" s="3">
        <v>43195.0</v>
      </c>
      <c r="B16" s="11">
        <v>-0.0037199999999999998</v>
      </c>
      <c r="C16" s="11">
        <v>-0.00328</v>
      </c>
      <c r="D16" s="11">
        <v>-0.00271</v>
      </c>
      <c r="E16" s="11">
        <v>-0.00191</v>
      </c>
    </row>
    <row r="17">
      <c r="A17" s="3">
        <v>43194.0</v>
      </c>
      <c r="B17" s="11">
        <v>-0.0037199999999999998</v>
      </c>
      <c r="C17" s="11">
        <v>-0.00328</v>
      </c>
      <c r="D17" s="11">
        <v>-0.00271</v>
      </c>
      <c r="E17" s="11">
        <v>-0.0019</v>
      </c>
    </row>
    <row r="18">
      <c r="A18" s="3">
        <v>43193.0</v>
      </c>
      <c r="B18" s="11">
        <v>-0.0037199999999999998</v>
      </c>
      <c r="C18" s="11">
        <v>-0.00328</v>
      </c>
      <c r="D18" s="11">
        <v>-0.0027</v>
      </c>
      <c r="E18" s="11">
        <v>-0.0019</v>
      </c>
    </row>
    <row r="19">
      <c r="A19" s="3">
        <v>43188.0</v>
      </c>
      <c r="B19" s="11">
        <v>-0.0037199999999999998</v>
      </c>
      <c r="C19" s="11">
        <v>-0.00328</v>
      </c>
      <c r="D19" s="11">
        <v>-0.00271</v>
      </c>
      <c r="E19" s="11">
        <v>-0.0019</v>
      </c>
    </row>
    <row r="20">
      <c r="A20" s="3">
        <v>43187.0</v>
      </c>
      <c r="B20" s="11">
        <v>-0.0037099999999999998</v>
      </c>
      <c r="C20" s="11">
        <v>-0.00329</v>
      </c>
      <c r="D20" s="11">
        <v>-0.00271</v>
      </c>
      <c r="E20" s="11">
        <v>-0.00191</v>
      </c>
    </row>
    <row r="21">
      <c r="A21" s="3">
        <v>43186.0</v>
      </c>
      <c r="B21" s="11">
        <v>-0.0037099999999999998</v>
      </c>
      <c r="C21" s="11">
        <v>-0.00329</v>
      </c>
      <c r="D21" s="11">
        <v>-0.00271</v>
      </c>
      <c r="E21" s="11">
        <v>-0.00191</v>
      </c>
    </row>
    <row r="22">
      <c r="A22" s="3">
        <v>43185.0</v>
      </c>
      <c r="B22" s="11">
        <v>-0.0037</v>
      </c>
      <c r="C22" s="11">
        <v>-0.00329</v>
      </c>
      <c r="D22" s="11">
        <v>-0.00271</v>
      </c>
      <c r="E22" s="11">
        <v>-0.00191</v>
      </c>
    </row>
    <row r="23">
      <c r="A23" s="3">
        <v>43182.0</v>
      </c>
      <c r="B23" s="11">
        <v>-0.0037</v>
      </c>
      <c r="C23" s="11">
        <v>-0.00329</v>
      </c>
      <c r="D23" s="11">
        <v>-0.0027</v>
      </c>
      <c r="E23" s="11">
        <v>-0.0019</v>
      </c>
    </row>
    <row r="24">
      <c r="A24" s="3">
        <v>43181.0</v>
      </c>
      <c r="B24" s="11">
        <v>-0.0037099999999999998</v>
      </c>
      <c r="C24" s="11">
        <v>-0.00329</v>
      </c>
      <c r="D24" s="11">
        <v>-0.00271</v>
      </c>
      <c r="E24" s="11">
        <v>-0.00191</v>
      </c>
    </row>
    <row r="25">
      <c r="A25" s="3">
        <v>43180.0</v>
      </c>
      <c r="B25" s="11">
        <v>-0.0037</v>
      </c>
      <c r="C25" s="11">
        <v>-0.00329</v>
      </c>
      <c r="D25" s="11">
        <v>-0.00272</v>
      </c>
      <c r="E25" s="11">
        <v>-0.00191</v>
      </c>
    </row>
    <row r="26">
      <c r="A26" s="3">
        <v>43179.0</v>
      </c>
      <c r="B26" s="11">
        <v>-0.0037</v>
      </c>
      <c r="C26" s="11">
        <v>-0.00329</v>
      </c>
      <c r="D26" s="11">
        <v>-0.0027300000000000002</v>
      </c>
      <c r="E26" s="11">
        <v>-0.00191</v>
      </c>
    </row>
    <row r="27">
      <c r="A27" s="3">
        <v>43178.0</v>
      </c>
      <c r="B27" s="11">
        <v>-0.0037</v>
      </c>
      <c r="C27" s="11">
        <v>-0.00329</v>
      </c>
      <c r="D27" s="11">
        <v>-0.00272</v>
      </c>
      <c r="E27" s="11">
        <v>-0.00192</v>
      </c>
    </row>
    <row r="28">
      <c r="A28" s="3">
        <v>43175.0</v>
      </c>
      <c r="B28" s="11">
        <v>-0.0037</v>
      </c>
      <c r="C28" s="11">
        <v>-0.00328</v>
      </c>
      <c r="D28" s="11">
        <v>-0.00272</v>
      </c>
      <c r="E28" s="11">
        <v>-0.00192</v>
      </c>
    </row>
    <row r="29">
      <c r="A29" s="3">
        <v>43174.0</v>
      </c>
      <c r="B29" s="11">
        <v>-0.0037099999999999998</v>
      </c>
      <c r="C29" s="11">
        <v>-0.00328</v>
      </c>
      <c r="D29" s="11">
        <v>-0.00271</v>
      </c>
      <c r="E29" s="11">
        <v>-0.00191</v>
      </c>
    </row>
    <row r="30">
      <c r="A30" s="3">
        <v>43173.0</v>
      </c>
      <c r="B30" s="11">
        <v>-0.0037099999999999998</v>
      </c>
      <c r="C30" s="11">
        <v>-0.0032700000000000003</v>
      </c>
      <c r="D30" s="11">
        <v>-0.00271</v>
      </c>
      <c r="E30" s="11">
        <v>-0.00191</v>
      </c>
    </row>
    <row r="31">
      <c r="A31" s="3">
        <v>43172.0</v>
      </c>
      <c r="B31" s="11">
        <v>-0.0037099999999999998</v>
      </c>
      <c r="C31" s="11">
        <v>-0.0032700000000000003</v>
      </c>
      <c r="D31" s="11">
        <v>-0.00271</v>
      </c>
      <c r="E31" s="11">
        <v>-0.00191</v>
      </c>
    </row>
    <row r="32">
      <c r="A32" s="3">
        <v>43171.0</v>
      </c>
      <c r="B32" s="11">
        <v>-0.0037</v>
      </c>
      <c r="C32" s="11">
        <v>-0.0032700000000000003</v>
      </c>
      <c r="D32" s="11">
        <v>-0.00271</v>
      </c>
      <c r="E32" s="11">
        <v>-0.00191</v>
      </c>
    </row>
    <row r="33">
      <c r="A33" s="3">
        <v>43168.0</v>
      </c>
      <c r="B33" s="11">
        <v>-0.0037099999999999998</v>
      </c>
      <c r="C33" s="11">
        <v>-0.0032700000000000003</v>
      </c>
      <c r="D33" s="11">
        <v>-0.00271</v>
      </c>
      <c r="E33" s="11">
        <v>-0.00191</v>
      </c>
    </row>
    <row r="34">
      <c r="A34" s="3">
        <v>43167.0</v>
      </c>
      <c r="B34" s="11">
        <v>-0.0037099999999999998</v>
      </c>
      <c r="C34" s="11">
        <v>-0.0032700000000000003</v>
      </c>
      <c r="D34" s="11">
        <v>-0.00272</v>
      </c>
      <c r="E34" s="11">
        <v>-0.00191</v>
      </c>
    </row>
    <row r="35">
      <c r="A35" s="3">
        <v>43166.0</v>
      </c>
      <c r="B35" s="11">
        <v>-0.0037099999999999998</v>
      </c>
      <c r="C35" s="11">
        <v>-0.0032700000000000003</v>
      </c>
      <c r="D35" s="11">
        <v>-0.00272</v>
      </c>
      <c r="E35" s="11">
        <v>-0.00191</v>
      </c>
    </row>
    <row r="36">
      <c r="A36" s="3">
        <v>43165.0</v>
      </c>
      <c r="B36" s="11">
        <v>-0.0037099999999999998</v>
      </c>
      <c r="C36" s="11">
        <v>-0.0032700000000000003</v>
      </c>
      <c r="D36" s="11">
        <v>-0.00271</v>
      </c>
      <c r="E36" s="11">
        <v>-0.00191</v>
      </c>
    </row>
    <row r="37">
      <c r="A37" s="3">
        <v>43164.0</v>
      </c>
      <c r="B37" s="11">
        <v>-0.0037</v>
      </c>
      <c r="C37" s="11">
        <v>-0.0032700000000000003</v>
      </c>
      <c r="D37" s="11">
        <v>-0.00272</v>
      </c>
      <c r="E37" s="11">
        <v>-0.00191</v>
      </c>
    </row>
    <row r="38">
      <c r="A38" s="3">
        <v>43161.0</v>
      </c>
      <c r="B38" s="11">
        <v>-0.0037</v>
      </c>
      <c r="C38" s="11">
        <v>-0.0032700000000000003</v>
      </c>
      <c r="D38" s="11">
        <v>-0.00271</v>
      </c>
      <c r="E38" s="11">
        <v>-0.00191</v>
      </c>
    </row>
    <row r="39">
      <c r="A39" s="3">
        <v>43160.0</v>
      </c>
      <c r="B39" s="11">
        <v>-0.0037099999999999998</v>
      </c>
      <c r="C39" s="11">
        <v>-0.0032700000000000003</v>
      </c>
      <c r="D39" s="11">
        <v>-0.00271</v>
      </c>
      <c r="E39" s="11">
        <v>-0.00191</v>
      </c>
    </row>
    <row r="40">
      <c r="A40" s="3">
        <v>43159.0</v>
      </c>
      <c r="B40" s="11">
        <v>-0.0037</v>
      </c>
      <c r="C40" s="11">
        <v>-0.0032700000000000003</v>
      </c>
      <c r="D40" s="11">
        <v>-0.0027</v>
      </c>
      <c r="E40" s="11">
        <v>-0.00191</v>
      </c>
    </row>
    <row r="41">
      <c r="A41" s="3">
        <v>43158.0</v>
      </c>
      <c r="B41" s="11">
        <v>-0.0037099999999999998</v>
      </c>
      <c r="C41" s="11">
        <v>-0.00328</v>
      </c>
      <c r="D41" s="11">
        <v>-0.00271</v>
      </c>
      <c r="E41" s="11">
        <v>-0.00191</v>
      </c>
    </row>
    <row r="42">
      <c r="A42" s="3">
        <v>43157.0</v>
      </c>
      <c r="B42" s="11">
        <v>-0.0037099999999999998</v>
      </c>
      <c r="C42" s="11">
        <v>-0.00328</v>
      </c>
      <c r="D42" s="11">
        <v>-0.00271</v>
      </c>
      <c r="E42" s="11">
        <v>-0.0019</v>
      </c>
    </row>
    <row r="43">
      <c r="A43" s="3">
        <v>43154.0</v>
      </c>
      <c r="B43" s="11">
        <v>-0.0037</v>
      </c>
      <c r="C43" s="11">
        <v>-0.00328</v>
      </c>
      <c r="D43" s="11">
        <v>-0.00271</v>
      </c>
      <c r="E43" s="11">
        <v>-0.00191</v>
      </c>
    </row>
    <row r="44">
      <c r="A44" s="3">
        <v>43153.0</v>
      </c>
      <c r="B44" s="11">
        <v>-0.0037</v>
      </c>
      <c r="C44" s="11">
        <v>-0.00328</v>
      </c>
      <c r="D44" s="11">
        <v>-0.0027</v>
      </c>
      <c r="E44" s="11">
        <v>-0.00191</v>
      </c>
    </row>
    <row r="45">
      <c r="A45" s="3">
        <v>43152.0</v>
      </c>
      <c r="B45" s="11">
        <v>-0.0037</v>
      </c>
      <c r="C45" s="11">
        <v>-0.00329</v>
      </c>
      <c r="D45" s="11">
        <v>-0.00271</v>
      </c>
      <c r="E45" s="11">
        <v>-0.00191</v>
      </c>
    </row>
    <row r="46">
      <c r="A46" s="3">
        <v>43151.0</v>
      </c>
      <c r="B46" s="11">
        <v>-0.0037</v>
      </c>
      <c r="C46" s="11">
        <v>-0.00329</v>
      </c>
      <c r="D46" s="11">
        <v>-0.0027300000000000002</v>
      </c>
      <c r="E46" s="11">
        <v>-0.00193</v>
      </c>
    </row>
    <row r="47">
      <c r="A47" s="3">
        <v>43150.0</v>
      </c>
      <c r="B47" s="11">
        <v>-0.00369</v>
      </c>
      <c r="C47" s="11">
        <v>-0.00329</v>
      </c>
      <c r="D47" s="11">
        <v>-0.0027400000000000002</v>
      </c>
      <c r="E47" s="11">
        <v>-0.00193</v>
      </c>
    </row>
    <row r="48">
      <c r="A48" s="3">
        <v>43147.0</v>
      </c>
      <c r="B48" s="11">
        <v>-0.00369</v>
      </c>
      <c r="C48" s="11">
        <v>-0.00328</v>
      </c>
      <c r="D48" s="11">
        <v>-0.0027400000000000002</v>
      </c>
      <c r="E48" s="11">
        <v>-0.00192</v>
      </c>
    </row>
    <row r="49">
      <c r="A49" s="3">
        <v>43146.0</v>
      </c>
      <c r="B49" s="11">
        <v>-0.00369</v>
      </c>
      <c r="C49" s="11">
        <v>-0.00328</v>
      </c>
      <c r="D49" s="11">
        <v>-0.0027600000000000003</v>
      </c>
      <c r="E49" s="11">
        <v>-0.00191</v>
      </c>
    </row>
    <row r="50">
      <c r="A50" s="3">
        <v>43145.0</v>
      </c>
      <c r="B50" s="11">
        <v>-0.00369</v>
      </c>
      <c r="C50" s="11">
        <v>-0.00328</v>
      </c>
      <c r="D50" s="11">
        <v>-0.0027600000000000003</v>
      </c>
      <c r="E50" s="11">
        <v>-0.00192</v>
      </c>
    </row>
    <row r="51">
      <c r="A51" s="3">
        <v>43144.0</v>
      </c>
      <c r="B51" s="11">
        <v>-0.00369</v>
      </c>
      <c r="C51" s="11">
        <v>-0.00329</v>
      </c>
      <c r="D51" s="11">
        <v>-0.0027600000000000003</v>
      </c>
      <c r="E51" s="11">
        <v>-0.00191</v>
      </c>
    </row>
    <row r="52">
      <c r="A52" s="3">
        <v>43143.0</v>
      </c>
      <c r="B52" s="11">
        <v>-0.00369</v>
      </c>
      <c r="C52" s="11">
        <v>-0.00329</v>
      </c>
      <c r="D52" s="11">
        <v>-0.0027800000000000004</v>
      </c>
      <c r="E52" s="11">
        <v>-0.00191</v>
      </c>
    </row>
    <row r="53">
      <c r="A53" s="3">
        <v>43140.0</v>
      </c>
      <c r="B53" s="11">
        <v>-0.0037</v>
      </c>
      <c r="C53" s="11">
        <v>-0.00329</v>
      </c>
      <c r="D53" s="11">
        <v>-0.0027800000000000004</v>
      </c>
      <c r="E53" s="11">
        <v>-0.00191</v>
      </c>
    </row>
    <row r="54">
      <c r="A54" s="3">
        <v>43139.0</v>
      </c>
      <c r="B54" s="11">
        <v>-0.00369</v>
      </c>
      <c r="C54" s="11">
        <v>-0.00329</v>
      </c>
      <c r="D54" s="11">
        <v>-0.0027800000000000004</v>
      </c>
      <c r="E54" s="11">
        <v>-0.00191</v>
      </c>
    </row>
    <row r="55">
      <c r="A55" s="3">
        <v>43138.0</v>
      </c>
      <c r="B55" s="11">
        <v>-0.00369</v>
      </c>
      <c r="C55" s="11">
        <v>-0.00329</v>
      </c>
      <c r="D55" s="11">
        <v>-0.0027800000000000004</v>
      </c>
      <c r="E55" s="11">
        <v>-0.00191</v>
      </c>
    </row>
    <row r="56">
      <c r="A56" s="3">
        <v>43137.0</v>
      </c>
      <c r="B56" s="11">
        <v>-0.00369</v>
      </c>
      <c r="C56" s="11">
        <v>-0.00329</v>
      </c>
      <c r="D56" s="11">
        <v>-0.0027900000000000004</v>
      </c>
      <c r="E56" s="11">
        <v>-0.00191</v>
      </c>
    </row>
    <row r="57">
      <c r="A57" s="3">
        <v>43136.0</v>
      </c>
      <c r="B57" s="11">
        <v>-0.00369</v>
      </c>
      <c r="C57" s="11">
        <v>-0.00329</v>
      </c>
      <c r="D57" s="11">
        <v>-0.0027800000000000004</v>
      </c>
      <c r="E57" s="11">
        <v>-0.00191</v>
      </c>
    </row>
    <row r="58">
      <c r="A58" s="3">
        <v>43133.0</v>
      </c>
      <c r="B58" s="11">
        <v>-0.0037099999999999998</v>
      </c>
      <c r="C58" s="11">
        <v>-0.00329</v>
      </c>
      <c r="D58" s="11">
        <v>-0.0027800000000000004</v>
      </c>
      <c r="E58" s="11">
        <v>-0.00191</v>
      </c>
    </row>
    <row r="59">
      <c r="A59" s="3">
        <v>43132.0</v>
      </c>
      <c r="B59" s="11">
        <v>-0.00369</v>
      </c>
      <c r="C59" s="11">
        <v>-0.00328</v>
      </c>
      <c r="D59" s="11">
        <v>-0.0027800000000000004</v>
      </c>
      <c r="E59" s="11">
        <v>-0.00191</v>
      </c>
    </row>
    <row r="60">
      <c r="A60" s="3">
        <v>43131.0</v>
      </c>
      <c r="B60" s="11">
        <v>-0.00369</v>
      </c>
      <c r="C60" s="11">
        <v>-0.00328</v>
      </c>
      <c r="D60" s="11">
        <v>-0.0027900000000000004</v>
      </c>
      <c r="E60" s="11">
        <v>-0.00191</v>
      </c>
    </row>
    <row r="61">
      <c r="A61" s="3">
        <v>43130.0</v>
      </c>
      <c r="B61" s="11">
        <v>-0.00369</v>
      </c>
      <c r="C61" s="11">
        <v>-0.00328</v>
      </c>
      <c r="D61" s="11">
        <v>-0.0027800000000000004</v>
      </c>
      <c r="E61" s="11">
        <v>-0.00191</v>
      </c>
    </row>
    <row r="62">
      <c r="A62" s="3">
        <v>43129.0</v>
      </c>
      <c r="B62" s="11">
        <v>-0.00369</v>
      </c>
      <c r="C62" s="11">
        <v>-0.00328</v>
      </c>
      <c r="D62" s="11">
        <v>-0.0027800000000000004</v>
      </c>
      <c r="E62" s="11">
        <v>-0.00191</v>
      </c>
    </row>
    <row r="63">
      <c r="A63" s="3">
        <v>43126.0</v>
      </c>
      <c r="B63" s="11">
        <v>-0.00369</v>
      </c>
      <c r="C63" s="11">
        <v>-0.00328</v>
      </c>
      <c r="D63" s="11">
        <v>-0.0027800000000000004</v>
      </c>
      <c r="E63" s="11">
        <v>-0.00191</v>
      </c>
    </row>
    <row r="64">
      <c r="A64" s="3">
        <v>43125.0</v>
      </c>
      <c r="B64" s="11">
        <v>-0.00369</v>
      </c>
      <c r="C64" s="11">
        <v>-0.0032700000000000003</v>
      </c>
      <c r="D64" s="11">
        <v>-0.0027800000000000004</v>
      </c>
      <c r="E64" s="11">
        <v>-0.00191</v>
      </c>
    </row>
    <row r="65">
      <c r="A65" s="3">
        <v>43124.0</v>
      </c>
      <c r="B65" s="11">
        <v>-0.00369</v>
      </c>
      <c r="C65" s="11">
        <v>-0.00328</v>
      </c>
      <c r="D65" s="11">
        <v>-0.0027800000000000004</v>
      </c>
      <c r="E65" s="11">
        <v>-0.00192</v>
      </c>
    </row>
    <row r="66">
      <c r="A66" s="3">
        <v>43123.0</v>
      </c>
      <c r="B66" s="11">
        <v>-0.00369</v>
      </c>
      <c r="C66" s="11">
        <v>-0.00328</v>
      </c>
      <c r="D66" s="11">
        <v>-0.0027600000000000003</v>
      </c>
      <c r="E66" s="11">
        <v>-0.00191</v>
      </c>
    </row>
    <row r="67">
      <c r="A67" s="3">
        <v>43122.0</v>
      </c>
      <c r="B67" s="11">
        <v>-0.00369</v>
      </c>
      <c r="C67" s="11">
        <v>-0.00328</v>
      </c>
      <c r="D67" s="11">
        <v>-0.0027700000000000003</v>
      </c>
      <c r="E67" s="11">
        <v>-0.00191</v>
      </c>
    </row>
    <row r="68">
      <c r="A68" s="3">
        <v>43119.0</v>
      </c>
      <c r="B68" s="11">
        <v>-0.00369</v>
      </c>
      <c r="C68" s="11">
        <v>-0.00328</v>
      </c>
      <c r="D68" s="11">
        <v>-0.0027600000000000003</v>
      </c>
      <c r="E68" s="11">
        <v>-0.00191</v>
      </c>
    </row>
    <row r="69">
      <c r="A69" s="3">
        <v>43118.0</v>
      </c>
      <c r="B69" s="11">
        <v>-0.00369</v>
      </c>
      <c r="C69" s="11">
        <v>-0.00328</v>
      </c>
      <c r="D69" s="11">
        <v>-0.0027500000000000003</v>
      </c>
      <c r="E69" s="11">
        <v>-0.00191</v>
      </c>
    </row>
    <row r="70">
      <c r="A70" s="3">
        <v>43117.0</v>
      </c>
      <c r="B70" s="11">
        <v>-0.00369</v>
      </c>
      <c r="C70" s="11">
        <v>-0.00328</v>
      </c>
      <c r="D70" s="11">
        <v>-0.0027400000000000002</v>
      </c>
      <c r="E70" s="11">
        <v>-0.0018599999999999999</v>
      </c>
    </row>
    <row r="71">
      <c r="A71" s="3">
        <v>43116.0</v>
      </c>
      <c r="B71" s="11">
        <v>-0.00369</v>
      </c>
      <c r="C71" s="11">
        <v>-0.00329</v>
      </c>
      <c r="D71" s="11">
        <v>-0.00272</v>
      </c>
      <c r="E71" s="11">
        <v>-0.0018599999999999999</v>
      </c>
    </row>
    <row r="72">
      <c r="A72" s="3">
        <v>43115.0</v>
      </c>
      <c r="B72" s="11">
        <v>-0.00369</v>
      </c>
      <c r="C72" s="11">
        <v>-0.00329</v>
      </c>
      <c r="D72" s="11">
        <v>-0.0027400000000000002</v>
      </c>
      <c r="E72" s="11">
        <v>-0.00187</v>
      </c>
    </row>
    <row r="73">
      <c r="A73" s="3">
        <v>43112.0</v>
      </c>
      <c r="B73" s="11">
        <v>-0.00369</v>
      </c>
      <c r="C73" s="11">
        <v>-0.00329</v>
      </c>
      <c r="D73" s="11">
        <v>-0.00271</v>
      </c>
      <c r="E73" s="11">
        <v>-0.0018599999999999999</v>
      </c>
    </row>
    <row r="74">
      <c r="A74" s="3">
        <v>43111.0</v>
      </c>
      <c r="B74" s="11">
        <v>-0.00369</v>
      </c>
      <c r="C74" s="11">
        <v>-0.00329</v>
      </c>
      <c r="D74" s="11">
        <v>-0.00271</v>
      </c>
      <c r="E74" s="11">
        <v>-0.00188</v>
      </c>
    </row>
    <row r="75">
      <c r="A75" s="3">
        <v>43110.0</v>
      </c>
      <c r="B75" s="11">
        <v>-0.00369</v>
      </c>
      <c r="C75" s="11">
        <v>-0.00329</v>
      </c>
      <c r="D75" s="11">
        <v>-0.00271</v>
      </c>
      <c r="E75" s="11">
        <v>-0.0018599999999999999</v>
      </c>
    </row>
    <row r="76">
      <c r="A76" s="3">
        <v>43109.0</v>
      </c>
      <c r="B76" s="11">
        <v>-0.00369</v>
      </c>
      <c r="C76" s="11">
        <v>-0.00329</v>
      </c>
      <c r="D76" s="11">
        <v>-0.00271</v>
      </c>
      <c r="E76" s="11">
        <v>-0.00187</v>
      </c>
    </row>
    <row r="77">
      <c r="A77" s="3">
        <v>43108.0</v>
      </c>
      <c r="B77" s="11">
        <v>-0.00368</v>
      </c>
      <c r="C77" s="11">
        <v>-0.00329</v>
      </c>
      <c r="D77" s="11">
        <v>-0.00271</v>
      </c>
      <c r="E77" s="11">
        <v>-0.00187</v>
      </c>
    </row>
    <row r="78">
      <c r="A78" s="3">
        <v>43105.0</v>
      </c>
      <c r="B78" s="11">
        <v>-0.00369</v>
      </c>
      <c r="C78" s="11">
        <v>-0.00329</v>
      </c>
      <c r="D78" s="11">
        <v>-0.00271</v>
      </c>
      <c r="E78" s="11">
        <v>-0.00187</v>
      </c>
    </row>
    <row r="79">
      <c r="A79" s="3">
        <v>43104.0</v>
      </c>
      <c r="B79" s="11">
        <v>-0.00368</v>
      </c>
      <c r="C79" s="11">
        <v>-0.00329</v>
      </c>
      <c r="D79" s="11">
        <v>-0.00271</v>
      </c>
      <c r="E79" s="11">
        <v>-0.00187</v>
      </c>
    </row>
    <row r="80">
      <c r="A80" s="3">
        <v>43103.0</v>
      </c>
      <c r="B80" s="11">
        <v>-0.00368</v>
      </c>
      <c r="C80" s="11">
        <v>-0.00329</v>
      </c>
      <c r="D80" s="11">
        <v>-0.00271</v>
      </c>
      <c r="E80" s="11">
        <v>-0.00187</v>
      </c>
    </row>
    <row r="81">
      <c r="A81" s="3">
        <v>43102.0</v>
      </c>
      <c r="B81" s="11">
        <v>-0.00368</v>
      </c>
      <c r="C81" s="11">
        <v>-0.00329</v>
      </c>
      <c r="D81" s="11">
        <v>-0.00271</v>
      </c>
      <c r="E81" s="11">
        <v>-0.0018599999999999999</v>
      </c>
    </row>
    <row r="82">
      <c r="A82" s="3">
        <v>43098.0</v>
      </c>
      <c r="B82" s="11">
        <v>-0.00368</v>
      </c>
      <c r="C82" s="11">
        <v>-0.00329</v>
      </c>
      <c r="D82" s="11">
        <v>-0.00271</v>
      </c>
      <c r="E82" s="11">
        <v>-0.0018599999999999999</v>
      </c>
    </row>
    <row r="83">
      <c r="A83" s="3">
        <v>43097.0</v>
      </c>
      <c r="B83" s="11">
        <v>-0.00367</v>
      </c>
      <c r="C83" s="11">
        <v>-0.00329</v>
      </c>
      <c r="D83" s="11">
        <v>-0.00271</v>
      </c>
      <c r="E83" s="11">
        <v>-0.0018599999999999999</v>
      </c>
    </row>
    <row r="84">
      <c r="A84" s="3">
        <v>43096.0</v>
      </c>
      <c r="B84" s="11">
        <v>-0.00368</v>
      </c>
      <c r="C84" s="11">
        <v>-0.00329</v>
      </c>
      <c r="D84" s="11">
        <v>-0.00271</v>
      </c>
      <c r="E84" s="11">
        <v>-0.0018599999999999999</v>
      </c>
    </row>
    <row r="85">
      <c r="A85" s="3">
        <v>43091.0</v>
      </c>
      <c r="B85" s="11">
        <v>-0.00367</v>
      </c>
      <c r="C85" s="11">
        <v>-0.00329</v>
      </c>
      <c r="D85" s="11">
        <v>-0.00271</v>
      </c>
      <c r="E85" s="11">
        <v>-0.0018599999999999999</v>
      </c>
    </row>
    <row r="86">
      <c r="A86" s="3">
        <v>43090.0</v>
      </c>
      <c r="B86" s="11">
        <v>-0.00369</v>
      </c>
      <c r="C86" s="11">
        <v>-0.00329</v>
      </c>
      <c r="D86" s="11">
        <v>-0.00271</v>
      </c>
      <c r="E86" s="11">
        <v>-0.0018599999999999999</v>
      </c>
    </row>
    <row r="87">
      <c r="A87" s="3">
        <v>43089.0</v>
      </c>
      <c r="B87" s="11">
        <v>-0.0037</v>
      </c>
      <c r="C87" s="11">
        <v>-0.00329</v>
      </c>
      <c r="D87" s="11">
        <v>-0.00271</v>
      </c>
      <c r="E87" s="11">
        <v>-0.00188</v>
      </c>
    </row>
    <row r="88">
      <c r="A88" s="3">
        <v>43088.0</v>
      </c>
      <c r="B88" s="11">
        <v>-0.0037</v>
      </c>
      <c r="C88" s="11">
        <v>-0.00329</v>
      </c>
      <c r="D88" s="11">
        <v>-0.0027400000000000002</v>
      </c>
      <c r="E88" s="11">
        <v>-0.00194</v>
      </c>
    </row>
    <row r="89">
      <c r="A89" s="3">
        <v>43087.0</v>
      </c>
      <c r="B89" s="11">
        <v>-0.0037</v>
      </c>
      <c r="C89" s="11">
        <v>-0.00329</v>
      </c>
      <c r="D89" s="11">
        <v>-0.00271</v>
      </c>
      <c r="E89" s="11">
        <v>-0.00194</v>
      </c>
    </row>
    <row r="90">
      <c r="A90" s="3">
        <v>43084.0</v>
      </c>
      <c r="B90" s="11">
        <v>-0.0037099999999999998</v>
      </c>
      <c r="C90" s="11">
        <v>-0.00329</v>
      </c>
      <c r="D90" s="11">
        <v>-0.00272</v>
      </c>
      <c r="E90" s="11">
        <v>-0.00193</v>
      </c>
    </row>
    <row r="91">
      <c r="A91" s="3">
        <v>43083.0</v>
      </c>
      <c r="B91" s="11">
        <v>-0.0037099999999999998</v>
      </c>
      <c r="C91" s="11">
        <v>-0.00331</v>
      </c>
      <c r="D91" s="11">
        <v>-0.00271</v>
      </c>
      <c r="E91" s="11">
        <v>-0.00192</v>
      </c>
    </row>
    <row r="92">
      <c r="A92" s="3">
        <v>43082.0</v>
      </c>
      <c r="B92" s="11">
        <v>-0.0037099999999999998</v>
      </c>
      <c r="C92" s="11">
        <v>-0.00329</v>
      </c>
      <c r="D92" s="11">
        <v>-0.0027300000000000002</v>
      </c>
      <c r="E92" s="11">
        <v>-0.00191</v>
      </c>
    </row>
    <row r="93">
      <c r="A93" s="3">
        <v>43081.0</v>
      </c>
      <c r="B93" s="11">
        <v>-0.00369</v>
      </c>
      <c r="C93" s="11">
        <v>-0.0032700000000000003</v>
      </c>
      <c r="D93" s="11">
        <v>-0.00271</v>
      </c>
      <c r="E93" s="11">
        <v>-0.00191</v>
      </c>
    </row>
    <row r="94">
      <c r="A94" s="3">
        <v>43080.0</v>
      </c>
      <c r="B94" s="11">
        <v>-0.00369</v>
      </c>
      <c r="C94" s="11">
        <v>-0.0032700000000000003</v>
      </c>
      <c r="D94" s="11">
        <v>-0.00271</v>
      </c>
      <c r="E94" s="11">
        <v>-0.00191</v>
      </c>
    </row>
    <row r="95">
      <c r="A95" s="3">
        <v>43077.0</v>
      </c>
      <c r="B95" s="11">
        <v>-0.00369</v>
      </c>
      <c r="C95" s="11">
        <v>-0.0032600000000000003</v>
      </c>
      <c r="D95" s="11">
        <v>-0.00271</v>
      </c>
      <c r="E95" s="11">
        <v>-0.00191</v>
      </c>
    </row>
    <row r="96">
      <c r="A96" s="3">
        <v>43076.0</v>
      </c>
      <c r="B96" s="11">
        <v>-0.00366</v>
      </c>
      <c r="C96" s="11">
        <v>-0.0032500000000000003</v>
      </c>
      <c r="D96" s="11">
        <v>-0.00271</v>
      </c>
      <c r="E96" s="11">
        <v>-0.0019</v>
      </c>
    </row>
    <row r="97">
      <c r="A97" s="3">
        <v>43075.0</v>
      </c>
      <c r="B97" s="11">
        <v>-0.00367</v>
      </c>
      <c r="C97" s="11">
        <v>-0.0032600000000000003</v>
      </c>
      <c r="D97" s="11">
        <v>-0.00271</v>
      </c>
      <c r="E97" s="11">
        <v>-0.00191</v>
      </c>
    </row>
    <row r="98">
      <c r="A98" s="3">
        <v>43074.0</v>
      </c>
      <c r="B98" s="11">
        <v>-0.00367</v>
      </c>
      <c r="C98" s="11">
        <v>-0.0032600000000000003</v>
      </c>
      <c r="D98" s="11">
        <v>-0.00271</v>
      </c>
      <c r="E98" s="11">
        <v>-0.00191</v>
      </c>
    </row>
    <row r="99">
      <c r="A99" s="3">
        <v>43073.0</v>
      </c>
      <c r="B99" s="11">
        <v>-0.00368</v>
      </c>
      <c r="C99" s="11">
        <v>-0.0032600000000000003</v>
      </c>
      <c r="D99" s="11">
        <v>-0.00272</v>
      </c>
      <c r="E99" s="11">
        <v>-0.0019</v>
      </c>
    </row>
    <row r="100">
      <c r="A100" s="3">
        <v>43070.0</v>
      </c>
      <c r="B100" s="11">
        <v>-0.00369</v>
      </c>
      <c r="C100" s="11">
        <v>-0.0032600000000000003</v>
      </c>
      <c r="D100" s="11">
        <v>-0.00271</v>
      </c>
      <c r="E100" s="11">
        <v>-0.00188</v>
      </c>
    </row>
    <row r="101">
      <c r="A101" s="3">
        <v>43069.0</v>
      </c>
      <c r="B101" s="11">
        <v>-0.0037099999999999998</v>
      </c>
      <c r="C101" s="11">
        <v>-0.00329</v>
      </c>
      <c r="D101" s="11">
        <v>-0.00272</v>
      </c>
      <c r="E101" s="11">
        <v>-0.00188</v>
      </c>
    </row>
    <row r="102">
      <c r="A102" s="3">
        <v>43068.0</v>
      </c>
      <c r="B102" s="11">
        <v>-0.0037099999999999998</v>
      </c>
      <c r="C102" s="11">
        <v>-0.00329</v>
      </c>
      <c r="D102" s="11">
        <v>-0.0027400000000000002</v>
      </c>
      <c r="E102" s="11">
        <v>-0.00187</v>
      </c>
    </row>
    <row r="103">
      <c r="A103" s="3">
        <v>43067.0</v>
      </c>
      <c r="B103" s="11">
        <v>-0.0037099999999999998</v>
      </c>
      <c r="C103" s="11">
        <v>-0.00329</v>
      </c>
      <c r="D103" s="11">
        <v>-0.0027400000000000002</v>
      </c>
      <c r="E103" s="11">
        <v>-0.0018599999999999999</v>
      </c>
    </row>
    <row r="104">
      <c r="A104" s="3">
        <v>43066.0</v>
      </c>
      <c r="B104" s="11">
        <v>-0.0037199999999999998</v>
      </c>
      <c r="C104" s="11">
        <v>-0.00329</v>
      </c>
      <c r="D104" s="11">
        <v>-0.00272</v>
      </c>
      <c r="E104" s="11">
        <v>-0.0018599999999999999</v>
      </c>
    </row>
    <row r="105">
      <c r="A105" s="3">
        <v>43063.0</v>
      </c>
      <c r="B105" s="11">
        <v>-0.0037199999999999998</v>
      </c>
      <c r="C105" s="11">
        <v>-0.00329</v>
      </c>
      <c r="D105" s="11">
        <v>-0.00272</v>
      </c>
      <c r="E105" s="11">
        <v>-0.0018599999999999999</v>
      </c>
    </row>
    <row r="106">
      <c r="A106" s="3">
        <v>43062.0</v>
      </c>
      <c r="B106" s="11">
        <v>-0.0037199999999999998</v>
      </c>
      <c r="C106" s="11">
        <v>-0.00329</v>
      </c>
      <c r="D106" s="11">
        <v>-0.00271</v>
      </c>
      <c r="E106" s="11">
        <v>-0.0018599999999999999</v>
      </c>
    </row>
    <row r="107">
      <c r="A107" s="3">
        <v>43061.0</v>
      </c>
      <c r="B107" s="11">
        <v>-0.0037099999999999998</v>
      </c>
      <c r="C107" s="11">
        <v>-0.00329</v>
      </c>
      <c r="D107" s="11">
        <v>-0.00272</v>
      </c>
      <c r="E107" s="11">
        <v>-0.0018599999999999999</v>
      </c>
    </row>
    <row r="108">
      <c r="A108" s="3">
        <v>43060.0</v>
      </c>
      <c r="B108" s="11">
        <v>-0.0037199999999999998</v>
      </c>
      <c r="C108" s="11">
        <v>-0.00329</v>
      </c>
      <c r="D108" s="11">
        <v>-0.0027300000000000002</v>
      </c>
      <c r="E108" s="11">
        <v>-0.0018599999999999999</v>
      </c>
    </row>
    <row r="109">
      <c r="A109" s="3">
        <v>43059.0</v>
      </c>
      <c r="B109" s="11">
        <v>-0.0037199999999999998</v>
      </c>
      <c r="C109" s="11">
        <v>-0.00329</v>
      </c>
      <c r="D109" s="11">
        <v>-0.0027400000000000002</v>
      </c>
      <c r="E109" s="11">
        <v>-0.00187</v>
      </c>
    </row>
    <row r="110">
      <c r="A110" s="3">
        <v>43056.0</v>
      </c>
      <c r="B110" s="11">
        <v>-0.00373</v>
      </c>
      <c r="C110" s="11">
        <v>-0.00329</v>
      </c>
      <c r="D110" s="11">
        <v>-0.0027400000000000002</v>
      </c>
      <c r="E110" s="11">
        <v>-0.00192</v>
      </c>
    </row>
    <row r="111">
      <c r="A111" s="3">
        <v>43055.0</v>
      </c>
      <c r="B111" s="11">
        <v>-0.0037199999999999998</v>
      </c>
      <c r="C111" s="11">
        <v>-0.00329</v>
      </c>
      <c r="D111" s="11">
        <v>-0.0027500000000000003</v>
      </c>
      <c r="E111" s="11">
        <v>-0.00192</v>
      </c>
    </row>
    <row r="112">
      <c r="A112" s="3">
        <v>43054.0</v>
      </c>
      <c r="B112" s="11">
        <v>-0.0037199999999999998</v>
      </c>
      <c r="C112" s="11">
        <v>-0.00329</v>
      </c>
      <c r="D112" s="11">
        <v>-0.0027500000000000003</v>
      </c>
      <c r="E112" s="11">
        <v>-0.00192</v>
      </c>
    </row>
    <row r="113">
      <c r="A113" s="3">
        <v>43053.0</v>
      </c>
      <c r="B113" s="11">
        <v>-0.0037199999999999998</v>
      </c>
      <c r="C113" s="11">
        <v>-0.00329</v>
      </c>
      <c r="D113" s="11">
        <v>-0.0027500000000000003</v>
      </c>
      <c r="E113" s="11">
        <v>-0.00191</v>
      </c>
    </row>
    <row r="114">
      <c r="A114" s="3">
        <v>43052.0</v>
      </c>
      <c r="B114" s="11">
        <v>-0.0037099999999999998</v>
      </c>
      <c r="C114" s="11">
        <v>-0.00329</v>
      </c>
      <c r="D114" s="11">
        <v>-0.0027500000000000003</v>
      </c>
      <c r="E114" s="11">
        <v>-0.00191</v>
      </c>
    </row>
    <row r="115">
      <c r="A115" s="3">
        <v>43049.0</v>
      </c>
      <c r="B115" s="11">
        <v>-0.0037099999999999998</v>
      </c>
      <c r="C115" s="11">
        <v>-0.00329</v>
      </c>
      <c r="D115" s="11">
        <v>-0.0027500000000000003</v>
      </c>
      <c r="E115" s="11">
        <v>-0.00191</v>
      </c>
    </row>
    <row r="116">
      <c r="A116" s="3">
        <v>43048.0</v>
      </c>
      <c r="B116" s="11">
        <v>-0.0037099999999999998</v>
      </c>
      <c r="C116" s="11">
        <v>-0.00329</v>
      </c>
      <c r="D116" s="11">
        <v>-0.0027600000000000003</v>
      </c>
      <c r="E116" s="11">
        <v>-0.00191</v>
      </c>
    </row>
    <row r="117">
      <c r="A117" s="3">
        <v>43047.0</v>
      </c>
      <c r="B117" s="11">
        <v>-0.0037199999999999998</v>
      </c>
      <c r="C117" s="11">
        <v>-0.00329</v>
      </c>
      <c r="D117" s="11">
        <v>-0.0027600000000000003</v>
      </c>
      <c r="E117" s="11">
        <v>-0.00191</v>
      </c>
    </row>
    <row r="118">
      <c r="A118" s="3">
        <v>43046.0</v>
      </c>
      <c r="B118" s="11">
        <v>-0.0037199999999999998</v>
      </c>
      <c r="C118" s="11">
        <v>-0.00329</v>
      </c>
      <c r="D118" s="11">
        <v>-0.0027500000000000003</v>
      </c>
      <c r="E118" s="11">
        <v>-0.0019</v>
      </c>
    </row>
    <row r="119">
      <c r="A119" s="3">
        <v>43045.0</v>
      </c>
      <c r="B119" s="11">
        <v>-0.0037099999999999998</v>
      </c>
      <c r="C119" s="11">
        <v>-0.00329</v>
      </c>
      <c r="D119" s="11">
        <v>-0.0027600000000000003</v>
      </c>
      <c r="E119" s="11">
        <v>-0.00191</v>
      </c>
    </row>
    <row r="120">
      <c r="A120" s="3">
        <v>43042.0</v>
      </c>
      <c r="B120" s="11">
        <v>-0.0037199999999999998</v>
      </c>
      <c r="C120" s="11">
        <v>-0.00329</v>
      </c>
      <c r="D120" s="11">
        <v>-0.0027600000000000003</v>
      </c>
      <c r="E120" s="11">
        <v>-0.00191</v>
      </c>
    </row>
    <row r="121">
      <c r="A121" s="3">
        <v>43041.0</v>
      </c>
      <c r="B121" s="11">
        <v>-0.0037199999999999998</v>
      </c>
      <c r="C121" s="11">
        <v>-0.00329</v>
      </c>
      <c r="D121" s="11">
        <v>-0.0027600000000000003</v>
      </c>
      <c r="E121" s="11">
        <v>-0.00189</v>
      </c>
    </row>
    <row r="122">
      <c r="A122" s="3">
        <v>43040.0</v>
      </c>
      <c r="B122" s="11">
        <v>-0.0037099999999999998</v>
      </c>
      <c r="C122" s="11">
        <v>-0.00329</v>
      </c>
      <c r="D122" s="11">
        <v>-0.0027600000000000003</v>
      </c>
      <c r="E122" s="11">
        <v>-0.00187</v>
      </c>
    </row>
    <row r="123">
      <c r="A123" s="3">
        <v>43039.0</v>
      </c>
      <c r="B123" s="11">
        <v>-0.0037199999999999998</v>
      </c>
      <c r="C123" s="11">
        <v>-0.00331</v>
      </c>
      <c r="D123" s="11">
        <v>-0.0027600000000000003</v>
      </c>
      <c r="E123" s="11">
        <v>-0.00185</v>
      </c>
    </row>
    <row r="124">
      <c r="A124" s="3">
        <v>43038.0</v>
      </c>
      <c r="B124" s="11">
        <v>-0.0037199999999999998</v>
      </c>
      <c r="C124" s="11">
        <v>-0.00331</v>
      </c>
      <c r="D124" s="11">
        <v>-0.0027600000000000003</v>
      </c>
      <c r="E124" s="11">
        <v>-0.00185</v>
      </c>
    </row>
    <row r="125">
      <c r="A125" s="3">
        <v>43035.0</v>
      </c>
      <c r="B125" s="11">
        <v>-0.0037199999999999998</v>
      </c>
      <c r="C125" s="11">
        <v>-0.00331</v>
      </c>
      <c r="D125" s="11">
        <v>-0.0027500000000000003</v>
      </c>
      <c r="E125" s="11">
        <v>-0.00184</v>
      </c>
    </row>
    <row r="126">
      <c r="A126" s="3">
        <v>43034.0</v>
      </c>
      <c r="B126" s="11">
        <v>-0.0037099999999999998</v>
      </c>
      <c r="C126" s="11">
        <v>-0.00331</v>
      </c>
      <c r="D126" s="11">
        <v>-0.0027400000000000002</v>
      </c>
      <c r="E126" s="11">
        <v>-0.00183</v>
      </c>
    </row>
    <row r="127">
      <c r="A127" s="3">
        <v>43033.0</v>
      </c>
      <c r="B127" s="11">
        <v>-0.00373</v>
      </c>
      <c r="C127" s="11">
        <v>-0.00331</v>
      </c>
      <c r="D127" s="11">
        <v>-0.0027400000000000002</v>
      </c>
      <c r="E127" s="11">
        <v>-0.00183</v>
      </c>
    </row>
    <row r="128">
      <c r="A128" s="3">
        <v>43032.0</v>
      </c>
      <c r="B128" s="11">
        <v>-0.0037199999999999998</v>
      </c>
      <c r="C128" s="11">
        <v>-0.0033</v>
      </c>
      <c r="D128" s="11">
        <v>-0.0027400000000000002</v>
      </c>
      <c r="E128" s="11">
        <v>-0.00183</v>
      </c>
    </row>
    <row r="129">
      <c r="A129" s="3">
        <v>43031.0</v>
      </c>
      <c r="B129" s="11">
        <v>-0.00373</v>
      </c>
      <c r="C129" s="11">
        <v>-0.00329</v>
      </c>
      <c r="D129" s="11">
        <v>-0.0027400000000000002</v>
      </c>
      <c r="E129" s="11">
        <v>-0.00183</v>
      </c>
    </row>
    <row r="130">
      <c r="A130" s="3">
        <v>43028.0</v>
      </c>
      <c r="B130" s="11">
        <v>-0.00373</v>
      </c>
      <c r="C130" s="11">
        <v>-0.00329</v>
      </c>
      <c r="D130" s="11">
        <v>-0.0027400000000000002</v>
      </c>
      <c r="E130" s="11">
        <v>-0.00183</v>
      </c>
    </row>
    <row r="131">
      <c r="A131" s="3">
        <v>43027.0</v>
      </c>
      <c r="B131" s="11">
        <v>-0.00373</v>
      </c>
      <c r="C131" s="11">
        <v>-0.00329</v>
      </c>
      <c r="D131" s="11">
        <v>-0.0027400000000000002</v>
      </c>
      <c r="E131" s="11">
        <v>-0.00183</v>
      </c>
    </row>
    <row r="132">
      <c r="A132" s="3">
        <v>43026.0</v>
      </c>
      <c r="B132" s="11">
        <v>-0.00373</v>
      </c>
      <c r="C132" s="11">
        <v>-0.00329</v>
      </c>
      <c r="D132" s="11">
        <v>-0.0027400000000000002</v>
      </c>
      <c r="E132" s="11">
        <v>-0.00183</v>
      </c>
    </row>
    <row r="133">
      <c r="A133" s="3">
        <v>43025.0</v>
      </c>
      <c r="B133" s="11">
        <v>-0.00373</v>
      </c>
      <c r="C133" s="11">
        <v>-0.00329</v>
      </c>
      <c r="D133" s="11">
        <v>-0.0027400000000000002</v>
      </c>
      <c r="E133" s="11">
        <v>-0.00183</v>
      </c>
    </row>
    <row r="134">
      <c r="A134" s="3">
        <v>43024.0</v>
      </c>
      <c r="B134" s="11">
        <v>-0.0037099999999999998</v>
      </c>
      <c r="C134" s="11">
        <v>-0.00329</v>
      </c>
      <c r="D134" s="11">
        <v>-0.0027400000000000002</v>
      </c>
      <c r="E134" s="11">
        <v>-0.00182</v>
      </c>
    </row>
    <row r="135">
      <c r="A135" s="3">
        <v>43021.0</v>
      </c>
      <c r="B135" s="11">
        <v>-0.0037099999999999998</v>
      </c>
      <c r="C135" s="11">
        <v>-0.00329</v>
      </c>
      <c r="D135" s="11">
        <v>-0.0027400000000000002</v>
      </c>
      <c r="E135" s="11">
        <v>-0.00181</v>
      </c>
    </row>
    <row r="136">
      <c r="A136" s="3">
        <v>43020.0</v>
      </c>
      <c r="B136" s="11">
        <v>-0.0037199999999999998</v>
      </c>
      <c r="C136" s="11">
        <v>-0.00329</v>
      </c>
      <c r="D136" s="11">
        <v>-0.0027400000000000002</v>
      </c>
      <c r="E136" s="11">
        <v>-0.00181</v>
      </c>
    </row>
    <row r="137">
      <c r="A137" s="3">
        <v>43019.0</v>
      </c>
      <c r="B137" s="11">
        <v>-0.0037199999999999998</v>
      </c>
      <c r="C137" s="11">
        <v>-0.00329</v>
      </c>
      <c r="D137" s="11">
        <v>-0.0027400000000000002</v>
      </c>
      <c r="E137" s="11">
        <v>-0.00181</v>
      </c>
    </row>
    <row r="138">
      <c r="A138" s="3">
        <v>43018.0</v>
      </c>
      <c r="B138" s="11">
        <v>-0.0037099999999999998</v>
      </c>
      <c r="C138" s="11">
        <v>-0.00329</v>
      </c>
      <c r="D138" s="11">
        <v>-0.0027400000000000002</v>
      </c>
      <c r="E138" s="11">
        <v>-0.00181</v>
      </c>
    </row>
    <row r="139">
      <c r="A139" s="3">
        <v>43017.0</v>
      </c>
      <c r="B139" s="11">
        <v>-0.00373</v>
      </c>
      <c r="C139" s="11">
        <v>-0.00329</v>
      </c>
      <c r="D139" s="11">
        <v>-0.0027400000000000002</v>
      </c>
      <c r="E139" s="11">
        <v>-0.0017599999999999998</v>
      </c>
    </row>
    <row r="140">
      <c r="A140" s="3">
        <v>43014.0</v>
      </c>
      <c r="B140" s="11">
        <v>-0.00373</v>
      </c>
      <c r="C140" s="11">
        <v>-0.00329</v>
      </c>
      <c r="D140" s="11">
        <v>-0.0027300000000000002</v>
      </c>
      <c r="E140" s="11">
        <v>-0.0017299999999999998</v>
      </c>
    </row>
    <row r="141">
      <c r="A141" s="3">
        <v>43013.0</v>
      </c>
      <c r="B141" s="11">
        <v>-0.0037199999999999998</v>
      </c>
      <c r="C141" s="11">
        <v>-0.00329</v>
      </c>
      <c r="D141" s="11">
        <v>-0.00272</v>
      </c>
      <c r="E141" s="11">
        <v>-0.0017100000000000001</v>
      </c>
    </row>
    <row r="142">
      <c r="A142" s="3">
        <v>43012.0</v>
      </c>
      <c r="B142" s="11">
        <v>-0.00373</v>
      </c>
      <c r="C142" s="11">
        <v>-0.00329</v>
      </c>
      <c r="D142" s="11">
        <v>-0.0027300000000000002</v>
      </c>
      <c r="E142" s="11">
        <v>-0.00168</v>
      </c>
    </row>
    <row r="143">
      <c r="A143" s="3">
        <v>43011.0</v>
      </c>
      <c r="B143" s="11">
        <v>-0.00373</v>
      </c>
      <c r="C143" s="11">
        <v>-0.0033</v>
      </c>
      <c r="D143" s="11">
        <v>-0.0027300000000000002</v>
      </c>
      <c r="E143" s="11">
        <v>-0.0017100000000000001</v>
      </c>
    </row>
    <row r="144">
      <c r="A144" s="3">
        <v>43010.0</v>
      </c>
      <c r="B144" s="11">
        <v>-0.00373</v>
      </c>
      <c r="C144" s="11">
        <v>-0.00329</v>
      </c>
      <c r="D144" s="11">
        <v>-0.00272</v>
      </c>
      <c r="E144" s="11">
        <v>-0.00172</v>
      </c>
    </row>
    <row r="145">
      <c r="A145" s="3">
        <v>43007.0</v>
      </c>
      <c r="B145" s="11">
        <v>-0.0037199999999999998</v>
      </c>
      <c r="C145" s="11">
        <v>-0.00329</v>
      </c>
      <c r="D145" s="11">
        <v>-0.0027300000000000002</v>
      </c>
      <c r="E145" s="11">
        <v>-0.00172</v>
      </c>
    </row>
    <row r="146">
      <c r="A146" s="3">
        <v>43006.0</v>
      </c>
      <c r="B146" s="11">
        <v>-0.0037199999999999998</v>
      </c>
      <c r="C146" s="11">
        <v>-0.00329</v>
      </c>
      <c r="D146" s="11">
        <v>-0.0027300000000000002</v>
      </c>
      <c r="E146" s="11">
        <v>-0.00172</v>
      </c>
    </row>
    <row r="147">
      <c r="A147" s="3">
        <v>43005.0</v>
      </c>
      <c r="B147" s="11">
        <v>-0.0037199999999999998</v>
      </c>
      <c r="C147" s="11">
        <v>-0.00329</v>
      </c>
      <c r="D147" s="11">
        <v>-0.0027300000000000002</v>
      </c>
      <c r="E147" s="11">
        <v>-0.0017100000000000001</v>
      </c>
    </row>
    <row r="148">
      <c r="A148" s="3">
        <v>43004.0</v>
      </c>
      <c r="B148" s="11">
        <v>-0.0037099999999999998</v>
      </c>
      <c r="C148" s="11">
        <v>-0.00329</v>
      </c>
      <c r="D148" s="11">
        <v>-0.0027300000000000002</v>
      </c>
      <c r="E148" s="11">
        <v>-0.0017100000000000001</v>
      </c>
    </row>
    <row r="149">
      <c r="A149" s="3">
        <v>43003.0</v>
      </c>
      <c r="B149" s="11">
        <v>-0.0037099999999999998</v>
      </c>
      <c r="C149" s="11">
        <v>-0.00329</v>
      </c>
      <c r="D149" s="11">
        <v>-0.00272</v>
      </c>
      <c r="E149" s="11">
        <v>-0.0017100000000000001</v>
      </c>
    </row>
    <row r="150">
      <c r="A150" s="3">
        <v>43000.0</v>
      </c>
      <c r="B150" s="11">
        <v>-0.0037199999999999998</v>
      </c>
      <c r="C150" s="11">
        <v>-0.00329</v>
      </c>
      <c r="D150" s="11">
        <v>-0.00271</v>
      </c>
      <c r="E150" s="11">
        <v>-0.0017100000000000001</v>
      </c>
    </row>
    <row r="151">
      <c r="A151" s="3">
        <v>42999.0</v>
      </c>
      <c r="B151" s="11">
        <v>-0.00373</v>
      </c>
      <c r="C151" s="11">
        <v>-0.0033</v>
      </c>
      <c r="D151" s="11">
        <v>-0.00272</v>
      </c>
      <c r="E151" s="11">
        <v>-0.0017100000000000001</v>
      </c>
    </row>
    <row r="152">
      <c r="A152" s="3">
        <v>42998.0</v>
      </c>
      <c r="B152" s="11">
        <v>-0.00373</v>
      </c>
      <c r="C152" s="11">
        <v>-0.00329</v>
      </c>
      <c r="D152" s="11">
        <v>-0.00271</v>
      </c>
      <c r="E152" s="11">
        <v>-0.0017100000000000001</v>
      </c>
    </row>
    <row r="153">
      <c r="A153" s="3">
        <v>42997.0</v>
      </c>
      <c r="B153" s="11">
        <v>-0.00373</v>
      </c>
      <c r="C153" s="11">
        <v>-0.0033</v>
      </c>
      <c r="D153" s="11">
        <v>-0.00272</v>
      </c>
      <c r="E153" s="11">
        <v>-0.0017100000000000001</v>
      </c>
    </row>
    <row r="154">
      <c r="A154" s="3">
        <v>42996.0</v>
      </c>
      <c r="B154" s="11">
        <v>-0.00373</v>
      </c>
      <c r="C154" s="11">
        <v>-0.00329</v>
      </c>
      <c r="D154" s="11">
        <v>-0.00271</v>
      </c>
      <c r="E154" s="11">
        <v>-0.0017100000000000001</v>
      </c>
    </row>
    <row r="155">
      <c r="A155" s="3">
        <v>42993.0</v>
      </c>
      <c r="B155" s="11">
        <v>-0.0037099999999999998</v>
      </c>
      <c r="C155" s="11">
        <v>-0.00329</v>
      </c>
      <c r="D155" s="11">
        <v>-0.00271</v>
      </c>
      <c r="E155" s="11">
        <v>-0.0017100000000000001</v>
      </c>
    </row>
    <row r="156">
      <c r="A156" s="3">
        <v>42992.0</v>
      </c>
      <c r="B156" s="11">
        <v>-0.0037099999999999998</v>
      </c>
      <c r="C156" s="11">
        <v>-0.00329</v>
      </c>
      <c r="D156" s="11">
        <v>-0.00272</v>
      </c>
      <c r="E156" s="11">
        <v>-0.0017100000000000001</v>
      </c>
    </row>
    <row r="157">
      <c r="A157" s="3">
        <v>42991.0</v>
      </c>
      <c r="B157" s="11">
        <v>-0.00373</v>
      </c>
      <c r="C157" s="11">
        <v>-0.00329</v>
      </c>
      <c r="D157" s="11">
        <v>-0.00272</v>
      </c>
      <c r="E157" s="11">
        <v>-0.00169</v>
      </c>
    </row>
    <row r="158">
      <c r="A158" s="3">
        <v>42990.0</v>
      </c>
      <c r="B158" s="11">
        <v>-0.0037199999999999998</v>
      </c>
      <c r="C158" s="11">
        <v>-0.0033</v>
      </c>
      <c r="D158" s="11">
        <v>-0.00272</v>
      </c>
      <c r="E158" s="11">
        <v>-0.00169</v>
      </c>
    </row>
    <row r="159">
      <c r="A159" s="3">
        <v>42989.0</v>
      </c>
      <c r="B159" s="11">
        <v>-0.00373</v>
      </c>
      <c r="C159" s="11">
        <v>-0.00331</v>
      </c>
      <c r="D159" s="11">
        <v>-0.0027400000000000002</v>
      </c>
      <c r="E159" s="11">
        <v>-0.00168</v>
      </c>
    </row>
    <row r="160">
      <c r="A160" s="3">
        <v>42986.0</v>
      </c>
      <c r="B160" s="11">
        <v>-0.0037199999999999998</v>
      </c>
      <c r="C160" s="11">
        <v>-0.00331</v>
      </c>
      <c r="D160" s="11">
        <v>-0.0027500000000000003</v>
      </c>
      <c r="E160" s="11">
        <v>-0.00166</v>
      </c>
    </row>
    <row r="161">
      <c r="A161" s="3">
        <v>42985.0</v>
      </c>
      <c r="B161" s="11">
        <v>-0.0037199999999999998</v>
      </c>
      <c r="C161" s="11">
        <v>-0.0033</v>
      </c>
      <c r="D161" s="11">
        <v>-0.0027300000000000002</v>
      </c>
      <c r="E161" s="11">
        <v>-0.0016200000000000001</v>
      </c>
    </row>
    <row r="162">
      <c r="A162" s="3">
        <v>42984.0</v>
      </c>
      <c r="B162" s="11">
        <v>-0.0037099999999999998</v>
      </c>
      <c r="C162" s="11">
        <v>-0.00329</v>
      </c>
      <c r="D162" s="11">
        <v>-0.0027400000000000002</v>
      </c>
      <c r="E162" s="11">
        <v>-0.0016300000000000002</v>
      </c>
    </row>
    <row r="163">
      <c r="A163" s="3">
        <v>42983.0</v>
      </c>
      <c r="B163" s="11">
        <v>-0.0037199999999999998</v>
      </c>
      <c r="C163" s="11">
        <v>-0.00329</v>
      </c>
      <c r="D163" s="11">
        <v>-0.0027400000000000002</v>
      </c>
      <c r="E163" s="11">
        <v>-0.00161</v>
      </c>
    </row>
    <row r="164">
      <c r="A164" s="3">
        <v>42982.0</v>
      </c>
      <c r="B164" s="11">
        <v>-0.0037199999999999998</v>
      </c>
      <c r="C164" s="11">
        <v>-0.00329</v>
      </c>
      <c r="D164" s="11">
        <v>-0.0027400000000000002</v>
      </c>
      <c r="E164" s="11">
        <v>-0.00161</v>
      </c>
    </row>
    <row r="165">
      <c r="A165" s="3">
        <v>42979.0</v>
      </c>
      <c r="B165" s="11">
        <v>-0.00373</v>
      </c>
      <c r="C165" s="11">
        <v>-0.00329</v>
      </c>
      <c r="D165" s="11">
        <v>-0.0027300000000000002</v>
      </c>
      <c r="E165" s="11">
        <v>-0.00161</v>
      </c>
    </row>
    <row r="166">
      <c r="A166" s="3">
        <v>42978.0</v>
      </c>
      <c r="B166" s="11">
        <v>-0.00373</v>
      </c>
      <c r="C166" s="11">
        <v>-0.00329</v>
      </c>
      <c r="D166" s="11">
        <v>-0.0027300000000000002</v>
      </c>
      <c r="E166" s="11">
        <v>-0.00161</v>
      </c>
    </row>
    <row r="167">
      <c r="A167" s="3">
        <v>42977.0</v>
      </c>
      <c r="B167" s="11">
        <v>-0.0037199999999999998</v>
      </c>
      <c r="C167" s="11">
        <v>-0.0033</v>
      </c>
      <c r="D167" s="11">
        <v>-0.0027300000000000002</v>
      </c>
      <c r="E167" s="11">
        <v>-0.00161</v>
      </c>
    </row>
    <row r="168">
      <c r="A168" s="3">
        <v>42976.0</v>
      </c>
      <c r="B168" s="11">
        <v>-0.0037199999999999998</v>
      </c>
      <c r="C168" s="11">
        <v>-0.0033</v>
      </c>
      <c r="D168" s="11">
        <v>-0.0027300000000000002</v>
      </c>
      <c r="E168" s="11">
        <v>-0.0016</v>
      </c>
    </row>
    <row r="169">
      <c r="A169" s="3">
        <v>42975.0</v>
      </c>
      <c r="B169" s="11">
        <v>-0.0037199999999999998</v>
      </c>
      <c r="C169" s="11">
        <v>-0.00329</v>
      </c>
      <c r="D169" s="11">
        <v>-0.0027300000000000002</v>
      </c>
      <c r="E169" s="11">
        <v>-0.00159</v>
      </c>
    </row>
    <row r="170">
      <c r="A170" s="3">
        <v>42972.0</v>
      </c>
      <c r="B170" s="11">
        <v>-0.0037099999999999998</v>
      </c>
      <c r="C170" s="11">
        <v>-0.00329</v>
      </c>
      <c r="D170" s="11">
        <v>-0.00272</v>
      </c>
      <c r="E170" s="11">
        <v>-0.00159</v>
      </c>
    </row>
    <row r="171">
      <c r="A171" s="3">
        <v>42971.0</v>
      </c>
      <c r="B171" s="11">
        <v>-0.0037099999999999998</v>
      </c>
      <c r="C171" s="11">
        <v>-0.00329</v>
      </c>
      <c r="D171" s="11">
        <v>-0.00272</v>
      </c>
      <c r="E171" s="11">
        <v>-0.00159</v>
      </c>
    </row>
    <row r="172">
      <c r="A172" s="3">
        <v>42970.0</v>
      </c>
      <c r="B172" s="11">
        <v>-0.0037099999999999998</v>
      </c>
      <c r="C172" s="11">
        <v>-0.00329</v>
      </c>
      <c r="D172" s="11">
        <v>-0.0027300000000000002</v>
      </c>
      <c r="E172" s="11">
        <v>-0.00159</v>
      </c>
    </row>
    <row r="173">
      <c r="A173" s="3">
        <v>42969.0</v>
      </c>
      <c r="B173" s="11">
        <v>-0.0037099999999999998</v>
      </c>
      <c r="C173" s="11">
        <v>-0.00328</v>
      </c>
      <c r="D173" s="11">
        <v>-0.0027300000000000002</v>
      </c>
      <c r="E173" s="11">
        <v>-0.00158</v>
      </c>
    </row>
    <row r="174">
      <c r="A174" s="3">
        <v>42968.0</v>
      </c>
      <c r="B174" s="11">
        <v>-0.0037099999999999998</v>
      </c>
      <c r="C174" s="11">
        <v>-0.00329</v>
      </c>
      <c r="D174" s="11">
        <v>-0.00271</v>
      </c>
      <c r="E174" s="11">
        <v>-0.00158</v>
      </c>
    </row>
    <row r="175">
      <c r="A175" s="3">
        <v>42965.0</v>
      </c>
      <c r="B175" s="11">
        <v>-0.0037099999999999998</v>
      </c>
      <c r="C175" s="11">
        <v>-0.00329</v>
      </c>
      <c r="D175" s="11">
        <v>-0.00271</v>
      </c>
      <c r="E175" s="11">
        <v>-0.00158</v>
      </c>
    </row>
    <row r="176">
      <c r="A176" s="3">
        <v>42964.0</v>
      </c>
      <c r="B176" s="11">
        <v>-0.0037099999999999998</v>
      </c>
      <c r="C176" s="11">
        <v>-0.00329</v>
      </c>
      <c r="D176" s="11">
        <v>-0.00271</v>
      </c>
      <c r="E176" s="11">
        <v>-0.00158</v>
      </c>
    </row>
    <row r="177">
      <c r="A177" s="3">
        <v>42963.0</v>
      </c>
      <c r="B177" s="11">
        <v>-0.0037099999999999998</v>
      </c>
      <c r="C177" s="11">
        <v>-0.00329</v>
      </c>
      <c r="D177" s="11">
        <v>-0.00271</v>
      </c>
      <c r="E177" s="11">
        <v>-0.00157</v>
      </c>
    </row>
    <row r="178">
      <c r="A178" s="3">
        <v>42962.0</v>
      </c>
      <c r="B178" s="11">
        <v>-0.0037099999999999998</v>
      </c>
      <c r="C178" s="11">
        <v>-0.00329</v>
      </c>
      <c r="D178" s="11">
        <v>-0.00271</v>
      </c>
      <c r="E178" s="11">
        <v>-0.00157</v>
      </c>
    </row>
    <row r="179">
      <c r="A179" s="3">
        <v>42961.0</v>
      </c>
      <c r="B179" s="11">
        <v>-0.0037199999999999998</v>
      </c>
      <c r="C179" s="11">
        <v>-0.00329</v>
      </c>
      <c r="D179" s="11">
        <v>-0.00271</v>
      </c>
      <c r="E179" s="11">
        <v>-0.00158</v>
      </c>
    </row>
    <row r="180">
      <c r="A180" s="3">
        <v>42958.0</v>
      </c>
      <c r="B180" s="11">
        <v>-0.0037199999999999998</v>
      </c>
      <c r="C180" s="11">
        <v>-0.00329</v>
      </c>
      <c r="D180" s="11">
        <v>-0.00271</v>
      </c>
      <c r="E180" s="11">
        <v>-0.00156</v>
      </c>
    </row>
    <row r="181">
      <c r="A181" s="3">
        <v>42957.0</v>
      </c>
      <c r="B181" s="11">
        <v>-0.00373</v>
      </c>
      <c r="C181" s="11">
        <v>-0.00329</v>
      </c>
      <c r="D181" s="11">
        <v>-0.00271</v>
      </c>
      <c r="E181" s="11">
        <v>-0.00154</v>
      </c>
    </row>
    <row r="182">
      <c r="A182" s="3">
        <v>42956.0</v>
      </c>
      <c r="B182" s="11">
        <v>-0.00374</v>
      </c>
      <c r="C182" s="11">
        <v>-0.00328</v>
      </c>
      <c r="D182" s="11">
        <v>-0.00271</v>
      </c>
      <c r="E182" s="11">
        <v>-0.00153</v>
      </c>
    </row>
    <row r="183">
      <c r="A183" s="3">
        <v>42955.0</v>
      </c>
      <c r="B183" s="11">
        <v>-0.00374</v>
      </c>
      <c r="C183" s="11">
        <v>-0.00328</v>
      </c>
      <c r="D183" s="11">
        <v>-0.00269</v>
      </c>
      <c r="E183" s="11">
        <v>-0.0015199999999999999</v>
      </c>
    </row>
    <row r="184">
      <c r="A184" s="3">
        <v>42954.0</v>
      </c>
      <c r="B184" s="11">
        <v>-0.00374</v>
      </c>
      <c r="C184" s="11">
        <v>-0.00328</v>
      </c>
      <c r="D184" s="11">
        <v>-0.0027</v>
      </c>
      <c r="E184" s="11">
        <v>-0.0015199999999999999</v>
      </c>
    </row>
    <row r="185">
      <c r="A185" s="3">
        <v>42951.0</v>
      </c>
      <c r="B185" s="11">
        <v>-0.0037199999999999998</v>
      </c>
      <c r="C185" s="11">
        <v>-0.00329</v>
      </c>
      <c r="D185" s="11">
        <v>-0.00271</v>
      </c>
      <c r="E185" s="11">
        <v>-0.00151</v>
      </c>
    </row>
    <row r="186">
      <c r="A186" s="3">
        <v>42950.0</v>
      </c>
      <c r="B186" s="11">
        <v>-0.0037199999999999998</v>
      </c>
      <c r="C186" s="11">
        <v>-0.00329</v>
      </c>
      <c r="D186" s="11">
        <v>-0.00272</v>
      </c>
      <c r="E186" s="11">
        <v>-0.0015199999999999999</v>
      </c>
    </row>
    <row r="187">
      <c r="A187" s="3">
        <v>42949.0</v>
      </c>
      <c r="B187" s="11">
        <v>-0.00373</v>
      </c>
      <c r="C187" s="11">
        <v>-0.00331</v>
      </c>
      <c r="D187" s="11">
        <v>-0.0027300000000000002</v>
      </c>
      <c r="E187" s="11">
        <v>-0.00153</v>
      </c>
    </row>
    <row r="188">
      <c r="A188" s="3">
        <v>42948.0</v>
      </c>
      <c r="B188" s="11">
        <v>-0.0037099999999999998</v>
      </c>
      <c r="C188" s="11">
        <v>-0.00331</v>
      </c>
      <c r="D188" s="11">
        <v>-0.00272</v>
      </c>
      <c r="E188" s="11">
        <v>-0.00151</v>
      </c>
    </row>
    <row r="189">
      <c r="A189" s="3">
        <v>42947.0</v>
      </c>
      <c r="B189" s="11">
        <v>-0.0037</v>
      </c>
      <c r="C189" s="11">
        <v>-0.0033</v>
      </c>
      <c r="D189" s="11">
        <v>-0.00271</v>
      </c>
      <c r="E189" s="11">
        <v>-0.00151</v>
      </c>
    </row>
    <row r="190">
      <c r="A190" s="3">
        <v>42944.0</v>
      </c>
      <c r="B190" s="11">
        <v>-0.0037099999999999998</v>
      </c>
      <c r="C190" s="11">
        <v>-0.00329</v>
      </c>
      <c r="D190" s="11">
        <v>-0.00272</v>
      </c>
      <c r="E190" s="11">
        <v>-0.0015199999999999999</v>
      </c>
    </row>
    <row r="191">
      <c r="A191" s="3">
        <v>42943.0</v>
      </c>
      <c r="B191" s="11">
        <v>-0.0037099999999999998</v>
      </c>
      <c r="C191" s="11">
        <v>-0.00329</v>
      </c>
      <c r="D191" s="11">
        <v>-0.00272</v>
      </c>
      <c r="E191" s="11">
        <v>-0.00153</v>
      </c>
    </row>
    <row r="192">
      <c r="A192" s="3">
        <v>42942.0</v>
      </c>
      <c r="B192" s="11">
        <v>-0.0037199999999999998</v>
      </c>
      <c r="C192" s="11">
        <v>-0.0033</v>
      </c>
      <c r="D192" s="11">
        <v>-0.00272</v>
      </c>
      <c r="E192" s="11">
        <v>-0.00153</v>
      </c>
    </row>
    <row r="193">
      <c r="A193" s="3">
        <v>42941.0</v>
      </c>
      <c r="B193" s="11">
        <v>-0.0037099999999999998</v>
      </c>
      <c r="C193" s="11">
        <v>-0.00329</v>
      </c>
      <c r="D193" s="11">
        <v>-0.00272</v>
      </c>
      <c r="E193" s="11">
        <v>-0.00153</v>
      </c>
    </row>
    <row r="194">
      <c r="A194" s="3">
        <v>42940.0</v>
      </c>
      <c r="B194" s="11">
        <v>-0.00374</v>
      </c>
      <c r="C194" s="11">
        <v>-0.00329</v>
      </c>
      <c r="D194" s="11">
        <v>-0.00271</v>
      </c>
      <c r="E194" s="11">
        <v>-0.00153</v>
      </c>
    </row>
    <row r="195">
      <c r="A195" s="3">
        <v>42937.0</v>
      </c>
      <c r="B195" s="11">
        <v>-0.00374</v>
      </c>
      <c r="C195" s="11">
        <v>-0.00331</v>
      </c>
      <c r="D195" s="11">
        <v>-0.00272</v>
      </c>
      <c r="E195" s="11">
        <v>-0.0015199999999999999</v>
      </c>
    </row>
    <row r="196">
      <c r="A196" s="3">
        <v>42936.0</v>
      </c>
      <c r="B196" s="11">
        <v>-0.00374</v>
      </c>
      <c r="C196" s="11">
        <v>-0.00332</v>
      </c>
      <c r="D196" s="11">
        <v>-0.0027400000000000002</v>
      </c>
      <c r="E196" s="11">
        <v>-0.00151</v>
      </c>
    </row>
    <row r="197">
      <c r="A197" s="3">
        <v>42935.0</v>
      </c>
      <c r="B197" s="11">
        <v>-0.00373</v>
      </c>
      <c r="C197" s="11">
        <v>-0.00332</v>
      </c>
      <c r="D197" s="11">
        <v>-0.0027400000000000002</v>
      </c>
      <c r="E197" s="11">
        <v>-0.00151</v>
      </c>
    </row>
    <row r="198">
      <c r="A198" s="3">
        <v>42934.0</v>
      </c>
      <c r="B198" s="11">
        <v>-0.00374</v>
      </c>
      <c r="C198" s="11">
        <v>-0.00331</v>
      </c>
      <c r="D198" s="11">
        <v>-0.0027400000000000002</v>
      </c>
      <c r="E198" s="11">
        <v>-0.00151</v>
      </c>
    </row>
    <row r="199">
      <c r="A199" s="3">
        <v>42933.0</v>
      </c>
      <c r="B199" s="11">
        <v>-0.00373</v>
      </c>
      <c r="C199" s="11">
        <v>-0.0033</v>
      </c>
      <c r="D199" s="11">
        <v>-0.0027400000000000002</v>
      </c>
      <c r="E199" s="11">
        <v>-0.00151</v>
      </c>
    </row>
    <row r="200">
      <c r="A200" s="3">
        <v>42930.0</v>
      </c>
      <c r="B200" s="11">
        <v>-0.00373</v>
      </c>
      <c r="C200" s="11">
        <v>-0.00331</v>
      </c>
      <c r="D200" s="11">
        <v>-0.0027300000000000002</v>
      </c>
      <c r="E200" s="11">
        <v>-0.00151</v>
      </c>
    </row>
    <row r="201">
      <c r="A201" s="3">
        <v>42929.0</v>
      </c>
      <c r="B201" s="11">
        <v>-0.00373</v>
      </c>
      <c r="C201" s="11">
        <v>-0.00331</v>
      </c>
      <c r="D201" s="11">
        <v>-0.0027300000000000002</v>
      </c>
      <c r="E201" s="11">
        <v>-0.00151</v>
      </c>
    </row>
    <row r="202">
      <c r="A202" s="3">
        <v>42928.0</v>
      </c>
      <c r="B202" s="11">
        <v>-0.00374</v>
      </c>
      <c r="C202" s="11">
        <v>-0.00331</v>
      </c>
      <c r="D202" s="11">
        <v>-0.0027300000000000002</v>
      </c>
      <c r="E202" s="11">
        <v>-0.00154</v>
      </c>
    </row>
    <row r="203">
      <c r="A203" s="3">
        <v>42927.0</v>
      </c>
      <c r="B203" s="11">
        <v>-0.00374</v>
      </c>
      <c r="C203" s="11">
        <v>-0.00331</v>
      </c>
      <c r="D203" s="11">
        <v>-0.0027300000000000002</v>
      </c>
      <c r="E203" s="11">
        <v>-0.00155</v>
      </c>
    </row>
    <row r="204">
      <c r="A204" s="3">
        <v>42926.0</v>
      </c>
      <c r="B204" s="11">
        <v>-0.00374</v>
      </c>
      <c r="C204" s="11">
        <v>-0.00331</v>
      </c>
      <c r="D204" s="11">
        <v>-0.0027300000000000002</v>
      </c>
      <c r="E204" s="11">
        <v>-0.00156</v>
      </c>
    </row>
    <row r="205">
      <c r="A205" s="3">
        <v>42923.0</v>
      </c>
      <c r="B205" s="11">
        <v>-0.0037199999999999998</v>
      </c>
      <c r="C205" s="11">
        <v>-0.00331</v>
      </c>
      <c r="D205" s="11">
        <v>-0.00272</v>
      </c>
      <c r="E205" s="11">
        <v>-0.00161</v>
      </c>
    </row>
    <row r="206">
      <c r="A206" s="3">
        <v>42922.0</v>
      </c>
      <c r="B206" s="11">
        <v>-0.00373</v>
      </c>
      <c r="C206" s="11">
        <v>-0.0033</v>
      </c>
      <c r="D206" s="11">
        <v>-0.0027300000000000002</v>
      </c>
      <c r="E206" s="11">
        <v>-0.00161</v>
      </c>
    </row>
    <row r="207">
      <c r="A207" s="3">
        <v>42921.0</v>
      </c>
      <c r="B207" s="11">
        <v>-0.00373</v>
      </c>
      <c r="C207" s="11">
        <v>-0.00331</v>
      </c>
      <c r="D207" s="11">
        <v>-0.0027400000000000002</v>
      </c>
      <c r="E207" s="11">
        <v>-0.0016</v>
      </c>
    </row>
    <row r="208">
      <c r="A208" s="3">
        <v>42920.0</v>
      </c>
      <c r="B208" s="11">
        <v>-0.00373</v>
      </c>
      <c r="C208" s="11">
        <v>-0.00329</v>
      </c>
      <c r="D208" s="11">
        <v>-0.00272</v>
      </c>
      <c r="E208" s="11">
        <v>-0.00159</v>
      </c>
    </row>
    <row r="209">
      <c r="A209" s="3">
        <v>42919.0</v>
      </c>
      <c r="B209" s="11">
        <v>-0.00373</v>
      </c>
      <c r="C209" s="11">
        <v>-0.00331</v>
      </c>
      <c r="D209" s="11">
        <v>-0.00271</v>
      </c>
      <c r="E209" s="11">
        <v>-0.00157</v>
      </c>
    </row>
    <row r="210">
      <c r="A210" s="3">
        <v>42916.0</v>
      </c>
      <c r="B210" s="11">
        <v>-0.00373</v>
      </c>
      <c r="C210" s="11">
        <v>-0.00331</v>
      </c>
      <c r="D210" s="11">
        <v>-0.00271</v>
      </c>
      <c r="E210" s="11">
        <v>-0.00156</v>
      </c>
    </row>
    <row r="211">
      <c r="A211" s="3">
        <v>42915.0</v>
      </c>
      <c r="B211" s="11">
        <v>-0.00373</v>
      </c>
      <c r="C211" s="11">
        <v>-0.00331</v>
      </c>
      <c r="D211" s="11">
        <v>-0.0027</v>
      </c>
      <c r="E211" s="11">
        <v>-0.00156</v>
      </c>
    </row>
    <row r="212">
      <c r="A212" s="3">
        <v>42914.0</v>
      </c>
      <c r="B212" s="11">
        <v>-0.0037199999999999998</v>
      </c>
      <c r="C212" s="11">
        <v>-0.00331</v>
      </c>
      <c r="D212" s="11">
        <v>-0.00271</v>
      </c>
      <c r="E212" s="11">
        <v>-0.00158</v>
      </c>
    </row>
    <row r="213">
      <c r="A213" s="3">
        <v>42913.0</v>
      </c>
      <c r="B213" s="11">
        <v>-0.00373</v>
      </c>
      <c r="C213" s="11">
        <v>-0.00331</v>
      </c>
      <c r="D213" s="11">
        <v>-0.0027300000000000002</v>
      </c>
      <c r="E213" s="11">
        <v>-0.00161</v>
      </c>
    </row>
    <row r="214">
      <c r="A214" s="3">
        <v>42912.0</v>
      </c>
      <c r="B214" s="11">
        <v>-0.00374</v>
      </c>
      <c r="C214" s="11">
        <v>-0.00331</v>
      </c>
      <c r="D214" s="11">
        <v>-0.0027300000000000002</v>
      </c>
      <c r="E214" s="11">
        <v>-0.00161</v>
      </c>
    </row>
    <row r="215">
      <c r="A215" s="3">
        <v>42909.0</v>
      </c>
      <c r="B215" s="11">
        <v>-0.00374</v>
      </c>
      <c r="C215" s="11">
        <v>-0.00331</v>
      </c>
      <c r="D215" s="11">
        <v>-0.0027300000000000002</v>
      </c>
      <c r="E215" s="11">
        <v>-0.0016300000000000002</v>
      </c>
    </row>
    <row r="216">
      <c r="A216" s="3">
        <v>42908.0</v>
      </c>
      <c r="B216" s="11">
        <v>-0.0037199999999999998</v>
      </c>
      <c r="C216" s="11">
        <v>-0.0033</v>
      </c>
      <c r="D216" s="11">
        <v>-0.00272</v>
      </c>
      <c r="E216" s="11">
        <v>-0.00161</v>
      </c>
    </row>
    <row r="217">
      <c r="A217" s="3">
        <v>42907.0</v>
      </c>
      <c r="B217" s="11">
        <v>-0.00373</v>
      </c>
      <c r="C217" s="11">
        <v>-0.00329</v>
      </c>
      <c r="D217" s="11">
        <v>-0.00271</v>
      </c>
      <c r="E217" s="11">
        <v>-0.00161</v>
      </c>
    </row>
    <row r="218">
      <c r="A218" s="3">
        <v>42906.0</v>
      </c>
      <c r="B218" s="11">
        <v>-0.0037199999999999998</v>
      </c>
      <c r="C218" s="11">
        <v>-0.00329</v>
      </c>
      <c r="D218" s="11">
        <v>-0.00271</v>
      </c>
      <c r="E218" s="11">
        <v>-0.00159</v>
      </c>
    </row>
    <row r="219">
      <c r="A219" s="3">
        <v>42905.0</v>
      </c>
      <c r="B219" s="11">
        <v>-0.00374</v>
      </c>
      <c r="C219" s="11">
        <v>-0.00329</v>
      </c>
      <c r="D219" s="11">
        <v>-0.00271</v>
      </c>
      <c r="E219" s="11">
        <v>-0.00156</v>
      </c>
    </row>
    <row r="220">
      <c r="A220" s="3">
        <v>42902.0</v>
      </c>
      <c r="B220" s="11">
        <v>-0.00373</v>
      </c>
      <c r="C220" s="11">
        <v>-0.00329</v>
      </c>
      <c r="D220" s="11">
        <v>-0.00271</v>
      </c>
      <c r="E220" s="11">
        <v>-0.00154</v>
      </c>
    </row>
    <row r="221">
      <c r="A221" s="3">
        <v>42901.0</v>
      </c>
      <c r="B221" s="11">
        <v>-0.0037199999999999998</v>
      </c>
      <c r="C221" s="11">
        <v>-0.00329</v>
      </c>
      <c r="D221" s="11">
        <v>-0.00271</v>
      </c>
      <c r="E221" s="11">
        <v>-0.0015199999999999999</v>
      </c>
    </row>
    <row r="222">
      <c r="A222" s="3">
        <v>42900.0</v>
      </c>
      <c r="B222" s="11">
        <v>-0.00373</v>
      </c>
      <c r="C222" s="11">
        <v>-0.00331</v>
      </c>
      <c r="D222" s="11">
        <v>-0.00271</v>
      </c>
      <c r="E222" s="11">
        <v>-0.0015199999999999999</v>
      </c>
    </row>
    <row r="223">
      <c r="A223" s="3">
        <v>42899.0</v>
      </c>
      <c r="B223" s="11">
        <v>-0.00373</v>
      </c>
      <c r="C223" s="11">
        <v>-0.00331</v>
      </c>
      <c r="D223" s="11">
        <v>-0.0027</v>
      </c>
      <c r="E223" s="11">
        <v>-0.00149</v>
      </c>
    </row>
    <row r="224">
      <c r="A224" s="3">
        <v>42898.0</v>
      </c>
      <c r="B224" s="11">
        <v>-0.00374</v>
      </c>
      <c r="C224" s="11">
        <v>-0.00331</v>
      </c>
      <c r="D224" s="11">
        <v>-0.00266</v>
      </c>
      <c r="E224" s="11">
        <v>-0.00147</v>
      </c>
    </row>
    <row r="225">
      <c r="A225" s="3">
        <v>42895.0</v>
      </c>
      <c r="B225" s="11">
        <v>-0.00374</v>
      </c>
      <c r="C225" s="11">
        <v>-0.00331</v>
      </c>
      <c r="D225" s="11">
        <v>-0.00264</v>
      </c>
      <c r="E225" s="11">
        <v>-0.0014000000000000002</v>
      </c>
    </row>
    <row r="226">
      <c r="A226" s="3">
        <v>42894.0</v>
      </c>
      <c r="B226" s="11">
        <v>-0.00374</v>
      </c>
      <c r="C226" s="11">
        <v>-0.0033</v>
      </c>
      <c r="D226" s="11">
        <v>-0.0026</v>
      </c>
      <c r="E226" s="11">
        <v>-0.00134</v>
      </c>
    </row>
    <row r="227">
      <c r="A227" s="3">
        <v>42893.0</v>
      </c>
      <c r="B227" s="11">
        <v>-0.0037099999999999998</v>
      </c>
      <c r="C227" s="11">
        <v>-0.00329</v>
      </c>
      <c r="D227" s="11">
        <v>-0.0025900000000000003</v>
      </c>
      <c r="E227" s="11">
        <v>-0.00134</v>
      </c>
    </row>
    <row r="228">
      <c r="A228" s="3">
        <v>42892.0</v>
      </c>
      <c r="B228" s="11">
        <v>-0.0037099999999999998</v>
      </c>
      <c r="C228" s="11">
        <v>-0.00329</v>
      </c>
      <c r="D228" s="11">
        <v>-0.0025700000000000002</v>
      </c>
      <c r="E228" s="11">
        <v>-0.00133</v>
      </c>
    </row>
    <row r="229">
      <c r="A229" s="3">
        <v>42891.0</v>
      </c>
      <c r="B229" s="11">
        <v>-0.0037099999999999998</v>
      </c>
      <c r="C229" s="11">
        <v>-0.00329</v>
      </c>
      <c r="D229" s="11">
        <v>-0.00256</v>
      </c>
      <c r="E229" s="11">
        <v>-0.00131</v>
      </c>
    </row>
    <row r="230">
      <c r="A230" s="3">
        <v>42888.0</v>
      </c>
      <c r="B230" s="11">
        <v>-0.0037199999999999998</v>
      </c>
      <c r="C230" s="11">
        <v>-0.00329</v>
      </c>
      <c r="D230" s="11">
        <v>-0.00255</v>
      </c>
      <c r="E230" s="11">
        <v>-0.00131</v>
      </c>
    </row>
    <row r="231">
      <c r="A231" s="3">
        <v>42887.0</v>
      </c>
      <c r="B231" s="11">
        <v>-0.00374</v>
      </c>
      <c r="C231" s="11">
        <v>-0.00329</v>
      </c>
      <c r="D231" s="11">
        <v>-0.00254</v>
      </c>
      <c r="E231" s="11">
        <v>-0.00131</v>
      </c>
    </row>
    <row r="232">
      <c r="A232" s="3">
        <v>42886.0</v>
      </c>
      <c r="B232" s="11">
        <v>-0.00374</v>
      </c>
      <c r="C232" s="11">
        <v>-0.00329</v>
      </c>
      <c r="D232" s="11">
        <v>-0.00254</v>
      </c>
      <c r="E232" s="11">
        <v>-0.00131</v>
      </c>
    </row>
    <row r="233">
      <c r="A233" s="3">
        <v>42885.0</v>
      </c>
      <c r="B233" s="11">
        <v>-0.00373</v>
      </c>
      <c r="C233" s="11">
        <v>-0.00329</v>
      </c>
      <c r="D233" s="11">
        <v>-0.00254</v>
      </c>
      <c r="E233" s="11">
        <v>-0.00131</v>
      </c>
    </row>
    <row r="234">
      <c r="A234" s="3">
        <v>42884.0</v>
      </c>
      <c r="B234" s="11">
        <v>-0.0037199999999999998</v>
      </c>
      <c r="C234" s="11">
        <v>-0.00329</v>
      </c>
      <c r="D234" s="11">
        <v>-0.00254</v>
      </c>
      <c r="E234" s="11">
        <v>-0.00131</v>
      </c>
    </row>
    <row r="235">
      <c r="A235" s="3">
        <v>42881.0</v>
      </c>
      <c r="B235" s="11">
        <v>-0.0037099999999999998</v>
      </c>
      <c r="C235" s="11">
        <v>-0.00329</v>
      </c>
      <c r="D235" s="11">
        <v>-0.00254</v>
      </c>
      <c r="E235" s="11">
        <v>-0.0013</v>
      </c>
    </row>
    <row r="236">
      <c r="A236" s="3">
        <v>42880.0</v>
      </c>
      <c r="B236" s="11">
        <v>-0.00374</v>
      </c>
      <c r="C236" s="11">
        <v>-0.00329</v>
      </c>
      <c r="D236" s="11">
        <v>-0.00251</v>
      </c>
      <c r="E236" s="11">
        <v>-0.0012900000000000001</v>
      </c>
    </row>
    <row r="237">
      <c r="A237" s="3">
        <v>42879.0</v>
      </c>
      <c r="B237" s="11">
        <v>-0.00373</v>
      </c>
      <c r="C237" s="11">
        <v>-0.00329</v>
      </c>
      <c r="D237" s="11">
        <v>-0.0025</v>
      </c>
      <c r="E237" s="11">
        <v>-0.0012900000000000001</v>
      </c>
    </row>
    <row r="238">
      <c r="A238" s="3">
        <v>42878.0</v>
      </c>
      <c r="B238" s="11">
        <v>-0.00374</v>
      </c>
      <c r="C238" s="11">
        <v>-0.0033</v>
      </c>
      <c r="D238" s="11">
        <v>-0.00251</v>
      </c>
      <c r="E238" s="11">
        <v>-0.0012900000000000001</v>
      </c>
    </row>
    <row r="239">
      <c r="A239" s="3">
        <v>42877.0</v>
      </c>
      <c r="B239" s="11">
        <v>-0.00374</v>
      </c>
      <c r="C239" s="11">
        <v>-0.00329</v>
      </c>
      <c r="D239" s="11">
        <v>-0.00251</v>
      </c>
      <c r="E239" s="11">
        <v>-0.0012900000000000001</v>
      </c>
    </row>
    <row r="240">
      <c r="A240" s="3">
        <v>42874.0</v>
      </c>
      <c r="B240" s="11">
        <v>-0.00374</v>
      </c>
      <c r="C240" s="11">
        <v>-0.00331</v>
      </c>
      <c r="D240" s="11">
        <v>-0.00251</v>
      </c>
      <c r="E240" s="11">
        <v>-0.0012900000000000001</v>
      </c>
    </row>
    <row r="241">
      <c r="A241" s="3">
        <v>42873.0</v>
      </c>
      <c r="B241" s="11">
        <v>-0.0037099999999999998</v>
      </c>
      <c r="C241" s="11">
        <v>-0.00331</v>
      </c>
      <c r="D241" s="11">
        <v>-0.00251</v>
      </c>
      <c r="E241" s="11">
        <v>-0.0012900000000000001</v>
      </c>
    </row>
    <row r="242">
      <c r="A242" s="3">
        <v>42872.0</v>
      </c>
      <c r="B242" s="11">
        <v>-0.0037099999999999998</v>
      </c>
      <c r="C242" s="11">
        <v>-0.00331</v>
      </c>
      <c r="D242" s="11">
        <v>-0.00251</v>
      </c>
      <c r="E242" s="11">
        <v>-0.0012900000000000001</v>
      </c>
    </row>
    <row r="243">
      <c r="A243" s="3">
        <v>42871.0</v>
      </c>
      <c r="B243" s="11">
        <v>-0.0037099999999999998</v>
      </c>
      <c r="C243" s="11">
        <v>-0.00331</v>
      </c>
      <c r="D243" s="11">
        <v>-0.0025</v>
      </c>
      <c r="E243" s="11">
        <v>-0.00128</v>
      </c>
    </row>
    <row r="244">
      <c r="A244" s="3">
        <v>42870.0</v>
      </c>
      <c r="B244" s="11">
        <v>-0.00374</v>
      </c>
      <c r="C244" s="11">
        <v>-0.0033</v>
      </c>
      <c r="D244" s="11">
        <v>-0.00251</v>
      </c>
      <c r="E244" s="11">
        <v>-0.00127</v>
      </c>
    </row>
    <row r="245">
      <c r="A245" s="3">
        <v>42867.0</v>
      </c>
      <c r="B245" s="11">
        <v>-0.00373</v>
      </c>
      <c r="C245" s="11">
        <v>-0.00329</v>
      </c>
      <c r="D245" s="11">
        <v>-0.00251</v>
      </c>
      <c r="E245" s="11">
        <v>-0.00127</v>
      </c>
    </row>
    <row r="246">
      <c r="A246" s="3">
        <v>42866.0</v>
      </c>
      <c r="B246" s="11">
        <v>-0.00374</v>
      </c>
      <c r="C246" s="11">
        <v>-0.00329</v>
      </c>
      <c r="D246" s="11">
        <v>-0.0025</v>
      </c>
      <c r="E246" s="11">
        <v>-0.00124</v>
      </c>
    </row>
    <row r="247">
      <c r="A247" s="3">
        <v>42865.0</v>
      </c>
      <c r="B247" s="11">
        <v>-0.00374</v>
      </c>
      <c r="C247" s="11">
        <v>-0.00329</v>
      </c>
      <c r="D247" s="11">
        <v>-0.00249</v>
      </c>
      <c r="E247" s="11">
        <v>-0.00124</v>
      </c>
    </row>
    <row r="248">
      <c r="A248" s="3">
        <v>42864.0</v>
      </c>
      <c r="B248" s="11">
        <v>-0.00374</v>
      </c>
      <c r="C248" s="11">
        <v>-0.00329</v>
      </c>
      <c r="D248" s="11">
        <v>-0.00249</v>
      </c>
      <c r="E248" s="11">
        <v>-0.00123</v>
      </c>
    </row>
    <row r="249">
      <c r="A249" s="3">
        <v>42863.0</v>
      </c>
      <c r="B249" s="11">
        <v>-0.00374</v>
      </c>
      <c r="C249" s="11">
        <v>-0.00329</v>
      </c>
      <c r="D249" s="11">
        <v>-0.00249</v>
      </c>
      <c r="E249" s="11">
        <v>-0.00124</v>
      </c>
    </row>
    <row r="250">
      <c r="A250" s="3">
        <v>42860.0</v>
      </c>
      <c r="B250" s="11">
        <v>-0.00374</v>
      </c>
      <c r="C250" s="11">
        <v>-0.00329</v>
      </c>
      <c r="D250" s="11">
        <v>-0.00248</v>
      </c>
      <c r="E250" s="11">
        <v>-0.00124</v>
      </c>
    </row>
    <row r="251">
      <c r="A251" s="3">
        <v>42859.0</v>
      </c>
      <c r="B251" s="11">
        <v>-0.00374</v>
      </c>
      <c r="C251" s="11">
        <v>-0.00329</v>
      </c>
      <c r="D251" s="11">
        <v>-0.0025</v>
      </c>
      <c r="E251" s="11">
        <v>-0.00126</v>
      </c>
    </row>
    <row r="252">
      <c r="A252" s="3">
        <v>42858.0</v>
      </c>
      <c r="B252" s="11">
        <v>-0.00373</v>
      </c>
      <c r="C252" s="11">
        <v>-0.00329</v>
      </c>
      <c r="D252" s="11">
        <v>-0.00251</v>
      </c>
      <c r="E252" s="11">
        <v>-0.00125</v>
      </c>
    </row>
    <row r="253">
      <c r="A253" s="3">
        <v>42857.0</v>
      </c>
      <c r="B253" s="11">
        <v>-0.00374</v>
      </c>
      <c r="C253" s="11">
        <v>-0.00329</v>
      </c>
      <c r="D253" s="11">
        <v>-0.00249</v>
      </c>
      <c r="E253" s="11">
        <v>-0.00121</v>
      </c>
    </row>
    <row r="254">
      <c r="A254" s="3">
        <v>42853.0</v>
      </c>
      <c r="B254" s="11">
        <v>-0.00374</v>
      </c>
      <c r="C254" s="11">
        <v>-0.00329</v>
      </c>
      <c r="D254" s="11">
        <v>-0.00249</v>
      </c>
      <c r="E254" s="11">
        <v>-0.00121</v>
      </c>
    </row>
    <row r="255">
      <c r="A255" s="3">
        <v>42852.0</v>
      </c>
      <c r="B255" s="11">
        <v>-0.00373</v>
      </c>
      <c r="C255" s="11">
        <v>-0.00329</v>
      </c>
      <c r="D255" s="11">
        <v>-0.00248</v>
      </c>
      <c r="E255" s="11">
        <v>-0.00121</v>
      </c>
    </row>
    <row r="256">
      <c r="A256" s="3">
        <v>42851.0</v>
      </c>
      <c r="B256" s="11">
        <v>-0.00373</v>
      </c>
      <c r="C256" s="11">
        <v>-0.00329</v>
      </c>
      <c r="D256" s="11">
        <v>-0.00248</v>
      </c>
      <c r="E256" s="11">
        <v>-0.00121</v>
      </c>
    </row>
    <row r="257">
      <c r="A257" s="3">
        <v>42850.0</v>
      </c>
      <c r="B257" s="11">
        <v>-0.0037099999999999998</v>
      </c>
      <c r="C257" s="11">
        <v>-0.00329</v>
      </c>
      <c r="D257" s="11">
        <v>-0.00248</v>
      </c>
      <c r="E257" s="11">
        <v>-0.00121</v>
      </c>
    </row>
    <row r="258">
      <c r="A258" s="3">
        <v>42849.0</v>
      </c>
      <c r="B258" s="11">
        <v>-0.0037099999999999998</v>
      </c>
      <c r="C258" s="11">
        <v>-0.00329</v>
      </c>
      <c r="D258" s="11">
        <v>-0.00247</v>
      </c>
      <c r="E258" s="11">
        <v>-0.00121</v>
      </c>
    </row>
    <row r="259">
      <c r="A259" s="3">
        <v>42846.0</v>
      </c>
      <c r="B259" s="11">
        <v>-0.0037099999999999998</v>
      </c>
      <c r="C259" s="11">
        <v>-0.00331</v>
      </c>
      <c r="D259" s="11">
        <v>-0.00249</v>
      </c>
      <c r="E259" s="11">
        <v>-0.00124</v>
      </c>
    </row>
    <row r="260">
      <c r="A260" s="3">
        <v>42845.0</v>
      </c>
      <c r="B260" s="11">
        <v>-0.0037199999999999998</v>
      </c>
      <c r="C260" s="11">
        <v>-0.00332</v>
      </c>
      <c r="D260" s="11">
        <v>-0.00249</v>
      </c>
      <c r="E260" s="11">
        <v>-0.00124</v>
      </c>
    </row>
    <row r="261">
      <c r="A261" s="3">
        <v>42844.0</v>
      </c>
      <c r="B261" s="11">
        <v>-0.0037099999999999998</v>
      </c>
      <c r="C261" s="11">
        <v>-0.00332</v>
      </c>
      <c r="D261" s="11">
        <v>-0.00251</v>
      </c>
      <c r="E261" s="11">
        <v>-0.00123</v>
      </c>
    </row>
    <row r="262">
      <c r="A262" s="3">
        <v>42843.0</v>
      </c>
      <c r="B262" s="11">
        <v>-0.0037099999999999998</v>
      </c>
      <c r="C262" s="11">
        <v>-0.00331</v>
      </c>
      <c r="D262" s="11">
        <v>-0.0025</v>
      </c>
      <c r="E262" s="11">
        <v>-0.00122</v>
      </c>
    </row>
    <row r="263">
      <c r="A263" s="3">
        <v>42838.0</v>
      </c>
      <c r="B263" s="11">
        <v>-0.0037199999999999998</v>
      </c>
      <c r="C263" s="11">
        <v>-0.00331</v>
      </c>
      <c r="D263" s="11">
        <v>-0.00246</v>
      </c>
      <c r="E263" s="11">
        <v>-0.0012</v>
      </c>
    </row>
    <row r="264">
      <c r="A264" s="3">
        <v>42837.0</v>
      </c>
      <c r="B264" s="11">
        <v>-0.00374</v>
      </c>
      <c r="C264" s="11">
        <v>-0.00332</v>
      </c>
      <c r="D264" s="11">
        <v>-0.00242</v>
      </c>
      <c r="E264" s="11">
        <v>-0.0012</v>
      </c>
    </row>
    <row r="265">
      <c r="A265" s="3">
        <v>42836.0</v>
      </c>
      <c r="B265" s="11">
        <v>-0.00375</v>
      </c>
      <c r="C265" s="11">
        <v>-0.00332</v>
      </c>
      <c r="D265" s="11">
        <v>-0.00242</v>
      </c>
      <c r="E265" s="11">
        <v>-0.0011899999999999999</v>
      </c>
    </row>
    <row r="266">
      <c r="A266" s="3">
        <v>42835.0</v>
      </c>
      <c r="B266" s="11">
        <v>-0.00374</v>
      </c>
      <c r="C266" s="11">
        <v>-0.00332</v>
      </c>
      <c r="D266" s="11">
        <v>-0.00241</v>
      </c>
      <c r="E266" s="11">
        <v>-0.0011799999999999998</v>
      </c>
    </row>
    <row r="267">
      <c r="A267" s="3">
        <v>42832.0</v>
      </c>
      <c r="B267" s="11">
        <v>-0.00373</v>
      </c>
      <c r="C267" s="11">
        <v>-0.0033</v>
      </c>
      <c r="D267" s="11">
        <v>-0.00241</v>
      </c>
      <c r="E267" s="11">
        <v>-0.00116</v>
      </c>
    </row>
    <row r="268">
      <c r="A268" s="3">
        <v>42831.0</v>
      </c>
      <c r="B268" s="11">
        <v>-0.0037199999999999998</v>
      </c>
      <c r="C268" s="11">
        <v>-0.0033</v>
      </c>
      <c r="D268" s="11">
        <v>-0.00242</v>
      </c>
      <c r="E268" s="11">
        <v>-0.00115</v>
      </c>
    </row>
    <row r="269">
      <c r="A269" s="3">
        <v>42830.0</v>
      </c>
      <c r="B269" s="11">
        <v>-0.00373</v>
      </c>
      <c r="C269" s="11">
        <v>-0.00329</v>
      </c>
      <c r="D269" s="11">
        <v>-0.00241</v>
      </c>
      <c r="E269" s="11">
        <v>-0.00114</v>
      </c>
    </row>
    <row r="270">
      <c r="A270" s="3">
        <v>42829.0</v>
      </c>
      <c r="B270" s="11">
        <v>-0.0037199999999999998</v>
      </c>
      <c r="C270" s="11">
        <v>-0.0033</v>
      </c>
      <c r="D270" s="11">
        <v>-0.00242</v>
      </c>
      <c r="E270" s="11">
        <v>-0.00111</v>
      </c>
    </row>
    <row r="271">
      <c r="A271" s="3">
        <v>42828.0</v>
      </c>
      <c r="B271" s="11">
        <v>-0.0037199999999999998</v>
      </c>
      <c r="C271" s="11">
        <v>-0.0033</v>
      </c>
      <c r="D271" s="11">
        <v>-0.00243</v>
      </c>
      <c r="E271" s="11">
        <v>-0.00111</v>
      </c>
    </row>
    <row r="272">
      <c r="A272" s="3">
        <v>42825.0</v>
      </c>
      <c r="B272" s="11">
        <v>-0.00373</v>
      </c>
      <c r="C272" s="11">
        <v>-0.00329</v>
      </c>
      <c r="D272" s="11">
        <v>-0.00241</v>
      </c>
      <c r="E272" s="11">
        <v>-0.00109</v>
      </c>
    </row>
    <row r="273">
      <c r="A273" s="3">
        <v>42824.0</v>
      </c>
      <c r="B273" s="11">
        <v>-0.00373</v>
      </c>
      <c r="C273" s="11">
        <v>-0.0033</v>
      </c>
      <c r="D273" s="11">
        <v>-0.00241</v>
      </c>
      <c r="E273" s="11">
        <v>-0.00109</v>
      </c>
    </row>
    <row r="274">
      <c r="A274" s="3">
        <v>42823.0</v>
      </c>
      <c r="B274" s="11">
        <v>-0.00373</v>
      </c>
      <c r="C274" s="11">
        <v>-0.0033</v>
      </c>
      <c r="D274" s="11">
        <v>-0.00242</v>
      </c>
      <c r="E274" s="11">
        <v>-0.00109</v>
      </c>
    </row>
    <row r="275">
      <c r="A275" s="3">
        <v>42822.0</v>
      </c>
      <c r="B275" s="11">
        <v>-0.00373</v>
      </c>
      <c r="C275" s="11">
        <v>-0.0033</v>
      </c>
      <c r="D275" s="11">
        <v>-0.00242</v>
      </c>
      <c r="E275" s="11">
        <v>-0.0011</v>
      </c>
    </row>
    <row r="276">
      <c r="A276" s="3">
        <v>42821.0</v>
      </c>
      <c r="B276" s="11">
        <v>-0.00374</v>
      </c>
      <c r="C276" s="11">
        <v>-0.0033</v>
      </c>
      <c r="D276" s="11">
        <v>-0.00242</v>
      </c>
      <c r="E276" s="11">
        <v>-0.00109</v>
      </c>
    </row>
    <row r="277">
      <c r="A277" s="3">
        <v>42818.0</v>
      </c>
      <c r="B277" s="11">
        <v>-0.0037199999999999998</v>
      </c>
      <c r="C277" s="11">
        <v>-0.0033</v>
      </c>
      <c r="D277" s="11">
        <v>-0.00242</v>
      </c>
      <c r="E277" s="11">
        <v>-0.00107</v>
      </c>
    </row>
    <row r="278">
      <c r="A278" s="3">
        <v>42817.0</v>
      </c>
      <c r="B278" s="11">
        <v>-0.00373</v>
      </c>
      <c r="C278" s="11">
        <v>-0.0033</v>
      </c>
      <c r="D278" s="11">
        <v>-0.00242</v>
      </c>
      <c r="E278" s="11">
        <v>-0.00107</v>
      </c>
    </row>
    <row r="279">
      <c r="A279" s="3">
        <v>42816.0</v>
      </c>
      <c r="B279" s="11">
        <v>-0.00373</v>
      </c>
      <c r="C279" s="11">
        <v>-0.0033</v>
      </c>
      <c r="D279" s="11">
        <v>-0.00242</v>
      </c>
      <c r="E279" s="11">
        <v>-0.00106</v>
      </c>
    </row>
    <row r="280">
      <c r="A280" s="3">
        <v>42815.0</v>
      </c>
      <c r="B280" s="11">
        <v>-0.00374</v>
      </c>
      <c r="C280" s="11">
        <v>-0.00329</v>
      </c>
      <c r="D280" s="11">
        <v>-0.00241</v>
      </c>
      <c r="E280" s="11">
        <v>-0.00106</v>
      </c>
    </row>
    <row r="281">
      <c r="A281" s="3">
        <v>42814.0</v>
      </c>
      <c r="B281" s="11">
        <v>-0.0037099999999999998</v>
      </c>
      <c r="C281" s="11">
        <v>-0.00329</v>
      </c>
      <c r="D281" s="11">
        <v>-0.00241</v>
      </c>
      <c r="E281" s="11">
        <v>-0.00109</v>
      </c>
    </row>
    <row r="282">
      <c r="A282" s="3">
        <v>42811.0</v>
      </c>
      <c r="B282" s="11">
        <v>-0.0037099999999999998</v>
      </c>
      <c r="C282" s="11">
        <v>-0.00329</v>
      </c>
      <c r="D282" s="11">
        <v>-0.00241</v>
      </c>
      <c r="E282" s="11">
        <v>-0.00109</v>
      </c>
    </row>
    <row r="283">
      <c r="A283" s="3">
        <v>42810.0</v>
      </c>
      <c r="B283" s="11">
        <v>-0.0037099999999999998</v>
      </c>
      <c r="C283" s="11">
        <v>-0.00329</v>
      </c>
      <c r="D283" s="11">
        <v>-0.00241</v>
      </c>
      <c r="E283" s="11">
        <v>-0.00111</v>
      </c>
    </row>
    <row r="284">
      <c r="A284" s="3">
        <v>42809.0</v>
      </c>
      <c r="B284" s="11">
        <v>-0.0037099999999999998</v>
      </c>
      <c r="C284" s="11">
        <v>-0.00329</v>
      </c>
      <c r="D284" s="11">
        <v>-0.00241</v>
      </c>
      <c r="E284" s="11">
        <v>-0.0011</v>
      </c>
    </row>
    <row r="285">
      <c r="A285" s="3">
        <v>42808.0</v>
      </c>
      <c r="B285" s="11">
        <v>-0.0037199999999999998</v>
      </c>
      <c r="C285" s="11">
        <v>-0.0033</v>
      </c>
      <c r="D285" s="11">
        <v>-0.00241</v>
      </c>
      <c r="E285" s="11">
        <v>-0.00108</v>
      </c>
    </row>
    <row r="286">
      <c r="A286" s="3">
        <v>42807.0</v>
      </c>
      <c r="B286" s="11">
        <v>-0.0037199999999999998</v>
      </c>
      <c r="C286" s="11">
        <v>-0.0033</v>
      </c>
      <c r="D286" s="11">
        <v>-0.00241</v>
      </c>
      <c r="E286" s="11">
        <v>-0.00108</v>
      </c>
    </row>
    <row r="287">
      <c r="A287" s="3">
        <v>42804.0</v>
      </c>
      <c r="B287" s="11">
        <v>-0.0037199999999999998</v>
      </c>
      <c r="C287" s="11">
        <v>-0.00329</v>
      </c>
      <c r="D287" s="11">
        <v>-0.00241</v>
      </c>
      <c r="E287" s="11">
        <v>-0.00109</v>
      </c>
    </row>
    <row r="288">
      <c r="A288" s="3">
        <v>42803.0</v>
      </c>
      <c r="B288" s="11">
        <v>-0.0037199999999999998</v>
      </c>
      <c r="C288" s="11">
        <v>-0.00329</v>
      </c>
      <c r="D288" s="11">
        <v>-0.00241</v>
      </c>
      <c r="E288" s="11">
        <v>-0.00111</v>
      </c>
    </row>
    <row r="289">
      <c r="A289" s="3">
        <v>42802.0</v>
      </c>
      <c r="B289" s="11">
        <v>-0.00373</v>
      </c>
      <c r="C289" s="11">
        <v>-0.00329</v>
      </c>
      <c r="D289" s="11">
        <v>-0.00241</v>
      </c>
      <c r="E289" s="11">
        <v>-0.00111</v>
      </c>
    </row>
    <row r="290">
      <c r="A290" s="3">
        <v>42801.0</v>
      </c>
      <c r="B290" s="11">
        <v>-0.00373</v>
      </c>
      <c r="C290" s="11">
        <v>-0.00328</v>
      </c>
      <c r="D290" s="11">
        <v>-0.0024</v>
      </c>
      <c r="E290" s="11">
        <v>-0.00111</v>
      </c>
    </row>
    <row r="291">
      <c r="A291" s="3">
        <v>42800.0</v>
      </c>
      <c r="B291" s="11">
        <v>-0.00374</v>
      </c>
      <c r="C291" s="11">
        <v>-0.00329</v>
      </c>
      <c r="D291" s="11">
        <v>-0.00241</v>
      </c>
      <c r="E291" s="11">
        <v>-0.00111</v>
      </c>
    </row>
    <row r="292">
      <c r="A292" s="3">
        <v>42797.0</v>
      </c>
      <c r="B292" s="11">
        <v>-0.0037099999999999998</v>
      </c>
      <c r="C292" s="11">
        <v>-0.00329</v>
      </c>
      <c r="D292" s="11">
        <v>-0.0023699999999999997</v>
      </c>
      <c r="E292" s="11">
        <v>-0.00113</v>
      </c>
    </row>
    <row r="293">
      <c r="A293" s="3">
        <v>42796.0</v>
      </c>
      <c r="B293" s="11">
        <v>-0.0037199999999999998</v>
      </c>
      <c r="C293" s="11">
        <v>-0.00329</v>
      </c>
      <c r="D293" s="11">
        <v>-0.0023799999999999997</v>
      </c>
      <c r="E293" s="11">
        <v>-0.00114</v>
      </c>
    </row>
    <row r="294">
      <c r="A294" s="3">
        <v>42795.0</v>
      </c>
      <c r="B294" s="11">
        <v>-0.0037199999999999998</v>
      </c>
      <c r="C294" s="11">
        <v>-0.00329</v>
      </c>
      <c r="D294" s="11">
        <v>-0.0023699999999999997</v>
      </c>
      <c r="E294" s="11">
        <v>-0.00114</v>
      </c>
    </row>
    <row r="295">
      <c r="A295" s="3">
        <v>42794.0</v>
      </c>
      <c r="B295" s="11">
        <v>-0.0037099999999999998</v>
      </c>
      <c r="C295" s="11">
        <v>-0.0033</v>
      </c>
      <c r="D295" s="11">
        <v>-0.0023899999999999998</v>
      </c>
      <c r="E295" s="11">
        <v>-0.00114</v>
      </c>
    </row>
    <row r="296">
      <c r="A296" s="3">
        <v>42793.0</v>
      </c>
      <c r="B296" s="11">
        <v>-0.0037099999999999998</v>
      </c>
      <c r="C296" s="11">
        <v>-0.00329</v>
      </c>
      <c r="D296" s="11">
        <v>-0.0023799999999999997</v>
      </c>
      <c r="E296" s="11">
        <v>-0.00113</v>
      </c>
    </row>
    <row r="297">
      <c r="A297" s="3">
        <v>42790.0</v>
      </c>
      <c r="B297" s="11">
        <v>-0.0037099999999999998</v>
      </c>
      <c r="C297" s="11">
        <v>-0.00329</v>
      </c>
      <c r="D297" s="11">
        <v>-0.0023799999999999997</v>
      </c>
      <c r="E297" s="11">
        <v>-0.00113</v>
      </c>
    </row>
    <row r="298">
      <c r="A298" s="3">
        <v>42789.0</v>
      </c>
      <c r="B298" s="11">
        <v>-0.0037099999999999998</v>
      </c>
      <c r="C298" s="11">
        <v>-0.00329</v>
      </c>
      <c r="D298" s="11">
        <v>-0.0023799999999999997</v>
      </c>
      <c r="E298" s="11">
        <v>-0.00111</v>
      </c>
    </row>
    <row r="299">
      <c r="A299" s="3">
        <v>42788.0</v>
      </c>
      <c r="B299" s="11">
        <v>-0.0037099999999999998</v>
      </c>
      <c r="C299" s="11">
        <v>-0.0033</v>
      </c>
      <c r="D299" s="11">
        <v>-0.0023899999999999998</v>
      </c>
      <c r="E299" s="11">
        <v>-0.00111</v>
      </c>
    </row>
    <row r="300">
      <c r="A300" s="3">
        <v>42787.0</v>
      </c>
      <c r="B300" s="11">
        <v>-0.0037</v>
      </c>
      <c r="C300" s="11">
        <v>-0.00329</v>
      </c>
      <c r="D300" s="11">
        <v>-0.0023799999999999997</v>
      </c>
      <c r="E300" s="11">
        <v>-0.00111</v>
      </c>
    </row>
    <row r="301">
      <c r="A301" s="3">
        <v>42786.0</v>
      </c>
      <c r="B301" s="11">
        <v>-0.00369</v>
      </c>
      <c r="C301" s="11">
        <v>-0.00329</v>
      </c>
      <c r="D301" s="11">
        <v>-0.0023799999999999997</v>
      </c>
      <c r="E301" s="11">
        <v>-0.00109</v>
      </c>
    </row>
    <row r="302">
      <c r="A302" s="3">
        <v>42783.0</v>
      </c>
      <c r="B302" s="11">
        <v>-0.0037099999999999998</v>
      </c>
      <c r="C302" s="11">
        <v>-0.00329</v>
      </c>
      <c r="D302" s="11">
        <v>-0.0023899999999999998</v>
      </c>
      <c r="E302" s="11">
        <v>-0.00109</v>
      </c>
    </row>
    <row r="303">
      <c r="A303" s="3">
        <v>42782.0</v>
      </c>
      <c r="B303" s="11">
        <v>-0.0037199999999999998</v>
      </c>
      <c r="C303" s="11">
        <v>-0.00328</v>
      </c>
      <c r="D303" s="11">
        <v>-0.0023899999999999998</v>
      </c>
      <c r="E303" s="11">
        <v>-0.00106</v>
      </c>
    </row>
    <row r="304">
      <c r="A304" s="3">
        <v>42781.0</v>
      </c>
      <c r="B304" s="11">
        <v>-0.00373</v>
      </c>
      <c r="C304" s="11">
        <v>-0.00328</v>
      </c>
      <c r="D304" s="11">
        <v>-0.00241</v>
      </c>
      <c r="E304" s="11">
        <v>-0.00104</v>
      </c>
    </row>
    <row r="305">
      <c r="A305" s="3">
        <v>42780.0</v>
      </c>
      <c r="B305" s="11">
        <v>-0.00374</v>
      </c>
      <c r="C305" s="11">
        <v>-0.00328</v>
      </c>
      <c r="D305" s="11">
        <v>-0.00241</v>
      </c>
      <c r="E305" s="11">
        <v>-0.00104</v>
      </c>
    </row>
    <row r="306">
      <c r="A306" s="3">
        <v>42779.0</v>
      </c>
      <c r="B306" s="11">
        <v>-0.00373</v>
      </c>
      <c r="C306" s="11">
        <v>-0.00329</v>
      </c>
      <c r="D306" s="11">
        <v>-0.0024</v>
      </c>
      <c r="E306" s="11">
        <v>-0.0010199999999999999</v>
      </c>
    </row>
    <row r="307">
      <c r="A307" s="3">
        <v>42776.0</v>
      </c>
      <c r="B307" s="11">
        <v>-0.0037099999999999998</v>
      </c>
      <c r="C307" s="11">
        <v>-0.00329</v>
      </c>
      <c r="D307" s="11">
        <v>-0.0024</v>
      </c>
      <c r="E307" s="11">
        <v>-0.00101</v>
      </c>
    </row>
    <row r="308">
      <c r="A308" s="3">
        <v>42775.0</v>
      </c>
      <c r="B308" s="11">
        <v>-0.0037099999999999998</v>
      </c>
      <c r="C308" s="11">
        <v>-0.00328</v>
      </c>
      <c r="D308" s="11">
        <v>-0.00241</v>
      </c>
      <c r="E308" s="11">
        <v>-0.00101</v>
      </c>
    </row>
    <row r="309">
      <c r="A309" s="3">
        <v>42774.0</v>
      </c>
      <c r="B309" s="11">
        <v>-0.00373</v>
      </c>
      <c r="C309" s="11">
        <v>-0.00328</v>
      </c>
      <c r="D309" s="11">
        <v>-0.00242</v>
      </c>
      <c r="E309" s="11">
        <v>-0.00101</v>
      </c>
    </row>
    <row r="310">
      <c r="A310" s="3">
        <v>42773.0</v>
      </c>
      <c r="B310" s="11">
        <v>-0.00373</v>
      </c>
      <c r="C310" s="11">
        <v>-0.00328</v>
      </c>
      <c r="D310" s="11">
        <v>-0.00244</v>
      </c>
      <c r="E310" s="11">
        <v>-0.00101</v>
      </c>
    </row>
    <row r="311">
      <c r="A311" s="3">
        <v>42772.0</v>
      </c>
      <c r="B311" s="11">
        <v>-0.00373</v>
      </c>
      <c r="C311" s="11">
        <v>-0.00328</v>
      </c>
      <c r="D311" s="11">
        <v>-0.00244</v>
      </c>
      <c r="E311" s="11">
        <v>-0.00101</v>
      </c>
    </row>
    <row r="312">
      <c r="A312" s="3">
        <v>42769.0</v>
      </c>
      <c r="B312" s="11">
        <v>-0.00373</v>
      </c>
      <c r="C312" s="11">
        <v>-0.00328</v>
      </c>
      <c r="D312" s="11">
        <v>-0.00244</v>
      </c>
      <c r="E312" s="11">
        <v>-0.00101</v>
      </c>
    </row>
    <row r="313">
      <c r="A313" s="3">
        <v>42768.0</v>
      </c>
      <c r="B313" s="11">
        <v>-0.00373</v>
      </c>
      <c r="C313" s="11">
        <v>-0.00328</v>
      </c>
      <c r="D313" s="11">
        <v>-0.00244</v>
      </c>
      <c r="E313" s="11">
        <v>-0.0010199999999999999</v>
      </c>
    </row>
    <row r="314">
      <c r="A314" s="3">
        <v>42767.0</v>
      </c>
      <c r="B314" s="11">
        <v>-0.0037199999999999998</v>
      </c>
      <c r="C314" s="11">
        <v>-0.00328</v>
      </c>
      <c r="D314" s="11">
        <v>-0.00244</v>
      </c>
      <c r="E314" s="11">
        <v>-0.0010299999999999999</v>
      </c>
    </row>
    <row r="315">
      <c r="A315" s="3">
        <v>42766.0</v>
      </c>
      <c r="B315" s="11">
        <v>-0.0037199999999999998</v>
      </c>
      <c r="C315" s="11">
        <v>-0.0032700000000000003</v>
      </c>
      <c r="D315" s="11">
        <v>-0.00243</v>
      </c>
      <c r="E315" s="11">
        <v>-0.00101</v>
      </c>
    </row>
    <row r="316">
      <c r="A316" s="3">
        <v>42765.0</v>
      </c>
      <c r="B316" s="11">
        <v>-0.0037199999999999998</v>
      </c>
      <c r="C316" s="11">
        <v>-0.00328</v>
      </c>
      <c r="D316" s="11">
        <v>-0.00244</v>
      </c>
      <c r="E316" s="11">
        <v>-0.001</v>
      </c>
    </row>
    <row r="317">
      <c r="A317" s="3">
        <v>42762.0</v>
      </c>
      <c r="B317" s="11">
        <v>-0.0037199999999999998</v>
      </c>
      <c r="C317" s="11">
        <v>-0.00328</v>
      </c>
      <c r="D317" s="11">
        <v>-0.00243</v>
      </c>
      <c r="E317" s="11">
        <v>-0.00101</v>
      </c>
    </row>
    <row r="318">
      <c r="A318" s="3">
        <v>42761.0</v>
      </c>
      <c r="B318" s="11">
        <v>-0.0037199999999999998</v>
      </c>
      <c r="C318" s="11">
        <v>-0.00328</v>
      </c>
      <c r="D318" s="11">
        <v>-0.00244</v>
      </c>
      <c r="E318" s="11">
        <v>-0.0010199999999999999</v>
      </c>
    </row>
    <row r="319">
      <c r="A319" s="3">
        <v>42760.0</v>
      </c>
      <c r="B319" s="11">
        <v>-0.0037199999999999998</v>
      </c>
      <c r="C319" s="11">
        <v>-0.00328</v>
      </c>
      <c r="D319" s="11">
        <v>-0.00242</v>
      </c>
      <c r="E319" s="11">
        <v>-0.00101</v>
      </c>
    </row>
    <row r="320">
      <c r="A320" s="3">
        <v>42759.0</v>
      </c>
      <c r="B320" s="11">
        <v>-0.0037199999999999998</v>
      </c>
      <c r="C320" s="11">
        <v>-0.00328</v>
      </c>
      <c r="D320" s="11">
        <v>-0.00242</v>
      </c>
      <c r="E320" s="11">
        <v>-0.00101</v>
      </c>
    </row>
    <row r="321">
      <c r="A321" s="3">
        <v>42758.0</v>
      </c>
      <c r="B321" s="11">
        <v>-0.0037199999999999998</v>
      </c>
      <c r="C321" s="11">
        <v>-0.0032700000000000003</v>
      </c>
      <c r="D321" s="11">
        <v>-0.00241</v>
      </c>
      <c r="E321" s="11">
        <v>-0.00101</v>
      </c>
    </row>
    <row r="322">
      <c r="A322" s="3">
        <v>42755.0</v>
      </c>
      <c r="B322" s="11">
        <v>-0.0037199999999999998</v>
      </c>
      <c r="C322" s="11">
        <v>-0.00328</v>
      </c>
      <c r="D322" s="11">
        <v>-0.00241</v>
      </c>
      <c r="E322" s="11">
        <v>-0.001</v>
      </c>
    </row>
    <row r="323">
      <c r="A323" s="3">
        <v>42754.0</v>
      </c>
      <c r="B323" s="11">
        <v>-0.0037199999999999998</v>
      </c>
      <c r="C323" s="11">
        <v>-0.00329</v>
      </c>
      <c r="D323" s="11">
        <v>-0.0024</v>
      </c>
      <c r="E323" s="11">
        <v>-0.001</v>
      </c>
    </row>
    <row r="324">
      <c r="A324" s="3">
        <v>42753.0</v>
      </c>
      <c r="B324" s="11">
        <v>-0.0037199999999999998</v>
      </c>
      <c r="C324" s="11">
        <v>-0.00329</v>
      </c>
      <c r="D324" s="11">
        <v>-0.0024</v>
      </c>
      <c r="E324" s="11">
        <v>-9.9E-4</v>
      </c>
    </row>
    <row r="325">
      <c r="A325" s="3">
        <v>42752.0</v>
      </c>
      <c r="B325" s="11">
        <v>-0.0037199999999999998</v>
      </c>
      <c r="C325" s="11">
        <v>-0.00329</v>
      </c>
      <c r="D325" s="11">
        <v>-0.0023899999999999998</v>
      </c>
      <c r="E325" s="11">
        <v>-9.8E-4</v>
      </c>
    </row>
    <row r="326">
      <c r="A326" s="3">
        <v>42751.0</v>
      </c>
      <c r="B326" s="11">
        <v>-0.0037199999999999998</v>
      </c>
      <c r="C326" s="11">
        <v>-0.00328</v>
      </c>
      <c r="D326" s="11">
        <v>-0.0023799999999999997</v>
      </c>
      <c r="E326" s="11">
        <v>-9.5E-4</v>
      </c>
    </row>
    <row r="327">
      <c r="A327" s="3">
        <v>42748.0</v>
      </c>
      <c r="B327" s="11">
        <v>-0.0037199999999999998</v>
      </c>
      <c r="C327" s="11">
        <v>-0.0032700000000000003</v>
      </c>
      <c r="D327" s="11">
        <v>-0.0023599999999999997</v>
      </c>
      <c r="E327" s="11">
        <v>-9.4E-4</v>
      </c>
    </row>
    <row r="328">
      <c r="A328" s="3">
        <v>42747.0</v>
      </c>
      <c r="B328" s="11">
        <v>-0.0037199999999999998</v>
      </c>
      <c r="C328" s="11">
        <v>-0.0032700000000000003</v>
      </c>
      <c r="D328" s="11">
        <v>-0.00234</v>
      </c>
      <c r="E328" s="11">
        <v>-9.299999999999999E-4</v>
      </c>
    </row>
    <row r="329">
      <c r="A329" s="3">
        <v>42746.0</v>
      </c>
      <c r="B329" s="11">
        <v>-0.0037199999999999998</v>
      </c>
      <c r="C329" s="11">
        <v>-0.0032600000000000003</v>
      </c>
      <c r="D329" s="11">
        <v>-0.00233</v>
      </c>
      <c r="E329" s="11">
        <v>-9.1E-4</v>
      </c>
    </row>
    <row r="330">
      <c r="A330" s="3">
        <v>42745.0</v>
      </c>
      <c r="B330" s="11">
        <v>-0.0037199999999999998</v>
      </c>
      <c r="C330" s="11">
        <v>-0.0032400000000000003</v>
      </c>
      <c r="D330" s="11">
        <v>-0.00232</v>
      </c>
      <c r="E330" s="11">
        <v>-9.0E-4</v>
      </c>
    </row>
    <row r="331">
      <c r="A331" s="3">
        <v>42744.0</v>
      </c>
      <c r="B331" s="11">
        <v>-0.0037099999999999998</v>
      </c>
      <c r="C331" s="11">
        <v>-0.00322</v>
      </c>
      <c r="D331" s="11">
        <v>-0.0023</v>
      </c>
      <c r="E331" s="11">
        <v>-8.799999999999999E-4</v>
      </c>
    </row>
    <row r="332">
      <c r="A332" s="3">
        <v>42741.0</v>
      </c>
      <c r="B332" s="11">
        <v>-0.00369</v>
      </c>
      <c r="C332" s="11">
        <v>-0.00321</v>
      </c>
      <c r="D332" s="11">
        <v>-0.00229</v>
      </c>
      <c r="E332" s="11">
        <v>-8.699999999999999E-4</v>
      </c>
    </row>
    <row r="333">
      <c r="A333" s="3">
        <v>42740.0</v>
      </c>
      <c r="B333" s="11">
        <v>-0.00369</v>
      </c>
      <c r="C333" s="11">
        <v>-0.00321</v>
      </c>
      <c r="D333" s="11">
        <v>-0.00226</v>
      </c>
      <c r="E333" s="11">
        <v>-8.500000000000001E-4</v>
      </c>
    </row>
    <row r="334">
      <c r="A334" s="3">
        <v>42739.0</v>
      </c>
      <c r="B334" s="11">
        <v>-0.00369</v>
      </c>
      <c r="C334" s="11">
        <v>-0.0032</v>
      </c>
      <c r="D334" s="11">
        <v>-0.0022400000000000002</v>
      </c>
      <c r="E334" s="11">
        <v>-8.500000000000001E-4</v>
      </c>
    </row>
    <row r="335">
      <c r="A335" s="3">
        <v>42738.0</v>
      </c>
      <c r="B335" s="11">
        <v>-0.0037</v>
      </c>
      <c r="C335" s="11">
        <v>-0.00319</v>
      </c>
      <c r="D335" s="11">
        <v>-0.00221</v>
      </c>
      <c r="E335" s="11">
        <v>-8.4E-4</v>
      </c>
    </row>
    <row r="336">
      <c r="A336" s="3">
        <v>42737.0</v>
      </c>
      <c r="B336" s="11">
        <v>-0.00368</v>
      </c>
      <c r="C336" s="11">
        <v>-0.00318</v>
      </c>
      <c r="D336" s="11">
        <v>-0.0022</v>
      </c>
      <c r="E336" s="11">
        <v>-8.3E-4</v>
      </c>
    </row>
    <row r="337">
      <c r="A337" s="3">
        <v>42734.0</v>
      </c>
      <c r="B337" s="11">
        <v>-0.00368</v>
      </c>
      <c r="C337" s="11">
        <v>-0.00319</v>
      </c>
      <c r="D337" s="11">
        <v>-0.00221</v>
      </c>
      <c r="E337" s="11">
        <v>-8.2E-4</v>
      </c>
    </row>
    <row r="338">
      <c r="A338" s="3">
        <v>42733.0</v>
      </c>
      <c r="B338" s="11">
        <v>-0.00368</v>
      </c>
      <c r="C338" s="11">
        <v>-0.00319</v>
      </c>
      <c r="D338" s="11">
        <v>-0.00221</v>
      </c>
      <c r="E338" s="11">
        <v>-8.100000000000001E-4</v>
      </c>
    </row>
    <row r="339">
      <c r="A339" s="3">
        <v>42732.0</v>
      </c>
      <c r="B339" s="11">
        <v>-0.00366</v>
      </c>
      <c r="C339" s="11">
        <v>-0.00319</v>
      </c>
      <c r="D339" s="11">
        <v>-0.00221</v>
      </c>
      <c r="E339" s="11">
        <v>-8.2E-4</v>
      </c>
    </row>
    <row r="340">
      <c r="A340" s="3">
        <v>42731.0</v>
      </c>
      <c r="B340" s="11">
        <v>-0.00369</v>
      </c>
      <c r="C340" s="11">
        <v>-0.00318</v>
      </c>
      <c r="D340" s="11">
        <v>-0.0022</v>
      </c>
      <c r="E340" s="11">
        <v>-8.100000000000001E-4</v>
      </c>
    </row>
    <row r="341">
      <c r="A341" s="3">
        <v>42727.0</v>
      </c>
      <c r="B341" s="11">
        <v>-0.00369</v>
      </c>
      <c r="C341" s="11">
        <v>-0.00317</v>
      </c>
      <c r="D341" s="11">
        <v>-0.00217</v>
      </c>
      <c r="E341" s="11">
        <v>-8.2E-4</v>
      </c>
    </row>
    <row r="342">
      <c r="A342" s="3">
        <v>42726.0</v>
      </c>
      <c r="B342" s="11">
        <v>-0.00369</v>
      </c>
      <c r="C342" s="11">
        <v>-0.00316</v>
      </c>
      <c r="D342" s="11">
        <v>-0.00216</v>
      </c>
      <c r="E342" s="11">
        <v>-8.2E-4</v>
      </c>
    </row>
    <row r="343">
      <c r="A343" s="3">
        <v>42725.0</v>
      </c>
      <c r="B343" s="11">
        <v>-0.00369</v>
      </c>
      <c r="C343" s="11">
        <v>-0.00315</v>
      </c>
      <c r="D343" s="11">
        <v>-0.00216</v>
      </c>
      <c r="E343" s="11">
        <v>-8.2E-4</v>
      </c>
    </row>
    <row r="344">
      <c r="A344" s="3">
        <v>42724.0</v>
      </c>
      <c r="B344" s="11">
        <v>-0.0037099999999999998</v>
      </c>
      <c r="C344" s="11">
        <v>-0.00313</v>
      </c>
      <c r="D344" s="11">
        <v>-0.00218</v>
      </c>
      <c r="E344" s="11">
        <v>-8.100000000000001E-4</v>
      </c>
    </row>
    <row r="345">
      <c r="A345" s="3">
        <v>42723.0</v>
      </c>
      <c r="B345" s="11">
        <v>-0.0037099999999999998</v>
      </c>
      <c r="C345" s="11">
        <v>-0.00313</v>
      </c>
      <c r="D345" s="11">
        <v>-0.00216</v>
      </c>
      <c r="E345" s="11">
        <v>-8.100000000000001E-4</v>
      </c>
    </row>
    <row r="346">
      <c r="A346" s="3">
        <v>42720.0</v>
      </c>
      <c r="B346" s="11">
        <v>-0.0037199999999999998</v>
      </c>
      <c r="C346" s="11">
        <v>-0.00314</v>
      </c>
      <c r="D346" s="11">
        <v>-0.00216</v>
      </c>
      <c r="E346" s="11">
        <v>-8.100000000000001E-4</v>
      </c>
    </row>
    <row r="347">
      <c r="A347" s="3">
        <v>42719.0</v>
      </c>
      <c r="B347" s="11">
        <v>-0.0037</v>
      </c>
      <c r="C347" s="11">
        <v>-0.00316</v>
      </c>
      <c r="D347" s="11">
        <v>-0.00217</v>
      </c>
      <c r="E347" s="11">
        <v>-8.100000000000001E-4</v>
      </c>
    </row>
    <row r="348">
      <c r="A348" s="3">
        <v>42718.0</v>
      </c>
      <c r="B348" s="11">
        <v>-0.0037099999999999998</v>
      </c>
      <c r="C348" s="11">
        <v>-0.00316</v>
      </c>
      <c r="D348" s="11">
        <v>-0.00217</v>
      </c>
      <c r="E348" s="11">
        <v>-8.2E-4</v>
      </c>
    </row>
    <row r="349">
      <c r="A349" s="3">
        <v>42717.0</v>
      </c>
      <c r="B349" s="11">
        <v>-0.0037099999999999998</v>
      </c>
      <c r="C349" s="11">
        <v>-0.00316</v>
      </c>
      <c r="D349" s="11">
        <v>-0.00218</v>
      </c>
      <c r="E349" s="11">
        <v>-8.100000000000001E-4</v>
      </c>
    </row>
    <row r="350">
      <c r="A350" s="3">
        <v>42716.0</v>
      </c>
      <c r="B350" s="11">
        <v>-0.0037099999999999998</v>
      </c>
      <c r="C350" s="11">
        <v>-0.00316</v>
      </c>
      <c r="D350" s="11">
        <v>-0.00217</v>
      </c>
      <c r="E350" s="11">
        <v>-8.100000000000001E-4</v>
      </c>
    </row>
    <row r="351">
      <c r="A351" s="3">
        <v>42713.0</v>
      </c>
      <c r="B351" s="11">
        <v>-0.0037099999999999998</v>
      </c>
      <c r="C351" s="11">
        <v>-0.00316</v>
      </c>
      <c r="D351" s="11">
        <v>-0.00217</v>
      </c>
      <c r="E351" s="11">
        <v>-8.100000000000001E-4</v>
      </c>
    </row>
    <row r="352">
      <c r="A352" s="3">
        <v>42712.0</v>
      </c>
      <c r="B352" s="11">
        <v>-0.0037199999999999998</v>
      </c>
      <c r="C352" s="11">
        <v>-0.00318</v>
      </c>
      <c r="D352" s="11">
        <v>-0.00217</v>
      </c>
      <c r="E352" s="11">
        <v>-7.8E-4</v>
      </c>
    </row>
    <row r="353">
      <c r="A353" s="3">
        <v>42711.0</v>
      </c>
      <c r="B353" s="11">
        <v>-0.0037199999999999998</v>
      </c>
      <c r="C353" s="11">
        <v>-0.00316</v>
      </c>
      <c r="D353" s="11">
        <v>-0.00217</v>
      </c>
      <c r="E353" s="11">
        <v>-7.8E-4</v>
      </c>
    </row>
    <row r="354">
      <c r="A354" s="3">
        <v>42710.0</v>
      </c>
      <c r="B354" s="11">
        <v>-0.0037199999999999998</v>
      </c>
      <c r="C354" s="11">
        <v>-0.00315</v>
      </c>
      <c r="D354" s="11">
        <v>-0.00219</v>
      </c>
      <c r="E354" s="11">
        <v>-7.9E-4</v>
      </c>
    </row>
    <row r="355">
      <c r="A355" s="3">
        <v>42709.0</v>
      </c>
      <c r="B355" s="11">
        <v>-0.00373</v>
      </c>
      <c r="C355" s="11">
        <v>-0.00313</v>
      </c>
      <c r="D355" s="11">
        <v>-0.00218</v>
      </c>
      <c r="E355" s="11">
        <v>-7.8E-4</v>
      </c>
    </row>
    <row r="356">
      <c r="A356" s="3">
        <v>42706.0</v>
      </c>
      <c r="B356" s="11">
        <v>-0.0037099999999999998</v>
      </c>
      <c r="C356" s="11">
        <v>-0.00313</v>
      </c>
      <c r="D356" s="11">
        <v>-0.00218</v>
      </c>
      <c r="E356" s="11">
        <v>-7.599999999999999E-4</v>
      </c>
    </row>
    <row r="357">
      <c r="A357" s="3">
        <v>42705.0</v>
      </c>
      <c r="B357" s="11">
        <v>-0.0037199999999999998</v>
      </c>
      <c r="C357" s="11">
        <v>-0.00313</v>
      </c>
      <c r="D357" s="11">
        <v>-0.00219</v>
      </c>
      <c r="E357" s="11">
        <v>-7.9E-4</v>
      </c>
    </row>
    <row r="358">
      <c r="A358" s="3">
        <v>42704.0</v>
      </c>
      <c r="B358" s="11">
        <v>-0.0037199999999999998</v>
      </c>
      <c r="C358" s="11">
        <v>-0.00314</v>
      </c>
      <c r="D358" s="11">
        <v>-0.00219</v>
      </c>
      <c r="E358" s="11">
        <v>-8.0E-4</v>
      </c>
    </row>
    <row r="359">
      <c r="A359" s="3">
        <v>42703.0</v>
      </c>
      <c r="B359" s="11">
        <v>-0.0037199999999999998</v>
      </c>
      <c r="C359" s="11">
        <v>-0.00314</v>
      </c>
      <c r="D359" s="11">
        <v>-0.00219</v>
      </c>
      <c r="E359" s="11">
        <v>-7.9E-4</v>
      </c>
    </row>
    <row r="360">
      <c r="A360" s="3">
        <v>42702.0</v>
      </c>
      <c r="B360" s="11">
        <v>-0.00374</v>
      </c>
      <c r="C360" s="11">
        <v>-0.00314</v>
      </c>
      <c r="D360" s="11">
        <v>-0.00219</v>
      </c>
      <c r="E360" s="11">
        <v>-7.9E-4</v>
      </c>
    </row>
    <row r="361">
      <c r="A361" s="3">
        <v>42699.0</v>
      </c>
      <c r="B361" s="11">
        <v>-0.00373</v>
      </c>
      <c r="C361" s="11">
        <v>-0.00314</v>
      </c>
      <c r="D361" s="11">
        <v>-0.00219</v>
      </c>
      <c r="E361" s="11">
        <v>-7.9E-4</v>
      </c>
    </row>
    <row r="362">
      <c r="A362" s="3">
        <v>42698.0</v>
      </c>
      <c r="B362" s="11">
        <v>-0.00373</v>
      </c>
      <c r="C362" s="11">
        <v>-0.00314</v>
      </c>
      <c r="D362" s="11">
        <v>-0.00219</v>
      </c>
      <c r="E362" s="11">
        <v>-7.9E-4</v>
      </c>
    </row>
    <row r="363">
      <c r="A363" s="3">
        <v>42697.0</v>
      </c>
      <c r="B363" s="11">
        <v>-0.00373</v>
      </c>
      <c r="C363" s="11">
        <v>-0.00313</v>
      </c>
      <c r="D363" s="11">
        <v>-0.0022</v>
      </c>
      <c r="E363" s="11">
        <v>-7.8E-4</v>
      </c>
    </row>
    <row r="364">
      <c r="A364" s="3">
        <v>42696.0</v>
      </c>
      <c r="B364" s="11">
        <v>-0.00373</v>
      </c>
      <c r="C364" s="11">
        <v>-0.00313</v>
      </c>
      <c r="D364" s="11">
        <v>-0.0022</v>
      </c>
      <c r="E364" s="11">
        <v>-7.9E-4</v>
      </c>
    </row>
    <row r="365">
      <c r="A365" s="3">
        <v>42695.0</v>
      </c>
      <c r="B365" s="11">
        <v>-0.0037099999999999998</v>
      </c>
      <c r="C365" s="11">
        <v>-0.00312</v>
      </c>
      <c r="D365" s="11">
        <v>-0.00219</v>
      </c>
      <c r="E365" s="11">
        <v>-7.8E-4</v>
      </c>
    </row>
    <row r="366">
      <c r="A366" s="3">
        <v>42692.0</v>
      </c>
      <c r="B366" s="11">
        <v>-0.00373</v>
      </c>
      <c r="C366" s="11">
        <v>-0.00313</v>
      </c>
      <c r="D366" s="11">
        <v>-0.00217</v>
      </c>
      <c r="E366" s="11">
        <v>-7.7E-4</v>
      </c>
    </row>
    <row r="367">
      <c r="A367" s="3">
        <v>42691.0</v>
      </c>
      <c r="B367" s="11">
        <v>-0.0037199999999999998</v>
      </c>
      <c r="C367" s="11">
        <v>-0.00312</v>
      </c>
      <c r="D367" s="11">
        <v>-0.00215</v>
      </c>
      <c r="E367" s="11">
        <v>-7.5E-4</v>
      </c>
    </row>
    <row r="368">
      <c r="A368" s="3">
        <v>42690.0</v>
      </c>
      <c r="B368" s="11">
        <v>-0.0037099999999999998</v>
      </c>
      <c r="C368" s="11">
        <v>-0.00311</v>
      </c>
      <c r="D368" s="11">
        <v>-0.00214</v>
      </c>
      <c r="E368" s="11">
        <v>-7.3E-4</v>
      </c>
    </row>
    <row r="369">
      <c r="A369" s="3">
        <v>42689.0</v>
      </c>
      <c r="B369" s="11">
        <v>-0.0037099999999999998</v>
      </c>
      <c r="C369" s="11">
        <v>-0.00312</v>
      </c>
      <c r="D369" s="11">
        <v>-0.00211</v>
      </c>
      <c r="E369" s="11">
        <v>-7.099999999999999E-4</v>
      </c>
    </row>
    <row r="370">
      <c r="A370" s="3">
        <v>42688.0</v>
      </c>
      <c r="B370" s="11">
        <v>-0.00373</v>
      </c>
      <c r="C370" s="11">
        <v>-0.00312</v>
      </c>
      <c r="D370" s="11">
        <v>-0.00211</v>
      </c>
      <c r="E370" s="11">
        <v>-7.000000000000001E-4</v>
      </c>
    </row>
    <row r="371">
      <c r="A371" s="3">
        <v>42685.0</v>
      </c>
      <c r="B371" s="11">
        <v>-0.00374</v>
      </c>
      <c r="C371" s="11">
        <v>-0.00312</v>
      </c>
      <c r="D371" s="11">
        <v>-0.0021</v>
      </c>
      <c r="E371" s="11">
        <v>-6.900000000000001E-4</v>
      </c>
    </row>
    <row r="372">
      <c r="A372" s="3">
        <v>42684.0</v>
      </c>
      <c r="B372" s="11">
        <v>-0.00373</v>
      </c>
      <c r="C372" s="11">
        <v>-0.00312</v>
      </c>
      <c r="D372" s="11">
        <v>-0.00211</v>
      </c>
      <c r="E372" s="11">
        <v>-7.099999999999999E-4</v>
      </c>
    </row>
    <row r="373">
      <c r="A373" s="3">
        <v>42683.0</v>
      </c>
      <c r="B373" s="11">
        <v>-0.00373</v>
      </c>
      <c r="C373" s="11">
        <v>-0.00312</v>
      </c>
      <c r="D373" s="11">
        <v>-0.00211</v>
      </c>
      <c r="E373" s="11">
        <v>-7.000000000000001E-4</v>
      </c>
    </row>
    <row r="374">
      <c r="A374" s="3">
        <v>42682.0</v>
      </c>
      <c r="B374" s="11">
        <v>-0.00374</v>
      </c>
      <c r="C374" s="11">
        <v>-0.00312</v>
      </c>
      <c r="D374" s="11">
        <v>-0.00211</v>
      </c>
      <c r="E374" s="11">
        <v>-7.000000000000001E-4</v>
      </c>
    </row>
    <row r="375">
      <c r="A375" s="3">
        <v>42681.0</v>
      </c>
      <c r="B375" s="11">
        <v>-0.00373</v>
      </c>
      <c r="C375" s="11">
        <v>-0.00312</v>
      </c>
      <c r="D375" s="11">
        <v>-0.00211</v>
      </c>
      <c r="E375" s="11">
        <v>-7.000000000000001E-4</v>
      </c>
    </row>
    <row r="376">
      <c r="A376" s="3">
        <v>42678.0</v>
      </c>
      <c r="B376" s="11">
        <v>-0.00373</v>
      </c>
      <c r="C376" s="11">
        <v>-0.00312</v>
      </c>
      <c r="D376" s="11">
        <v>-0.00213</v>
      </c>
      <c r="E376" s="11">
        <v>-7.099999999999999E-4</v>
      </c>
    </row>
    <row r="377">
      <c r="A377" s="3">
        <v>42677.0</v>
      </c>
      <c r="B377" s="11">
        <v>-0.00373</v>
      </c>
      <c r="C377" s="11">
        <v>-0.00313</v>
      </c>
      <c r="D377" s="11">
        <v>-0.00213</v>
      </c>
      <c r="E377" s="11">
        <v>-7.099999999999999E-4</v>
      </c>
    </row>
    <row r="378">
      <c r="A378" s="3">
        <v>42676.0</v>
      </c>
      <c r="B378" s="11">
        <v>-0.00373</v>
      </c>
      <c r="C378" s="11">
        <v>-0.00313</v>
      </c>
      <c r="D378" s="11">
        <v>-0.00213</v>
      </c>
      <c r="E378" s="11">
        <v>-7.099999999999999E-4</v>
      </c>
    </row>
    <row r="379">
      <c r="A379" s="3">
        <v>42675.0</v>
      </c>
      <c r="B379" s="11">
        <v>-0.00374</v>
      </c>
      <c r="C379" s="11">
        <v>-0.00313</v>
      </c>
      <c r="D379" s="11">
        <v>-0.00211</v>
      </c>
      <c r="E379" s="11">
        <v>-6.900000000000001E-4</v>
      </c>
    </row>
    <row r="380">
      <c r="A380" s="3">
        <v>42674.0</v>
      </c>
      <c r="B380" s="11">
        <v>-0.0037199999999999998</v>
      </c>
      <c r="C380" s="11">
        <v>-0.00313</v>
      </c>
      <c r="D380" s="11">
        <v>-0.00212</v>
      </c>
      <c r="E380" s="11">
        <v>-6.900000000000001E-4</v>
      </c>
    </row>
    <row r="381">
      <c r="A381" s="3">
        <v>42671.0</v>
      </c>
      <c r="B381" s="11">
        <v>-0.00373</v>
      </c>
      <c r="C381" s="11">
        <v>-0.00313</v>
      </c>
      <c r="D381" s="11">
        <v>-0.00212</v>
      </c>
      <c r="E381" s="11">
        <v>-6.900000000000001E-4</v>
      </c>
    </row>
    <row r="382">
      <c r="A382" s="3">
        <v>42670.0</v>
      </c>
      <c r="B382" s="11">
        <v>-0.0037199999999999998</v>
      </c>
      <c r="C382" s="11">
        <v>-0.00312</v>
      </c>
      <c r="D382" s="11">
        <v>-0.00213</v>
      </c>
      <c r="E382" s="11">
        <v>-7.000000000000001E-4</v>
      </c>
    </row>
    <row r="383">
      <c r="A383" s="3">
        <v>42669.0</v>
      </c>
      <c r="B383" s="11">
        <v>-0.0037199999999999998</v>
      </c>
      <c r="C383" s="11">
        <v>-0.00313</v>
      </c>
      <c r="D383" s="11">
        <v>-0.00212</v>
      </c>
      <c r="E383" s="11">
        <v>-7.000000000000001E-4</v>
      </c>
    </row>
    <row r="384">
      <c r="A384" s="3">
        <v>42668.0</v>
      </c>
      <c r="B384" s="11">
        <v>-0.0037099999999999998</v>
      </c>
      <c r="C384" s="11">
        <v>-0.00312</v>
      </c>
      <c r="D384" s="11">
        <v>-0.00212</v>
      </c>
      <c r="E384" s="11">
        <v>-7.099999999999999E-4</v>
      </c>
    </row>
    <row r="385">
      <c r="A385" s="3">
        <v>42667.0</v>
      </c>
      <c r="B385" s="11">
        <v>-0.0037099999999999998</v>
      </c>
      <c r="C385" s="11">
        <v>-0.00311</v>
      </c>
      <c r="D385" s="11">
        <v>-0.00212</v>
      </c>
      <c r="E385" s="11">
        <v>-7.000000000000001E-4</v>
      </c>
    </row>
    <row r="386">
      <c r="A386" s="3">
        <v>42664.0</v>
      </c>
      <c r="B386" s="11">
        <v>-0.0037199999999999998</v>
      </c>
      <c r="C386" s="11">
        <v>-0.00312</v>
      </c>
      <c r="D386" s="11">
        <v>-0.00211</v>
      </c>
      <c r="E386" s="11">
        <v>-7.4E-4</v>
      </c>
    </row>
    <row r="387">
      <c r="A387" s="3">
        <v>42663.0</v>
      </c>
      <c r="B387" s="11">
        <v>-0.0037199999999999998</v>
      </c>
      <c r="C387" s="11">
        <v>-0.00313</v>
      </c>
      <c r="D387" s="11">
        <v>-0.00211</v>
      </c>
      <c r="E387" s="11">
        <v>-7.3E-4</v>
      </c>
    </row>
    <row r="388">
      <c r="A388" s="3">
        <v>42662.0</v>
      </c>
      <c r="B388" s="11">
        <v>-0.0037099999999999998</v>
      </c>
      <c r="C388" s="11">
        <v>-0.00313</v>
      </c>
      <c r="D388" s="11">
        <v>-0.0021</v>
      </c>
      <c r="E388" s="11">
        <v>-7.3E-4</v>
      </c>
    </row>
    <row r="389">
      <c r="A389" s="3">
        <v>42661.0</v>
      </c>
      <c r="B389" s="11">
        <v>-0.0037099999999999998</v>
      </c>
      <c r="C389" s="11">
        <v>-0.00312</v>
      </c>
      <c r="D389" s="11">
        <v>-0.00209</v>
      </c>
      <c r="E389" s="11">
        <v>-7.3E-4</v>
      </c>
    </row>
    <row r="390">
      <c r="A390" s="3">
        <v>42660.0</v>
      </c>
      <c r="B390" s="11">
        <v>-0.0037099999999999998</v>
      </c>
      <c r="C390" s="11">
        <v>-0.00311</v>
      </c>
      <c r="D390" s="11">
        <v>-0.0020399999999999997</v>
      </c>
      <c r="E390" s="11">
        <v>-7.099999999999999E-4</v>
      </c>
    </row>
    <row r="391">
      <c r="A391" s="3">
        <v>42657.0</v>
      </c>
      <c r="B391" s="11">
        <v>-0.0037099999999999998</v>
      </c>
      <c r="C391" s="11">
        <v>-0.00311</v>
      </c>
      <c r="D391" s="11">
        <v>-0.0020399999999999997</v>
      </c>
      <c r="E391" s="11">
        <v>-7.199999999999999E-4</v>
      </c>
    </row>
    <row r="392">
      <c r="A392" s="3">
        <v>42656.0</v>
      </c>
      <c r="B392" s="11">
        <v>-0.0037199999999999998</v>
      </c>
      <c r="C392" s="11">
        <v>-0.00311</v>
      </c>
      <c r="D392" s="11">
        <v>-0.0020399999999999997</v>
      </c>
      <c r="E392" s="11">
        <v>-7.099999999999999E-4</v>
      </c>
    </row>
    <row r="393">
      <c r="A393" s="3">
        <v>42655.0</v>
      </c>
      <c r="B393" s="11">
        <v>-0.0037099999999999998</v>
      </c>
      <c r="C393" s="11">
        <v>-0.00309</v>
      </c>
      <c r="D393" s="11">
        <v>-0.0020399999999999997</v>
      </c>
      <c r="E393" s="11">
        <v>-6.900000000000001E-4</v>
      </c>
    </row>
    <row r="394">
      <c r="A394" s="3">
        <v>42654.0</v>
      </c>
      <c r="B394" s="11">
        <v>-0.0037099999999999998</v>
      </c>
      <c r="C394" s="11">
        <v>-0.00306</v>
      </c>
      <c r="D394" s="11">
        <v>-0.00203</v>
      </c>
      <c r="E394" s="11">
        <v>-6.6E-4</v>
      </c>
    </row>
    <row r="395">
      <c r="A395" s="3">
        <v>42653.0</v>
      </c>
      <c r="B395" s="11">
        <v>-0.0037099999999999998</v>
      </c>
      <c r="C395" s="11">
        <v>-0.0030499999999999998</v>
      </c>
      <c r="D395" s="11">
        <v>-0.00203</v>
      </c>
      <c r="E395" s="11">
        <v>-6.4E-4</v>
      </c>
    </row>
    <row r="396">
      <c r="A396" s="3">
        <v>42650.0</v>
      </c>
      <c r="B396" s="11">
        <v>-0.0037099999999999998</v>
      </c>
      <c r="C396" s="11">
        <v>-0.0030399999999999997</v>
      </c>
      <c r="D396" s="11">
        <v>-0.00203</v>
      </c>
      <c r="E396" s="11">
        <v>-6.3E-4</v>
      </c>
    </row>
    <row r="397">
      <c r="A397" s="3">
        <v>42649.0</v>
      </c>
      <c r="B397" s="11">
        <v>-0.0037099999999999998</v>
      </c>
      <c r="C397" s="11">
        <v>-0.0030399999999999997</v>
      </c>
      <c r="D397" s="11">
        <v>-0.00202</v>
      </c>
      <c r="E397" s="11">
        <v>-6.4E-4</v>
      </c>
    </row>
    <row r="398">
      <c r="A398" s="3">
        <v>42648.0</v>
      </c>
      <c r="B398" s="11">
        <v>-0.0037099999999999998</v>
      </c>
      <c r="C398" s="11">
        <v>-0.00302</v>
      </c>
      <c r="D398" s="11">
        <v>-0.00203</v>
      </c>
      <c r="E398" s="11">
        <v>-6.4E-4</v>
      </c>
    </row>
    <row r="399">
      <c r="A399" s="3">
        <v>42647.0</v>
      </c>
      <c r="B399" s="11">
        <v>-0.0037199999999999998</v>
      </c>
      <c r="C399" s="11">
        <v>-0.00301</v>
      </c>
      <c r="D399" s="11">
        <v>-0.00202</v>
      </c>
      <c r="E399" s="11">
        <v>-6.4E-4</v>
      </c>
    </row>
    <row r="400">
      <c r="A400" s="3">
        <v>42646.0</v>
      </c>
      <c r="B400" s="11">
        <v>-0.0037099999999999998</v>
      </c>
      <c r="C400" s="11">
        <v>-0.00301</v>
      </c>
      <c r="D400" s="11">
        <v>-0.00203</v>
      </c>
      <c r="E400" s="11">
        <v>-6.4E-4</v>
      </c>
    </row>
    <row r="401">
      <c r="A401" s="3">
        <v>42643.0</v>
      </c>
      <c r="B401" s="11">
        <v>-0.0037099999999999998</v>
      </c>
      <c r="C401" s="11">
        <v>-0.00301</v>
      </c>
      <c r="D401" s="11">
        <v>-0.00203</v>
      </c>
      <c r="E401" s="11">
        <v>-6.4E-4</v>
      </c>
    </row>
    <row r="402">
      <c r="A402" s="3">
        <v>42642.0</v>
      </c>
      <c r="B402" s="11">
        <v>-0.0037099999999999998</v>
      </c>
      <c r="C402" s="11">
        <v>-0.00301</v>
      </c>
      <c r="D402" s="11">
        <v>-0.00201</v>
      </c>
      <c r="E402" s="11">
        <v>-6.4E-4</v>
      </c>
    </row>
    <row r="403">
      <c r="A403" s="3">
        <v>42641.0</v>
      </c>
      <c r="B403" s="11">
        <v>-0.0037099999999999998</v>
      </c>
      <c r="C403" s="11">
        <v>-0.00302</v>
      </c>
      <c r="D403" s="11">
        <v>-0.00202</v>
      </c>
      <c r="E403" s="11">
        <v>-6.1E-4</v>
      </c>
    </row>
    <row r="404">
      <c r="A404" s="3">
        <v>42640.0</v>
      </c>
      <c r="B404" s="11">
        <v>-0.0037099999999999998</v>
      </c>
      <c r="C404" s="11">
        <v>-0.00301</v>
      </c>
      <c r="D404" s="11">
        <v>-0.00201</v>
      </c>
      <c r="E404" s="11">
        <v>-6.0E-4</v>
      </c>
    </row>
    <row r="405">
      <c r="A405" s="3">
        <v>42639.0</v>
      </c>
      <c r="B405" s="11">
        <v>-0.0037099999999999998</v>
      </c>
      <c r="C405" s="11">
        <v>-0.0030299999999999997</v>
      </c>
      <c r="D405" s="11">
        <v>-0.00199</v>
      </c>
      <c r="E405" s="11">
        <v>-6.0E-4</v>
      </c>
    </row>
    <row r="406">
      <c r="A406" s="3">
        <v>42636.0</v>
      </c>
      <c r="B406" s="11">
        <v>-0.0037</v>
      </c>
      <c r="C406" s="11">
        <v>-0.00302</v>
      </c>
      <c r="D406" s="11">
        <v>-0.002</v>
      </c>
      <c r="E406" s="11">
        <v>-5.899999999999999E-4</v>
      </c>
    </row>
    <row r="407">
      <c r="A407" s="3">
        <v>42635.0</v>
      </c>
      <c r="B407" s="11">
        <v>-0.0037099999999999998</v>
      </c>
      <c r="C407" s="11">
        <v>-0.00301</v>
      </c>
      <c r="D407" s="11">
        <v>-0.00201</v>
      </c>
      <c r="E407" s="11">
        <v>-5.899999999999999E-4</v>
      </c>
    </row>
    <row r="408">
      <c r="A408" s="3">
        <v>42634.0</v>
      </c>
      <c r="B408" s="11">
        <v>-0.0037099999999999998</v>
      </c>
      <c r="C408" s="11">
        <v>-0.00301</v>
      </c>
      <c r="D408" s="11">
        <v>-0.00201</v>
      </c>
      <c r="E408" s="11">
        <v>-5.8E-4</v>
      </c>
    </row>
    <row r="409">
      <c r="A409" s="3">
        <v>42633.0</v>
      </c>
      <c r="B409" s="11">
        <v>-0.0037099999999999998</v>
      </c>
      <c r="C409" s="11">
        <v>-0.00301</v>
      </c>
      <c r="D409" s="11">
        <v>-0.002</v>
      </c>
      <c r="E409" s="11">
        <v>-5.7E-4</v>
      </c>
    </row>
    <row r="410">
      <c r="A410" s="3">
        <v>42632.0</v>
      </c>
      <c r="B410" s="11">
        <v>-0.0037099999999999998</v>
      </c>
      <c r="C410" s="11">
        <v>-0.00301</v>
      </c>
      <c r="D410" s="11">
        <v>-0.00202</v>
      </c>
      <c r="E410" s="11">
        <v>-5.600000000000001E-4</v>
      </c>
    </row>
    <row r="411">
      <c r="A411" s="3">
        <v>42629.0</v>
      </c>
      <c r="B411" s="11">
        <v>-0.0037099999999999998</v>
      </c>
      <c r="C411" s="11">
        <v>-0.00301</v>
      </c>
      <c r="D411" s="11">
        <v>-0.00201</v>
      </c>
      <c r="E411" s="11">
        <v>-5.4E-4</v>
      </c>
    </row>
    <row r="412">
      <c r="A412" s="3">
        <v>42628.0</v>
      </c>
      <c r="B412" s="11">
        <v>-0.0037099999999999998</v>
      </c>
      <c r="C412" s="11">
        <v>-0.00301</v>
      </c>
      <c r="D412" s="11">
        <v>-0.00199</v>
      </c>
      <c r="E412" s="11">
        <v>-5.3E-4</v>
      </c>
    </row>
    <row r="413">
      <c r="A413" s="3">
        <v>42627.0</v>
      </c>
      <c r="B413" s="11">
        <v>-0.0037199999999999998</v>
      </c>
      <c r="C413" s="11">
        <v>-0.0030299999999999997</v>
      </c>
      <c r="D413" s="11">
        <v>-0.00199</v>
      </c>
      <c r="E413" s="11">
        <v>-5.4E-4</v>
      </c>
    </row>
    <row r="414">
      <c r="A414" s="3">
        <v>42626.0</v>
      </c>
      <c r="B414" s="11">
        <v>-0.0037199999999999998</v>
      </c>
      <c r="C414" s="11">
        <v>-0.00302</v>
      </c>
      <c r="D414" s="11">
        <v>-0.00199</v>
      </c>
      <c r="E414" s="11">
        <v>-5.5E-4</v>
      </c>
    </row>
    <row r="415">
      <c r="A415" s="3">
        <v>42625.0</v>
      </c>
      <c r="B415" s="11">
        <v>-0.0037099999999999998</v>
      </c>
      <c r="C415" s="11">
        <v>-0.0030299999999999997</v>
      </c>
      <c r="D415" s="11">
        <v>-0.00198</v>
      </c>
      <c r="E415" s="11">
        <v>-5.7E-4</v>
      </c>
    </row>
    <row r="416">
      <c r="A416" s="3">
        <v>42622.0</v>
      </c>
      <c r="B416" s="11">
        <v>-0.00369</v>
      </c>
      <c r="C416" s="11">
        <v>-0.00301</v>
      </c>
      <c r="D416" s="11">
        <v>-0.00198</v>
      </c>
      <c r="E416" s="11">
        <v>-5.7E-4</v>
      </c>
    </row>
    <row r="417">
      <c r="A417" s="3">
        <v>42621.0</v>
      </c>
      <c r="B417" s="11">
        <v>-0.00373</v>
      </c>
      <c r="C417" s="11">
        <v>-0.0030399999999999997</v>
      </c>
      <c r="D417" s="11">
        <v>-0.00201</v>
      </c>
      <c r="E417" s="11">
        <v>-6.0E-4</v>
      </c>
    </row>
    <row r="418">
      <c r="A418" s="3">
        <v>42620.0</v>
      </c>
      <c r="B418" s="11">
        <v>-0.0037199999999999998</v>
      </c>
      <c r="C418" s="11">
        <v>-0.0030299999999999997</v>
      </c>
      <c r="D418" s="11">
        <v>-0.00198</v>
      </c>
      <c r="E418" s="11">
        <v>-5.899999999999999E-4</v>
      </c>
    </row>
    <row r="419">
      <c r="A419" s="3">
        <v>42619.0</v>
      </c>
      <c r="B419" s="11">
        <v>-0.0037199999999999998</v>
      </c>
      <c r="C419" s="11">
        <v>-0.0030299999999999997</v>
      </c>
      <c r="D419" s="11">
        <v>-0.00197</v>
      </c>
      <c r="E419" s="11">
        <v>-5.4E-4</v>
      </c>
    </row>
    <row r="420">
      <c r="A420" s="3">
        <v>42618.0</v>
      </c>
      <c r="B420" s="11">
        <v>-0.00373</v>
      </c>
      <c r="C420" s="11">
        <v>-0.00301</v>
      </c>
      <c r="D420" s="11">
        <v>-0.0019500000000000001</v>
      </c>
      <c r="E420" s="11">
        <v>-5.2E-4</v>
      </c>
    </row>
    <row r="421">
      <c r="A421" s="3">
        <v>42615.0</v>
      </c>
      <c r="B421" s="11">
        <v>-0.00373</v>
      </c>
      <c r="C421" s="11">
        <v>-0.00301</v>
      </c>
      <c r="D421" s="11">
        <v>-0.00193</v>
      </c>
      <c r="E421" s="11">
        <v>-5.2E-4</v>
      </c>
    </row>
    <row r="422">
      <c r="A422" s="3">
        <v>42614.0</v>
      </c>
      <c r="B422" s="11">
        <v>-0.0037199999999999998</v>
      </c>
      <c r="C422" s="11">
        <v>-0.00299</v>
      </c>
      <c r="D422" s="11">
        <v>-0.00193</v>
      </c>
      <c r="E422" s="11">
        <v>-5.099999999999999E-4</v>
      </c>
    </row>
    <row r="423">
      <c r="A423" s="3">
        <v>42613.0</v>
      </c>
      <c r="B423" s="11">
        <v>-0.0037199999999999998</v>
      </c>
      <c r="C423" s="11">
        <v>-0.00299</v>
      </c>
      <c r="D423" s="11">
        <v>-0.00192</v>
      </c>
      <c r="E423" s="11">
        <v>-5.2E-4</v>
      </c>
    </row>
    <row r="424">
      <c r="A424" s="3">
        <v>42612.0</v>
      </c>
      <c r="B424" s="11">
        <v>-0.0037099999999999998</v>
      </c>
      <c r="C424" s="11">
        <v>-0.00299</v>
      </c>
      <c r="D424" s="11">
        <v>-0.00192</v>
      </c>
      <c r="E424" s="11">
        <v>-5.099999999999999E-4</v>
      </c>
    </row>
    <row r="425">
      <c r="A425" s="3">
        <v>42611.0</v>
      </c>
      <c r="B425" s="11">
        <v>-0.0037099999999999998</v>
      </c>
      <c r="C425" s="11">
        <v>-0.00297</v>
      </c>
      <c r="D425" s="11">
        <v>-0.00193</v>
      </c>
      <c r="E425" s="11">
        <v>-5.0E-4</v>
      </c>
    </row>
    <row r="426">
      <c r="A426" s="3">
        <v>42608.0</v>
      </c>
      <c r="B426" s="11">
        <v>-0.0037099999999999998</v>
      </c>
      <c r="C426" s="11">
        <v>-0.00298</v>
      </c>
      <c r="D426" s="11">
        <v>-0.00191</v>
      </c>
      <c r="E426" s="11">
        <v>-5.0E-4</v>
      </c>
    </row>
    <row r="427">
      <c r="A427" s="3">
        <v>42607.0</v>
      </c>
      <c r="B427" s="11">
        <v>-0.0037</v>
      </c>
      <c r="C427" s="11">
        <v>-0.00298</v>
      </c>
      <c r="D427" s="11">
        <v>-0.00192</v>
      </c>
      <c r="E427" s="11">
        <v>-4.9E-4</v>
      </c>
    </row>
    <row r="428">
      <c r="A428" s="3">
        <v>42606.0</v>
      </c>
      <c r="B428" s="11">
        <v>-0.00368</v>
      </c>
      <c r="C428" s="11">
        <v>-0.00298</v>
      </c>
      <c r="D428" s="11">
        <v>-0.00191</v>
      </c>
      <c r="E428" s="11">
        <v>-4.8E-4</v>
      </c>
    </row>
    <row r="429">
      <c r="A429" s="3">
        <v>42605.0</v>
      </c>
      <c r="B429" s="11">
        <v>-0.00369</v>
      </c>
      <c r="C429" s="11">
        <v>-0.00298</v>
      </c>
      <c r="D429" s="11">
        <v>-0.00192</v>
      </c>
      <c r="E429" s="11">
        <v>-4.7E-4</v>
      </c>
    </row>
    <row r="430">
      <c r="A430" s="3">
        <v>42604.0</v>
      </c>
      <c r="B430" s="11">
        <v>-0.00369</v>
      </c>
      <c r="C430" s="11">
        <v>-0.00299</v>
      </c>
      <c r="D430" s="11">
        <v>-0.0019</v>
      </c>
      <c r="E430" s="11">
        <v>-4.6E-4</v>
      </c>
    </row>
    <row r="431">
      <c r="A431" s="3">
        <v>42601.0</v>
      </c>
      <c r="B431" s="11">
        <v>-0.00369</v>
      </c>
      <c r="C431" s="11">
        <v>-0.00298</v>
      </c>
      <c r="D431" s="11">
        <v>-0.00189</v>
      </c>
      <c r="E431" s="11">
        <v>-4.7E-4</v>
      </c>
    </row>
    <row r="432">
      <c r="A432" s="3">
        <v>42600.0</v>
      </c>
      <c r="B432" s="11">
        <v>-0.00369</v>
      </c>
      <c r="C432" s="11">
        <v>-0.00299</v>
      </c>
      <c r="D432" s="11">
        <v>-0.00191</v>
      </c>
      <c r="E432" s="11">
        <v>-4.8E-4</v>
      </c>
    </row>
    <row r="433">
      <c r="A433" s="3">
        <v>42599.0</v>
      </c>
      <c r="B433" s="11">
        <v>-0.00369</v>
      </c>
      <c r="C433" s="11">
        <v>-0.00298</v>
      </c>
      <c r="D433" s="11">
        <v>-0.0019</v>
      </c>
      <c r="E433" s="11">
        <v>-4.9E-4</v>
      </c>
    </row>
    <row r="434">
      <c r="A434" s="3">
        <v>42598.0</v>
      </c>
      <c r="B434" s="11">
        <v>-0.00369</v>
      </c>
      <c r="C434" s="11">
        <v>-0.00299</v>
      </c>
      <c r="D434" s="11">
        <v>-0.00189</v>
      </c>
      <c r="E434" s="11">
        <v>-5.0E-4</v>
      </c>
    </row>
    <row r="435">
      <c r="A435" s="3">
        <v>42597.0</v>
      </c>
      <c r="B435" s="11">
        <v>-0.00369</v>
      </c>
      <c r="C435" s="11">
        <v>-0.00298</v>
      </c>
      <c r="D435" s="11">
        <v>-0.00189</v>
      </c>
      <c r="E435" s="11">
        <v>-5.0E-4</v>
      </c>
    </row>
    <row r="436">
      <c r="A436" s="3">
        <v>42594.0</v>
      </c>
      <c r="B436" s="11">
        <v>-0.00368</v>
      </c>
      <c r="C436" s="11">
        <v>-0.00299</v>
      </c>
      <c r="D436" s="11">
        <v>-0.00188</v>
      </c>
      <c r="E436" s="11">
        <v>-4.9E-4</v>
      </c>
    </row>
    <row r="437">
      <c r="A437" s="3">
        <v>42593.0</v>
      </c>
      <c r="B437" s="11">
        <v>-0.00369</v>
      </c>
      <c r="C437" s="11">
        <v>-0.00299</v>
      </c>
      <c r="D437" s="11">
        <v>-0.00189</v>
      </c>
      <c r="E437" s="11">
        <v>-4.9E-4</v>
      </c>
    </row>
    <row r="438">
      <c r="A438" s="3">
        <v>42592.0</v>
      </c>
      <c r="B438" s="11">
        <v>-0.00369</v>
      </c>
      <c r="C438" s="11">
        <v>-0.00297</v>
      </c>
      <c r="D438" s="11">
        <v>-0.00188</v>
      </c>
      <c r="E438" s="11">
        <v>-4.8E-4</v>
      </c>
    </row>
    <row r="439">
      <c r="A439" s="3">
        <v>42591.0</v>
      </c>
      <c r="B439" s="11">
        <v>-0.00369</v>
      </c>
      <c r="C439" s="11">
        <v>-0.00298</v>
      </c>
      <c r="D439" s="11">
        <v>-0.00187</v>
      </c>
      <c r="E439" s="11">
        <v>-4.7E-4</v>
      </c>
    </row>
    <row r="440">
      <c r="A440" s="3">
        <v>42590.0</v>
      </c>
      <c r="B440" s="11">
        <v>-0.00369</v>
      </c>
      <c r="C440" s="11">
        <v>-0.00298</v>
      </c>
      <c r="D440" s="11">
        <v>-0.00185</v>
      </c>
      <c r="E440" s="11">
        <v>-4.6E-4</v>
      </c>
    </row>
    <row r="441">
      <c r="A441" s="3">
        <v>42587.0</v>
      </c>
      <c r="B441" s="11">
        <v>-0.0037</v>
      </c>
      <c r="C441" s="11">
        <v>-0.00298</v>
      </c>
      <c r="D441" s="11">
        <v>-0.00185</v>
      </c>
      <c r="E441" s="11">
        <v>-4.7E-4</v>
      </c>
    </row>
    <row r="442">
      <c r="A442" s="3">
        <v>42586.0</v>
      </c>
      <c r="B442" s="11">
        <v>-0.0037</v>
      </c>
      <c r="C442" s="11">
        <v>-0.00298</v>
      </c>
      <c r="D442" s="11">
        <v>-0.00183</v>
      </c>
      <c r="E442" s="11">
        <v>-4.5E-4</v>
      </c>
    </row>
    <row r="443">
      <c r="A443" s="3">
        <v>42585.0</v>
      </c>
      <c r="B443" s="11">
        <v>-0.0037099999999999998</v>
      </c>
      <c r="C443" s="11">
        <v>-0.00299</v>
      </c>
      <c r="D443" s="11">
        <v>-0.00183</v>
      </c>
      <c r="E443" s="11">
        <v>-4.7E-4</v>
      </c>
    </row>
    <row r="444">
      <c r="A444" s="3">
        <v>42584.0</v>
      </c>
      <c r="B444" s="11">
        <v>-0.0037099999999999998</v>
      </c>
      <c r="C444" s="11">
        <v>-0.00298</v>
      </c>
      <c r="D444" s="11">
        <v>-0.00184</v>
      </c>
      <c r="E444" s="11">
        <v>-4.8E-4</v>
      </c>
    </row>
    <row r="445">
      <c r="A445" s="3">
        <v>42583.0</v>
      </c>
      <c r="B445" s="11">
        <v>-0.0037099999999999998</v>
      </c>
      <c r="C445" s="11">
        <v>-0.00297</v>
      </c>
      <c r="D445" s="11">
        <v>-0.0018599999999999999</v>
      </c>
      <c r="E445" s="11">
        <v>-4.8E-4</v>
      </c>
    </row>
    <row r="446">
      <c r="A446" s="3">
        <v>42580.0</v>
      </c>
      <c r="B446" s="11">
        <v>-0.0037099999999999998</v>
      </c>
      <c r="C446" s="11">
        <v>-0.00297</v>
      </c>
      <c r="D446" s="11">
        <v>-0.0018599999999999999</v>
      </c>
      <c r="E446" s="11">
        <v>-4.9E-4</v>
      </c>
    </row>
    <row r="447">
      <c r="A447" s="3">
        <v>42579.0</v>
      </c>
      <c r="B447" s="11">
        <v>-0.0037099999999999998</v>
      </c>
      <c r="C447" s="11">
        <v>-0.00296</v>
      </c>
      <c r="D447" s="11">
        <v>-0.0018599999999999999</v>
      </c>
      <c r="E447" s="11">
        <v>-4.9E-4</v>
      </c>
    </row>
    <row r="448">
      <c r="A448" s="3">
        <v>42578.0</v>
      </c>
      <c r="B448" s="11">
        <v>-0.0037099999999999998</v>
      </c>
      <c r="C448" s="11">
        <v>-0.00298</v>
      </c>
      <c r="D448" s="11">
        <v>-0.00187</v>
      </c>
      <c r="E448" s="11">
        <v>-4.9E-4</v>
      </c>
    </row>
    <row r="449">
      <c r="A449" s="3">
        <v>42577.0</v>
      </c>
      <c r="B449" s="11">
        <v>-0.0037099999999999998</v>
      </c>
      <c r="C449" s="11">
        <v>-0.00298</v>
      </c>
      <c r="D449" s="11">
        <v>-0.00187</v>
      </c>
      <c r="E449" s="11">
        <v>-4.8E-4</v>
      </c>
    </row>
    <row r="450">
      <c r="A450" s="3">
        <v>42576.0</v>
      </c>
      <c r="B450" s="11">
        <v>-0.0037099999999999998</v>
      </c>
      <c r="C450" s="11">
        <v>-0.00297</v>
      </c>
      <c r="D450" s="11">
        <v>-0.00188</v>
      </c>
      <c r="E450" s="11">
        <v>-4.9E-4</v>
      </c>
    </row>
    <row r="451">
      <c r="A451" s="3">
        <v>42573.0</v>
      </c>
      <c r="B451" s="11">
        <v>-0.0037099999999999998</v>
      </c>
      <c r="C451" s="11">
        <v>-0.00297</v>
      </c>
      <c r="D451" s="11">
        <v>-0.00189</v>
      </c>
      <c r="E451" s="11">
        <v>-5.0E-4</v>
      </c>
    </row>
    <row r="452">
      <c r="A452" s="3">
        <v>42572.0</v>
      </c>
      <c r="B452" s="11">
        <v>-0.0037</v>
      </c>
      <c r="C452" s="11">
        <v>-0.00297</v>
      </c>
      <c r="D452" s="11">
        <v>-0.00188</v>
      </c>
      <c r="E452" s="11">
        <v>-5.4E-4</v>
      </c>
    </row>
    <row r="453">
      <c r="A453" s="3">
        <v>42571.0</v>
      </c>
      <c r="B453" s="11">
        <v>-0.0037099999999999998</v>
      </c>
      <c r="C453" s="11">
        <v>-0.00297</v>
      </c>
      <c r="D453" s="11">
        <v>-0.00189</v>
      </c>
      <c r="E453" s="11">
        <v>-5.600000000000001E-4</v>
      </c>
    </row>
    <row r="454">
      <c r="A454" s="3">
        <v>42570.0</v>
      </c>
      <c r="B454" s="11">
        <v>-0.0037099999999999998</v>
      </c>
      <c r="C454" s="11">
        <v>-0.00295</v>
      </c>
      <c r="D454" s="11">
        <v>-0.00189</v>
      </c>
      <c r="E454" s="11">
        <v>-5.899999999999999E-4</v>
      </c>
    </row>
    <row r="455">
      <c r="A455" s="3">
        <v>42569.0</v>
      </c>
      <c r="B455" s="11">
        <v>-0.0037099999999999998</v>
      </c>
      <c r="C455" s="11">
        <v>-0.00295</v>
      </c>
      <c r="D455" s="11">
        <v>-0.00191</v>
      </c>
      <c r="E455" s="11">
        <v>-6.1E-4</v>
      </c>
    </row>
    <row r="456">
      <c r="A456" s="3">
        <v>42566.0</v>
      </c>
      <c r="B456" s="11">
        <v>-0.0037099999999999998</v>
      </c>
      <c r="C456" s="11">
        <v>-0.00293</v>
      </c>
      <c r="D456" s="11">
        <v>-0.00187</v>
      </c>
      <c r="E456" s="11">
        <v>-5.7E-4</v>
      </c>
    </row>
    <row r="457">
      <c r="A457" s="3">
        <v>42565.0</v>
      </c>
      <c r="B457" s="11">
        <v>-0.0037099999999999998</v>
      </c>
      <c r="C457" s="11">
        <v>-0.00295</v>
      </c>
      <c r="D457" s="11">
        <v>-0.0019</v>
      </c>
      <c r="E457" s="11">
        <v>-6.1E-4</v>
      </c>
    </row>
    <row r="458">
      <c r="A458" s="3">
        <v>42564.0</v>
      </c>
      <c r="B458" s="11">
        <v>-0.0037099999999999998</v>
      </c>
      <c r="C458" s="11">
        <v>-0.00295</v>
      </c>
      <c r="D458" s="11">
        <v>-0.00191</v>
      </c>
      <c r="E458" s="11">
        <v>-6.1E-4</v>
      </c>
    </row>
    <row r="459">
      <c r="A459" s="3">
        <v>42563.0</v>
      </c>
      <c r="B459" s="11">
        <v>-0.00369</v>
      </c>
      <c r="C459" s="11">
        <v>-0.00291</v>
      </c>
      <c r="D459" s="11">
        <v>-0.00191</v>
      </c>
      <c r="E459" s="11">
        <v>-6.1E-4</v>
      </c>
    </row>
    <row r="460">
      <c r="A460" s="3">
        <v>42562.0</v>
      </c>
      <c r="B460" s="11">
        <v>-0.00367</v>
      </c>
      <c r="C460" s="11">
        <v>-0.00292</v>
      </c>
      <c r="D460" s="11">
        <v>-0.0019</v>
      </c>
      <c r="E460" s="11">
        <v>-6.3E-4</v>
      </c>
    </row>
    <row r="461">
      <c r="A461" s="3">
        <v>42559.0</v>
      </c>
      <c r="B461" s="11">
        <v>-0.00367</v>
      </c>
      <c r="C461" s="11">
        <v>-0.00293</v>
      </c>
      <c r="D461" s="11">
        <v>-0.0019</v>
      </c>
      <c r="E461" s="11">
        <v>-5.899999999999999E-4</v>
      </c>
    </row>
    <row r="462">
      <c r="A462" s="3">
        <v>42558.0</v>
      </c>
      <c r="B462" s="11">
        <v>-0.00366</v>
      </c>
      <c r="C462" s="11">
        <v>-0.00293</v>
      </c>
      <c r="D462" s="11">
        <v>-0.00189</v>
      </c>
      <c r="E462" s="11">
        <v>-6.3E-4</v>
      </c>
    </row>
    <row r="463">
      <c r="A463" s="3">
        <v>42557.0</v>
      </c>
      <c r="B463" s="11">
        <v>-0.00365</v>
      </c>
      <c r="C463" s="11">
        <v>-0.00293</v>
      </c>
      <c r="D463" s="11">
        <v>-0.00189</v>
      </c>
      <c r="E463" s="11">
        <v>-6.2E-4</v>
      </c>
    </row>
    <row r="464">
      <c r="A464" s="3">
        <v>42556.0</v>
      </c>
      <c r="B464" s="11">
        <v>-0.00363</v>
      </c>
      <c r="C464" s="11">
        <v>-0.00292</v>
      </c>
      <c r="D464" s="11">
        <v>-0.00188</v>
      </c>
      <c r="E464" s="11">
        <v>-5.899999999999999E-4</v>
      </c>
    </row>
    <row r="465">
      <c r="A465" s="3">
        <v>42555.0</v>
      </c>
      <c r="B465" s="11">
        <v>-0.00363</v>
      </c>
      <c r="C465" s="11">
        <v>-0.00291</v>
      </c>
      <c r="D465" s="11">
        <v>-0.00185</v>
      </c>
      <c r="E465" s="11">
        <v>-5.5E-4</v>
      </c>
    </row>
    <row r="466">
      <c r="A466" s="3">
        <v>42552.0</v>
      </c>
      <c r="B466" s="11">
        <v>-0.00363</v>
      </c>
      <c r="C466" s="11">
        <v>-0.0029</v>
      </c>
      <c r="D466" s="11">
        <v>-0.00182</v>
      </c>
      <c r="E466" s="11">
        <v>-5.2E-4</v>
      </c>
    </row>
    <row r="467">
      <c r="A467" s="3">
        <v>42551.0</v>
      </c>
      <c r="B467" s="11">
        <v>-0.00364</v>
      </c>
      <c r="C467" s="11">
        <v>-0.0028599999999999997</v>
      </c>
      <c r="D467" s="11">
        <v>-0.00179</v>
      </c>
      <c r="E467" s="11">
        <v>-5.099999999999999E-4</v>
      </c>
    </row>
    <row r="468">
      <c r="A468" s="3">
        <v>42550.0</v>
      </c>
      <c r="B468" s="11">
        <v>-0.00364</v>
      </c>
      <c r="C468" s="11">
        <v>-0.0028199999999999996</v>
      </c>
      <c r="D468" s="11">
        <v>-0.00178</v>
      </c>
      <c r="E468" s="11">
        <v>-5.099999999999999E-4</v>
      </c>
    </row>
    <row r="469">
      <c r="A469" s="3">
        <v>42549.0</v>
      </c>
      <c r="B469" s="11">
        <v>-0.00361</v>
      </c>
      <c r="C469" s="11">
        <v>-0.0028100000000000004</v>
      </c>
      <c r="D469" s="11">
        <v>-0.0017599999999999998</v>
      </c>
      <c r="E469" s="11">
        <v>-4.9E-4</v>
      </c>
    </row>
    <row r="470">
      <c r="A470" s="3">
        <v>42548.0</v>
      </c>
      <c r="B470" s="11">
        <v>-0.00364</v>
      </c>
      <c r="C470" s="11">
        <v>-0.0028299999999999996</v>
      </c>
      <c r="D470" s="11">
        <v>-0.0017599999999999998</v>
      </c>
      <c r="E470" s="11">
        <v>-4.8E-4</v>
      </c>
    </row>
    <row r="471">
      <c r="A471" s="3">
        <v>42545.0</v>
      </c>
      <c r="B471" s="11">
        <v>-0.00364</v>
      </c>
      <c r="C471" s="11">
        <v>-0.0028100000000000004</v>
      </c>
      <c r="D471" s="11">
        <v>-0.0017499999999999998</v>
      </c>
      <c r="E471" s="11">
        <v>-4.7E-4</v>
      </c>
    </row>
    <row r="472">
      <c r="A472" s="3">
        <v>42544.0</v>
      </c>
      <c r="B472" s="11">
        <v>-0.00358</v>
      </c>
      <c r="C472" s="11">
        <v>-0.00269</v>
      </c>
      <c r="D472" s="11">
        <v>-0.00161</v>
      </c>
      <c r="E472" s="11">
        <v>-2.9E-4</v>
      </c>
    </row>
    <row r="473">
      <c r="A473" s="3">
        <v>42543.0</v>
      </c>
      <c r="B473" s="11">
        <v>-0.00358</v>
      </c>
      <c r="C473" s="11">
        <v>-0.00268</v>
      </c>
      <c r="D473" s="11">
        <v>-0.00161</v>
      </c>
      <c r="E473" s="11">
        <v>-2.9E-4</v>
      </c>
    </row>
    <row r="474">
      <c r="A474" s="3">
        <v>42542.0</v>
      </c>
      <c r="B474" s="11">
        <v>-0.00358</v>
      </c>
      <c r="C474" s="11">
        <v>-0.00266</v>
      </c>
      <c r="D474" s="11">
        <v>-0.00159</v>
      </c>
      <c r="E474" s="11">
        <v>-2.9E-4</v>
      </c>
    </row>
    <row r="475">
      <c r="A475" s="3">
        <v>42541.0</v>
      </c>
      <c r="B475" s="11">
        <v>-0.00358</v>
      </c>
      <c r="C475" s="11">
        <v>-0.00266</v>
      </c>
      <c r="D475" s="11">
        <v>-0.00159</v>
      </c>
      <c r="E475" s="11">
        <v>-2.8000000000000003E-4</v>
      </c>
    </row>
    <row r="476">
      <c r="A476" s="3">
        <v>42538.0</v>
      </c>
      <c r="B476" s="11">
        <v>-0.00356</v>
      </c>
      <c r="C476" s="11">
        <v>-0.00265</v>
      </c>
      <c r="D476" s="11">
        <v>-0.00159</v>
      </c>
      <c r="E476" s="11">
        <v>-2.6E-4</v>
      </c>
    </row>
    <row r="477">
      <c r="A477" s="3">
        <v>42537.0</v>
      </c>
      <c r="B477" s="11">
        <v>-0.00356</v>
      </c>
      <c r="C477" s="11">
        <v>-0.00264</v>
      </c>
      <c r="D477" s="11">
        <v>-0.0016</v>
      </c>
      <c r="E477" s="11">
        <v>-2.6E-4</v>
      </c>
    </row>
    <row r="478">
      <c r="A478" s="3">
        <v>42536.0</v>
      </c>
      <c r="B478" s="11">
        <v>-0.0035299999999999997</v>
      </c>
      <c r="C478" s="11">
        <v>-0.00262</v>
      </c>
      <c r="D478" s="11">
        <v>-0.00159</v>
      </c>
      <c r="E478" s="11">
        <v>-2.1E-4</v>
      </c>
    </row>
    <row r="479">
      <c r="A479" s="3">
        <v>42535.0</v>
      </c>
      <c r="B479" s="11">
        <v>-0.0035299999999999997</v>
      </c>
      <c r="C479" s="11">
        <v>-0.00262</v>
      </c>
      <c r="D479" s="11">
        <v>-0.00159</v>
      </c>
      <c r="E479" s="11">
        <v>-2.1E-4</v>
      </c>
    </row>
    <row r="480">
      <c r="A480" s="3">
        <v>42534.0</v>
      </c>
      <c r="B480" s="11">
        <v>-0.0035299999999999997</v>
      </c>
      <c r="C480" s="11">
        <v>-0.00263</v>
      </c>
      <c r="D480" s="11">
        <v>-0.00158</v>
      </c>
      <c r="E480" s="11">
        <v>-2.0E-4</v>
      </c>
    </row>
    <row r="481">
      <c r="A481" s="3">
        <v>42531.0</v>
      </c>
      <c r="B481" s="11">
        <v>-0.0035299999999999997</v>
      </c>
      <c r="C481" s="11">
        <v>-0.00263</v>
      </c>
      <c r="D481" s="11">
        <v>-0.00159</v>
      </c>
      <c r="E481" s="11">
        <v>-1.7999999999999998E-4</v>
      </c>
    </row>
    <row r="482">
      <c r="A482" s="3">
        <v>42530.0</v>
      </c>
      <c r="B482" s="11">
        <v>-0.0035099999999999997</v>
      </c>
      <c r="C482" s="11">
        <v>-0.00262</v>
      </c>
      <c r="D482" s="11">
        <v>-0.00159</v>
      </c>
      <c r="E482" s="11">
        <v>-1.7999999999999998E-4</v>
      </c>
    </row>
    <row r="483">
      <c r="A483" s="3">
        <v>42529.0</v>
      </c>
      <c r="B483" s="11">
        <v>-0.0035199999999999997</v>
      </c>
      <c r="C483" s="11">
        <v>-0.00264</v>
      </c>
      <c r="D483" s="11">
        <v>-0.0016</v>
      </c>
      <c r="E483" s="11">
        <v>-1.7999999999999998E-4</v>
      </c>
    </row>
    <row r="484">
      <c r="A484" s="3">
        <v>42528.0</v>
      </c>
      <c r="B484" s="11">
        <v>-0.0035199999999999997</v>
      </c>
      <c r="C484" s="11">
        <v>-0.00261</v>
      </c>
      <c r="D484" s="11">
        <v>-0.00159</v>
      </c>
      <c r="E484" s="11">
        <v>-1.7999999999999998E-4</v>
      </c>
    </row>
    <row r="485">
      <c r="A485" s="3">
        <v>42527.0</v>
      </c>
      <c r="B485" s="11">
        <v>-0.0035199999999999997</v>
      </c>
      <c r="C485" s="11">
        <v>-0.00262</v>
      </c>
      <c r="D485" s="11">
        <v>-0.00157</v>
      </c>
      <c r="E485" s="11">
        <v>-1.7999999999999998E-4</v>
      </c>
    </row>
    <row r="486">
      <c r="A486" s="3">
        <v>42524.0</v>
      </c>
      <c r="B486" s="11">
        <v>-0.0035099999999999997</v>
      </c>
      <c r="C486" s="11">
        <v>-0.00261</v>
      </c>
      <c r="D486" s="11">
        <v>-0.00154</v>
      </c>
      <c r="E486" s="11">
        <v>-1.6E-4</v>
      </c>
    </row>
    <row r="487">
      <c r="A487" s="3">
        <v>42523.0</v>
      </c>
      <c r="B487" s="11">
        <v>-0.0034999999999999996</v>
      </c>
      <c r="C487" s="11">
        <v>-0.00262</v>
      </c>
      <c r="D487" s="11">
        <v>-0.00153</v>
      </c>
      <c r="E487" s="11">
        <v>-1.7E-4</v>
      </c>
    </row>
    <row r="488">
      <c r="A488" s="3">
        <v>42522.0</v>
      </c>
      <c r="B488" s="11">
        <v>-0.0034899999999999996</v>
      </c>
      <c r="C488" s="11">
        <v>-0.00261</v>
      </c>
      <c r="D488" s="11">
        <v>-0.00153</v>
      </c>
      <c r="E488" s="11">
        <v>-1.7999999999999998E-4</v>
      </c>
    </row>
    <row r="489">
      <c r="A489" s="3">
        <v>42521.0</v>
      </c>
      <c r="B489" s="11">
        <v>-0.0034899999999999996</v>
      </c>
      <c r="C489" s="11">
        <v>-0.00261</v>
      </c>
      <c r="D489" s="11">
        <v>-0.00153</v>
      </c>
      <c r="E489" s="11">
        <v>-1.5E-4</v>
      </c>
    </row>
    <row r="490">
      <c r="A490" s="3">
        <v>42520.0</v>
      </c>
      <c r="B490" s="11">
        <v>-0.0034799999999999996</v>
      </c>
      <c r="C490" s="11">
        <v>-0.00261</v>
      </c>
      <c r="D490" s="11">
        <v>-0.00151</v>
      </c>
      <c r="E490" s="11">
        <v>-1.5E-4</v>
      </c>
    </row>
    <row r="491">
      <c r="A491" s="3">
        <v>42517.0</v>
      </c>
      <c r="B491" s="11">
        <v>-0.0034899999999999996</v>
      </c>
      <c r="C491" s="11">
        <v>-0.0026</v>
      </c>
      <c r="D491" s="11">
        <v>-0.00149</v>
      </c>
      <c r="E491" s="11">
        <v>-1.5E-4</v>
      </c>
    </row>
    <row r="492">
      <c r="A492" s="3">
        <v>42516.0</v>
      </c>
      <c r="B492" s="11">
        <v>-0.0034799999999999996</v>
      </c>
      <c r="C492" s="11">
        <v>-0.0025800000000000003</v>
      </c>
      <c r="D492" s="11">
        <v>-0.00146</v>
      </c>
      <c r="E492" s="11">
        <v>-1.4000000000000001E-4</v>
      </c>
    </row>
    <row r="493">
      <c r="A493" s="3">
        <v>42515.0</v>
      </c>
      <c r="B493" s="11">
        <v>-0.0034899999999999996</v>
      </c>
      <c r="C493" s="11">
        <v>-0.0025800000000000003</v>
      </c>
      <c r="D493" s="11">
        <v>-0.0014399999999999999</v>
      </c>
      <c r="E493" s="11">
        <v>-1.3E-4</v>
      </c>
    </row>
    <row r="494">
      <c r="A494" s="3">
        <v>42514.0</v>
      </c>
      <c r="B494" s="11">
        <v>-0.0035099999999999997</v>
      </c>
      <c r="C494" s="11">
        <v>-0.0025800000000000003</v>
      </c>
      <c r="D494" s="11">
        <v>-0.0014399999999999999</v>
      </c>
      <c r="E494" s="11">
        <v>-1.2E-4</v>
      </c>
    </row>
    <row r="495">
      <c r="A495" s="3">
        <v>42513.0</v>
      </c>
      <c r="B495" s="11">
        <v>-0.0034899999999999996</v>
      </c>
      <c r="C495" s="11">
        <v>-0.0025800000000000003</v>
      </c>
      <c r="D495" s="11">
        <v>-0.0014399999999999999</v>
      </c>
      <c r="E495" s="11">
        <v>-1.2E-4</v>
      </c>
    </row>
    <row r="496">
      <c r="A496" s="3">
        <v>42510.0</v>
      </c>
      <c r="B496" s="11">
        <v>-0.0034899999999999996</v>
      </c>
      <c r="C496" s="11">
        <v>-0.0025800000000000003</v>
      </c>
      <c r="D496" s="11">
        <v>-0.0014299999999999998</v>
      </c>
      <c r="E496" s="11">
        <v>-1.0999999999999999E-4</v>
      </c>
    </row>
    <row r="497">
      <c r="A497" s="3">
        <v>42509.0</v>
      </c>
      <c r="B497" s="11">
        <v>-0.0034899999999999996</v>
      </c>
      <c r="C497" s="11">
        <v>-0.0025800000000000003</v>
      </c>
      <c r="D497" s="11">
        <v>-0.0014299999999999998</v>
      </c>
      <c r="E497" s="11">
        <v>-1.0999999999999999E-4</v>
      </c>
    </row>
    <row r="498">
      <c r="A498" s="3">
        <v>42508.0</v>
      </c>
      <c r="B498" s="11">
        <v>-0.0034799999999999996</v>
      </c>
      <c r="C498" s="11">
        <v>-0.0025700000000000002</v>
      </c>
      <c r="D498" s="11">
        <v>-0.0014399999999999999</v>
      </c>
      <c r="E498" s="11">
        <v>-1.0999999999999999E-4</v>
      </c>
    </row>
    <row r="499">
      <c r="A499" s="3">
        <v>42507.0</v>
      </c>
      <c r="B499" s="11">
        <v>-0.0034799999999999996</v>
      </c>
      <c r="C499" s="11">
        <v>-0.0025700000000000002</v>
      </c>
      <c r="D499" s="11">
        <v>-0.0014299999999999998</v>
      </c>
      <c r="E499" s="11">
        <v>-1.0999999999999999E-4</v>
      </c>
    </row>
    <row r="500">
      <c r="A500" s="3">
        <v>42506.0</v>
      </c>
      <c r="B500" s="11">
        <v>-0.0034799999999999996</v>
      </c>
      <c r="C500" s="11">
        <v>-0.0025700000000000002</v>
      </c>
      <c r="D500" s="11">
        <v>-0.0014299999999999998</v>
      </c>
      <c r="E500" s="11">
        <v>-1.2E-4</v>
      </c>
    </row>
    <row r="501">
      <c r="A501" s="3">
        <v>42503.0</v>
      </c>
      <c r="B501" s="11">
        <v>-0.0034899999999999996</v>
      </c>
      <c r="C501" s="11">
        <v>-0.0025700000000000002</v>
      </c>
      <c r="D501" s="11">
        <v>-0.0014399999999999999</v>
      </c>
      <c r="E501" s="11">
        <v>-1.2E-4</v>
      </c>
    </row>
    <row r="502">
      <c r="A502" s="3">
        <v>42502.0</v>
      </c>
      <c r="B502" s="11">
        <v>-0.0034899999999999996</v>
      </c>
      <c r="C502" s="11">
        <v>-0.0025800000000000003</v>
      </c>
      <c r="D502" s="11">
        <v>-0.0014399999999999999</v>
      </c>
      <c r="E502" s="11">
        <v>-1.2E-4</v>
      </c>
    </row>
    <row r="503">
      <c r="A503" s="3">
        <v>42501.0</v>
      </c>
      <c r="B503" s="11">
        <v>-0.0034999999999999996</v>
      </c>
      <c r="C503" s="11">
        <v>-0.0025900000000000003</v>
      </c>
      <c r="D503" s="11">
        <v>-0.0014399999999999999</v>
      </c>
      <c r="E503" s="11">
        <v>-1.2E-4</v>
      </c>
    </row>
    <row r="504">
      <c r="A504" s="3">
        <v>42500.0</v>
      </c>
      <c r="B504" s="11">
        <v>-0.0034899999999999996</v>
      </c>
      <c r="C504" s="11">
        <v>-0.0026</v>
      </c>
      <c r="D504" s="11">
        <v>-0.0014399999999999999</v>
      </c>
      <c r="E504" s="11">
        <v>-1.3E-4</v>
      </c>
    </row>
    <row r="505">
      <c r="A505" s="3">
        <v>42499.0</v>
      </c>
      <c r="B505" s="11">
        <v>-0.0034899999999999996</v>
      </c>
      <c r="C505" s="11">
        <v>-0.0025800000000000003</v>
      </c>
      <c r="D505" s="11">
        <v>-0.0014299999999999998</v>
      </c>
      <c r="E505" s="11">
        <v>-1.4000000000000001E-4</v>
      </c>
    </row>
    <row r="506">
      <c r="A506" s="3">
        <v>42496.0</v>
      </c>
      <c r="B506" s="11">
        <v>-0.0034799999999999996</v>
      </c>
      <c r="C506" s="11">
        <v>-0.00256</v>
      </c>
      <c r="D506" s="11">
        <v>-0.0014399999999999999</v>
      </c>
      <c r="E506" s="11">
        <v>-1.3E-4</v>
      </c>
    </row>
    <row r="507">
      <c r="A507" s="3">
        <v>42495.0</v>
      </c>
      <c r="B507" s="11">
        <v>-0.0034599999999999995</v>
      </c>
      <c r="C507" s="11">
        <v>-0.00255</v>
      </c>
      <c r="D507" s="11">
        <v>-0.0014399999999999999</v>
      </c>
      <c r="E507" s="11">
        <v>-1.3E-4</v>
      </c>
    </row>
    <row r="508">
      <c r="A508" s="3">
        <v>42494.0</v>
      </c>
      <c r="B508" s="11">
        <v>-0.00345</v>
      </c>
      <c r="C508" s="11">
        <v>-0.00253</v>
      </c>
      <c r="D508" s="11">
        <v>-0.0014199999999999998</v>
      </c>
      <c r="E508" s="11">
        <v>-1.2E-4</v>
      </c>
    </row>
    <row r="509">
      <c r="A509" s="3">
        <v>42493.0</v>
      </c>
      <c r="B509" s="11">
        <v>-0.0034300000000000003</v>
      </c>
      <c r="C509" s="11">
        <v>-0.00251</v>
      </c>
      <c r="D509" s="11">
        <v>-0.0014199999999999998</v>
      </c>
      <c r="E509" s="11">
        <v>-1.2E-4</v>
      </c>
    </row>
    <row r="510">
      <c r="A510" s="3">
        <v>42492.0</v>
      </c>
      <c r="B510" s="11">
        <v>-0.0034300000000000003</v>
      </c>
      <c r="C510" s="11">
        <v>-0.0025</v>
      </c>
      <c r="D510" s="11">
        <v>-0.0014099999999999998</v>
      </c>
      <c r="E510" s="11">
        <v>-1.2E-4</v>
      </c>
    </row>
    <row r="511">
      <c r="A511" s="3">
        <v>42489.0</v>
      </c>
      <c r="B511" s="11">
        <v>-0.00344</v>
      </c>
      <c r="C511" s="11">
        <v>-0.00251</v>
      </c>
      <c r="D511" s="11">
        <v>-0.0014099999999999998</v>
      </c>
      <c r="E511" s="11">
        <v>-1.2E-4</v>
      </c>
    </row>
    <row r="512">
      <c r="A512" s="3">
        <v>42488.0</v>
      </c>
      <c r="B512" s="11">
        <v>-0.0034300000000000003</v>
      </c>
      <c r="C512" s="11">
        <v>-0.00252</v>
      </c>
      <c r="D512" s="11">
        <v>-0.0014199999999999998</v>
      </c>
      <c r="E512" s="11">
        <v>-1.2E-4</v>
      </c>
    </row>
    <row r="513">
      <c r="A513" s="3">
        <v>42487.0</v>
      </c>
      <c r="B513" s="11">
        <v>-0.0034300000000000003</v>
      </c>
      <c r="C513" s="11">
        <v>-0.00251</v>
      </c>
      <c r="D513" s="11">
        <v>-0.0014199999999999998</v>
      </c>
      <c r="E513" s="11">
        <v>-1.0999999999999999E-4</v>
      </c>
    </row>
    <row r="514">
      <c r="A514" s="3">
        <v>42486.0</v>
      </c>
      <c r="B514" s="11">
        <v>-0.0034300000000000003</v>
      </c>
      <c r="C514" s="11">
        <v>-0.00252</v>
      </c>
      <c r="D514" s="11">
        <v>-0.0014299999999999998</v>
      </c>
      <c r="E514" s="11">
        <v>-1.4000000000000001E-4</v>
      </c>
    </row>
    <row r="515">
      <c r="A515" s="3">
        <v>42485.0</v>
      </c>
      <c r="B515" s="11">
        <v>-0.0034300000000000003</v>
      </c>
      <c r="C515" s="11">
        <v>-0.0025</v>
      </c>
      <c r="D515" s="11">
        <v>-0.0014399999999999999</v>
      </c>
      <c r="E515" s="11">
        <v>-1.3E-4</v>
      </c>
    </row>
    <row r="516">
      <c r="A516" s="3">
        <v>42482.0</v>
      </c>
      <c r="B516" s="11">
        <v>-0.0034200000000000003</v>
      </c>
      <c r="C516" s="11">
        <v>-0.00249</v>
      </c>
      <c r="D516" s="11">
        <v>-0.0014299999999999998</v>
      </c>
      <c r="E516" s="11">
        <v>-1.0999999999999999E-4</v>
      </c>
    </row>
    <row r="517">
      <c r="A517" s="3">
        <v>42481.0</v>
      </c>
      <c r="B517" s="11">
        <v>-0.0034200000000000003</v>
      </c>
      <c r="C517" s="11">
        <v>-0.00249</v>
      </c>
      <c r="D517" s="11">
        <v>-0.0014299999999999998</v>
      </c>
      <c r="E517" s="11">
        <v>-1.0999999999999999E-4</v>
      </c>
    </row>
    <row r="518">
      <c r="A518" s="3">
        <v>42480.0</v>
      </c>
      <c r="B518" s="11">
        <v>-0.0034200000000000003</v>
      </c>
      <c r="C518" s="11">
        <v>-0.00249</v>
      </c>
      <c r="D518" s="11">
        <v>-0.0014099999999999998</v>
      </c>
      <c r="E518" s="11">
        <v>-1.0999999999999999E-4</v>
      </c>
    </row>
    <row r="519">
      <c r="A519" s="3">
        <v>42479.0</v>
      </c>
      <c r="B519" s="11">
        <v>-0.0034300000000000003</v>
      </c>
      <c r="C519" s="11">
        <v>-0.0025</v>
      </c>
      <c r="D519" s="11">
        <v>-0.0013900000000000002</v>
      </c>
      <c r="E519" s="11">
        <v>-1.0999999999999999E-4</v>
      </c>
    </row>
    <row r="520">
      <c r="A520" s="3">
        <v>42478.0</v>
      </c>
      <c r="B520" s="11">
        <v>-0.0034200000000000003</v>
      </c>
      <c r="C520" s="11">
        <v>-0.00249</v>
      </c>
      <c r="D520" s="11">
        <v>-0.0013900000000000002</v>
      </c>
      <c r="E520" s="11">
        <v>-1.2E-4</v>
      </c>
    </row>
    <row r="521">
      <c r="A521" s="3">
        <v>42475.0</v>
      </c>
      <c r="B521" s="11">
        <v>-0.0034200000000000003</v>
      </c>
      <c r="C521" s="11">
        <v>-0.00249</v>
      </c>
      <c r="D521" s="11">
        <v>-0.0014000000000000002</v>
      </c>
      <c r="E521" s="11">
        <v>-1.0999999999999999E-4</v>
      </c>
    </row>
    <row r="522">
      <c r="A522" s="3">
        <v>42474.0</v>
      </c>
      <c r="B522" s="11">
        <v>-0.0034200000000000003</v>
      </c>
      <c r="C522" s="11">
        <v>-0.00251</v>
      </c>
      <c r="D522" s="11">
        <v>-0.0013800000000000002</v>
      </c>
      <c r="E522" s="11">
        <v>-1.0999999999999999E-4</v>
      </c>
    </row>
    <row r="523">
      <c r="A523" s="3">
        <v>42473.0</v>
      </c>
      <c r="B523" s="11">
        <v>-0.0034200000000000003</v>
      </c>
      <c r="C523" s="11">
        <v>-0.00249</v>
      </c>
      <c r="D523" s="11">
        <v>-0.0013800000000000002</v>
      </c>
      <c r="E523" s="11">
        <v>-1.3E-4</v>
      </c>
    </row>
    <row r="524">
      <c r="A524" s="3">
        <v>42472.0</v>
      </c>
      <c r="B524" s="11">
        <v>-0.0034200000000000003</v>
      </c>
      <c r="C524" s="11">
        <v>-0.00249</v>
      </c>
      <c r="D524" s="11">
        <v>-0.00136</v>
      </c>
      <c r="E524" s="11">
        <v>-1.2E-4</v>
      </c>
    </row>
    <row r="525">
      <c r="A525" s="3">
        <v>42471.0</v>
      </c>
      <c r="B525" s="11">
        <v>-0.0034000000000000002</v>
      </c>
      <c r="C525" s="11">
        <v>-0.00251</v>
      </c>
      <c r="D525" s="11">
        <v>-0.00133</v>
      </c>
      <c r="E525" s="11">
        <v>-1.0999999999999999E-4</v>
      </c>
    </row>
    <row r="526">
      <c r="A526" s="3">
        <v>42468.0</v>
      </c>
      <c r="B526" s="11">
        <v>-0.0033900000000000002</v>
      </c>
      <c r="C526" s="11">
        <v>-0.00248</v>
      </c>
      <c r="D526" s="11">
        <v>-0.00134</v>
      </c>
      <c r="E526" s="11">
        <v>-1.0E-4</v>
      </c>
    </row>
    <row r="527">
      <c r="A527" s="3">
        <v>42467.0</v>
      </c>
      <c r="B527" s="11">
        <v>-0.0033900000000000002</v>
      </c>
      <c r="C527" s="11">
        <v>-0.00247</v>
      </c>
      <c r="D527" s="11">
        <v>-0.00134</v>
      </c>
      <c r="E527" s="11">
        <v>-7.000000000000001E-5</v>
      </c>
    </row>
    <row r="528">
      <c r="A528" s="3">
        <v>42466.0</v>
      </c>
      <c r="B528" s="11">
        <v>-0.0033900000000000002</v>
      </c>
      <c r="C528" s="11">
        <v>-0.00248</v>
      </c>
      <c r="D528" s="11">
        <v>-0.00132</v>
      </c>
      <c r="E528" s="11">
        <v>-5.0E-5</v>
      </c>
    </row>
    <row r="529">
      <c r="A529" s="3">
        <v>42465.0</v>
      </c>
      <c r="B529" s="11">
        <v>-0.0033900000000000002</v>
      </c>
      <c r="C529" s="11">
        <v>-0.00248</v>
      </c>
      <c r="D529" s="11">
        <v>-0.00132</v>
      </c>
      <c r="E529" s="11">
        <v>-4.0E-5</v>
      </c>
    </row>
    <row r="530">
      <c r="A530" s="3">
        <v>42464.0</v>
      </c>
      <c r="B530" s="11">
        <v>-0.0033900000000000002</v>
      </c>
      <c r="C530" s="11">
        <v>-0.00246</v>
      </c>
      <c r="D530" s="11">
        <v>-0.00132</v>
      </c>
      <c r="E530" s="11">
        <v>-1.0E-5</v>
      </c>
    </row>
    <row r="531">
      <c r="A531" s="3">
        <v>42461.0</v>
      </c>
      <c r="B531" s="11">
        <v>-0.00335</v>
      </c>
      <c r="C531" s="11">
        <v>-0.00245</v>
      </c>
      <c r="D531" s="11">
        <v>-0.00131</v>
      </c>
      <c r="E531" s="11">
        <v>-2.0E-5</v>
      </c>
    </row>
    <row r="532">
      <c r="A532" s="3">
        <v>42460.0</v>
      </c>
      <c r="B532" s="11">
        <v>-0.00334</v>
      </c>
      <c r="C532" s="11">
        <v>-0.00244</v>
      </c>
      <c r="D532" s="11">
        <v>-0.00132</v>
      </c>
      <c r="E532" s="11">
        <v>-5.0E-5</v>
      </c>
    </row>
    <row r="533">
      <c r="A533" s="3">
        <v>42459.0</v>
      </c>
      <c r="B533" s="11">
        <v>-0.00332</v>
      </c>
      <c r="C533" s="11">
        <v>-0.00243</v>
      </c>
      <c r="D533" s="11">
        <v>-0.00132</v>
      </c>
      <c r="E533" s="11">
        <v>-4.0E-5</v>
      </c>
    </row>
    <row r="534">
      <c r="A534" s="3">
        <v>42458.0</v>
      </c>
      <c r="B534" s="11">
        <v>-0.00332</v>
      </c>
      <c r="C534" s="11">
        <v>-0.00242</v>
      </c>
      <c r="D534" s="11">
        <v>-0.00134</v>
      </c>
      <c r="E534" s="11">
        <v>-6.0E-5</v>
      </c>
    </row>
    <row r="535">
      <c r="A535" s="3">
        <v>42453.0</v>
      </c>
      <c r="B535" s="11">
        <v>-0.00331</v>
      </c>
      <c r="C535" s="11">
        <v>-0.00242</v>
      </c>
      <c r="D535" s="11">
        <v>-0.00134</v>
      </c>
      <c r="E535" s="11">
        <v>-5.0E-5</v>
      </c>
    </row>
    <row r="536">
      <c r="A536" s="3">
        <v>42452.0</v>
      </c>
      <c r="B536" s="11">
        <v>-0.0033</v>
      </c>
      <c r="C536" s="11">
        <v>-0.00241</v>
      </c>
      <c r="D536" s="11">
        <v>-0.00133</v>
      </c>
      <c r="E536" s="11">
        <v>-3.0E-5</v>
      </c>
    </row>
    <row r="537">
      <c r="A537" s="3">
        <v>42451.0</v>
      </c>
      <c r="B537" s="11">
        <v>-0.00328</v>
      </c>
      <c r="C537" s="11">
        <v>-0.0023899999999999998</v>
      </c>
      <c r="D537" s="11">
        <v>-0.00132</v>
      </c>
      <c r="E537" s="11">
        <v>-2.0E-5</v>
      </c>
    </row>
    <row r="538">
      <c r="A538" s="3">
        <v>42450.0</v>
      </c>
      <c r="B538" s="11">
        <v>-0.0032600000000000003</v>
      </c>
      <c r="C538" s="11">
        <v>-0.0023799999999999997</v>
      </c>
      <c r="D538" s="11">
        <v>-0.00131</v>
      </c>
      <c r="E538" s="11">
        <v>-2.0E-5</v>
      </c>
    </row>
    <row r="539">
      <c r="A539" s="3">
        <v>42447.0</v>
      </c>
      <c r="B539" s="11">
        <v>-0.0032400000000000003</v>
      </c>
      <c r="C539" s="11">
        <v>-0.0023499999999999997</v>
      </c>
      <c r="D539" s="11">
        <v>-0.00131</v>
      </c>
      <c r="E539" s="11">
        <v>-3.0E-5</v>
      </c>
    </row>
    <row r="540">
      <c r="A540" s="3">
        <v>42446.0</v>
      </c>
      <c r="B540" s="11">
        <v>-0.00322</v>
      </c>
      <c r="C540" s="11">
        <v>-0.00234</v>
      </c>
      <c r="D540" s="11">
        <v>-0.00131</v>
      </c>
      <c r="E540" s="11">
        <v>-3.0E-5</v>
      </c>
    </row>
    <row r="541">
      <c r="A541" s="3">
        <v>42445.0</v>
      </c>
      <c r="B541" s="11">
        <v>-0.00317</v>
      </c>
      <c r="C541" s="11">
        <v>-0.0023</v>
      </c>
      <c r="D541" s="11">
        <v>-0.0012900000000000001</v>
      </c>
      <c r="E541" s="11">
        <v>-4.0E-5</v>
      </c>
    </row>
    <row r="542">
      <c r="A542" s="3">
        <v>42444.0</v>
      </c>
      <c r="B542" s="11">
        <v>-0.00313</v>
      </c>
      <c r="C542" s="11">
        <v>-0.00227</v>
      </c>
      <c r="D542" s="11">
        <v>-0.0013</v>
      </c>
      <c r="E542" s="11">
        <v>-6.0E-5</v>
      </c>
    </row>
    <row r="543">
      <c r="A543" s="3">
        <v>42443.0</v>
      </c>
      <c r="B543" s="11">
        <v>-0.00311</v>
      </c>
      <c r="C543" s="11">
        <v>-0.00226</v>
      </c>
      <c r="D543" s="11">
        <v>-0.00131</v>
      </c>
      <c r="E543" s="11">
        <v>-8.0E-5</v>
      </c>
    </row>
    <row r="544">
      <c r="A544" s="3">
        <v>42440.0</v>
      </c>
      <c r="B544" s="11">
        <v>-0.00301</v>
      </c>
      <c r="C544" s="11">
        <v>-0.0022500000000000003</v>
      </c>
      <c r="D544" s="11">
        <v>-0.00131</v>
      </c>
      <c r="E544" s="11">
        <v>-8.999999999999999E-5</v>
      </c>
    </row>
    <row r="545">
      <c r="A545" s="3">
        <v>42439.0</v>
      </c>
      <c r="B545" s="11">
        <v>-0.00295</v>
      </c>
      <c r="C545" s="11">
        <v>-0.00229</v>
      </c>
      <c r="D545" s="11">
        <v>-0.0014099999999999998</v>
      </c>
      <c r="E545" s="11">
        <v>-2.5E-4</v>
      </c>
    </row>
    <row r="546">
      <c r="A546" s="3">
        <v>42438.0</v>
      </c>
      <c r="B546" s="11">
        <v>-0.00291</v>
      </c>
      <c r="C546" s="11">
        <v>-0.0022400000000000002</v>
      </c>
      <c r="D546" s="11">
        <v>-0.0013900000000000002</v>
      </c>
      <c r="E546" s="11">
        <v>-2.3E-4</v>
      </c>
    </row>
    <row r="547">
      <c r="A547" s="3">
        <v>42437.0</v>
      </c>
      <c r="B547" s="11">
        <v>-0.0028699999999999997</v>
      </c>
      <c r="C547" s="11">
        <v>-0.00221</v>
      </c>
      <c r="D547" s="11">
        <v>-0.0013800000000000002</v>
      </c>
      <c r="E547" s="11">
        <v>-2.5E-4</v>
      </c>
    </row>
    <row r="548">
      <c r="A548" s="3">
        <v>42436.0</v>
      </c>
      <c r="B548" s="11">
        <v>-0.0028499999999999997</v>
      </c>
      <c r="C548" s="11">
        <v>-0.00216</v>
      </c>
      <c r="D548" s="11">
        <v>-0.00136</v>
      </c>
      <c r="E548" s="11">
        <v>-2.4E-4</v>
      </c>
    </row>
    <row r="549">
      <c r="A549" s="3">
        <v>42433.0</v>
      </c>
      <c r="B549" s="11">
        <v>-0.0028100000000000004</v>
      </c>
      <c r="C549" s="11">
        <v>-0.00215</v>
      </c>
      <c r="D549" s="11">
        <v>-0.00136</v>
      </c>
      <c r="E549" s="11">
        <v>-2.8000000000000003E-4</v>
      </c>
    </row>
    <row r="550">
      <c r="A550" s="3">
        <v>42432.0</v>
      </c>
      <c r="B550" s="11">
        <v>-0.0027600000000000003</v>
      </c>
      <c r="C550" s="11">
        <v>-0.00213</v>
      </c>
      <c r="D550" s="11">
        <v>-0.00135</v>
      </c>
      <c r="E550" s="11">
        <v>-2.5E-4</v>
      </c>
    </row>
    <row r="551">
      <c r="A551" s="3">
        <v>42431.0</v>
      </c>
      <c r="B551" s="11">
        <v>-0.0027300000000000002</v>
      </c>
      <c r="C551" s="11">
        <v>-0.00208</v>
      </c>
      <c r="D551" s="11">
        <v>-0.00134</v>
      </c>
      <c r="E551" s="11">
        <v>-2.4E-4</v>
      </c>
    </row>
    <row r="552">
      <c r="A552" s="3">
        <v>42430.0</v>
      </c>
      <c r="B552" s="11">
        <v>-0.0027</v>
      </c>
      <c r="C552" s="11">
        <v>-0.00207</v>
      </c>
      <c r="D552" s="11">
        <v>-0.00135</v>
      </c>
      <c r="E552" s="11">
        <v>-2.6E-4</v>
      </c>
    </row>
    <row r="553">
      <c r="A553" s="3">
        <v>42429.0</v>
      </c>
      <c r="B553" s="11">
        <v>-0.00265</v>
      </c>
      <c r="C553" s="11">
        <v>-0.0020499999999999997</v>
      </c>
      <c r="D553" s="11">
        <v>-0.00134</v>
      </c>
      <c r="E553" s="11">
        <v>-2.4E-4</v>
      </c>
    </row>
    <row r="554">
      <c r="A554" s="3">
        <v>42426.0</v>
      </c>
      <c r="B554" s="11">
        <v>-0.00264</v>
      </c>
      <c r="C554" s="11">
        <v>-0.00202</v>
      </c>
      <c r="D554" s="11">
        <v>-0.0012900000000000001</v>
      </c>
      <c r="E554" s="11">
        <v>-1.7E-4</v>
      </c>
    </row>
    <row r="555">
      <c r="A555" s="3">
        <v>42425.0</v>
      </c>
      <c r="B555" s="11">
        <v>-0.00262</v>
      </c>
      <c r="C555" s="11">
        <v>-0.00201</v>
      </c>
      <c r="D555" s="11">
        <v>-0.00128</v>
      </c>
      <c r="E555" s="11">
        <v>-1.5E-4</v>
      </c>
    </row>
    <row r="556">
      <c r="A556" s="3">
        <v>42424.0</v>
      </c>
      <c r="B556" s="11">
        <v>-0.00262</v>
      </c>
      <c r="C556" s="11">
        <v>-0.00201</v>
      </c>
      <c r="D556" s="11">
        <v>-0.00128</v>
      </c>
      <c r="E556" s="11">
        <v>-1.5E-4</v>
      </c>
    </row>
    <row r="557">
      <c r="A557" s="3">
        <v>42423.0</v>
      </c>
      <c r="B557" s="11">
        <v>-0.00261</v>
      </c>
      <c r="C557" s="11">
        <v>-0.002</v>
      </c>
      <c r="D557" s="11">
        <v>-0.00125</v>
      </c>
      <c r="E557" s="11">
        <v>-1.6E-4</v>
      </c>
    </row>
    <row r="558">
      <c r="A558" s="3">
        <v>42422.0</v>
      </c>
      <c r="B558" s="11">
        <v>-0.0025800000000000003</v>
      </c>
      <c r="C558" s="11">
        <v>-0.00199</v>
      </c>
      <c r="D558" s="11">
        <v>-0.00126</v>
      </c>
      <c r="E558" s="11">
        <v>-1.7999999999999998E-4</v>
      </c>
    </row>
    <row r="559">
      <c r="A559" s="3">
        <v>42419.0</v>
      </c>
      <c r="B559" s="11">
        <v>-0.00255</v>
      </c>
      <c r="C559" s="11">
        <v>-0.00198</v>
      </c>
      <c r="D559" s="11">
        <v>-0.00125</v>
      </c>
      <c r="E559" s="11">
        <v>-1.7E-4</v>
      </c>
    </row>
    <row r="560">
      <c r="A560" s="3">
        <v>42418.0</v>
      </c>
      <c r="B560" s="11">
        <v>-0.00253</v>
      </c>
      <c r="C560" s="11">
        <v>-0.0019500000000000001</v>
      </c>
      <c r="D560" s="11">
        <v>-0.00124</v>
      </c>
      <c r="E560" s="11">
        <v>-1.4000000000000001E-4</v>
      </c>
    </row>
    <row r="561">
      <c r="A561" s="3">
        <v>42417.0</v>
      </c>
      <c r="B561" s="11">
        <v>-0.00249</v>
      </c>
      <c r="C561" s="11">
        <v>-0.00189</v>
      </c>
      <c r="D561" s="11">
        <v>-0.00121</v>
      </c>
      <c r="E561" s="11">
        <v>-1.0999999999999999E-4</v>
      </c>
    </row>
    <row r="562">
      <c r="A562" s="3">
        <v>42416.0</v>
      </c>
      <c r="B562" s="11">
        <v>-0.00245</v>
      </c>
      <c r="C562" s="11">
        <v>-0.00187</v>
      </c>
      <c r="D562" s="11">
        <v>-0.0012</v>
      </c>
      <c r="E562" s="11">
        <v>-1.2E-4</v>
      </c>
    </row>
    <row r="563">
      <c r="A563" s="3">
        <v>42415.0</v>
      </c>
      <c r="B563" s="11">
        <v>-0.00241</v>
      </c>
      <c r="C563" s="11">
        <v>-0.00183</v>
      </c>
      <c r="D563" s="11">
        <v>-0.00116</v>
      </c>
      <c r="E563" s="11">
        <v>-8.0E-5</v>
      </c>
    </row>
    <row r="564">
      <c r="A564" s="3">
        <v>42412.0</v>
      </c>
      <c r="B564" s="11">
        <v>-0.0024</v>
      </c>
      <c r="C564" s="11">
        <v>-0.00183</v>
      </c>
      <c r="D564" s="11">
        <v>-0.00116</v>
      </c>
      <c r="E564" s="11">
        <v>-8.999999999999999E-5</v>
      </c>
    </row>
    <row r="565">
      <c r="A565" s="3">
        <v>42411.0</v>
      </c>
      <c r="B565" s="11">
        <v>-0.0023899999999999998</v>
      </c>
      <c r="C565" s="11">
        <v>-0.00179</v>
      </c>
      <c r="D565" s="11">
        <v>-0.0011200000000000001</v>
      </c>
      <c r="E565" s="11">
        <v>-6.0E-5</v>
      </c>
    </row>
    <row r="566">
      <c r="A566" s="3">
        <v>42410.0</v>
      </c>
      <c r="B566" s="11">
        <v>-0.0023799999999999997</v>
      </c>
      <c r="C566" s="11">
        <v>-0.0017499999999999998</v>
      </c>
      <c r="D566" s="11">
        <v>-0.00111</v>
      </c>
      <c r="E566" s="11">
        <v>-1.0E-5</v>
      </c>
    </row>
    <row r="567">
      <c r="A567" s="3">
        <v>42409.0</v>
      </c>
      <c r="B567" s="11">
        <v>-0.0023699999999999997</v>
      </c>
      <c r="C567" s="11">
        <v>-0.0017100000000000001</v>
      </c>
      <c r="D567" s="11">
        <v>-0.00109</v>
      </c>
      <c r="E567" s="11">
        <v>-4.0E-5</v>
      </c>
    </row>
    <row r="568">
      <c r="A568" s="3">
        <v>42408.0</v>
      </c>
      <c r="B568" s="11">
        <v>-0.0023499999999999997</v>
      </c>
      <c r="C568" s="11">
        <v>-0.00169</v>
      </c>
      <c r="D568" s="11">
        <v>-0.00107</v>
      </c>
      <c r="E568" s="11">
        <v>-5.0E-5</v>
      </c>
    </row>
    <row r="569">
      <c r="A569" s="3">
        <v>42405.0</v>
      </c>
      <c r="B569" s="11">
        <v>-0.00234</v>
      </c>
      <c r="C569" s="11">
        <v>-0.00167</v>
      </c>
      <c r="D569" s="11">
        <v>-0.00104</v>
      </c>
      <c r="E569" s="11">
        <v>-2.0E-5</v>
      </c>
    </row>
    <row r="570">
      <c r="A570" s="3">
        <v>42404.0</v>
      </c>
      <c r="B570" s="11">
        <v>-0.00234</v>
      </c>
      <c r="C570" s="11">
        <v>-0.00166</v>
      </c>
      <c r="D570" s="11">
        <v>-0.0010199999999999999</v>
      </c>
      <c r="E570" s="11">
        <v>2.0E-5</v>
      </c>
    </row>
    <row r="571">
      <c r="A571" s="3">
        <v>42403.0</v>
      </c>
      <c r="B571" s="11">
        <v>-0.00232</v>
      </c>
      <c r="C571" s="11">
        <v>-0.0016200000000000001</v>
      </c>
      <c r="D571" s="11">
        <v>-9.6E-4</v>
      </c>
      <c r="E571" s="11">
        <v>8.0E-5</v>
      </c>
    </row>
    <row r="572">
      <c r="A572" s="3">
        <v>42402.0</v>
      </c>
      <c r="B572" s="11">
        <v>-0.00231</v>
      </c>
      <c r="C572" s="11">
        <v>-0.00161</v>
      </c>
      <c r="D572" s="11">
        <v>-9.4E-4</v>
      </c>
      <c r="E572" s="11">
        <v>8.999999999999999E-5</v>
      </c>
    </row>
    <row r="573">
      <c r="A573" s="3">
        <v>42401.0</v>
      </c>
      <c r="B573" s="11">
        <v>-0.00232</v>
      </c>
      <c r="C573" s="11">
        <v>-0.0016200000000000001</v>
      </c>
      <c r="D573" s="11">
        <v>-9.4E-4</v>
      </c>
      <c r="E573" s="11">
        <v>1.0E-4</v>
      </c>
    </row>
    <row r="574">
      <c r="A574" s="3">
        <v>42398.0</v>
      </c>
      <c r="B574" s="11">
        <v>-0.00229</v>
      </c>
      <c r="C574" s="11">
        <v>-0.0016200000000000001</v>
      </c>
      <c r="D574" s="11">
        <v>-8.9E-4</v>
      </c>
      <c r="E574" s="11">
        <v>1.5E-4</v>
      </c>
    </row>
    <row r="575">
      <c r="A575" s="3">
        <v>42397.0</v>
      </c>
      <c r="B575" s="11">
        <v>-0.00229</v>
      </c>
      <c r="C575" s="11">
        <v>-0.0016</v>
      </c>
      <c r="D575" s="11">
        <v>-8.3E-4</v>
      </c>
      <c r="E575" s="11">
        <v>2.1999999999999998E-4</v>
      </c>
    </row>
    <row r="576">
      <c r="A576" s="3">
        <v>42396.0</v>
      </c>
      <c r="B576" s="11">
        <v>-0.00231</v>
      </c>
      <c r="C576" s="11">
        <v>-0.00159</v>
      </c>
      <c r="D576" s="11">
        <v>-8.2E-4</v>
      </c>
      <c r="E576" s="11">
        <v>2.1999999999999998E-4</v>
      </c>
    </row>
    <row r="577">
      <c r="A577" s="3">
        <v>42395.0</v>
      </c>
      <c r="B577" s="11">
        <v>-0.00231</v>
      </c>
      <c r="C577" s="11">
        <v>-0.00158</v>
      </c>
      <c r="D577" s="11">
        <v>-8.2E-4</v>
      </c>
      <c r="E577" s="11">
        <v>2.5E-4</v>
      </c>
    </row>
    <row r="578">
      <c r="A578" s="3">
        <v>42394.0</v>
      </c>
      <c r="B578" s="11">
        <v>-0.00231</v>
      </c>
      <c r="C578" s="11">
        <v>-0.00155</v>
      </c>
      <c r="D578" s="11">
        <v>-7.7E-4</v>
      </c>
      <c r="E578" s="11">
        <v>2.8000000000000003E-4</v>
      </c>
    </row>
    <row r="579">
      <c r="A579" s="3">
        <v>42391.0</v>
      </c>
      <c r="B579" s="11">
        <v>-0.00231</v>
      </c>
      <c r="C579" s="11">
        <v>-0.0015199999999999999</v>
      </c>
      <c r="D579" s="11">
        <v>-7.4E-4</v>
      </c>
      <c r="E579" s="11">
        <v>3.2E-4</v>
      </c>
    </row>
    <row r="580">
      <c r="A580" s="3">
        <v>42390.0</v>
      </c>
      <c r="B580" s="11">
        <v>-0.0023</v>
      </c>
      <c r="C580" s="11">
        <v>-0.00146</v>
      </c>
      <c r="D580" s="11">
        <v>-6.5E-4</v>
      </c>
      <c r="E580" s="11">
        <v>4.2E-4</v>
      </c>
    </row>
    <row r="581">
      <c r="A581" s="3">
        <v>42389.0</v>
      </c>
      <c r="B581" s="11">
        <v>-0.0022500000000000003</v>
      </c>
      <c r="C581" s="11">
        <v>-0.0014399999999999999</v>
      </c>
      <c r="D581" s="11">
        <v>-6.1E-4</v>
      </c>
      <c r="E581" s="11">
        <v>4.5E-4</v>
      </c>
    </row>
    <row r="582">
      <c r="A582" s="3">
        <v>42388.0</v>
      </c>
      <c r="B582" s="11">
        <v>-0.00222</v>
      </c>
      <c r="C582" s="11">
        <v>-0.0014299999999999998</v>
      </c>
      <c r="D582" s="11">
        <v>-5.600000000000001E-4</v>
      </c>
      <c r="E582" s="11">
        <v>4.8E-4</v>
      </c>
    </row>
    <row r="583">
      <c r="A583" s="3">
        <v>42387.0</v>
      </c>
      <c r="B583" s="11">
        <v>-0.00222</v>
      </c>
      <c r="C583" s="11">
        <v>-0.0014199999999999998</v>
      </c>
      <c r="D583" s="11">
        <v>-5.4E-4</v>
      </c>
      <c r="E583" s="11">
        <v>4.9E-4</v>
      </c>
    </row>
    <row r="584">
      <c r="A584" s="3">
        <v>42384.0</v>
      </c>
      <c r="B584" s="11">
        <v>-0.00221</v>
      </c>
      <c r="C584" s="11">
        <v>-0.0014199999999999998</v>
      </c>
      <c r="D584" s="11">
        <v>-5.4E-4</v>
      </c>
      <c r="E584" s="11">
        <v>4.9E-4</v>
      </c>
    </row>
    <row r="585">
      <c r="A585" s="3">
        <v>42383.0</v>
      </c>
      <c r="B585" s="11">
        <v>-0.00221</v>
      </c>
      <c r="C585" s="11">
        <v>-0.0014299999999999998</v>
      </c>
      <c r="D585" s="11">
        <v>-5.3E-4</v>
      </c>
      <c r="E585" s="11">
        <v>4.8E-4</v>
      </c>
    </row>
    <row r="586">
      <c r="A586" s="3">
        <v>42382.0</v>
      </c>
      <c r="B586" s="11">
        <v>-0.0022</v>
      </c>
      <c r="C586" s="11">
        <v>-0.0014399999999999999</v>
      </c>
      <c r="D586" s="11">
        <v>-5.4E-4</v>
      </c>
      <c r="E586" s="11">
        <v>4.9E-4</v>
      </c>
    </row>
    <row r="587">
      <c r="A587" s="3">
        <v>42381.0</v>
      </c>
      <c r="B587" s="11">
        <v>-0.0022</v>
      </c>
      <c r="C587" s="11">
        <v>-0.0014399999999999999</v>
      </c>
      <c r="D587" s="11">
        <v>-5.3E-4</v>
      </c>
      <c r="E587" s="11">
        <v>4.8E-4</v>
      </c>
    </row>
    <row r="588">
      <c r="A588" s="3">
        <v>42380.0</v>
      </c>
      <c r="B588" s="11">
        <v>-0.00219</v>
      </c>
      <c r="C588" s="11">
        <v>-0.0014299999999999998</v>
      </c>
      <c r="D588" s="11">
        <v>-5.2E-4</v>
      </c>
      <c r="E588" s="11">
        <v>5.0E-4</v>
      </c>
    </row>
    <row r="589">
      <c r="A589" s="3">
        <v>42377.0</v>
      </c>
      <c r="B589" s="11">
        <v>-0.00218</v>
      </c>
      <c r="C589" s="11">
        <v>-0.0014299999999999998</v>
      </c>
      <c r="D589" s="11">
        <v>-5.099999999999999E-4</v>
      </c>
      <c r="E589" s="11">
        <v>5.099999999999999E-4</v>
      </c>
    </row>
    <row r="590">
      <c r="A590" s="3">
        <v>42376.0</v>
      </c>
      <c r="B590" s="11">
        <v>-0.00218</v>
      </c>
      <c r="C590" s="11">
        <v>-0.0014199999999999998</v>
      </c>
      <c r="D590" s="11">
        <v>-5.0E-4</v>
      </c>
      <c r="E590" s="11">
        <v>5.099999999999999E-4</v>
      </c>
    </row>
    <row r="591">
      <c r="A591" s="3">
        <v>42375.0</v>
      </c>
      <c r="B591" s="11">
        <v>-0.00214</v>
      </c>
      <c r="C591" s="11">
        <v>-0.00136</v>
      </c>
      <c r="D591" s="11">
        <v>-4.3999999999999996E-4</v>
      </c>
      <c r="E591" s="11">
        <v>5.600000000000001E-4</v>
      </c>
    </row>
    <row r="592">
      <c r="A592" s="3">
        <v>42374.0</v>
      </c>
      <c r="B592" s="11">
        <v>-0.00211</v>
      </c>
      <c r="C592" s="11">
        <v>-0.00133</v>
      </c>
      <c r="D592" s="11">
        <v>-4.1E-4</v>
      </c>
      <c r="E592" s="11">
        <v>5.899999999999999E-4</v>
      </c>
    </row>
    <row r="593">
      <c r="A593" s="3">
        <v>42373.0</v>
      </c>
      <c r="B593" s="11">
        <v>-0.0021</v>
      </c>
      <c r="C593" s="11">
        <v>-0.00132</v>
      </c>
      <c r="D593" s="11">
        <v>-4.1E-4</v>
      </c>
      <c r="E593" s="11">
        <v>5.8E-4</v>
      </c>
    </row>
    <row r="594">
      <c r="A594" s="3">
        <v>42369.0</v>
      </c>
      <c r="B594" s="11">
        <v>-0.0020499999999999997</v>
      </c>
      <c r="C594" s="11">
        <v>-0.00131</v>
      </c>
      <c r="D594" s="11">
        <v>-4.0E-4</v>
      </c>
      <c r="E594" s="11">
        <v>6.0E-4</v>
      </c>
    </row>
    <row r="595">
      <c r="A595" s="3">
        <v>42368.0</v>
      </c>
      <c r="B595" s="11">
        <v>-0.0020599999999999998</v>
      </c>
      <c r="C595" s="11">
        <v>-0.00132</v>
      </c>
      <c r="D595" s="11">
        <v>-4.1E-4</v>
      </c>
      <c r="E595" s="11">
        <v>5.899999999999999E-4</v>
      </c>
    </row>
    <row r="596">
      <c r="A596" s="3">
        <v>42367.0</v>
      </c>
      <c r="B596" s="11">
        <v>-0.00202</v>
      </c>
      <c r="C596" s="11">
        <v>-0.00132</v>
      </c>
      <c r="D596" s="11">
        <v>-4.2E-4</v>
      </c>
      <c r="E596" s="11">
        <v>5.8E-4</v>
      </c>
    </row>
    <row r="597">
      <c r="A597" s="3">
        <v>42366.0</v>
      </c>
      <c r="B597" s="11">
        <v>-0.00199</v>
      </c>
      <c r="C597" s="11">
        <v>-0.00131</v>
      </c>
      <c r="D597" s="11">
        <v>-4.0E-4</v>
      </c>
      <c r="E597" s="11">
        <v>6.0E-4</v>
      </c>
    </row>
    <row r="598">
      <c r="A598" s="3">
        <v>42362.0</v>
      </c>
      <c r="B598" s="11">
        <v>-0.00201</v>
      </c>
      <c r="C598" s="11">
        <v>-0.00131</v>
      </c>
      <c r="D598" s="11">
        <v>-4.0E-4</v>
      </c>
      <c r="E598" s="11">
        <v>6.0E-4</v>
      </c>
    </row>
    <row r="599">
      <c r="A599" s="3">
        <v>42361.0</v>
      </c>
      <c r="B599" s="11">
        <v>-0.00201</v>
      </c>
      <c r="C599" s="11">
        <v>-0.00131</v>
      </c>
      <c r="D599" s="11">
        <v>-4.1E-4</v>
      </c>
      <c r="E599" s="11">
        <v>6.1E-4</v>
      </c>
    </row>
    <row r="600">
      <c r="A600" s="3">
        <v>42360.0</v>
      </c>
      <c r="B600" s="11">
        <v>-0.00201</v>
      </c>
      <c r="C600" s="11">
        <v>-0.00131</v>
      </c>
      <c r="D600" s="11">
        <v>-4.1E-4</v>
      </c>
      <c r="E600" s="11">
        <v>6.0E-4</v>
      </c>
    </row>
    <row r="601">
      <c r="A601" s="3">
        <v>42359.0</v>
      </c>
      <c r="B601" s="11">
        <v>-0.002</v>
      </c>
      <c r="C601" s="11">
        <v>-0.0013</v>
      </c>
      <c r="D601" s="11">
        <v>-4.1E-4</v>
      </c>
      <c r="E601" s="11">
        <v>6.1E-4</v>
      </c>
    </row>
    <row r="602">
      <c r="A602" s="3">
        <v>42356.0</v>
      </c>
      <c r="B602" s="11">
        <v>-0.00199</v>
      </c>
      <c r="C602" s="11">
        <v>-0.00131</v>
      </c>
      <c r="D602" s="11">
        <v>-4.1E-4</v>
      </c>
      <c r="E602" s="11">
        <v>5.8E-4</v>
      </c>
    </row>
    <row r="603">
      <c r="A603" s="3">
        <v>42355.0</v>
      </c>
      <c r="B603" s="11">
        <v>-0.00198</v>
      </c>
      <c r="C603" s="11">
        <v>-0.00133</v>
      </c>
      <c r="D603" s="11">
        <v>-4.1E-4</v>
      </c>
      <c r="E603" s="11">
        <v>5.899999999999999E-4</v>
      </c>
    </row>
    <row r="604">
      <c r="A604" s="3">
        <v>42354.0</v>
      </c>
      <c r="B604" s="11">
        <v>-0.00196</v>
      </c>
      <c r="C604" s="11">
        <v>-0.00133</v>
      </c>
      <c r="D604" s="11">
        <v>-4.1E-4</v>
      </c>
      <c r="E604" s="11">
        <v>5.899999999999999E-4</v>
      </c>
    </row>
    <row r="605">
      <c r="A605" s="3">
        <v>42353.0</v>
      </c>
      <c r="B605" s="11">
        <v>-0.00194</v>
      </c>
      <c r="C605" s="11">
        <v>-0.00132</v>
      </c>
      <c r="D605" s="11">
        <v>-4.1E-4</v>
      </c>
      <c r="E605" s="11">
        <v>6.0E-4</v>
      </c>
    </row>
    <row r="606">
      <c r="A606" s="3">
        <v>42352.0</v>
      </c>
      <c r="B606" s="11">
        <v>-0.00191</v>
      </c>
      <c r="C606" s="11">
        <v>-0.0012900000000000001</v>
      </c>
      <c r="D606" s="11">
        <v>-3.9E-4</v>
      </c>
      <c r="E606" s="11">
        <v>6.0E-4</v>
      </c>
    </row>
    <row r="607">
      <c r="A607" s="3">
        <v>42349.0</v>
      </c>
      <c r="B607" s="11">
        <v>-0.00189</v>
      </c>
      <c r="C607" s="11">
        <v>-0.00128</v>
      </c>
      <c r="D607" s="11">
        <v>-3.7999999999999997E-4</v>
      </c>
      <c r="E607" s="11">
        <v>6.3E-4</v>
      </c>
    </row>
    <row r="608">
      <c r="A608" s="3">
        <v>42348.0</v>
      </c>
      <c r="B608" s="11">
        <v>-0.0018599999999999999</v>
      </c>
      <c r="C608" s="11">
        <v>-0.00125</v>
      </c>
      <c r="D608" s="11">
        <v>-3.5999999999999997E-4</v>
      </c>
      <c r="E608" s="11">
        <v>6.4E-4</v>
      </c>
    </row>
    <row r="609">
      <c r="A609" s="3">
        <v>42347.0</v>
      </c>
      <c r="B609" s="11">
        <v>-0.00181</v>
      </c>
      <c r="C609" s="11">
        <v>-0.0011899999999999999</v>
      </c>
      <c r="D609" s="11">
        <v>-3.4E-4</v>
      </c>
      <c r="E609" s="11">
        <v>6.6E-4</v>
      </c>
    </row>
    <row r="610">
      <c r="A610" s="3">
        <v>42346.0</v>
      </c>
      <c r="B610" s="11">
        <v>-0.00178</v>
      </c>
      <c r="C610" s="11">
        <v>-0.00116</v>
      </c>
      <c r="D610" s="11">
        <v>-3.3E-4</v>
      </c>
      <c r="E610" s="11">
        <v>6.7E-4</v>
      </c>
    </row>
    <row r="611">
      <c r="A611" s="3">
        <v>42345.0</v>
      </c>
      <c r="B611" s="11">
        <v>-0.0017499999999999998</v>
      </c>
      <c r="C611" s="11">
        <v>-0.00113</v>
      </c>
      <c r="D611" s="11">
        <v>-3.1E-4</v>
      </c>
      <c r="E611" s="11">
        <v>6.6E-4</v>
      </c>
    </row>
    <row r="612">
      <c r="A612" s="3">
        <v>42342.0</v>
      </c>
      <c r="B612" s="11">
        <v>-0.0017100000000000001</v>
      </c>
      <c r="C612" s="11">
        <v>-0.00113</v>
      </c>
      <c r="D612" s="11">
        <v>-3.0E-4</v>
      </c>
      <c r="E612" s="11">
        <v>6.8E-4</v>
      </c>
    </row>
    <row r="613">
      <c r="A613" s="3">
        <v>42341.0</v>
      </c>
      <c r="B613" s="11">
        <v>-0.0017100000000000001</v>
      </c>
      <c r="C613" s="11">
        <v>-0.00124</v>
      </c>
      <c r="D613" s="11">
        <v>-5.099999999999999E-4</v>
      </c>
      <c r="E613" s="11">
        <v>3.9E-4</v>
      </c>
    </row>
    <row r="614">
      <c r="A614" s="3">
        <v>42340.0</v>
      </c>
      <c r="B614" s="11">
        <v>-0.00164</v>
      </c>
      <c r="C614" s="11">
        <v>-0.0011799999999999998</v>
      </c>
      <c r="D614" s="11">
        <v>-4.8E-4</v>
      </c>
      <c r="E614" s="11">
        <v>4.3E-4</v>
      </c>
    </row>
    <row r="615">
      <c r="A615" s="3">
        <v>42339.0</v>
      </c>
      <c r="B615" s="11">
        <v>-0.00161</v>
      </c>
      <c r="C615" s="11">
        <v>-0.00116</v>
      </c>
      <c r="D615" s="11">
        <v>-4.5E-4</v>
      </c>
      <c r="E615" s="11">
        <v>4.5E-4</v>
      </c>
    </row>
    <row r="616">
      <c r="A616" s="3">
        <v>42338.0</v>
      </c>
      <c r="B616" s="11">
        <v>-0.00161</v>
      </c>
      <c r="C616" s="11">
        <v>-0.00114</v>
      </c>
      <c r="D616" s="11">
        <v>-4.3E-4</v>
      </c>
      <c r="E616" s="11">
        <v>4.8E-4</v>
      </c>
    </row>
    <row r="617">
      <c r="A617" s="3">
        <v>42335.0</v>
      </c>
      <c r="B617" s="11">
        <v>-0.0016</v>
      </c>
      <c r="C617" s="11">
        <v>-0.00113</v>
      </c>
      <c r="D617" s="11">
        <v>-4.0E-4</v>
      </c>
      <c r="E617" s="11">
        <v>4.8E-4</v>
      </c>
    </row>
    <row r="618">
      <c r="A618" s="3">
        <v>42334.0</v>
      </c>
      <c r="B618" s="11">
        <v>-0.00161</v>
      </c>
      <c r="C618" s="11">
        <v>-0.00109</v>
      </c>
      <c r="D618" s="11">
        <v>-3.9E-4</v>
      </c>
      <c r="E618" s="11">
        <v>5.3E-4</v>
      </c>
    </row>
    <row r="619">
      <c r="A619" s="3">
        <v>42333.0</v>
      </c>
      <c r="B619" s="11">
        <v>-0.00156</v>
      </c>
      <c r="C619" s="11">
        <v>-0.00104</v>
      </c>
      <c r="D619" s="11">
        <v>-3.1E-4</v>
      </c>
      <c r="E619" s="11">
        <v>6.0E-4</v>
      </c>
    </row>
    <row r="620">
      <c r="A620" s="3">
        <v>42332.0</v>
      </c>
      <c r="B620" s="11">
        <v>-0.00157</v>
      </c>
      <c r="C620" s="11">
        <v>-0.00104</v>
      </c>
      <c r="D620" s="11">
        <v>-3.3E-4</v>
      </c>
      <c r="E620" s="11">
        <v>5.8E-4</v>
      </c>
    </row>
    <row r="621">
      <c r="A621" s="3">
        <v>42331.0</v>
      </c>
      <c r="B621" s="11">
        <v>-0.00155</v>
      </c>
      <c r="C621" s="11">
        <v>-9.9E-4</v>
      </c>
      <c r="D621" s="11">
        <v>-3.0E-4</v>
      </c>
      <c r="E621" s="11">
        <v>6.2E-4</v>
      </c>
    </row>
    <row r="622">
      <c r="A622" s="3">
        <v>42328.0</v>
      </c>
      <c r="B622" s="11">
        <v>-0.00151</v>
      </c>
      <c r="C622" s="11">
        <v>-9.5E-4</v>
      </c>
      <c r="D622" s="11">
        <v>-2.4E-4</v>
      </c>
      <c r="E622" s="11">
        <v>6.8E-4</v>
      </c>
    </row>
    <row r="623">
      <c r="A623" s="3">
        <v>42327.0</v>
      </c>
      <c r="B623" s="11">
        <v>-0.00149</v>
      </c>
      <c r="C623" s="11">
        <v>-9.2E-4</v>
      </c>
      <c r="D623" s="11">
        <v>-1.8999999999999998E-4</v>
      </c>
      <c r="E623" s="11">
        <v>7.4E-4</v>
      </c>
    </row>
    <row r="624">
      <c r="A624" s="3">
        <v>42326.0</v>
      </c>
      <c r="B624" s="11">
        <v>-0.00146</v>
      </c>
      <c r="C624" s="11">
        <v>-9.2E-4</v>
      </c>
      <c r="D624" s="11">
        <v>-1.5E-4</v>
      </c>
      <c r="E624" s="11">
        <v>7.599999999999999E-4</v>
      </c>
    </row>
    <row r="625">
      <c r="A625" s="3">
        <v>42325.0</v>
      </c>
      <c r="B625" s="11">
        <v>-0.0014399999999999999</v>
      </c>
      <c r="C625" s="11">
        <v>-9.1E-4</v>
      </c>
      <c r="D625" s="11">
        <v>-1.5E-4</v>
      </c>
      <c r="E625" s="11">
        <v>7.599999999999999E-4</v>
      </c>
    </row>
    <row r="626">
      <c r="A626" s="3">
        <v>42324.0</v>
      </c>
      <c r="B626" s="11">
        <v>-0.0013900000000000002</v>
      </c>
      <c r="C626" s="11">
        <v>-8.6E-4</v>
      </c>
      <c r="D626" s="11">
        <v>-1.3E-4</v>
      </c>
      <c r="E626" s="11">
        <v>7.7E-4</v>
      </c>
    </row>
    <row r="627">
      <c r="A627" s="3">
        <v>42321.0</v>
      </c>
      <c r="B627" s="11">
        <v>-0.0013700000000000001</v>
      </c>
      <c r="C627" s="11">
        <v>-8.3E-4</v>
      </c>
      <c r="D627" s="11">
        <v>-1.0999999999999999E-4</v>
      </c>
      <c r="E627" s="11">
        <v>8.2E-4</v>
      </c>
    </row>
    <row r="628">
      <c r="A628" s="3">
        <v>42320.0</v>
      </c>
      <c r="B628" s="11">
        <v>-0.00136</v>
      </c>
      <c r="C628" s="11">
        <v>-8.100000000000001E-4</v>
      </c>
      <c r="D628" s="11">
        <v>-1.0999999999999999E-4</v>
      </c>
      <c r="E628" s="11">
        <v>8.4E-4</v>
      </c>
    </row>
    <row r="629">
      <c r="A629" s="3">
        <v>42319.0</v>
      </c>
      <c r="B629" s="11">
        <v>-0.00132</v>
      </c>
      <c r="C629" s="11">
        <v>-7.9E-4</v>
      </c>
      <c r="D629" s="11">
        <v>-6.0E-5</v>
      </c>
      <c r="E629" s="11">
        <v>8.9E-4</v>
      </c>
    </row>
    <row r="630">
      <c r="A630" s="3">
        <v>42318.0</v>
      </c>
      <c r="B630" s="11">
        <v>-0.0012900000000000001</v>
      </c>
      <c r="C630" s="11">
        <v>-7.7E-4</v>
      </c>
      <c r="D630" s="11">
        <v>-4.0E-5</v>
      </c>
      <c r="E630" s="11">
        <v>9.1E-4</v>
      </c>
    </row>
    <row r="631">
      <c r="A631" s="3">
        <v>42317.0</v>
      </c>
      <c r="B631" s="11">
        <v>-0.00125</v>
      </c>
      <c r="C631" s="11">
        <v>-7.3E-4</v>
      </c>
      <c r="D631" s="11">
        <v>1.0E-5</v>
      </c>
      <c r="E631" s="11">
        <v>0.00101</v>
      </c>
    </row>
    <row r="632">
      <c r="A632" s="3">
        <v>42314.0</v>
      </c>
      <c r="B632" s="11">
        <v>-0.00124</v>
      </c>
      <c r="C632" s="11">
        <v>-7.3E-4</v>
      </c>
      <c r="D632" s="11">
        <v>-2.0E-5</v>
      </c>
      <c r="E632" s="11">
        <v>9.6E-4</v>
      </c>
    </row>
    <row r="633">
      <c r="A633" s="3">
        <v>42313.0</v>
      </c>
      <c r="B633" s="11">
        <v>-0.00123</v>
      </c>
      <c r="C633" s="11">
        <v>-7.099999999999999E-4</v>
      </c>
      <c r="D633" s="11">
        <v>1.0E-5</v>
      </c>
      <c r="E633" s="11">
        <v>9.8E-4</v>
      </c>
    </row>
    <row r="634">
      <c r="A634" s="3">
        <v>42312.0</v>
      </c>
      <c r="B634" s="11">
        <v>-0.00122</v>
      </c>
      <c r="C634" s="11">
        <v>-6.900000000000001E-4</v>
      </c>
      <c r="D634" s="11">
        <v>0.0</v>
      </c>
      <c r="E634" s="11">
        <v>0.00101</v>
      </c>
    </row>
    <row r="635">
      <c r="A635" s="3">
        <v>42311.0</v>
      </c>
      <c r="B635" s="11">
        <v>-0.00121</v>
      </c>
      <c r="C635" s="11">
        <v>-6.900000000000001E-4</v>
      </c>
      <c r="D635" s="11">
        <v>3.0E-5</v>
      </c>
      <c r="E635" s="11">
        <v>0.00106</v>
      </c>
    </row>
    <row r="636">
      <c r="A636" s="3">
        <v>42310.0</v>
      </c>
      <c r="B636" s="11">
        <v>-0.0011899999999999999</v>
      </c>
      <c r="C636" s="11">
        <v>-6.6E-4</v>
      </c>
      <c r="D636" s="11">
        <v>7.000000000000001E-5</v>
      </c>
      <c r="E636" s="11">
        <v>0.00109</v>
      </c>
    </row>
    <row r="637">
      <c r="A637" s="3">
        <v>42307.0</v>
      </c>
      <c r="B637" s="11">
        <v>-0.0011899999999999999</v>
      </c>
      <c r="C637" s="11">
        <v>-6.8E-4</v>
      </c>
      <c r="D637" s="11">
        <v>6.0E-5</v>
      </c>
      <c r="E637" s="11">
        <v>0.00107</v>
      </c>
    </row>
    <row r="638">
      <c r="A638" s="3">
        <v>42306.0</v>
      </c>
      <c r="B638" s="11">
        <v>-0.0011899999999999999</v>
      </c>
      <c r="C638" s="11">
        <v>-6.8E-4</v>
      </c>
      <c r="D638" s="11">
        <v>4.0E-5</v>
      </c>
      <c r="E638" s="11">
        <v>0.00104</v>
      </c>
    </row>
    <row r="639">
      <c r="A639" s="3">
        <v>42305.0</v>
      </c>
      <c r="B639" s="11">
        <v>-0.0011899999999999999</v>
      </c>
      <c r="C639" s="11">
        <v>-6.7E-4</v>
      </c>
      <c r="D639" s="11">
        <v>6.0E-5</v>
      </c>
      <c r="E639" s="11">
        <v>0.00104</v>
      </c>
    </row>
    <row r="640">
      <c r="A640" s="3">
        <v>42304.0</v>
      </c>
      <c r="B640" s="11">
        <v>-0.0011899999999999999</v>
      </c>
      <c r="C640" s="11">
        <v>-6.6E-4</v>
      </c>
      <c r="D640" s="11">
        <v>8.0E-5</v>
      </c>
      <c r="E640" s="11">
        <v>0.00108</v>
      </c>
    </row>
    <row r="641">
      <c r="A641" s="3">
        <v>42303.0</v>
      </c>
      <c r="B641" s="11">
        <v>-0.0011899999999999999</v>
      </c>
      <c r="C641" s="11">
        <v>-6.4E-4</v>
      </c>
      <c r="D641" s="11">
        <v>8.0E-5</v>
      </c>
      <c r="E641" s="11">
        <v>0.0011</v>
      </c>
    </row>
    <row r="642">
      <c r="A642" s="3">
        <v>42300.0</v>
      </c>
      <c r="B642" s="11">
        <v>-0.0011899999999999999</v>
      </c>
      <c r="C642" s="11">
        <v>-6.1E-4</v>
      </c>
      <c r="D642" s="11">
        <v>1.0E-4</v>
      </c>
      <c r="E642" s="11">
        <v>0.00114</v>
      </c>
    </row>
    <row r="643">
      <c r="A643" s="3">
        <v>42299.0</v>
      </c>
      <c r="B643" s="11">
        <v>-0.0011799999999999998</v>
      </c>
      <c r="C643" s="11">
        <v>-5.3E-4</v>
      </c>
      <c r="D643" s="11">
        <v>1.8999999999999998E-4</v>
      </c>
      <c r="E643" s="11">
        <v>0.0012900000000000001</v>
      </c>
    </row>
    <row r="644">
      <c r="A644" s="3">
        <v>42298.0</v>
      </c>
      <c r="B644" s="11">
        <v>-0.0011799999999999998</v>
      </c>
      <c r="C644" s="11">
        <v>-5.3E-4</v>
      </c>
      <c r="D644" s="11">
        <v>1.8999999999999998E-4</v>
      </c>
      <c r="E644" s="11">
        <v>0.0013</v>
      </c>
    </row>
    <row r="645">
      <c r="A645" s="3">
        <v>42297.0</v>
      </c>
      <c r="B645" s="11">
        <v>-0.00117</v>
      </c>
      <c r="C645" s="11">
        <v>-5.3E-4</v>
      </c>
      <c r="D645" s="11">
        <v>1.7999999999999998E-4</v>
      </c>
      <c r="E645" s="11">
        <v>0.0012900000000000001</v>
      </c>
    </row>
    <row r="646">
      <c r="A646" s="3">
        <v>42296.0</v>
      </c>
      <c r="B646" s="11">
        <v>-0.00117</v>
      </c>
      <c r="C646" s="11">
        <v>-5.4E-4</v>
      </c>
      <c r="D646" s="11">
        <v>1.8999999999999998E-4</v>
      </c>
      <c r="E646" s="11">
        <v>0.00128</v>
      </c>
    </row>
    <row r="647">
      <c r="A647" s="3">
        <v>42293.0</v>
      </c>
      <c r="B647" s="11">
        <v>-0.00116</v>
      </c>
      <c r="C647" s="11">
        <v>-5.099999999999999E-4</v>
      </c>
      <c r="D647" s="11">
        <v>2.1E-4</v>
      </c>
      <c r="E647" s="11">
        <v>0.0012900000000000001</v>
      </c>
    </row>
    <row r="648">
      <c r="A648" s="3">
        <v>42292.0</v>
      </c>
      <c r="B648" s="11">
        <v>-0.00114</v>
      </c>
      <c r="C648" s="11">
        <v>-5.2E-4</v>
      </c>
      <c r="D648" s="11">
        <v>2.4E-4</v>
      </c>
      <c r="E648" s="11">
        <v>0.00134</v>
      </c>
    </row>
    <row r="649">
      <c r="A649" s="3">
        <v>42291.0</v>
      </c>
      <c r="B649" s="11">
        <v>-0.00113</v>
      </c>
      <c r="C649" s="11">
        <v>-4.9E-4</v>
      </c>
      <c r="D649" s="11">
        <v>2.7E-4</v>
      </c>
      <c r="E649" s="11">
        <v>0.0013700000000000001</v>
      </c>
    </row>
    <row r="650">
      <c r="A650" s="3">
        <v>42290.0</v>
      </c>
      <c r="B650" s="11">
        <v>-0.00113</v>
      </c>
      <c r="C650" s="11">
        <v>-4.9E-4</v>
      </c>
      <c r="D650" s="11">
        <v>2.6E-4</v>
      </c>
      <c r="E650" s="11">
        <v>0.0013900000000000002</v>
      </c>
    </row>
    <row r="651">
      <c r="A651" s="3">
        <v>42289.0</v>
      </c>
      <c r="B651" s="11">
        <v>-0.00113</v>
      </c>
      <c r="C651" s="11">
        <v>-4.9E-4</v>
      </c>
      <c r="D651" s="11">
        <v>2.7E-4</v>
      </c>
      <c r="E651" s="11">
        <v>0.0013900000000000002</v>
      </c>
    </row>
    <row r="652">
      <c r="A652" s="3">
        <v>42286.0</v>
      </c>
      <c r="B652" s="11">
        <v>-0.00113</v>
      </c>
      <c r="C652" s="11">
        <v>-4.9E-4</v>
      </c>
      <c r="D652" s="11">
        <v>2.8000000000000003E-4</v>
      </c>
      <c r="E652" s="11">
        <v>0.0013900000000000002</v>
      </c>
    </row>
    <row r="653">
      <c r="A653" s="3">
        <v>42285.0</v>
      </c>
      <c r="B653" s="11">
        <v>-0.00114</v>
      </c>
      <c r="C653" s="11">
        <v>-4.8E-4</v>
      </c>
      <c r="D653" s="11">
        <v>2.8000000000000003E-4</v>
      </c>
      <c r="E653" s="11">
        <v>0.0013900000000000002</v>
      </c>
    </row>
    <row r="654">
      <c r="A654" s="3">
        <v>42284.0</v>
      </c>
      <c r="B654" s="11">
        <v>-0.00113</v>
      </c>
      <c r="C654" s="11">
        <v>-4.6E-4</v>
      </c>
      <c r="D654" s="11">
        <v>2.8000000000000003E-4</v>
      </c>
      <c r="E654" s="11">
        <v>0.0014000000000000002</v>
      </c>
    </row>
    <row r="655">
      <c r="A655" s="3">
        <v>42283.0</v>
      </c>
      <c r="B655" s="11">
        <v>-0.0011200000000000001</v>
      </c>
      <c r="C655" s="11">
        <v>-4.6E-4</v>
      </c>
      <c r="D655" s="11">
        <v>2.7E-4</v>
      </c>
      <c r="E655" s="11">
        <v>0.0013900000000000002</v>
      </c>
    </row>
    <row r="656">
      <c r="A656" s="3">
        <v>42282.0</v>
      </c>
      <c r="B656" s="11">
        <v>-0.00113</v>
      </c>
      <c r="C656" s="11">
        <v>-4.6E-4</v>
      </c>
      <c r="D656" s="11">
        <v>2.7E-4</v>
      </c>
      <c r="E656" s="11">
        <v>0.0013700000000000001</v>
      </c>
    </row>
    <row r="657">
      <c r="A657" s="3">
        <v>42279.0</v>
      </c>
      <c r="B657" s="11">
        <v>-0.00113</v>
      </c>
      <c r="C657" s="11">
        <v>-4.3999999999999996E-4</v>
      </c>
      <c r="D657" s="11">
        <v>2.6E-4</v>
      </c>
      <c r="E657" s="11">
        <v>0.0013900000000000002</v>
      </c>
    </row>
    <row r="658">
      <c r="A658" s="3">
        <v>42278.0</v>
      </c>
      <c r="B658" s="11">
        <v>-0.00113</v>
      </c>
      <c r="C658" s="11">
        <v>-4.3E-4</v>
      </c>
      <c r="D658" s="11">
        <v>2.7E-4</v>
      </c>
      <c r="E658" s="11">
        <v>0.0014000000000000002</v>
      </c>
    </row>
    <row r="659">
      <c r="A659" s="3">
        <v>42277.0</v>
      </c>
      <c r="B659" s="11">
        <v>-0.00113</v>
      </c>
      <c r="C659" s="11">
        <v>-4.0E-4</v>
      </c>
      <c r="D659" s="11">
        <v>2.9E-4</v>
      </c>
      <c r="E659" s="11">
        <v>0.0014199999999999998</v>
      </c>
    </row>
    <row r="660">
      <c r="A660" s="3">
        <v>42276.0</v>
      </c>
      <c r="B660" s="11">
        <v>-0.00113</v>
      </c>
      <c r="C660" s="11">
        <v>-4.1E-4</v>
      </c>
      <c r="D660" s="11">
        <v>2.9E-4</v>
      </c>
      <c r="E660" s="11">
        <v>0.0014299999999999998</v>
      </c>
    </row>
    <row r="661">
      <c r="A661" s="3">
        <v>42275.0</v>
      </c>
      <c r="B661" s="11">
        <v>-0.00111</v>
      </c>
      <c r="C661" s="11">
        <v>-4.1E-4</v>
      </c>
      <c r="D661" s="11">
        <v>2.9E-4</v>
      </c>
      <c r="E661" s="11">
        <v>0.00145</v>
      </c>
    </row>
    <row r="662">
      <c r="A662" s="3">
        <v>42272.0</v>
      </c>
      <c r="B662" s="11">
        <v>-0.00111</v>
      </c>
      <c r="C662" s="11">
        <v>-4.1E-4</v>
      </c>
      <c r="D662" s="11">
        <v>3.0E-4</v>
      </c>
      <c r="E662" s="11">
        <v>0.00146</v>
      </c>
    </row>
    <row r="663">
      <c r="A663" s="3">
        <v>42271.0</v>
      </c>
      <c r="B663" s="11">
        <v>-0.00109</v>
      </c>
      <c r="C663" s="11">
        <v>-4.0E-4</v>
      </c>
      <c r="D663" s="11">
        <v>3.2E-4</v>
      </c>
      <c r="E663" s="11">
        <v>0.00148</v>
      </c>
    </row>
    <row r="664">
      <c r="A664" s="3">
        <v>42270.0</v>
      </c>
      <c r="B664" s="11">
        <v>-0.00107</v>
      </c>
      <c r="C664" s="11">
        <v>-3.9E-4</v>
      </c>
      <c r="D664" s="11">
        <v>3.3E-4</v>
      </c>
      <c r="E664" s="11">
        <v>0.00147</v>
      </c>
    </row>
    <row r="665">
      <c r="A665" s="3">
        <v>42269.0</v>
      </c>
      <c r="B665" s="11">
        <v>-0.0010299999999999999</v>
      </c>
      <c r="C665" s="11">
        <v>-3.9E-4</v>
      </c>
      <c r="D665" s="11">
        <v>3.4E-4</v>
      </c>
      <c r="E665" s="11">
        <v>0.0015</v>
      </c>
    </row>
    <row r="666">
      <c r="A666" s="3">
        <v>42268.0</v>
      </c>
      <c r="B666" s="11">
        <v>-0.00104</v>
      </c>
      <c r="C666" s="11">
        <v>-3.7999999999999997E-4</v>
      </c>
      <c r="D666" s="11">
        <v>3.5999999999999997E-4</v>
      </c>
      <c r="E666" s="11">
        <v>0.0015199999999999999</v>
      </c>
    </row>
    <row r="667">
      <c r="A667" s="3">
        <v>42265.0</v>
      </c>
      <c r="B667" s="11">
        <v>-0.0010199999999999999</v>
      </c>
      <c r="C667" s="11">
        <v>-3.7E-4</v>
      </c>
      <c r="D667" s="11">
        <v>3.5999999999999997E-4</v>
      </c>
      <c r="E667" s="11">
        <v>0.00154</v>
      </c>
    </row>
    <row r="668">
      <c r="A668" s="3">
        <v>42264.0</v>
      </c>
      <c r="B668" s="11">
        <v>-0.0010299999999999999</v>
      </c>
      <c r="C668" s="11">
        <v>-3.7E-4</v>
      </c>
      <c r="D668" s="11">
        <v>3.5999999999999997E-4</v>
      </c>
      <c r="E668" s="11">
        <v>0.00156</v>
      </c>
    </row>
    <row r="669">
      <c r="A669" s="3">
        <v>42263.0</v>
      </c>
      <c r="B669" s="11">
        <v>-0.0010299999999999999</v>
      </c>
      <c r="C669" s="11">
        <v>-3.7E-4</v>
      </c>
      <c r="D669" s="11">
        <v>3.5999999999999997E-4</v>
      </c>
      <c r="E669" s="11">
        <v>0.00156</v>
      </c>
    </row>
    <row r="670">
      <c r="A670" s="3">
        <v>42262.0</v>
      </c>
      <c r="B670" s="11">
        <v>-0.00104</v>
      </c>
      <c r="C670" s="11">
        <v>-3.5999999999999997E-4</v>
      </c>
      <c r="D670" s="11">
        <v>3.5999999999999997E-4</v>
      </c>
      <c r="E670" s="11">
        <v>0.00155</v>
      </c>
    </row>
    <row r="671">
      <c r="A671" s="3">
        <v>42261.0</v>
      </c>
      <c r="B671" s="11">
        <v>-0.00104</v>
      </c>
      <c r="C671" s="11">
        <v>-3.7999999999999997E-4</v>
      </c>
      <c r="D671" s="11">
        <v>3.7E-4</v>
      </c>
      <c r="E671" s="11">
        <v>0.00157</v>
      </c>
    </row>
    <row r="672">
      <c r="A672" s="3">
        <v>42258.0</v>
      </c>
      <c r="B672" s="11">
        <v>-0.00104</v>
      </c>
      <c r="C672" s="11">
        <v>-3.7999999999999997E-4</v>
      </c>
      <c r="D672" s="11">
        <v>3.7E-4</v>
      </c>
      <c r="E672" s="11">
        <v>0.00157</v>
      </c>
    </row>
    <row r="673">
      <c r="A673" s="3">
        <v>42257.0</v>
      </c>
      <c r="B673" s="11">
        <v>-0.0010299999999999999</v>
      </c>
      <c r="C673" s="11">
        <v>-3.5999999999999997E-4</v>
      </c>
      <c r="D673" s="11">
        <v>3.7999999999999997E-4</v>
      </c>
      <c r="E673" s="11">
        <v>0.00157</v>
      </c>
    </row>
    <row r="674">
      <c r="A674" s="3">
        <v>42256.0</v>
      </c>
      <c r="B674" s="11">
        <v>-0.00104</v>
      </c>
      <c r="C674" s="11">
        <v>-3.5000000000000005E-4</v>
      </c>
      <c r="D674" s="11">
        <v>3.7999999999999997E-4</v>
      </c>
      <c r="E674" s="11">
        <v>0.00158</v>
      </c>
    </row>
    <row r="675">
      <c r="A675" s="3">
        <v>42255.0</v>
      </c>
      <c r="B675" s="11">
        <v>-0.00104</v>
      </c>
      <c r="C675" s="11">
        <v>-3.5000000000000005E-4</v>
      </c>
      <c r="D675" s="11">
        <v>3.7999999999999997E-4</v>
      </c>
      <c r="E675" s="11">
        <v>0.00158</v>
      </c>
    </row>
    <row r="676">
      <c r="A676" s="3">
        <v>42254.0</v>
      </c>
      <c r="B676" s="11">
        <v>-0.00104</v>
      </c>
      <c r="C676" s="11">
        <v>-3.4E-4</v>
      </c>
      <c r="D676" s="11">
        <v>3.7999999999999997E-4</v>
      </c>
      <c r="E676" s="11">
        <v>0.00158</v>
      </c>
    </row>
    <row r="677">
      <c r="A677" s="3">
        <v>42251.0</v>
      </c>
      <c r="B677" s="11">
        <v>-0.00104</v>
      </c>
      <c r="C677" s="11">
        <v>-3.4E-4</v>
      </c>
      <c r="D677" s="11">
        <v>3.7999999999999997E-4</v>
      </c>
      <c r="E677" s="11">
        <v>0.00158</v>
      </c>
    </row>
    <row r="678">
      <c r="A678" s="3">
        <v>42250.0</v>
      </c>
      <c r="B678" s="11">
        <v>-0.0010299999999999999</v>
      </c>
      <c r="C678" s="11">
        <v>-3.3E-4</v>
      </c>
      <c r="D678" s="11">
        <v>3.7999999999999997E-4</v>
      </c>
      <c r="E678" s="11">
        <v>0.00161</v>
      </c>
    </row>
    <row r="679">
      <c r="A679" s="3">
        <v>42249.0</v>
      </c>
      <c r="B679" s="11">
        <v>-0.0010199999999999999</v>
      </c>
      <c r="C679" s="11">
        <v>-3.3E-4</v>
      </c>
      <c r="D679" s="11">
        <v>3.9E-4</v>
      </c>
      <c r="E679" s="11">
        <v>0.0016</v>
      </c>
    </row>
    <row r="680">
      <c r="A680" s="3">
        <v>42248.0</v>
      </c>
      <c r="B680" s="11">
        <v>-9.9E-4</v>
      </c>
      <c r="C680" s="11">
        <v>-3.3E-4</v>
      </c>
      <c r="D680" s="11">
        <v>3.9E-4</v>
      </c>
      <c r="E680" s="11">
        <v>0.00161</v>
      </c>
    </row>
    <row r="681">
      <c r="A681" s="3">
        <v>42247.0</v>
      </c>
      <c r="B681" s="11">
        <v>-9.8E-4</v>
      </c>
      <c r="C681" s="11">
        <v>-3.3E-4</v>
      </c>
      <c r="D681" s="11">
        <v>3.9E-4</v>
      </c>
      <c r="E681" s="11">
        <v>0.0016</v>
      </c>
    </row>
    <row r="682">
      <c r="A682" s="3">
        <v>42244.0</v>
      </c>
      <c r="B682" s="11">
        <v>-9.8E-4</v>
      </c>
      <c r="C682" s="11">
        <v>-3.3E-4</v>
      </c>
      <c r="D682" s="11">
        <v>4.0E-4</v>
      </c>
      <c r="E682" s="11">
        <v>0.00161</v>
      </c>
    </row>
    <row r="683">
      <c r="A683" s="3">
        <v>42243.0</v>
      </c>
      <c r="B683" s="11">
        <v>-9.9E-4</v>
      </c>
      <c r="C683" s="11">
        <v>-3.3E-4</v>
      </c>
      <c r="D683" s="11">
        <v>3.9E-4</v>
      </c>
      <c r="E683" s="11">
        <v>0.0016</v>
      </c>
    </row>
    <row r="684">
      <c r="A684" s="3">
        <v>42242.0</v>
      </c>
      <c r="B684" s="11">
        <v>-9.8E-4</v>
      </c>
      <c r="C684" s="11">
        <v>-3.3E-4</v>
      </c>
      <c r="D684" s="11">
        <v>3.9E-4</v>
      </c>
      <c r="E684" s="11">
        <v>0.0016</v>
      </c>
    </row>
    <row r="685">
      <c r="A685" s="3">
        <v>42241.0</v>
      </c>
      <c r="B685" s="11">
        <v>-9.6E-4</v>
      </c>
      <c r="C685" s="11">
        <v>-3.3E-4</v>
      </c>
      <c r="D685" s="11">
        <v>4.1E-4</v>
      </c>
      <c r="E685" s="11">
        <v>0.00161</v>
      </c>
    </row>
    <row r="686">
      <c r="A686" s="3">
        <v>42240.0</v>
      </c>
      <c r="B686" s="11">
        <v>-9.4E-4</v>
      </c>
      <c r="C686" s="11">
        <v>-3.2E-4</v>
      </c>
      <c r="D686" s="11">
        <v>4.1E-4</v>
      </c>
      <c r="E686" s="11">
        <v>0.0016</v>
      </c>
    </row>
    <row r="687">
      <c r="A687" s="3">
        <v>42237.0</v>
      </c>
      <c r="B687" s="11">
        <v>-9.2E-4</v>
      </c>
      <c r="C687" s="11">
        <v>-3.1E-4</v>
      </c>
      <c r="D687" s="11">
        <v>4.2E-4</v>
      </c>
      <c r="E687" s="11">
        <v>0.0016</v>
      </c>
    </row>
    <row r="688">
      <c r="A688" s="3">
        <v>42236.0</v>
      </c>
      <c r="B688" s="11">
        <v>-9.1E-4</v>
      </c>
      <c r="C688" s="11">
        <v>-3.0E-4</v>
      </c>
      <c r="D688" s="11">
        <v>4.2E-4</v>
      </c>
      <c r="E688" s="11">
        <v>0.00159</v>
      </c>
    </row>
    <row r="689">
      <c r="A689" s="3">
        <v>42235.0</v>
      </c>
      <c r="B689" s="11">
        <v>-8.9E-4</v>
      </c>
      <c r="C689" s="11">
        <v>-2.9E-4</v>
      </c>
      <c r="D689" s="11">
        <v>4.2E-4</v>
      </c>
      <c r="E689" s="11">
        <v>0.0016</v>
      </c>
    </row>
    <row r="690">
      <c r="A690" s="3">
        <v>42234.0</v>
      </c>
      <c r="B690" s="11">
        <v>-8.9E-4</v>
      </c>
      <c r="C690" s="11">
        <v>-2.8000000000000003E-4</v>
      </c>
      <c r="D690" s="11">
        <v>4.3E-4</v>
      </c>
      <c r="E690" s="11">
        <v>0.00159</v>
      </c>
    </row>
    <row r="691">
      <c r="A691" s="3">
        <v>42233.0</v>
      </c>
      <c r="B691" s="11">
        <v>-8.799999999999999E-4</v>
      </c>
      <c r="C691" s="11">
        <v>-2.7E-4</v>
      </c>
      <c r="D691" s="11">
        <v>4.3999999999999996E-4</v>
      </c>
      <c r="E691" s="11">
        <v>0.00161</v>
      </c>
    </row>
    <row r="692">
      <c r="A692" s="3">
        <v>42230.0</v>
      </c>
      <c r="B692" s="11">
        <v>-8.500000000000001E-4</v>
      </c>
      <c r="C692" s="11">
        <v>-2.5E-4</v>
      </c>
      <c r="D692" s="11">
        <v>4.6E-4</v>
      </c>
      <c r="E692" s="11">
        <v>0.00161</v>
      </c>
    </row>
    <row r="693">
      <c r="A693" s="3">
        <v>42229.0</v>
      </c>
      <c r="B693" s="11">
        <v>-8.4E-4</v>
      </c>
      <c r="C693" s="11">
        <v>-2.4E-4</v>
      </c>
      <c r="D693" s="11">
        <v>4.6E-4</v>
      </c>
      <c r="E693" s="11">
        <v>0.00161</v>
      </c>
    </row>
    <row r="694">
      <c r="A694" s="3">
        <v>42228.0</v>
      </c>
      <c r="B694" s="11">
        <v>-8.3E-4</v>
      </c>
      <c r="C694" s="11">
        <v>-2.4E-4</v>
      </c>
      <c r="D694" s="11">
        <v>4.6E-4</v>
      </c>
      <c r="E694" s="11">
        <v>0.00161</v>
      </c>
    </row>
    <row r="695">
      <c r="A695" s="3">
        <v>42227.0</v>
      </c>
      <c r="B695" s="11">
        <v>-8.2E-4</v>
      </c>
      <c r="C695" s="11">
        <v>-2.4E-4</v>
      </c>
      <c r="D695" s="11">
        <v>4.6E-4</v>
      </c>
      <c r="E695" s="11">
        <v>0.0016200000000000001</v>
      </c>
    </row>
    <row r="696">
      <c r="A696" s="3">
        <v>42226.0</v>
      </c>
      <c r="B696" s="11">
        <v>-8.2E-4</v>
      </c>
      <c r="C696" s="11">
        <v>-2.4E-4</v>
      </c>
      <c r="D696" s="11">
        <v>4.8E-4</v>
      </c>
      <c r="E696" s="11">
        <v>0.0016200000000000001</v>
      </c>
    </row>
    <row r="697">
      <c r="A697" s="3">
        <v>42223.0</v>
      </c>
      <c r="B697" s="11">
        <v>-8.100000000000001E-4</v>
      </c>
      <c r="C697" s="11">
        <v>-2.4E-4</v>
      </c>
      <c r="D697" s="11">
        <v>4.6E-4</v>
      </c>
      <c r="E697" s="11">
        <v>0.0016300000000000002</v>
      </c>
    </row>
    <row r="698">
      <c r="A698" s="3">
        <v>42222.0</v>
      </c>
      <c r="B698" s="11">
        <v>-8.0E-4</v>
      </c>
      <c r="C698" s="11">
        <v>-2.4E-4</v>
      </c>
      <c r="D698" s="11">
        <v>4.7E-4</v>
      </c>
      <c r="E698" s="11">
        <v>0.0016300000000000002</v>
      </c>
    </row>
    <row r="699">
      <c r="A699" s="3">
        <v>42221.0</v>
      </c>
      <c r="B699" s="11">
        <v>-7.9E-4</v>
      </c>
      <c r="C699" s="11">
        <v>-2.4E-4</v>
      </c>
      <c r="D699" s="11">
        <v>4.8E-4</v>
      </c>
      <c r="E699" s="11">
        <v>0.0016300000000000002</v>
      </c>
    </row>
    <row r="700">
      <c r="A700" s="3">
        <v>42220.0</v>
      </c>
      <c r="B700" s="11">
        <v>-7.9E-4</v>
      </c>
      <c r="C700" s="11">
        <v>-2.3E-4</v>
      </c>
      <c r="D700" s="11">
        <v>4.8E-4</v>
      </c>
      <c r="E700" s="11">
        <v>0.00164</v>
      </c>
    </row>
    <row r="701">
      <c r="A701" s="3">
        <v>42219.0</v>
      </c>
      <c r="B701" s="11">
        <v>-7.8E-4</v>
      </c>
      <c r="C701" s="11">
        <v>-2.3E-4</v>
      </c>
      <c r="D701" s="11">
        <v>4.9E-4</v>
      </c>
      <c r="E701" s="11">
        <v>0.00166</v>
      </c>
    </row>
    <row r="702">
      <c r="A702" s="3">
        <v>42216.0</v>
      </c>
      <c r="B702" s="11">
        <v>-7.5E-4</v>
      </c>
      <c r="C702" s="11">
        <v>-2.3E-4</v>
      </c>
      <c r="D702" s="11">
        <v>4.8E-4</v>
      </c>
      <c r="E702" s="11">
        <v>0.00167</v>
      </c>
    </row>
    <row r="703">
      <c r="A703" s="3">
        <v>42215.0</v>
      </c>
      <c r="B703" s="11">
        <v>-7.4E-4</v>
      </c>
      <c r="C703" s="11">
        <v>-2.3E-4</v>
      </c>
      <c r="D703" s="11">
        <v>4.8E-4</v>
      </c>
      <c r="E703" s="11">
        <v>0.00169</v>
      </c>
    </row>
    <row r="704">
      <c r="A704" s="3">
        <v>42214.0</v>
      </c>
      <c r="B704" s="11">
        <v>-7.4E-4</v>
      </c>
      <c r="C704" s="11">
        <v>-2.1999999999999998E-4</v>
      </c>
      <c r="D704" s="11">
        <v>4.8E-4</v>
      </c>
      <c r="E704" s="11">
        <v>0.00169</v>
      </c>
    </row>
    <row r="705">
      <c r="A705" s="3">
        <v>42213.0</v>
      </c>
      <c r="B705" s="11">
        <v>-7.3E-4</v>
      </c>
      <c r="C705" s="11">
        <v>-2.1E-4</v>
      </c>
      <c r="D705" s="11">
        <v>4.8E-4</v>
      </c>
      <c r="E705" s="11">
        <v>0.00169</v>
      </c>
    </row>
    <row r="706">
      <c r="A706" s="3">
        <v>42212.0</v>
      </c>
      <c r="B706" s="11">
        <v>-7.4E-4</v>
      </c>
      <c r="C706" s="11">
        <v>-2.0E-4</v>
      </c>
      <c r="D706" s="11">
        <v>4.9E-4</v>
      </c>
      <c r="E706" s="11">
        <v>0.00169</v>
      </c>
    </row>
    <row r="707">
      <c r="A707" s="3">
        <v>42209.0</v>
      </c>
      <c r="B707" s="11">
        <v>-7.4E-4</v>
      </c>
      <c r="C707" s="11">
        <v>-1.8999999999999998E-4</v>
      </c>
      <c r="D707" s="11">
        <v>4.8E-4</v>
      </c>
      <c r="E707" s="11">
        <v>0.0017000000000000001</v>
      </c>
    </row>
    <row r="708">
      <c r="A708" s="3">
        <v>42208.0</v>
      </c>
      <c r="B708" s="11">
        <v>-7.3E-4</v>
      </c>
      <c r="C708" s="11">
        <v>-1.8999999999999998E-4</v>
      </c>
      <c r="D708" s="11">
        <v>4.9E-4</v>
      </c>
      <c r="E708" s="11">
        <v>0.0017100000000000001</v>
      </c>
    </row>
    <row r="709">
      <c r="A709" s="3">
        <v>42207.0</v>
      </c>
      <c r="B709" s="11">
        <v>-7.3E-4</v>
      </c>
      <c r="C709" s="11">
        <v>-1.8999999999999998E-4</v>
      </c>
      <c r="D709" s="11">
        <v>4.9E-4</v>
      </c>
      <c r="E709" s="11">
        <v>0.0017100000000000001</v>
      </c>
    </row>
    <row r="710">
      <c r="A710" s="3">
        <v>42206.0</v>
      </c>
      <c r="B710" s="11">
        <v>-7.3E-4</v>
      </c>
      <c r="C710" s="11">
        <v>-1.8999999999999998E-4</v>
      </c>
      <c r="D710" s="11">
        <v>4.9E-4</v>
      </c>
      <c r="E710" s="11">
        <v>0.0017000000000000001</v>
      </c>
    </row>
    <row r="711">
      <c r="A711" s="3">
        <v>42205.0</v>
      </c>
      <c r="B711" s="11">
        <v>-7.3E-4</v>
      </c>
      <c r="C711" s="11">
        <v>-1.8999999999999998E-4</v>
      </c>
      <c r="D711" s="11">
        <v>4.9E-4</v>
      </c>
      <c r="E711" s="11">
        <v>0.0017100000000000001</v>
      </c>
    </row>
    <row r="712">
      <c r="A712" s="3">
        <v>42202.0</v>
      </c>
      <c r="B712" s="11">
        <v>-7.199999999999999E-4</v>
      </c>
      <c r="C712" s="11">
        <v>-1.8999999999999998E-4</v>
      </c>
      <c r="D712" s="11">
        <v>4.9E-4</v>
      </c>
      <c r="E712" s="11">
        <v>0.0017000000000000001</v>
      </c>
    </row>
    <row r="713">
      <c r="A713" s="3">
        <v>42201.0</v>
      </c>
      <c r="B713" s="11">
        <v>-7.099999999999999E-4</v>
      </c>
      <c r="C713" s="11">
        <v>-1.8999999999999998E-4</v>
      </c>
      <c r="D713" s="11">
        <v>4.9E-4</v>
      </c>
      <c r="E713" s="11">
        <v>0.00169</v>
      </c>
    </row>
    <row r="714">
      <c r="A714" s="3">
        <v>42200.0</v>
      </c>
      <c r="B714" s="11">
        <v>-7.199999999999999E-4</v>
      </c>
      <c r="C714" s="11">
        <v>-1.8999999999999998E-4</v>
      </c>
      <c r="D714" s="11">
        <v>4.9E-4</v>
      </c>
      <c r="E714" s="11">
        <v>0.00169</v>
      </c>
    </row>
    <row r="715">
      <c r="A715" s="3">
        <v>42199.0</v>
      </c>
      <c r="B715" s="11">
        <v>-7.099999999999999E-4</v>
      </c>
      <c r="C715" s="11">
        <v>-1.8999999999999998E-4</v>
      </c>
      <c r="D715" s="11">
        <v>4.9E-4</v>
      </c>
      <c r="E715" s="11">
        <v>0.00168</v>
      </c>
    </row>
    <row r="716">
      <c r="A716" s="3">
        <v>42198.0</v>
      </c>
      <c r="B716" s="11">
        <v>-7.099999999999999E-4</v>
      </c>
      <c r="C716" s="11">
        <v>-1.8999999999999998E-4</v>
      </c>
      <c r="D716" s="11">
        <v>4.9E-4</v>
      </c>
      <c r="E716" s="11">
        <v>0.00166</v>
      </c>
    </row>
    <row r="717">
      <c r="A717" s="3">
        <v>42195.0</v>
      </c>
      <c r="B717" s="11">
        <v>-7.099999999999999E-4</v>
      </c>
      <c r="C717" s="11">
        <v>-1.7999999999999998E-4</v>
      </c>
      <c r="D717" s="11">
        <v>4.9E-4</v>
      </c>
      <c r="E717" s="11">
        <v>0.00164</v>
      </c>
    </row>
    <row r="718">
      <c r="A718" s="3">
        <v>42194.0</v>
      </c>
      <c r="B718" s="11">
        <v>-7.099999999999999E-4</v>
      </c>
      <c r="C718" s="11">
        <v>-1.7999999999999998E-4</v>
      </c>
      <c r="D718" s="11">
        <v>4.9E-4</v>
      </c>
      <c r="E718" s="11">
        <v>0.0016300000000000002</v>
      </c>
    </row>
    <row r="719">
      <c r="A719" s="3">
        <v>42193.0</v>
      </c>
      <c r="B719" s="11">
        <v>-7.099999999999999E-4</v>
      </c>
      <c r="C719" s="11">
        <v>-1.7999999999999998E-4</v>
      </c>
      <c r="D719" s="11">
        <v>4.9E-4</v>
      </c>
      <c r="E719" s="11">
        <v>0.00164</v>
      </c>
    </row>
    <row r="720">
      <c r="A720" s="3">
        <v>42192.0</v>
      </c>
      <c r="B720" s="11">
        <v>-6.900000000000001E-4</v>
      </c>
      <c r="C720" s="11">
        <v>-1.7999999999999998E-4</v>
      </c>
      <c r="D720" s="11">
        <v>4.9E-4</v>
      </c>
      <c r="E720" s="11">
        <v>0.00164</v>
      </c>
    </row>
    <row r="721">
      <c r="A721" s="3">
        <v>42191.0</v>
      </c>
      <c r="B721" s="11">
        <v>-6.8E-4</v>
      </c>
      <c r="C721" s="11">
        <v>-1.6E-4</v>
      </c>
      <c r="D721" s="11">
        <v>4.9E-4</v>
      </c>
      <c r="E721" s="11">
        <v>0.00164</v>
      </c>
    </row>
    <row r="722">
      <c r="A722" s="3">
        <v>42188.0</v>
      </c>
      <c r="B722" s="11">
        <v>-6.7E-4</v>
      </c>
      <c r="C722" s="11">
        <v>-1.5E-4</v>
      </c>
      <c r="D722" s="11">
        <v>4.9E-4</v>
      </c>
      <c r="E722" s="11">
        <v>0.0016300000000000002</v>
      </c>
    </row>
    <row r="723">
      <c r="A723" s="3">
        <v>42187.0</v>
      </c>
      <c r="B723" s="11">
        <v>-6.6E-4</v>
      </c>
      <c r="C723" s="11">
        <v>-1.5E-4</v>
      </c>
      <c r="D723" s="11">
        <v>4.8E-4</v>
      </c>
      <c r="E723" s="11">
        <v>0.0016300000000000002</v>
      </c>
    </row>
    <row r="724">
      <c r="A724" s="3">
        <v>42186.0</v>
      </c>
      <c r="B724" s="11">
        <v>-6.4E-4</v>
      </c>
      <c r="C724" s="11">
        <v>-1.4000000000000001E-4</v>
      </c>
      <c r="D724" s="11">
        <v>4.9E-4</v>
      </c>
      <c r="E724" s="11">
        <v>0.00164</v>
      </c>
    </row>
    <row r="725">
      <c r="A725" s="3">
        <v>42185.0</v>
      </c>
      <c r="B725" s="11">
        <v>-6.4E-4</v>
      </c>
      <c r="C725" s="11">
        <v>-1.4000000000000001E-4</v>
      </c>
      <c r="D725" s="11">
        <v>5.0E-4</v>
      </c>
      <c r="E725" s="11">
        <v>0.00164</v>
      </c>
    </row>
    <row r="726">
      <c r="A726" s="3">
        <v>42184.0</v>
      </c>
      <c r="B726" s="11">
        <v>-6.4E-4</v>
      </c>
      <c r="C726" s="11">
        <v>-1.6E-4</v>
      </c>
      <c r="D726" s="11">
        <v>5.0E-4</v>
      </c>
      <c r="E726" s="11">
        <v>0.0016300000000000002</v>
      </c>
    </row>
    <row r="727">
      <c r="A727" s="3">
        <v>42181.0</v>
      </c>
      <c r="B727" s="11">
        <v>-6.6E-4</v>
      </c>
      <c r="C727" s="11">
        <v>-1.5E-4</v>
      </c>
      <c r="D727" s="11">
        <v>5.0E-4</v>
      </c>
      <c r="E727" s="11">
        <v>0.0016200000000000001</v>
      </c>
    </row>
    <row r="728">
      <c r="A728" s="3">
        <v>42180.0</v>
      </c>
      <c r="B728" s="11">
        <v>-6.6E-4</v>
      </c>
      <c r="C728" s="11">
        <v>-1.5E-4</v>
      </c>
      <c r="D728" s="11">
        <v>4.9E-4</v>
      </c>
      <c r="E728" s="11">
        <v>0.0016200000000000001</v>
      </c>
    </row>
    <row r="729">
      <c r="A729" s="3">
        <v>42179.0</v>
      </c>
      <c r="B729" s="11">
        <v>-6.6E-4</v>
      </c>
      <c r="C729" s="11">
        <v>-1.4000000000000001E-4</v>
      </c>
      <c r="D729" s="11">
        <v>4.9E-4</v>
      </c>
      <c r="E729" s="11">
        <v>0.0016300000000000002</v>
      </c>
    </row>
    <row r="730">
      <c r="A730" s="3">
        <v>42178.0</v>
      </c>
      <c r="B730" s="11">
        <v>-6.6E-4</v>
      </c>
      <c r="C730" s="11">
        <v>-1.4000000000000001E-4</v>
      </c>
      <c r="D730" s="11">
        <v>4.8E-4</v>
      </c>
      <c r="E730" s="11">
        <v>0.0016300000000000002</v>
      </c>
    </row>
    <row r="731">
      <c r="A731" s="3">
        <v>42177.0</v>
      </c>
      <c r="B731" s="11">
        <v>-6.5E-4</v>
      </c>
      <c r="C731" s="11">
        <v>-1.4000000000000001E-4</v>
      </c>
      <c r="D731" s="11">
        <v>4.8E-4</v>
      </c>
      <c r="E731" s="11">
        <v>0.00164</v>
      </c>
    </row>
    <row r="732">
      <c r="A732" s="3">
        <v>42174.0</v>
      </c>
      <c r="B732" s="11">
        <v>-6.4E-4</v>
      </c>
      <c r="C732" s="11">
        <v>-1.4000000000000001E-4</v>
      </c>
      <c r="D732" s="11">
        <v>5.0E-4</v>
      </c>
      <c r="E732" s="11">
        <v>0.00166</v>
      </c>
    </row>
    <row r="733">
      <c r="A733" s="3">
        <v>42173.0</v>
      </c>
      <c r="B733" s="11">
        <v>-6.3E-4</v>
      </c>
      <c r="C733" s="11">
        <v>-1.4000000000000001E-4</v>
      </c>
      <c r="D733" s="11">
        <v>4.9E-4</v>
      </c>
      <c r="E733" s="11">
        <v>0.00166</v>
      </c>
    </row>
    <row r="734">
      <c r="A734" s="3">
        <v>42172.0</v>
      </c>
      <c r="B734" s="11">
        <v>-6.4E-4</v>
      </c>
      <c r="C734" s="11">
        <v>-1.4000000000000001E-4</v>
      </c>
      <c r="D734" s="11">
        <v>4.9E-4</v>
      </c>
      <c r="E734" s="11">
        <v>0.00166</v>
      </c>
    </row>
    <row r="735">
      <c r="A735" s="3">
        <v>42171.0</v>
      </c>
      <c r="B735" s="11">
        <v>-6.4E-4</v>
      </c>
      <c r="C735" s="11">
        <v>-1.4000000000000001E-4</v>
      </c>
      <c r="D735" s="11">
        <v>5.099999999999999E-4</v>
      </c>
      <c r="E735" s="11">
        <v>0.00166</v>
      </c>
    </row>
    <row r="736">
      <c r="A736" s="3">
        <v>42170.0</v>
      </c>
      <c r="B736" s="11">
        <v>-6.4E-4</v>
      </c>
      <c r="C736" s="11">
        <v>-1.4000000000000001E-4</v>
      </c>
      <c r="D736" s="11">
        <v>4.9E-4</v>
      </c>
      <c r="E736" s="11">
        <v>0.00164</v>
      </c>
    </row>
    <row r="737">
      <c r="A737" s="3">
        <v>42167.0</v>
      </c>
      <c r="B737" s="11">
        <v>-6.4E-4</v>
      </c>
      <c r="C737" s="11">
        <v>-1.4000000000000001E-4</v>
      </c>
      <c r="D737" s="11">
        <v>5.0E-4</v>
      </c>
      <c r="E737" s="11">
        <v>0.0016300000000000002</v>
      </c>
    </row>
    <row r="738">
      <c r="A738" s="3">
        <v>42166.0</v>
      </c>
      <c r="B738" s="11">
        <v>-6.2E-4</v>
      </c>
      <c r="C738" s="11">
        <v>-1.4000000000000001E-4</v>
      </c>
      <c r="D738" s="11">
        <v>4.9E-4</v>
      </c>
      <c r="E738" s="11">
        <v>0.00161</v>
      </c>
    </row>
    <row r="739">
      <c r="A739" s="3">
        <v>42165.0</v>
      </c>
      <c r="B739" s="11">
        <v>-6.3E-4</v>
      </c>
      <c r="C739" s="11">
        <v>-1.4000000000000001E-4</v>
      </c>
      <c r="D739" s="11">
        <v>4.9E-4</v>
      </c>
      <c r="E739" s="11">
        <v>0.00166</v>
      </c>
    </row>
    <row r="740">
      <c r="A740" s="3">
        <v>42164.0</v>
      </c>
      <c r="B740" s="11">
        <v>-6.3E-4</v>
      </c>
      <c r="C740" s="11">
        <v>-1.3E-4</v>
      </c>
      <c r="D740" s="11">
        <v>4.9E-4</v>
      </c>
      <c r="E740" s="11">
        <v>0.0016300000000000002</v>
      </c>
    </row>
    <row r="741">
      <c r="A741" s="3">
        <v>42163.0</v>
      </c>
      <c r="B741" s="11">
        <v>-6.3E-4</v>
      </c>
      <c r="C741" s="11">
        <v>-1.3E-4</v>
      </c>
      <c r="D741" s="11">
        <v>4.9E-4</v>
      </c>
      <c r="E741" s="11">
        <v>0.0016300000000000002</v>
      </c>
    </row>
    <row r="742">
      <c r="A742" s="3">
        <v>42160.0</v>
      </c>
      <c r="B742" s="11">
        <v>-6.3E-4</v>
      </c>
      <c r="C742" s="11">
        <v>-1.3E-4</v>
      </c>
      <c r="D742" s="11">
        <v>5.0E-4</v>
      </c>
      <c r="E742" s="11">
        <v>0.00161</v>
      </c>
    </row>
    <row r="743">
      <c r="A743" s="3">
        <v>42159.0</v>
      </c>
      <c r="B743" s="11">
        <v>-6.2E-4</v>
      </c>
      <c r="C743" s="11">
        <v>-1.3E-4</v>
      </c>
      <c r="D743" s="11">
        <v>4.9E-4</v>
      </c>
      <c r="E743" s="11">
        <v>0.0016200000000000001</v>
      </c>
    </row>
    <row r="744">
      <c r="A744" s="3">
        <v>42158.0</v>
      </c>
      <c r="B744" s="11">
        <v>-6.1E-4</v>
      </c>
      <c r="C744" s="11">
        <v>-1.4000000000000001E-4</v>
      </c>
      <c r="D744" s="11">
        <v>4.8E-4</v>
      </c>
      <c r="E744" s="11">
        <v>0.0016</v>
      </c>
    </row>
    <row r="745">
      <c r="A745" s="3">
        <v>42157.0</v>
      </c>
      <c r="B745" s="11">
        <v>-6.0E-4</v>
      </c>
      <c r="C745" s="11">
        <v>-1.3E-4</v>
      </c>
      <c r="D745" s="11">
        <v>4.8E-4</v>
      </c>
      <c r="E745" s="11">
        <v>0.00158</v>
      </c>
    </row>
    <row r="746">
      <c r="A746" s="3">
        <v>42156.0</v>
      </c>
      <c r="B746" s="11">
        <v>-5.7E-4</v>
      </c>
      <c r="C746" s="11">
        <v>-1.3E-4</v>
      </c>
      <c r="D746" s="11">
        <v>4.9E-4</v>
      </c>
      <c r="E746" s="11">
        <v>0.00161</v>
      </c>
    </row>
    <row r="747">
      <c r="A747" s="3">
        <v>42153.0</v>
      </c>
      <c r="B747" s="11">
        <v>-5.899999999999999E-4</v>
      </c>
      <c r="C747" s="11">
        <v>-1.2E-4</v>
      </c>
      <c r="D747" s="11">
        <v>4.9E-4</v>
      </c>
      <c r="E747" s="11">
        <v>0.0016</v>
      </c>
    </row>
    <row r="748">
      <c r="A748" s="3">
        <v>42152.0</v>
      </c>
      <c r="B748" s="11">
        <v>-5.8E-4</v>
      </c>
      <c r="C748" s="11">
        <v>-1.3E-4</v>
      </c>
      <c r="D748" s="11">
        <v>4.9E-4</v>
      </c>
      <c r="E748" s="11">
        <v>0.00159</v>
      </c>
    </row>
    <row r="749">
      <c r="A749" s="3">
        <v>42151.0</v>
      </c>
      <c r="B749" s="11">
        <v>-5.4E-4</v>
      </c>
      <c r="C749" s="11">
        <v>-1.3E-4</v>
      </c>
      <c r="D749" s="11">
        <v>5.0E-4</v>
      </c>
      <c r="E749" s="11">
        <v>0.0016</v>
      </c>
    </row>
    <row r="750">
      <c r="A750" s="3">
        <v>42150.0</v>
      </c>
      <c r="B750" s="11">
        <v>-5.4E-4</v>
      </c>
      <c r="C750" s="11">
        <v>-1.3E-4</v>
      </c>
      <c r="D750" s="11">
        <v>5.2E-4</v>
      </c>
      <c r="E750" s="11">
        <v>0.00161</v>
      </c>
    </row>
    <row r="751">
      <c r="A751" s="3">
        <v>42149.0</v>
      </c>
      <c r="B751" s="11">
        <v>-5.3E-4</v>
      </c>
      <c r="C751" s="11">
        <v>-1.2E-4</v>
      </c>
      <c r="D751" s="11">
        <v>5.4E-4</v>
      </c>
      <c r="E751" s="11">
        <v>0.0016300000000000002</v>
      </c>
    </row>
    <row r="752">
      <c r="A752" s="3">
        <v>42146.0</v>
      </c>
      <c r="B752" s="11">
        <v>-5.2E-4</v>
      </c>
      <c r="C752" s="11">
        <v>-1.2E-4</v>
      </c>
      <c r="D752" s="11">
        <v>5.4E-4</v>
      </c>
      <c r="E752" s="11">
        <v>0.0016200000000000001</v>
      </c>
    </row>
    <row r="753">
      <c r="A753" s="3">
        <v>42145.0</v>
      </c>
      <c r="B753" s="11">
        <v>-5.2E-4</v>
      </c>
      <c r="C753" s="11">
        <v>-1.2E-4</v>
      </c>
      <c r="D753" s="11">
        <v>5.4E-4</v>
      </c>
      <c r="E753" s="11">
        <v>0.0016200000000000001</v>
      </c>
    </row>
    <row r="754">
      <c r="A754" s="3">
        <v>42144.0</v>
      </c>
      <c r="B754" s="11">
        <v>-5.2E-4</v>
      </c>
      <c r="C754" s="11">
        <v>-1.2E-4</v>
      </c>
      <c r="D754" s="11">
        <v>5.5E-4</v>
      </c>
      <c r="E754" s="11">
        <v>0.0016200000000000001</v>
      </c>
    </row>
    <row r="755">
      <c r="A755" s="3">
        <v>42143.0</v>
      </c>
      <c r="B755" s="11">
        <v>-5.2E-4</v>
      </c>
      <c r="C755" s="11">
        <v>-1.2E-4</v>
      </c>
      <c r="D755" s="11">
        <v>5.7E-4</v>
      </c>
      <c r="E755" s="11">
        <v>0.00164</v>
      </c>
    </row>
    <row r="756">
      <c r="A756" s="3">
        <v>42142.0</v>
      </c>
      <c r="B756" s="11">
        <v>-5.099999999999999E-4</v>
      </c>
      <c r="C756" s="11">
        <v>-1.0999999999999999E-4</v>
      </c>
      <c r="D756" s="11">
        <v>5.600000000000001E-4</v>
      </c>
      <c r="E756" s="11">
        <v>0.00168</v>
      </c>
    </row>
    <row r="757">
      <c r="A757" s="3">
        <v>42139.0</v>
      </c>
      <c r="B757" s="11">
        <v>-5.0E-4</v>
      </c>
      <c r="C757" s="11">
        <v>-1.0E-4</v>
      </c>
      <c r="D757" s="11">
        <v>5.8E-4</v>
      </c>
      <c r="E757" s="11">
        <v>0.00167</v>
      </c>
    </row>
    <row r="758">
      <c r="A758" s="3">
        <v>42138.0</v>
      </c>
      <c r="B758" s="11">
        <v>-4.9E-4</v>
      </c>
      <c r="C758" s="11">
        <v>-8.999999999999999E-5</v>
      </c>
      <c r="D758" s="11">
        <v>5.899999999999999E-4</v>
      </c>
      <c r="E758" s="11">
        <v>0.00168</v>
      </c>
    </row>
    <row r="759">
      <c r="A759" s="3">
        <v>42137.0</v>
      </c>
      <c r="B759" s="11">
        <v>-4.8E-4</v>
      </c>
      <c r="C759" s="11">
        <v>-8.999999999999999E-5</v>
      </c>
      <c r="D759" s="11">
        <v>6.0E-4</v>
      </c>
      <c r="E759" s="11">
        <v>0.00169</v>
      </c>
    </row>
    <row r="760">
      <c r="A760" s="3">
        <v>42136.0</v>
      </c>
      <c r="B760" s="11">
        <v>-4.8E-4</v>
      </c>
      <c r="C760" s="11">
        <v>-8.999999999999999E-5</v>
      </c>
      <c r="D760" s="11">
        <v>6.1E-4</v>
      </c>
      <c r="E760" s="11">
        <v>0.00169</v>
      </c>
    </row>
    <row r="761">
      <c r="A761" s="3">
        <v>42135.0</v>
      </c>
      <c r="B761" s="11">
        <v>-4.5E-4</v>
      </c>
      <c r="C761" s="11">
        <v>-8.999999999999999E-5</v>
      </c>
      <c r="D761" s="11">
        <v>6.1E-4</v>
      </c>
      <c r="E761" s="11">
        <v>0.00168</v>
      </c>
    </row>
    <row r="762">
      <c r="A762" s="3">
        <v>42132.0</v>
      </c>
      <c r="B762" s="11">
        <v>-4.3999999999999996E-4</v>
      </c>
      <c r="C762" s="11">
        <v>-8.999999999999999E-5</v>
      </c>
      <c r="D762" s="11">
        <v>6.1E-4</v>
      </c>
      <c r="E762" s="11">
        <v>0.00169</v>
      </c>
    </row>
    <row r="763">
      <c r="A763" s="3">
        <v>42131.0</v>
      </c>
      <c r="B763" s="11">
        <v>-4.3E-4</v>
      </c>
      <c r="C763" s="11">
        <v>-8.999999999999999E-5</v>
      </c>
      <c r="D763" s="11">
        <v>6.1E-4</v>
      </c>
      <c r="E763" s="11">
        <v>0.00169</v>
      </c>
    </row>
    <row r="764">
      <c r="A764" s="3">
        <v>42130.0</v>
      </c>
      <c r="B764" s="11">
        <v>-4.3E-4</v>
      </c>
      <c r="C764" s="11">
        <v>-8.0E-5</v>
      </c>
      <c r="D764" s="11">
        <v>6.2E-4</v>
      </c>
      <c r="E764" s="11">
        <v>0.00169</v>
      </c>
    </row>
    <row r="765">
      <c r="A765" s="3">
        <v>42129.0</v>
      </c>
      <c r="B765" s="11">
        <v>-4.3E-4</v>
      </c>
      <c r="C765" s="11">
        <v>-8.0E-5</v>
      </c>
      <c r="D765" s="11">
        <v>6.1E-4</v>
      </c>
      <c r="E765" s="11">
        <v>0.00167</v>
      </c>
    </row>
    <row r="766">
      <c r="A766" s="3">
        <v>42128.0</v>
      </c>
      <c r="B766" s="11">
        <v>-4.2E-4</v>
      </c>
      <c r="C766" s="11">
        <v>-7.000000000000001E-5</v>
      </c>
      <c r="D766" s="11">
        <v>6.4E-4</v>
      </c>
      <c r="E766" s="11">
        <v>0.0017000000000000001</v>
      </c>
    </row>
    <row r="767">
      <c r="A767" s="3">
        <v>42124.0</v>
      </c>
      <c r="B767" s="11">
        <v>-4.0E-4</v>
      </c>
      <c r="C767" s="11">
        <v>-5.0E-5</v>
      </c>
      <c r="D767" s="11">
        <v>6.4E-4</v>
      </c>
      <c r="E767" s="11">
        <v>0.0017100000000000001</v>
      </c>
    </row>
    <row r="768">
      <c r="A768" s="3">
        <v>42123.0</v>
      </c>
      <c r="B768" s="11">
        <v>-3.7999999999999997E-4</v>
      </c>
      <c r="C768" s="11">
        <v>-5.0E-5</v>
      </c>
      <c r="D768" s="11">
        <v>6.1E-4</v>
      </c>
      <c r="E768" s="11">
        <v>0.00167</v>
      </c>
    </row>
    <row r="769">
      <c r="A769" s="3">
        <v>42122.0</v>
      </c>
      <c r="B769" s="11">
        <v>-3.4E-4</v>
      </c>
      <c r="C769" s="11">
        <v>-5.0E-5</v>
      </c>
      <c r="D769" s="11">
        <v>6.2E-4</v>
      </c>
      <c r="E769" s="11">
        <v>0.00168</v>
      </c>
    </row>
    <row r="770">
      <c r="A770" s="3">
        <v>42121.0</v>
      </c>
      <c r="B770" s="11">
        <v>-3.4E-4</v>
      </c>
      <c r="C770" s="11">
        <v>-2.0E-5</v>
      </c>
      <c r="D770" s="11">
        <v>6.7E-4</v>
      </c>
      <c r="E770" s="11">
        <v>0.0017100000000000001</v>
      </c>
    </row>
    <row r="771">
      <c r="A771" s="3">
        <v>42118.0</v>
      </c>
      <c r="B771" s="11">
        <v>-3.4E-4</v>
      </c>
      <c r="C771" s="11">
        <v>-1.0E-5</v>
      </c>
      <c r="D771" s="11">
        <v>6.6E-4</v>
      </c>
      <c r="E771" s="11">
        <v>0.00172</v>
      </c>
    </row>
    <row r="772">
      <c r="A772" s="3">
        <v>42117.0</v>
      </c>
      <c r="B772" s="11">
        <v>-3.4E-4</v>
      </c>
      <c r="C772" s="11">
        <v>-2.0E-5</v>
      </c>
      <c r="D772" s="11">
        <v>6.6E-4</v>
      </c>
      <c r="E772" s="11">
        <v>0.0017299999999999998</v>
      </c>
    </row>
    <row r="773">
      <c r="A773" s="3">
        <v>42116.0</v>
      </c>
      <c r="B773" s="11">
        <v>-3.4E-4</v>
      </c>
      <c r="C773" s="11">
        <v>-2.0E-5</v>
      </c>
      <c r="D773" s="11">
        <v>6.8E-4</v>
      </c>
      <c r="E773" s="11">
        <v>0.0017499999999999998</v>
      </c>
    </row>
    <row r="774">
      <c r="A774" s="3">
        <v>42115.0</v>
      </c>
      <c r="B774" s="11">
        <v>-3.4E-4</v>
      </c>
      <c r="C774" s="11">
        <v>-1.0E-5</v>
      </c>
      <c r="D774" s="11">
        <v>6.900000000000001E-4</v>
      </c>
      <c r="E774" s="11">
        <v>0.0017599999999999998</v>
      </c>
    </row>
    <row r="775">
      <c r="A775" s="3">
        <v>42114.0</v>
      </c>
      <c r="B775" s="11">
        <v>-3.2E-4</v>
      </c>
      <c r="C775" s="11">
        <v>1.0E-5</v>
      </c>
      <c r="D775" s="11">
        <v>6.900000000000001E-4</v>
      </c>
      <c r="E775" s="11">
        <v>0.0017599999999999998</v>
      </c>
    </row>
    <row r="776">
      <c r="A776" s="3">
        <v>42111.0</v>
      </c>
      <c r="B776" s="11">
        <v>-3.3E-4</v>
      </c>
      <c r="C776" s="11">
        <v>1.0E-5</v>
      </c>
      <c r="D776" s="11">
        <v>6.8E-4</v>
      </c>
      <c r="E776" s="11">
        <v>0.0017699999999999999</v>
      </c>
    </row>
    <row r="777">
      <c r="A777" s="3">
        <v>42110.0</v>
      </c>
      <c r="B777" s="11">
        <v>-3.2E-4</v>
      </c>
      <c r="C777" s="11">
        <v>2.0E-5</v>
      </c>
      <c r="D777" s="11">
        <v>7.000000000000001E-4</v>
      </c>
      <c r="E777" s="11">
        <v>0.00178</v>
      </c>
    </row>
    <row r="778">
      <c r="A778" s="3">
        <v>42109.0</v>
      </c>
      <c r="B778" s="11">
        <v>-2.9E-4</v>
      </c>
      <c r="C778" s="11">
        <v>4.0E-5</v>
      </c>
      <c r="D778" s="11">
        <v>7.199999999999999E-4</v>
      </c>
      <c r="E778" s="11">
        <v>0.0018</v>
      </c>
    </row>
    <row r="779">
      <c r="A779" s="3">
        <v>42108.0</v>
      </c>
      <c r="B779" s="11">
        <v>-2.5E-4</v>
      </c>
      <c r="C779" s="11">
        <v>8.0E-5</v>
      </c>
      <c r="D779" s="11">
        <v>7.599999999999999E-4</v>
      </c>
      <c r="E779" s="11">
        <v>0.00183</v>
      </c>
    </row>
    <row r="780">
      <c r="A780" s="3">
        <v>42107.0</v>
      </c>
      <c r="B780" s="11">
        <v>-2.4E-4</v>
      </c>
      <c r="C780" s="11">
        <v>1.0999999999999999E-4</v>
      </c>
      <c r="D780" s="11">
        <v>7.8E-4</v>
      </c>
      <c r="E780" s="11">
        <v>0.00187</v>
      </c>
    </row>
    <row r="781">
      <c r="A781" s="3">
        <v>42104.0</v>
      </c>
      <c r="B781" s="11">
        <v>-2.1999999999999998E-4</v>
      </c>
      <c r="C781" s="11">
        <v>1.2E-4</v>
      </c>
      <c r="D781" s="11">
        <v>7.9E-4</v>
      </c>
      <c r="E781" s="11">
        <v>0.00188</v>
      </c>
    </row>
    <row r="782">
      <c r="A782" s="3">
        <v>42103.0</v>
      </c>
      <c r="B782" s="11">
        <v>-2.1999999999999998E-4</v>
      </c>
      <c r="C782" s="11">
        <v>1.2E-4</v>
      </c>
      <c r="D782" s="11">
        <v>8.100000000000001E-4</v>
      </c>
      <c r="E782" s="11">
        <v>0.0019</v>
      </c>
    </row>
    <row r="783">
      <c r="A783" s="3">
        <v>42102.0</v>
      </c>
      <c r="B783" s="11">
        <v>-2.1E-4</v>
      </c>
      <c r="C783" s="11">
        <v>1.4000000000000001E-4</v>
      </c>
      <c r="D783" s="11">
        <v>8.100000000000001E-4</v>
      </c>
      <c r="E783" s="11">
        <v>0.00191</v>
      </c>
    </row>
    <row r="784">
      <c r="A784" s="3">
        <v>42101.0</v>
      </c>
      <c r="B784" s="11">
        <v>-2.1E-4</v>
      </c>
      <c r="C784" s="11">
        <v>1.6E-4</v>
      </c>
      <c r="D784" s="11">
        <v>8.500000000000001E-4</v>
      </c>
      <c r="E784" s="11">
        <v>0.0019500000000000001</v>
      </c>
    </row>
    <row r="785">
      <c r="A785" s="3">
        <v>42096.0</v>
      </c>
      <c r="B785" s="11">
        <v>-1.8999999999999998E-4</v>
      </c>
      <c r="C785" s="11">
        <v>1.7999999999999998E-4</v>
      </c>
      <c r="D785" s="11">
        <v>8.6E-4</v>
      </c>
      <c r="E785" s="11">
        <v>0.0019500000000000001</v>
      </c>
    </row>
    <row r="786">
      <c r="A786" s="3">
        <v>42095.0</v>
      </c>
      <c r="B786" s="11">
        <v>-1.7E-4</v>
      </c>
      <c r="C786" s="11">
        <v>1.7999999999999998E-4</v>
      </c>
      <c r="D786" s="11">
        <v>8.799999999999999E-4</v>
      </c>
      <c r="E786" s="11">
        <v>0.00196</v>
      </c>
    </row>
    <row r="787">
      <c r="A787" s="3">
        <v>42094.0</v>
      </c>
      <c r="B787" s="11">
        <v>-1.5E-4</v>
      </c>
      <c r="C787" s="11">
        <v>1.8999999999999998E-4</v>
      </c>
      <c r="D787" s="11">
        <v>8.699999999999999E-4</v>
      </c>
      <c r="E787" s="11">
        <v>0.00198</v>
      </c>
    </row>
    <row r="788">
      <c r="A788" s="3">
        <v>42093.0</v>
      </c>
      <c r="B788" s="11">
        <v>-1.4000000000000001E-4</v>
      </c>
      <c r="C788" s="11">
        <v>1.7999999999999998E-4</v>
      </c>
      <c r="D788" s="11">
        <v>8.699999999999999E-4</v>
      </c>
      <c r="E788" s="11">
        <v>0.00198</v>
      </c>
    </row>
    <row r="789">
      <c r="A789" s="3">
        <v>42090.0</v>
      </c>
      <c r="B789" s="11">
        <v>-1.2E-4</v>
      </c>
      <c r="C789" s="11">
        <v>2.1E-4</v>
      </c>
      <c r="D789" s="11">
        <v>8.799999999999999E-4</v>
      </c>
      <c r="E789" s="11">
        <v>0.00199</v>
      </c>
    </row>
    <row r="790">
      <c r="A790" s="3">
        <v>42089.0</v>
      </c>
      <c r="B790" s="11">
        <v>-1.2E-4</v>
      </c>
      <c r="C790" s="11">
        <v>2.1E-4</v>
      </c>
      <c r="D790" s="11">
        <v>8.9E-4</v>
      </c>
      <c r="E790" s="11">
        <v>0.00201</v>
      </c>
    </row>
    <row r="791">
      <c r="A791" s="3">
        <v>42088.0</v>
      </c>
      <c r="B791" s="11">
        <v>-1.2E-4</v>
      </c>
      <c r="C791" s="11">
        <v>2.1E-4</v>
      </c>
      <c r="D791" s="11">
        <v>8.799999999999999E-4</v>
      </c>
      <c r="E791" s="11">
        <v>0.00201</v>
      </c>
    </row>
    <row r="792">
      <c r="A792" s="3">
        <v>42087.0</v>
      </c>
      <c r="B792" s="11">
        <v>-1.2E-4</v>
      </c>
      <c r="C792" s="11">
        <v>2.1E-4</v>
      </c>
      <c r="D792" s="11">
        <v>8.9E-4</v>
      </c>
      <c r="E792" s="11">
        <v>0.00202</v>
      </c>
    </row>
    <row r="793">
      <c r="A793" s="3">
        <v>42086.0</v>
      </c>
      <c r="B793" s="11">
        <v>-1.2E-4</v>
      </c>
      <c r="C793" s="11">
        <v>2.1999999999999998E-4</v>
      </c>
      <c r="D793" s="11">
        <v>8.9E-4</v>
      </c>
      <c r="E793" s="11">
        <v>0.00203</v>
      </c>
    </row>
    <row r="794">
      <c r="A794" s="3">
        <v>42083.0</v>
      </c>
      <c r="B794" s="11">
        <v>-1.4000000000000001E-4</v>
      </c>
      <c r="C794" s="11">
        <v>2.1E-4</v>
      </c>
      <c r="D794" s="11">
        <v>8.9E-4</v>
      </c>
      <c r="E794" s="11">
        <v>0.0020499999999999997</v>
      </c>
    </row>
    <row r="795">
      <c r="A795" s="3">
        <v>42082.0</v>
      </c>
      <c r="B795" s="11">
        <v>-1.0999999999999999E-4</v>
      </c>
      <c r="C795" s="11">
        <v>2.4E-4</v>
      </c>
      <c r="D795" s="11">
        <v>9.4E-4</v>
      </c>
      <c r="E795" s="11">
        <v>0.00209</v>
      </c>
    </row>
    <row r="796">
      <c r="A796" s="3">
        <v>42081.0</v>
      </c>
      <c r="B796" s="11">
        <v>-1.0999999999999999E-4</v>
      </c>
      <c r="C796" s="11">
        <v>2.5E-4</v>
      </c>
      <c r="D796" s="11">
        <v>9.6E-4</v>
      </c>
      <c r="E796" s="11">
        <v>0.00212</v>
      </c>
    </row>
    <row r="797">
      <c r="A797" s="3">
        <v>42080.0</v>
      </c>
      <c r="B797" s="11">
        <v>-1.2E-4</v>
      </c>
      <c r="C797" s="11">
        <v>2.5E-4</v>
      </c>
      <c r="D797" s="11">
        <v>9.5E-4</v>
      </c>
      <c r="E797" s="11">
        <v>0.00209</v>
      </c>
    </row>
    <row r="798">
      <c r="A798" s="3">
        <v>42079.0</v>
      </c>
      <c r="B798" s="11">
        <v>-1.0999999999999999E-4</v>
      </c>
      <c r="C798" s="11">
        <v>2.5E-4</v>
      </c>
      <c r="D798" s="11">
        <v>9.6E-4</v>
      </c>
      <c r="E798" s="11">
        <v>0.00212</v>
      </c>
    </row>
    <row r="799">
      <c r="A799" s="3">
        <v>42076.0</v>
      </c>
      <c r="B799" s="11">
        <v>-1.0E-4</v>
      </c>
      <c r="C799" s="11">
        <v>2.5E-4</v>
      </c>
      <c r="D799" s="11">
        <v>9.6E-4</v>
      </c>
      <c r="E799" s="11">
        <v>0.00214</v>
      </c>
    </row>
    <row r="800">
      <c r="A800" s="3">
        <v>42075.0</v>
      </c>
      <c r="B800" s="11">
        <v>-8.999999999999999E-5</v>
      </c>
      <c r="C800" s="11">
        <v>2.7E-4</v>
      </c>
      <c r="D800" s="11">
        <v>9.8E-4</v>
      </c>
      <c r="E800" s="11">
        <v>0.00215</v>
      </c>
    </row>
    <row r="801">
      <c r="A801" s="3">
        <v>42074.0</v>
      </c>
      <c r="B801" s="11">
        <v>-1.0999999999999999E-4</v>
      </c>
      <c r="C801" s="11">
        <v>2.9E-4</v>
      </c>
      <c r="D801" s="11">
        <v>9.9E-4</v>
      </c>
      <c r="E801" s="11">
        <v>0.00217</v>
      </c>
    </row>
    <row r="802">
      <c r="A802" s="3">
        <v>42073.0</v>
      </c>
      <c r="B802" s="11">
        <v>-8.999999999999999E-5</v>
      </c>
      <c r="C802" s="11">
        <v>3.2E-4</v>
      </c>
      <c r="D802" s="11">
        <v>0.0010199999999999999</v>
      </c>
      <c r="E802" s="11">
        <v>0.00219</v>
      </c>
    </row>
    <row r="803">
      <c r="A803" s="3">
        <v>42072.0</v>
      </c>
      <c r="B803" s="11">
        <v>-8.0E-5</v>
      </c>
      <c r="C803" s="11">
        <v>3.5000000000000005E-4</v>
      </c>
      <c r="D803" s="11">
        <v>0.00105</v>
      </c>
      <c r="E803" s="11">
        <v>0.00222</v>
      </c>
    </row>
    <row r="804">
      <c r="A804" s="3">
        <v>42069.0</v>
      </c>
      <c r="B804" s="11">
        <v>-8.0E-5</v>
      </c>
      <c r="C804" s="11">
        <v>3.5999999999999997E-4</v>
      </c>
      <c r="D804" s="11">
        <v>0.00107</v>
      </c>
      <c r="E804" s="11">
        <v>0.0022500000000000003</v>
      </c>
    </row>
    <row r="805">
      <c r="A805" s="3">
        <v>42068.0</v>
      </c>
      <c r="B805" s="11">
        <v>-7.000000000000001E-5</v>
      </c>
      <c r="C805" s="11">
        <v>3.5999999999999997E-4</v>
      </c>
      <c r="D805" s="11">
        <v>0.00108</v>
      </c>
      <c r="E805" s="11">
        <v>0.00226</v>
      </c>
    </row>
    <row r="806">
      <c r="A806" s="3">
        <v>42067.0</v>
      </c>
      <c r="B806" s="11">
        <v>-6.0E-5</v>
      </c>
      <c r="C806" s="11">
        <v>3.7999999999999997E-4</v>
      </c>
      <c r="D806" s="11">
        <v>0.0011</v>
      </c>
      <c r="E806" s="11">
        <v>0.00227</v>
      </c>
    </row>
    <row r="807">
      <c r="A807" s="3">
        <v>42066.0</v>
      </c>
      <c r="B807" s="11">
        <v>-6.0E-5</v>
      </c>
      <c r="C807" s="11">
        <v>3.7999999999999997E-4</v>
      </c>
      <c r="D807" s="11">
        <v>0.00109</v>
      </c>
      <c r="E807" s="11">
        <v>0.00228</v>
      </c>
    </row>
    <row r="808">
      <c r="A808" s="3">
        <v>42065.0</v>
      </c>
      <c r="B808" s="11">
        <v>-5.0E-5</v>
      </c>
      <c r="C808" s="11">
        <v>3.9E-4</v>
      </c>
      <c r="D808" s="11">
        <v>0.0011</v>
      </c>
      <c r="E808" s="11">
        <v>0.0023</v>
      </c>
    </row>
    <row r="809">
      <c r="A809" s="3">
        <v>42062.0</v>
      </c>
      <c r="B809" s="11">
        <v>-5.0E-5</v>
      </c>
      <c r="C809" s="11">
        <v>3.9E-4</v>
      </c>
      <c r="D809" s="11">
        <v>0.0011</v>
      </c>
      <c r="E809" s="11">
        <v>0.00233</v>
      </c>
    </row>
    <row r="810">
      <c r="A810" s="3">
        <v>42061.0</v>
      </c>
      <c r="B810" s="11">
        <v>-4.0E-5</v>
      </c>
      <c r="C810" s="11">
        <v>4.0E-4</v>
      </c>
      <c r="D810" s="11">
        <v>0.00114</v>
      </c>
      <c r="E810" s="11">
        <v>0.0023799999999999997</v>
      </c>
    </row>
    <row r="811">
      <c r="A811" s="3">
        <v>42060.0</v>
      </c>
      <c r="B811" s="11">
        <v>1.0E-5</v>
      </c>
      <c r="C811" s="11">
        <v>4.2E-4</v>
      </c>
      <c r="D811" s="11">
        <v>0.0011799999999999998</v>
      </c>
      <c r="E811" s="11">
        <v>0.00241</v>
      </c>
    </row>
    <row r="812">
      <c r="A812" s="3">
        <v>42059.0</v>
      </c>
      <c r="B812" s="11">
        <v>1.0E-5</v>
      </c>
      <c r="C812" s="11">
        <v>4.3999999999999996E-4</v>
      </c>
      <c r="D812" s="11">
        <v>0.0011899999999999999</v>
      </c>
      <c r="E812" s="11">
        <v>0.00245</v>
      </c>
    </row>
    <row r="813">
      <c r="A813" s="3">
        <v>42058.0</v>
      </c>
      <c r="B813" s="11">
        <v>1.0E-5</v>
      </c>
      <c r="C813" s="11">
        <v>4.5E-4</v>
      </c>
      <c r="D813" s="11">
        <v>0.0011899999999999999</v>
      </c>
      <c r="E813" s="11">
        <v>0.00246</v>
      </c>
    </row>
    <row r="814">
      <c r="A814" s="3">
        <v>42055.0</v>
      </c>
      <c r="B814" s="11">
        <v>1.0E-5</v>
      </c>
      <c r="C814" s="11">
        <v>4.8E-4</v>
      </c>
      <c r="D814" s="11">
        <v>0.00124</v>
      </c>
      <c r="E814" s="11">
        <v>0.0025</v>
      </c>
    </row>
    <row r="815">
      <c r="A815" s="3">
        <v>42054.0</v>
      </c>
      <c r="B815" s="11">
        <v>0.0</v>
      </c>
      <c r="C815" s="11">
        <v>4.8E-4</v>
      </c>
      <c r="D815" s="11">
        <v>0.00125</v>
      </c>
      <c r="E815" s="11">
        <v>0.00252</v>
      </c>
    </row>
    <row r="816">
      <c r="A816" s="3">
        <v>42053.0</v>
      </c>
      <c r="B816" s="11">
        <v>0.0</v>
      </c>
      <c r="C816" s="11">
        <v>4.8E-4</v>
      </c>
      <c r="D816" s="11">
        <v>0.00126</v>
      </c>
      <c r="E816" s="11">
        <v>0.00255</v>
      </c>
    </row>
    <row r="817">
      <c r="A817" s="3">
        <v>42052.0</v>
      </c>
      <c r="B817" s="11">
        <v>1.0E-5</v>
      </c>
      <c r="C817" s="11">
        <v>4.7E-4</v>
      </c>
      <c r="D817" s="11">
        <v>0.00127</v>
      </c>
      <c r="E817" s="11">
        <v>0.0025800000000000003</v>
      </c>
    </row>
    <row r="818">
      <c r="A818" s="3">
        <v>42051.0</v>
      </c>
      <c r="B818" s="11">
        <v>1.0E-5</v>
      </c>
      <c r="C818" s="11">
        <v>4.8E-4</v>
      </c>
      <c r="D818" s="11">
        <v>0.00128</v>
      </c>
      <c r="E818" s="11">
        <v>0.0025800000000000003</v>
      </c>
    </row>
    <row r="819">
      <c r="A819" s="3">
        <v>42048.0</v>
      </c>
      <c r="B819" s="11">
        <v>2.0E-5</v>
      </c>
      <c r="C819" s="11">
        <v>4.8E-4</v>
      </c>
      <c r="D819" s="11">
        <v>0.00127</v>
      </c>
      <c r="E819" s="11">
        <v>0.0025900000000000003</v>
      </c>
    </row>
    <row r="820">
      <c r="A820" s="3">
        <v>42047.0</v>
      </c>
      <c r="B820" s="11">
        <v>2.0E-5</v>
      </c>
      <c r="C820" s="11">
        <v>4.8E-4</v>
      </c>
      <c r="D820" s="11">
        <v>0.00128</v>
      </c>
      <c r="E820" s="11">
        <v>0.0026</v>
      </c>
    </row>
    <row r="821">
      <c r="A821" s="3">
        <v>42046.0</v>
      </c>
      <c r="B821" s="11">
        <v>1.0E-5</v>
      </c>
      <c r="C821" s="11">
        <v>4.9E-4</v>
      </c>
      <c r="D821" s="11">
        <v>0.0012900000000000001</v>
      </c>
      <c r="E821" s="11">
        <v>0.0026</v>
      </c>
    </row>
    <row r="822">
      <c r="A822" s="3">
        <v>42045.0</v>
      </c>
      <c r="B822" s="11">
        <v>0.0</v>
      </c>
      <c r="C822" s="11">
        <v>5.0E-4</v>
      </c>
      <c r="D822" s="11">
        <v>0.0013</v>
      </c>
      <c r="E822" s="11">
        <v>0.00262</v>
      </c>
    </row>
    <row r="823">
      <c r="A823" s="3">
        <v>42044.0</v>
      </c>
      <c r="B823" s="11">
        <v>-1.0E-5</v>
      </c>
      <c r="C823" s="11">
        <v>5.099999999999999E-4</v>
      </c>
      <c r="D823" s="11">
        <v>0.00131</v>
      </c>
      <c r="E823" s="11">
        <v>0.00261</v>
      </c>
    </row>
    <row r="824">
      <c r="A824" s="3">
        <v>42041.0</v>
      </c>
      <c r="B824" s="11">
        <v>2.0E-5</v>
      </c>
      <c r="C824" s="11">
        <v>5.3E-4</v>
      </c>
      <c r="D824" s="11">
        <v>0.00132</v>
      </c>
      <c r="E824" s="11">
        <v>0.00261</v>
      </c>
    </row>
    <row r="825">
      <c r="A825" s="3">
        <v>42040.0</v>
      </c>
      <c r="B825" s="11">
        <v>0.0</v>
      </c>
      <c r="C825" s="11">
        <v>5.099999999999999E-4</v>
      </c>
      <c r="D825" s="11">
        <v>0.00132</v>
      </c>
      <c r="E825" s="11">
        <v>0.00262</v>
      </c>
    </row>
    <row r="826">
      <c r="A826" s="3">
        <v>42039.0</v>
      </c>
      <c r="B826" s="11">
        <v>1.0E-5</v>
      </c>
      <c r="C826" s="11">
        <v>5.5E-4</v>
      </c>
      <c r="D826" s="11">
        <v>0.00132</v>
      </c>
      <c r="E826" s="11">
        <v>0.00263</v>
      </c>
    </row>
    <row r="827">
      <c r="A827" s="3">
        <v>42038.0</v>
      </c>
      <c r="B827" s="11">
        <v>1.0E-5</v>
      </c>
      <c r="C827" s="11">
        <v>5.5E-4</v>
      </c>
      <c r="D827" s="11">
        <v>0.00132</v>
      </c>
      <c r="E827" s="11">
        <v>0.00266</v>
      </c>
    </row>
    <row r="828">
      <c r="A828" s="3">
        <v>42037.0</v>
      </c>
      <c r="B828" s="11">
        <v>3.0E-5</v>
      </c>
      <c r="C828" s="11">
        <v>5.5E-4</v>
      </c>
      <c r="D828" s="11">
        <v>0.00134</v>
      </c>
      <c r="E828" s="11">
        <v>0.00271</v>
      </c>
    </row>
    <row r="829">
      <c r="A829" s="3">
        <v>42034.0</v>
      </c>
      <c r="B829" s="11">
        <v>1.0E-5</v>
      </c>
      <c r="C829" s="11">
        <v>5.4E-4</v>
      </c>
      <c r="D829" s="11">
        <v>0.00132</v>
      </c>
      <c r="E829" s="11">
        <v>0.0027</v>
      </c>
    </row>
    <row r="830">
      <c r="A830" s="3">
        <v>42033.0</v>
      </c>
      <c r="B830" s="11">
        <v>1.0E-5</v>
      </c>
      <c r="C830" s="11">
        <v>5.2E-4</v>
      </c>
      <c r="D830" s="11">
        <v>0.00132</v>
      </c>
      <c r="E830" s="11">
        <v>0.00271</v>
      </c>
    </row>
    <row r="831">
      <c r="A831" s="3">
        <v>42032.0</v>
      </c>
      <c r="B831" s="11">
        <v>1.0E-5</v>
      </c>
      <c r="C831" s="11">
        <v>5.3E-4</v>
      </c>
      <c r="D831" s="11">
        <v>0.00135</v>
      </c>
      <c r="E831" s="11">
        <v>0.0027300000000000002</v>
      </c>
    </row>
    <row r="832">
      <c r="A832" s="3">
        <v>42031.0</v>
      </c>
      <c r="B832" s="11">
        <v>5.0E-5</v>
      </c>
      <c r="C832" s="11">
        <v>5.5E-4</v>
      </c>
      <c r="D832" s="11">
        <v>0.0013800000000000002</v>
      </c>
      <c r="E832" s="11">
        <v>0.0027700000000000003</v>
      </c>
    </row>
    <row r="833">
      <c r="A833" s="3">
        <v>42030.0</v>
      </c>
      <c r="B833" s="11">
        <v>2.0E-5</v>
      </c>
      <c r="C833" s="11">
        <v>5.4E-4</v>
      </c>
      <c r="D833" s="11">
        <v>0.0013800000000000002</v>
      </c>
      <c r="E833" s="11">
        <v>0.0027700000000000003</v>
      </c>
    </row>
    <row r="834">
      <c r="A834" s="3">
        <v>42027.0</v>
      </c>
      <c r="B834" s="11">
        <v>1.0E-5</v>
      </c>
      <c r="C834" s="11">
        <v>5.3E-4</v>
      </c>
      <c r="D834" s="11">
        <v>0.0013700000000000001</v>
      </c>
      <c r="E834" s="11">
        <v>0.0027500000000000003</v>
      </c>
    </row>
    <row r="835">
      <c r="A835" s="3">
        <v>42026.0</v>
      </c>
      <c r="B835" s="11">
        <v>-1.0E-5</v>
      </c>
      <c r="C835" s="11">
        <v>5.5E-4</v>
      </c>
      <c r="D835" s="11">
        <v>0.0014099999999999998</v>
      </c>
      <c r="E835" s="11">
        <v>0.0028199999999999996</v>
      </c>
    </row>
    <row r="836">
      <c r="A836" s="3">
        <v>42025.0</v>
      </c>
      <c r="B836" s="11">
        <v>-4.0E-5</v>
      </c>
      <c r="C836" s="11">
        <v>5.5E-4</v>
      </c>
      <c r="D836" s="11">
        <v>0.0014099999999999998</v>
      </c>
      <c r="E836" s="11">
        <v>0.0028299999999999996</v>
      </c>
    </row>
    <row r="837">
      <c r="A837" s="3">
        <v>42024.0</v>
      </c>
      <c r="B837" s="11">
        <v>-5.0E-5</v>
      </c>
      <c r="C837" s="11">
        <v>5.5E-4</v>
      </c>
      <c r="D837" s="11">
        <v>0.0014199999999999998</v>
      </c>
      <c r="E837" s="11">
        <v>0.0028399999999999996</v>
      </c>
    </row>
    <row r="838">
      <c r="A838" s="3">
        <v>42023.0</v>
      </c>
      <c r="B838" s="11">
        <v>-2.0E-5</v>
      </c>
      <c r="C838" s="11">
        <v>5.600000000000001E-4</v>
      </c>
      <c r="D838" s="11">
        <v>0.00145</v>
      </c>
      <c r="E838" s="11">
        <v>0.0028899999999999998</v>
      </c>
    </row>
    <row r="839">
      <c r="A839" s="3">
        <v>42020.0</v>
      </c>
      <c r="B839" s="11">
        <v>2.0E-5</v>
      </c>
      <c r="C839" s="11">
        <v>6.0E-4</v>
      </c>
      <c r="D839" s="11">
        <v>0.0015199999999999999</v>
      </c>
      <c r="E839" s="11">
        <v>0.00299</v>
      </c>
    </row>
    <row r="840">
      <c r="A840" s="3">
        <v>42019.0</v>
      </c>
      <c r="B840" s="11">
        <v>7.000000000000001E-5</v>
      </c>
      <c r="C840" s="11">
        <v>6.900000000000001E-4</v>
      </c>
      <c r="D840" s="11">
        <v>0.00161</v>
      </c>
      <c r="E840" s="11">
        <v>0.00313</v>
      </c>
    </row>
    <row r="841">
      <c r="A841" s="3">
        <v>42018.0</v>
      </c>
      <c r="B841" s="11">
        <v>6.0E-5</v>
      </c>
      <c r="C841" s="11">
        <v>6.900000000000001E-4</v>
      </c>
      <c r="D841" s="11">
        <v>0.0016200000000000001</v>
      </c>
      <c r="E841" s="11">
        <v>0.00315</v>
      </c>
    </row>
    <row r="842">
      <c r="A842" s="3">
        <v>42017.0</v>
      </c>
      <c r="B842" s="11">
        <v>8.0E-5</v>
      </c>
      <c r="C842" s="11">
        <v>7.099999999999999E-4</v>
      </c>
      <c r="D842" s="11">
        <v>0.00166</v>
      </c>
      <c r="E842" s="11">
        <v>0.00318</v>
      </c>
    </row>
    <row r="843">
      <c r="A843" s="3">
        <v>42016.0</v>
      </c>
      <c r="B843" s="11">
        <v>8.999999999999999E-5</v>
      </c>
      <c r="C843" s="11">
        <v>7.099999999999999E-4</v>
      </c>
      <c r="D843" s="11">
        <v>0.00167</v>
      </c>
      <c r="E843" s="11">
        <v>0.00317</v>
      </c>
    </row>
    <row r="844">
      <c r="A844" s="3">
        <v>42013.0</v>
      </c>
      <c r="B844" s="11">
        <v>8.999999999999999E-5</v>
      </c>
      <c r="C844" s="11">
        <v>7.000000000000001E-4</v>
      </c>
      <c r="D844" s="11">
        <v>0.00168</v>
      </c>
      <c r="E844" s="11">
        <v>0.00318</v>
      </c>
    </row>
    <row r="845">
      <c r="A845" s="3">
        <v>42012.0</v>
      </c>
      <c r="B845" s="11">
        <v>1.0E-4</v>
      </c>
      <c r="C845" s="11">
        <v>7.000000000000001E-4</v>
      </c>
      <c r="D845" s="11">
        <v>0.00167</v>
      </c>
      <c r="E845" s="11">
        <v>0.00319</v>
      </c>
    </row>
    <row r="846">
      <c r="A846" s="3">
        <v>42011.0</v>
      </c>
      <c r="B846" s="11">
        <v>1.2E-4</v>
      </c>
      <c r="C846" s="11">
        <v>7.000000000000001E-4</v>
      </c>
      <c r="D846" s="11">
        <v>0.00168</v>
      </c>
      <c r="E846" s="11">
        <v>0.00319</v>
      </c>
    </row>
    <row r="847">
      <c r="A847" s="3">
        <v>42010.0</v>
      </c>
      <c r="B847" s="11">
        <v>1.5E-4</v>
      </c>
      <c r="C847" s="11">
        <v>7.3E-4</v>
      </c>
      <c r="D847" s="11">
        <v>0.00168</v>
      </c>
      <c r="E847" s="11">
        <v>0.00319</v>
      </c>
    </row>
    <row r="848">
      <c r="A848" s="3">
        <v>42009.0</v>
      </c>
      <c r="B848" s="11">
        <v>1.5E-4</v>
      </c>
      <c r="C848" s="11">
        <v>7.5E-4</v>
      </c>
      <c r="D848" s="11">
        <v>0.00169</v>
      </c>
      <c r="E848" s="11">
        <v>0.00321</v>
      </c>
    </row>
    <row r="849">
      <c r="A849" s="3">
        <v>42006.0</v>
      </c>
      <c r="B849" s="11">
        <v>1.6E-4</v>
      </c>
      <c r="C849" s="11">
        <v>7.599999999999999E-4</v>
      </c>
      <c r="D849" s="11">
        <v>0.00169</v>
      </c>
      <c r="E849" s="11">
        <v>0.0032300000000000002</v>
      </c>
    </row>
    <row r="850">
      <c r="A850" s="3">
        <v>42004.0</v>
      </c>
      <c r="B850" s="11">
        <v>1.7999999999999998E-4</v>
      </c>
      <c r="C850" s="11">
        <v>7.8E-4</v>
      </c>
      <c r="D850" s="11">
        <v>0.0017100000000000001</v>
      </c>
      <c r="E850" s="11">
        <v>0.0032500000000000003</v>
      </c>
    </row>
    <row r="851">
      <c r="A851" s="3">
        <v>42003.0</v>
      </c>
      <c r="B851" s="11">
        <v>1.8999999999999998E-4</v>
      </c>
      <c r="C851" s="11">
        <v>7.8E-4</v>
      </c>
      <c r="D851" s="11">
        <v>0.0017100000000000001</v>
      </c>
      <c r="E851" s="11">
        <v>0.0032700000000000003</v>
      </c>
    </row>
    <row r="852">
      <c r="A852" s="3">
        <v>42002.0</v>
      </c>
      <c r="B852" s="11">
        <v>2.4E-4</v>
      </c>
      <c r="C852" s="11">
        <v>7.9E-4</v>
      </c>
      <c r="D852" s="11">
        <v>0.00172</v>
      </c>
      <c r="E852" s="11">
        <v>0.00328</v>
      </c>
    </row>
    <row r="853">
      <c r="A853" s="3">
        <v>41997.0</v>
      </c>
      <c r="B853" s="11">
        <v>2.5E-4</v>
      </c>
      <c r="C853" s="11">
        <v>8.0E-4</v>
      </c>
      <c r="D853" s="11">
        <v>0.0017299999999999998</v>
      </c>
      <c r="E853" s="11">
        <v>0.00328</v>
      </c>
    </row>
    <row r="854">
      <c r="A854" s="3">
        <v>41996.0</v>
      </c>
      <c r="B854" s="11">
        <v>2.4E-4</v>
      </c>
      <c r="C854" s="11">
        <v>7.9E-4</v>
      </c>
      <c r="D854" s="11">
        <v>0.0017399999999999998</v>
      </c>
      <c r="E854" s="11">
        <v>0.00328</v>
      </c>
    </row>
    <row r="855">
      <c r="A855" s="3">
        <v>41995.0</v>
      </c>
      <c r="B855" s="11">
        <v>2.6E-4</v>
      </c>
      <c r="C855" s="11">
        <v>8.100000000000001E-4</v>
      </c>
      <c r="D855" s="11">
        <v>0.0017599999999999998</v>
      </c>
      <c r="E855" s="11">
        <v>0.00329</v>
      </c>
    </row>
    <row r="856">
      <c r="A856" s="3">
        <v>41992.0</v>
      </c>
      <c r="B856" s="11">
        <v>2.6E-4</v>
      </c>
      <c r="C856" s="11">
        <v>8.100000000000001E-4</v>
      </c>
      <c r="D856" s="11">
        <v>0.0017699999999999999</v>
      </c>
      <c r="E856" s="11">
        <v>0.00329</v>
      </c>
    </row>
    <row r="857">
      <c r="A857" s="3">
        <v>41991.0</v>
      </c>
      <c r="B857" s="11">
        <v>2.5E-4</v>
      </c>
      <c r="C857" s="11">
        <v>7.9E-4</v>
      </c>
      <c r="D857" s="11">
        <v>0.0017599999999999998</v>
      </c>
      <c r="E857" s="11">
        <v>0.00328</v>
      </c>
    </row>
    <row r="858">
      <c r="A858" s="3">
        <v>41990.0</v>
      </c>
      <c r="B858" s="11">
        <v>2.6E-4</v>
      </c>
      <c r="C858" s="11">
        <v>8.100000000000001E-4</v>
      </c>
      <c r="D858" s="11">
        <v>0.00178</v>
      </c>
      <c r="E858" s="11">
        <v>0.0033</v>
      </c>
    </row>
    <row r="859">
      <c r="A859" s="3">
        <v>41989.0</v>
      </c>
      <c r="B859" s="11">
        <v>2.5E-4</v>
      </c>
      <c r="C859" s="11">
        <v>8.2E-4</v>
      </c>
      <c r="D859" s="11">
        <v>0.00179</v>
      </c>
      <c r="E859" s="11">
        <v>0.00329</v>
      </c>
    </row>
    <row r="860">
      <c r="A860" s="3">
        <v>41988.0</v>
      </c>
      <c r="B860" s="11">
        <v>2.4E-4</v>
      </c>
      <c r="C860" s="11">
        <v>8.2E-4</v>
      </c>
      <c r="D860" s="11">
        <v>0.00178</v>
      </c>
      <c r="E860" s="11">
        <v>0.00329</v>
      </c>
    </row>
    <row r="861">
      <c r="A861" s="3">
        <v>41985.0</v>
      </c>
      <c r="B861" s="11">
        <v>2.3E-4</v>
      </c>
      <c r="C861" s="11">
        <v>8.2E-4</v>
      </c>
      <c r="D861" s="11">
        <v>0.00178</v>
      </c>
      <c r="E861" s="11">
        <v>0.00329</v>
      </c>
    </row>
    <row r="862">
      <c r="A862" s="3">
        <v>41984.0</v>
      </c>
      <c r="B862" s="11">
        <v>2.1999999999999998E-4</v>
      </c>
      <c r="C862" s="11">
        <v>8.2E-4</v>
      </c>
      <c r="D862" s="11">
        <v>0.00179</v>
      </c>
      <c r="E862" s="11">
        <v>0.00328</v>
      </c>
    </row>
    <row r="863">
      <c r="A863" s="3">
        <v>41983.0</v>
      </c>
      <c r="B863" s="11">
        <v>2.1999999999999998E-4</v>
      </c>
      <c r="C863" s="11">
        <v>8.3E-4</v>
      </c>
      <c r="D863" s="11">
        <v>0.00179</v>
      </c>
      <c r="E863" s="11">
        <v>0.00328</v>
      </c>
    </row>
    <row r="864">
      <c r="A864" s="3">
        <v>41982.0</v>
      </c>
      <c r="B864" s="11">
        <v>2.4E-4</v>
      </c>
      <c r="C864" s="11">
        <v>8.2E-4</v>
      </c>
      <c r="D864" s="11">
        <v>0.0017699999999999999</v>
      </c>
      <c r="E864" s="11">
        <v>0.00329</v>
      </c>
    </row>
    <row r="865">
      <c r="A865" s="3">
        <v>41981.0</v>
      </c>
      <c r="B865" s="11">
        <v>2.1999999999999998E-4</v>
      </c>
      <c r="C865" s="11">
        <v>8.2E-4</v>
      </c>
      <c r="D865" s="11">
        <v>0.00179</v>
      </c>
      <c r="E865" s="11">
        <v>0.00329</v>
      </c>
    </row>
    <row r="866">
      <c r="A866" s="3">
        <v>41978.0</v>
      </c>
      <c r="B866" s="11">
        <v>2.1999999999999998E-4</v>
      </c>
      <c r="C866" s="11">
        <v>8.2E-4</v>
      </c>
      <c r="D866" s="11">
        <v>0.00179</v>
      </c>
      <c r="E866" s="11">
        <v>0.00329</v>
      </c>
    </row>
    <row r="867">
      <c r="A867" s="3">
        <v>41977.0</v>
      </c>
      <c r="B867" s="11">
        <v>2.1999999999999998E-4</v>
      </c>
      <c r="C867" s="11">
        <v>8.2E-4</v>
      </c>
      <c r="D867" s="11">
        <v>0.0017699999999999999</v>
      </c>
      <c r="E867" s="11">
        <v>0.00328</v>
      </c>
    </row>
    <row r="868">
      <c r="A868" s="3">
        <v>41976.0</v>
      </c>
      <c r="B868" s="11">
        <v>2.1999999999999998E-4</v>
      </c>
      <c r="C868" s="11">
        <v>8.100000000000001E-4</v>
      </c>
      <c r="D868" s="11">
        <v>0.0017599999999999998</v>
      </c>
      <c r="E868" s="11">
        <v>0.00328</v>
      </c>
    </row>
    <row r="869">
      <c r="A869" s="3">
        <v>41975.0</v>
      </c>
      <c r="B869" s="11">
        <v>2.1999999999999998E-4</v>
      </c>
      <c r="C869" s="11">
        <v>8.100000000000001E-4</v>
      </c>
      <c r="D869" s="11">
        <v>0.00178</v>
      </c>
      <c r="E869" s="11">
        <v>0.00331</v>
      </c>
    </row>
    <row r="870">
      <c r="A870" s="3">
        <v>41974.0</v>
      </c>
      <c r="B870" s="11">
        <v>2.1E-4</v>
      </c>
      <c r="C870" s="11">
        <v>8.2E-4</v>
      </c>
      <c r="D870" s="11">
        <v>0.00179</v>
      </c>
      <c r="E870" s="11">
        <v>0.0033</v>
      </c>
    </row>
    <row r="871">
      <c r="A871" s="3">
        <v>41971.0</v>
      </c>
      <c r="B871" s="11">
        <v>2.0E-4</v>
      </c>
      <c r="C871" s="11">
        <v>8.2E-4</v>
      </c>
      <c r="D871" s="11">
        <v>0.0018</v>
      </c>
      <c r="E871" s="11">
        <v>0.00331</v>
      </c>
    </row>
    <row r="872">
      <c r="A872" s="3">
        <v>41970.0</v>
      </c>
      <c r="B872" s="11">
        <v>1.6E-4</v>
      </c>
      <c r="C872" s="11">
        <v>8.2E-4</v>
      </c>
      <c r="D872" s="11">
        <v>0.00181</v>
      </c>
      <c r="E872" s="11">
        <v>0.00331</v>
      </c>
    </row>
    <row r="873">
      <c r="A873" s="3">
        <v>41969.0</v>
      </c>
      <c r="B873" s="11">
        <v>8.999999999999999E-5</v>
      </c>
      <c r="C873" s="11">
        <v>8.2E-4</v>
      </c>
      <c r="D873" s="11">
        <v>0.00182</v>
      </c>
      <c r="E873" s="11">
        <v>0.00334</v>
      </c>
    </row>
    <row r="874">
      <c r="A874" s="3">
        <v>41968.0</v>
      </c>
      <c r="B874" s="11">
        <v>8.999999999999999E-5</v>
      </c>
      <c r="C874" s="11">
        <v>8.100000000000001E-4</v>
      </c>
      <c r="D874" s="11">
        <v>0.00181</v>
      </c>
      <c r="E874" s="11">
        <v>0.00332</v>
      </c>
    </row>
    <row r="875">
      <c r="A875" s="3">
        <v>41967.0</v>
      </c>
      <c r="B875" s="11">
        <v>8.999999999999999E-5</v>
      </c>
      <c r="C875" s="11">
        <v>8.100000000000001E-4</v>
      </c>
      <c r="D875" s="11">
        <v>0.00182</v>
      </c>
      <c r="E875" s="11">
        <v>0.00332</v>
      </c>
    </row>
    <row r="876">
      <c r="A876" s="3">
        <v>41964.0</v>
      </c>
      <c r="B876" s="11">
        <v>8.999999999999999E-5</v>
      </c>
      <c r="C876" s="11">
        <v>8.100000000000001E-4</v>
      </c>
      <c r="D876" s="11">
        <v>0.00181</v>
      </c>
      <c r="E876" s="11">
        <v>0.00334</v>
      </c>
    </row>
    <row r="877">
      <c r="A877" s="3">
        <v>41963.0</v>
      </c>
      <c r="B877" s="11">
        <v>8.999999999999999E-5</v>
      </c>
      <c r="C877" s="11">
        <v>8.100000000000001E-4</v>
      </c>
      <c r="D877" s="11">
        <v>0.00181</v>
      </c>
      <c r="E877" s="11">
        <v>0.00336</v>
      </c>
    </row>
    <row r="878">
      <c r="A878" s="3">
        <v>41962.0</v>
      </c>
      <c r="B878" s="11">
        <v>8.999999999999999E-5</v>
      </c>
      <c r="C878" s="11">
        <v>8.100000000000001E-4</v>
      </c>
      <c r="D878" s="11">
        <v>0.00181</v>
      </c>
      <c r="E878" s="11">
        <v>0.00336</v>
      </c>
    </row>
    <row r="879">
      <c r="A879" s="3">
        <v>41961.0</v>
      </c>
      <c r="B879" s="11">
        <v>8.999999999999999E-5</v>
      </c>
      <c r="C879" s="11">
        <v>8.100000000000001E-4</v>
      </c>
      <c r="D879" s="11">
        <v>0.00181</v>
      </c>
      <c r="E879" s="11">
        <v>0.00334</v>
      </c>
    </row>
    <row r="880">
      <c r="A880" s="3">
        <v>41960.0</v>
      </c>
      <c r="B880" s="11">
        <v>8.0E-5</v>
      </c>
      <c r="C880" s="11">
        <v>8.0E-4</v>
      </c>
      <c r="D880" s="11">
        <v>0.00182</v>
      </c>
      <c r="E880" s="11">
        <v>0.00332</v>
      </c>
    </row>
    <row r="881">
      <c r="A881" s="3">
        <v>41957.0</v>
      </c>
      <c r="B881" s="11">
        <v>8.0E-5</v>
      </c>
      <c r="C881" s="11">
        <v>7.9E-4</v>
      </c>
      <c r="D881" s="11">
        <v>0.0018</v>
      </c>
      <c r="E881" s="11">
        <v>0.00333</v>
      </c>
    </row>
    <row r="882">
      <c r="A882" s="3">
        <v>41956.0</v>
      </c>
      <c r="B882" s="11">
        <v>8.0E-5</v>
      </c>
      <c r="C882" s="11">
        <v>7.8E-4</v>
      </c>
      <c r="D882" s="11">
        <v>0.00178</v>
      </c>
      <c r="E882" s="11">
        <v>0.00334</v>
      </c>
    </row>
    <row r="883">
      <c r="A883" s="3">
        <v>41955.0</v>
      </c>
      <c r="B883" s="11">
        <v>8.999999999999999E-5</v>
      </c>
      <c r="C883" s="11">
        <v>7.9E-4</v>
      </c>
      <c r="D883" s="11">
        <v>0.00181</v>
      </c>
      <c r="E883" s="11">
        <v>0.00336</v>
      </c>
    </row>
    <row r="884">
      <c r="A884" s="3">
        <v>41954.0</v>
      </c>
      <c r="B884" s="11">
        <v>8.999999999999999E-5</v>
      </c>
      <c r="C884" s="11">
        <v>7.9E-4</v>
      </c>
      <c r="D884" s="11">
        <v>0.00181</v>
      </c>
      <c r="E884" s="11">
        <v>0.00336</v>
      </c>
    </row>
    <row r="885">
      <c r="A885" s="3">
        <v>41953.0</v>
      </c>
      <c r="B885" s="11">
        <v>8.999999999999999E-5</v>
      </c>
      <c r="C885" s="11">
        <v>8.0E-4</v>
      </c>
      <c r="D885" s="11">
        <v>0.00181</v>
      </c>
      <c r="E885" s="11">
        <v>0.00336</v>
      </c>
    </row>
    <row r="886">
      <c r="A886" s="3">
        <v>41950.0</v>
      </c>
      <c r="B886" s="11">
        <v>8.0E-5</v>
      </c>
      <c r="C886" s="11">
        <v>8.0E-4</v>
      </c>
      <c r="D886" s="11">
        <v>0.00181</v>
      </c>
      <c r="E886" s="11">
        <v>0.00336</v>
      </c>
    </row>
    <row r="887">
      <c r="A887" s="3">
        <v>41949.0</v>
      </c>
      <c r="B887" s="11">
        <v>8.999999999999999E-5</v>
      </c>
      <c r="C887" s="11">
        <v>8.100000000000001E-4</v>
      </c>
      <c r="D887" s="11">
        <v>0.00182</v>
      </c>
      <c r="E887" s="11">
        <v>0.00337</v>
      </c>
    </row>
    <row r="888">
      <c r="A888" s="3">
        <v>41948.0</v>
      </c>
      <c r="B888" s="11">
        <v>8.999999999999999E-5</v>
      </c>
      <c r="C888" s="11">
        <v>8.100000000000001E-4</v>
      </c>
      <c r="D888" s="11">
        <v>0.00184</v>
      </c>
      <c r="E888" s="11">
        <v>0.00337</v>
      </c>
    </row>
    <row r="889">
      <c r="A889" s="3">
        <v>41947.0</v>
      </c>
      <c r="B889" s="11">
        <v>8.999999999999999E-5</v>
      </c>
      <c r="C889" s="11">
        <v>8.4E-4</v>
      </c>
      <c r="D889" s="11">
        <v>0.0018599999999999999</v>
      </c>
      <c r="E889" s="11">
        <v>0.00338</v>
      </c>
    </row>
    <row r="890">
      <c r="A890" s="3">
        <v>41946.0</v>
      </c>
      <c r="B890" s="11">
        <v>1.0E-4</v>
      </c>
      <c r="C890" s="11">
        <v>8.500000000000001E-4</v>
      </c>
      <c r="D890" s="11">
        <v>0.00189</v>
      </c>
      <c r="E890" s="11">
        <v>0.0033900000000000002</v>
      </c>
    </row>
    <row r="891">
      <c r="A891" s="3">
        <v>41943.0</v>
      </c>
      <c r="B891" s="11">
        <v>1.0E-4</v>
      </c>
      <c r="C891" s="11">
        <v>8.6E-4</v>
      </c>
      <c r="D891" s="11">
        <v>0.00189</v>
      </c>
      <c r="E891" s="11">
        <v>0.0034000000000000002</v>
      </c>
    </row>
    <row r="892">
      <c r="A892" s="3">
        <v>41942.0</v>
      </c>
      <c r="B892" s="11">
        <v>1.0E-4</v>
      </c>
      <c r="C892" s="11">
        <v>8.6E-4</v>
      </c>
      <c r="D892" s="11">
        <v>0.00188</v>
      </c>
      <c r="E892" s="11">
        <v>0.0034000000000000002</v>
      </c>
    </row>
    <row r="893">
      <c r="A893" s="3">
        <v>41941.0</v>
      </c>
      <c r="B893" s="11">
        <v>1.0E-4</v>
      </c>
      <c r="C893" s="11">
        <v>8.799999999999999E-4</v>
      </c>
      <c r="D893" s="11">
        <v>0.00188</v>
      </c>
      <c r="E893" s="11">
        <v>0.0034000000000000002</v>
      </c>
    </row>
    <row r="894">
      <c r="A894" s="3">
        <v>41940.0</v>
      </c>
      <c r="B894" s="11">
        <v>1.2E-4</v>
      </c>
      <c r="C894" s="11">
        <v>8.799999999999999E-4</v>
      </c>
      <c r="D894" s="11">
        <v>0.00189</v>
      </c>
      <c r="E894" s="11">
        <v>0.0034000000000000002</v>
      </c>
    </row>
    <row r="895">
      <c r="A895" s="3">
        <v>41939.0</v>
      </c>
      <c r="B895" s="11">
        <v>1.2E-4</v>
      </c>
      <c r="C895" s="11">
        <v>8.799999999999999E-4</v>
      </c>
      <c r="D895" s="11">
        <v>0.00189</v>
      </c>
      <c r="E895" s="11">
        <v>0.0034100000000000003</v>
      </c>
    </row>
    <row r="896">
      <c r="A896" s="3">
        <v>41936.0</v>
      </c>
      <c r="B896" s="11">
        <v>1.2E-4</v>
      </c>
      <c r="C896" s="11">
        <v>8.500000000000001E-4</v>
      </c>
      <c r="D896" s="11">
        <v>0.00188</v>
      </c>
      <c r="E896" s="11">
        <v>0.0034100000000000003</v>
      </c>
    </row>
    <row r="897">
      <c r="A897" s="3">
        <v>41935.0</v>
      </c>
      <c r="B897" s="11">
        <v>1.0999999999999999E-4</v>
      </c>
      <c r="C897" s="11">
        <v>8.500000000000001E-4</v>
      </c>
      <c r="D897" s="11">
        <v>0.00188</v>
      </c>
      <c r="E897" s="11">
        <v>0.0034100000000000003</v>
      </c>
    </row>
    <row r="898">
      <c r="A898" s="3">
        <v>41934.0</v>
      </c>
      <c r="B898" s="11">
        <v>8.999999999999999E-5</v>
      </c>
      <c r="C898" s="11">
        <v>8.4E-4</v>
      </c>
      <c r="D898" s="11">
        <v>0.00187</v>
      </c>
      <c r="E898" s="11">
        <v>0.0034100000000000003</v>
      </c>
    </row>
    <row r="899">
      <c r="A899" s="3">
        <v>41933.0</v>
      </c>
      <c r="B899" s="11">
        <v>8.0E-5</v>
      </c>
      <c r="C899" s="11">
        <v>8.2E-4</v>
      </c>
      <c r="D899" s="11">
        <v>0.0018599999999999999</v>
      </c>
      <c r="E899" s="11">
        <v>0.0033900000000000002</v>
      </c>
    </row>
    <row r="900">
      <c r="A900" s="3">
        <v>41932.0</v>
      </c>
      <c r="B900" s="11">
        <v>6.0E-5</v>
      </c>
      <c r="C900" s="11">
        <v>8.100000000000001E-4</v>
      </c>
      <c r="D900" s="11">
        <v>0.00184</v>
      </c>
      <c r="E900" s="11">
        <v>0.00337</v>
      </c>
    </row>
    <row r="901">
      <c r="A901" s="3">
        <v>41929.0</v>
      </c>
      <c r="B901" s="11">
        <v>6.0E-5</v>
      </c>
      <c r="C901" s="11">
        <v>8.100000000000001E-4</v>
      </c>
      <c r="D901" s="11">
        <v>0.00185</v>
      </c>
      <c r="E901" s="11">
        <v>0.0034000000000000002</v>
      </c>
    </row>
    <row r="902">
      <c r="A902" s="3">
        <v>41928.0</v>
      </c>
      <c r="B902" s="11">
        <v>6.0E-5</v>
      </c>
      <c r="C902" s="11">
        <v>8.100000000000001E-4</v>
      </c>
      <c r="D902" s="11">
        <v>0.00182</v>
      </c>
      <c r="E902" s="11">
        <v>0.0033900000000000002</v>
      </c>
    </row>
    <row r="903">
      <c r="A903" s="3">
        <v>41927.0</v>
      </c>
      <c r="B903" s="11">
        <v>6.0E-5</v>
      </c>
      <c r="C903" s="11">
        <v>8.100000000000001E-4</v>
      </c>
      <c r="D903" s="11">
        <v>0.00181</v>
      </c>
      <c r="E903" s="11">
        <v>0.00338</v>
      </c>
    </row>
    <row r="904">
      <c r="A904" s="3">
        <v>41926.0</v>
      </c>
      <c r="B904" s="11">
        <v>8.0E-5</v>
      </c>
      <c r="C904" s="11">
        <v>8.2E-4</v>
      </c>
      <c r="D904" s="11">
        <v>0.00182</v>
      </c>
      <c r="E904" s="11">
        <v>0.0034000000000000002</v>
      </c>
    </row>
    <row r="905">
      <c r="A905" s="3">
        <v>41925.0</v>
      </c>
      <c r="B905" s="11">
        <v>6.0E-5</v>
      </c>
      <c r="C905" s="11">
        <v>8.2E-4</v>
      </c>
      <c r="D905" s="11">
        <v>0.00182</v>
      </c>
      <c r="E905" s="11">
        <v>0.00336</v>
      </c>
    </row>
    <row r="906">
      <c r="A906" s="3">
        <v>41922.0</v>
      </c>
      <c r="B906" s="11">
        <v>6.0E-5</v>
      </c>
      <c r="C906" s="11">
        <v>7.9E-4</v>
      </c>
      <c r="D906" s="11">
        <v>0.00178</v>
      </c>
      <c r="E906" s="11">
        <v>0.00333</v>
      </c>
    </row>
    <row r="907">
      <c r="A907" s="3">
        <v>41921.0</v>
      </c>
      <c r="B907" s="11">
        <v>6.0E-5</v>
      </c>
      <c r="C907" s="11">
        <v>7.9E-4</v>
      </c>
      <c r="D907" s="11">
        <v>0.00179</v>
      </c>
      <c r="E907" s="11">
        <v>0.00332</v>
      </c>
    </row>
    <row r="908">
      <c r="A908" s="3">
        <v>41920.0</v>
      </c>
      <c r="B908" s="11">
        <v>6.0E-5</v>
      </c>
      <c r="C908" s="11">
        <v>8.0E-4</v>
      </c>
      <c r="D908" s="11">
        <v>0.0018</v>
      </c>
      <c r="E908" s="11">
        <v>0.00333</v>
      </c>
    </row>
    <row r="909">
      <c r="A909" s="3">
        <v>41919.0</v>
      </c>
      <c r="B909" s="11">
        <v>6.0E-5</v>
      </c>
      <c r="C909" s="11">
        <v>7.9E-4</v>
      </c>
      <c r="D909" s="11">
        <v>0.00178</v>
      </c>
      <c r="E909" s="11">
        <v>0.00333</v>
      </c>
    </row>
    <row r="910">
      <c r="A910" s="3">
        <v>41918.0</v>
      </c>
      <c r="B910" s="11">
        <v>7.000000000000001E-5</v>
      </c>
      <c r="C910" s="11">
        <v>7.9E-4</v>
      </c>
      <c r="D910" s="11">
        <v>0.00179</v>
      </c>
      <c r="E910" s="11">
        <v>0.00334</v>
      </c>
    </row>
    <row r="911">
      <c r="A911" s="3">
        <v>41915.0</v>
      </c>
      <c r="B911" s="11">
        <v>7.000000000000001E-5</v>
      </c>
      <c r="C911" s="11">
        <v>8.100000000000001E-4</v>
      </c>
      <c r="D911" s="11">
        <v>0.00181</v>
      </c>
      <c r="E911" s="11">
        <v>0.00335</v>
      </c>
    </row>
    <row r="912">
      <c r="A912" s="3">
        <v>41914.0</v>
      </c>
      <c r="B912" s="11">
        <v>6.0E-5</v>
      </c>
      <c r="C912" s="11">
        <v>8.100000000000001E-4</v>
      </c>
      <c r="D912" s="11">
        <v>0.0018</v>
      </c>
      <c r="E912" s="11">
        <v>0.00334</v>
      </c>
    </row>
    <row r="913">
      <c r="A913" s="3">
        <v>41913.0</v>
      </c>
      <c r="B913" s="11">
        <v>6.0E-5</v>
      </c>
      <c r="C913" s="11">
        <v>8.2E-4</v>
      </c>
      <c r="D913" s="11">
        <v>0.00181</v>
      </c>
      <c r="E913" s="11">
        <v>0.00338</v>
      </c>
    </row>
    <row r="914">
      <c r="A914" s="3">
        <v>41912.0</v>
      </c>
      <c r="B914" s="11">
        <v>7.000000000000001E-5</v>
      </c>
      <c r="C914" s="11">
        <v>8.3E-4</v>
      </c>
      <c r="D914" s="11">
        <v>0.00183</v>
      </c>
      <c r="E914" s="11">
        <v>0.00338</v>
      </c>
    </row>
    <row r="915">
      <c r="A915" s="3">
        <v>41911.0</v>
      </c>
      <c r="B915" s="11">
        <v>7.000000000000001E-5</v>
      </c>
      <c r="C915" s="11">
        <v>8.3E-4</v>
      </c>
      <c r="D915" s="11">
        <v>0.00184</v>
      </c>
      <c r="E915" s="11">
        <v>0.0033900000000000002</v>
      </c>
    </row>
    <row r="916">
      <c r="A916" s="3">
        <v>41908.0</v>
      </c>
      <c r="B916" s="11">
        <v>7.000000000000001E-5</v>
      </c>
      <c r="C916" s="11">
        <v>8.2E-4</v>
      </c>
      <c r="D916" s="11">
        <v>0.00183</v>
      </c>
      <c r="E916" s="11">
        <v>0.0034100000000000003</v>
      </c>
    </row>
    <row r="917">
      <c r="A917" s="3">
        <v>41907.0</v>
      </c>
      <c r="B917" s="11">
        <v>6.0E-5</v>
      </c>
      <c r="C917" s="11">
        <v>8.2E-4</v>
      </c>
      <c r="D917" s="11">
        <v>0.00183</v>
      </c>
      <c r="E917" s="11">
        <v>0.0034200000000000003</v>
      </c>
    </row>
    <row r="918">
      <c r="A918" s="3">
        <v>41906.0</v>
      </c>
      <c r="B918" s="11">
        <v>7.000000000000001E-5</v>
      </c>
      <c r="C918" s="11">
        <v>8.3E-4</v>
      </c>
      <c r="D918" s="11">
        <v>0.0018599999999999999</v>
      </c>
      <c r="E918" s="11">
        <v>0.00344</v>
      </c>
    </row>
    <row r="919">
      <c r="A919" s="3">
        <v>41905.0</v>
      </c>
      <c r="B919" s="11">
        <v>5.0E-5</v>
      </c>
      <c r="C919" s="11">
        <v>8.2E-4</v>
      </c>
      <c r="D919" s="11">
        <v>0.00185</v>
      </c>
      <c r="E919" s="11">
        <v>0.0034300000000000003</v>
      </c>
    </row>
    <row r="920">
      <c r="A920" s="3">
        <v>41904.0</v>
      </c>
      <c r="B920" s="11">
        <v>5.0E-5</v>
      </c>
      <c r="C920" s="11">
        <v>8.2E-4</v>
      </c>
      <c r="D920" s="11">
        <v>0.0018599999999999999</v>
      </c>
      <c r="E920" s="11">
        <v>0.00345</v>
      </c>
    </row>
    <row r="921">
      <c r="A921" s="3">
        <v>41901.0</v>
      </c>
      <c r="B921" s="11">
        <v>8.0E-5</v>
      </c>
      <c r="C921" s="11">
        <v>8.3E-4</v>
      </c>
      <c r="D921" s="11">
        <v>0.00187</v>
      </c>
      <c r="E921" s="11">
        <v>0.0034699999999999996</v>
      </c>
    </row>
    <row r="922">
      <c r="A922" s="3">
        <v>41900.0</v>
      </c>
      <c r="B922" s="11">
        <v>7.000000000000001E-5</v>
      </c>
      <c r="C922" s="11">
        <v>8.2E-4</v>
      </c>
      <c r="D922" s="11">
        <v>0.00187</v>
      </c>
      <c r="E922" s="11">
        <v>0.0034699999999999996</v>
      </c>
    </row>
    <row r="923">
      <c r="A923" s="3">
        <v>41899.0</v>
      </c>
      <c r="B923" s="11">
        <v>6.0E-5</v>
      </c>
      <c r="C923" s="11">
        <v>8.2E-4</v>
      </c>
      <c r="D923" s="11">
        <v>0.00188</v>
      </c>
      <c r="E923" s="11">
        <v>0.0034699999999999996</v>
      </c>
    </row>
    <row r="924">
      <c r="A924" s="3">
        <v>41898.0</v>
      </c>
      <c r="B924" s="11">
        <v>6.0E-5</v>
      </c>
      <c r="C924" s="11">
        <v>8.100000000000001E-4</v>
      </c>
      <c r="D924" s="11">
        <v>0.00187</v>
      </c>
      <c r="E924" s="11">
        <v>0.0034599999999999995</v>
      </c>
    </row>
    <row r="925">
      <c r="A925" s="3">
        <v>41897.0</v>
      </c>
      <c r="B925" s="11">
        <v>7.000000000000001E-5</v>
      </c>
      <c r="C925" s="11">
        <v>8.100000000000001E-4</v>
      </c>
      <c r="D925" s="11">
        <v>0.00188</v>
      </c>
      <c r="E925" s="11">
        <v>0.0034899999999999996</v>
      </c>
    </row>
    <row r="926">
      <c r="A926" s="3">
        <v>41894.0</v>
      </c>
      <c r="B926" s="11">
        <v>6.0E-5</v>
      </c>
      <c r="C926" s="11">
        <v>8.2E-4</v>
      </c>
      <c r="D926" s="11">
        <v>0.00187</v>
      </c>
      <c r="E926" s="11">
        <v>0.0034899999999999996</v>
      </c>
    </row>
    <row r="927">
      <c r="A927" s="3">
        <v>41893.0</v>
      </c>
      <c r="B927" s="11">
        <v>7.000000000000001E-5</v>
      </c>
      <c r="C927" s="11">
        <v>8.4E-4</v>
      </c>
      <c r="D927" s="11">
        <v>0.00188</v>
      </c>
      <c r="E927" s="11">
        <v>0.0035199999999999997</v>
      </c>
    </row>
    <row r="928">
      <c r="A928" s="3">
        <v>41892.0</v>
      </c>
      <c r="B928" s="11">
        <v>1.0E-4</v>
      </c>
      <c r="C928" s="11">
        <v>8.699999999999999E-4</v>
      </c>
      <c r="D928" s="11">
        <v>0.00191</v>
      </c>
      <c r="E928" s="11">
        <v>0.00357</v>
      </c>
    </row>
    <row r="929">
      <c r="A929" s="3">
        <v>41891.0</v>
      </c>
      <c r="B929" s="11">
        <v>1.0E-4</v>
      </c>
      <c r="C929" s="11">
        <v>8.9E-4</v>
      </c>
      <c r="D929" s="11">
        <v>0.00191</v>
      </c>
      <c r="E929" s="11">
        <v>0.0036</v>
      </c>
    </row>
    <row r="930">
      <c r="A930" s="3">
        <v>41890.0</v>
      </c>
      <c r="B930" s="11">
        <v>1.3E-4</v>
      </c>
      <c r="C930" s="11">
        <v>9.4E-4</v>
      </c>
      <c r="D930" s="11">
        <v>0.00196</v>
      </c>
      <c r="E930" s="11">
        <v>0.00366</v>
      </c>
    </row>
    <row r="931">
      <c r="A931" s="3">
        <v>41887.0</v>
      </c>
      <c r="B931" s="11">
        <v>1.8999999999999998E-4</v>
      </c>
      <c r="C931" s="11">
        <v>0.00104</v>
      </c>
      <c r="D931" s="11">
        <v>0.00203</v>
      </c>
      <c r="E931" s="11">
        <v>0.00374</v>
      </c>
    </row>
    <row r="932">
      <c r="A932" s="3">
        <v>41886.0</v>
      </c>
      <c r="B932" s="11">
        <v>5.899999999999999E-4</v>
      </c>
      <c r="C932" s="11">
        <v>0.00149</v>
      </c>
      <c r="D932" s="11">
        <v>0.00249</v>
      </c>
      <c r="E932" s="11">
        <v>0.00418</v>
      </c>
    </row>
    <row r="933">
      <c r="A933" s="3">
        <v>41885.0</v>
      </c>
      <c r="B933" s="11">
        <v>6.1E-4</v>
      </c>
      <c r="C933" s="11">
        <v>0.0015</v>
      </c>
      <c r="D933" s="11">
        <v>0.0025</v>
      </c>
      <c r="E933" s="11">
        <v>0.00419</v>
      </c>
    </row>
    <row r="934">
      <c r="A934" s="3">
        <v>41884.0</v>
      </c>
      <c r="B934" s="11">
        <v>6.0E-4</v>
      </c>
      <c r="C934" s="11">
        <v>0.0015199999999999999</v>
      </c>
      <c r="D934" s="11">
        <v>0.00252</v>
      </c>
      <c r="E934" s="11">
        <v>0.0042</v>
      </c>
    </row>
    <row r="935">
      <c r="A935" s="3">
        <v>41883.0</v>
      </c>
      <c r="B935" s="11">
        <v>6.6E-4</v>
      </c>
      <c r="C935" s="11">
        <v>0.00159</v>
      </c>
      <c r="D935" s="11">
        <v>0.0025900000000000003</v>
      </c>
      <c r="E935" s="11">
        <v>0.00428</v>
      </c>
    </row>
    <row r="936">
      <c r="A936" s="3">
        <v>41880.0</v>
      </c>
      <c r="B936" s="11">
        <v>6.7E-4</v>
      </c>
      <c r="C936" s="11">
        <v>0.0016300000000000002</v>
      </c>
      <c r="D936" s="11">
        <v>0.00264</v>
      </c>
      <c r="E936" s="11">
        <v>0.00434</v>
      </c>
    </row>
    <row r="937">
      <c r="A937" s="3">
        <v>41879.0</v>
      </c>
      <c r="B937" s="11">
        <v>6.8E-4</v>
      </c>
      <c r="C937" s="11">
        <v>0.00167</v>
      </c>
      <c r="D937" s="11">
        <v>0.00267</v>
      </c>
      <c r="E937" s="11">
        <v>0.00438</v>
      </c>
    </row>
    <row r="938">
      <c r="A938" s="3">
        <v>41878.0</v>
      </c>
      <c r="B938" s="11">
        <v>6.900000000000001E-4</v>
      </c>
      <c r="C938" s="11">
        <v>0.0017000000000000001</v>
      </c>
      <c r="D938" s="11">
        <v>0.00269</v>
      </c>
      <c r="E938" s="11">
        <v>0.00439</v>
      </c>
    </row>
    <row r="939">
      <c r="A939" s="3">
        <v>41877.0</v>
      </c>
      <c r="B939" s="11">
        <v>7.099999999999999E-4</v>
      </c>
      <c r="C939" s="11">
        <v>0.0017100000000000001</v>
      </c>
      <c r="D939" s="11">
        <v>0.00271</v>
      </c>
      <c r="E939" s="11">
        <v>0.00443</v>
      </c>
    </row>
    <row r="940">
      <c r="A940" s="3">
        <v>41876.0</v>
      </c>
      <c r="B940" s="11">
        <v>7.4E-4</v>
      </c>
      <c r="C940" s="11">
        <v>0.0017499999999999998</v>
      </c>
      <c r="D940" s="11">
        <v>0.0027400000000000002</v>
      </c>
      <c r="E940" s="11">
        <v>0.0044800000000000005</v>
      </c>
    </row>
    <row r="941">
      <c r="A941" s="3">
        <v>41873.0</v>
      </c>
      <c r="B941" s="11">
        <v>7.9E-4</v>
      </c>
      <c r="C941" s="11">
        <v>0.00183</v>
      </c>
      <c r="D941" s="11">
        <v>0.0028799999999999997</v>
      </c>
      <c r="E941" s="11">
        <v>0.0046300000000000004</v>
      </c>
    </row>
    <row r="942">
      <c r="A942" s="3">
        <v>41872.0</v>
      </c>
      <c r="B942" s="11">
        <v>8.100000000000001E-4</v>
      </c>
      <c r="C942" s="11">
        <v>0.0018599999999999999</v>
      </c>
      <c r="D942" s="11">
        <v>0.0028699999999999997</v>
      </c>
      <c r="E942" s="11">
        <v>0.00464</v>
      </c>
    </row>
    <row r="943">
      <c r="A943" s="3">
        <v>41871.0</v>
      </c>
      <c r="B943" s="11">
        <v>8.4E-4</v>
      </c>
      <c r="C943" s="11">
        <v>0.00187</v>
      </c>
      <c r="D943" s="11">
        <v>0.0028899999999999998</v>
      </c>
      <c r="E943" s="11">
        <v>0.00466</v>
      </c>
    </row>
    <row r="944">
      <c r="A944" s="3">
        <v>41870.0</v>
      </c>
      <c r="B944" s="11">
        <v>8.699999999999999E-4</v>
      </c>
      <c r="C944" s="11">
        <v>0.00191</v>
      </c>
      <c r="D944" s="11">
        <v>0.00292</v>
      </c>
      <c r="E944" s="11">
        <v>0.00469</v>
      </c>
    </row>
    <row r="945">
      <c r="A945" s="3">
        <v>41869.0</v>
      </c>
      <c r="B945" s="11">
        <v>8.9E-4</v>
      </c>
      <c r="C945" s="11">
        <v>0.00196</v>
      </c>
      <c r="D945" s="11">
        <v>0.00297</v>
      </c>
      <c r="E945" s="11">
        <v>0.004739999999999999</v>
      </c>
    </row>
    <row r="946">
      <c r="A946" s="3">
        <v>41866.0</v>
      </c>
      <c r="B946" s="11">
        <v>8.799999999999999E-4</v>
      </c>
      <c r="C946" s="11">
        <v>0.00197</v>
      </c>
      <c r="D946" s="11">
        <v>0.00297</v>
      </c>
      <c r="E946" s="11">
        <v>0.00477</v>
      </c>
    </row>
    <row r="947">
      <c r="A947" s="3">
        <v>41865.0</v>
      </c>
      <c r="B947" s="11">
        <v>8.9E-4</v>
      </c>
      <c r="C947" s="11">
        <v>0.00198</v>
      </c>
      <c r="D947" s="11">
        <v>0.00298</v>
      </c>
      <c r="E947" s="11">
        <v>0.0047799999999999995</v>
      </c>
    </row>
    <row r="948">
      <c r="A948" s="3">
        <v>41864.0</v>
      </c>
      <c r="B948" s="11">
        <v>9.0E-4</v>
      </c>
      <c r="C948" s="11">
        <v>0.00199</v>
      </c>
      <c r="D948" s="11">
        <v>0.00299</v>
      </c>
      <c r="E948" s="11">
        <v>0.00479</v>
      </c>
    </row>
    <row r="949">
      <c r="A949" s="3">
        <v>41863.0</v>
      </c>
      <c r="B949" s="11">
        <v>9.1E-4</v>
      </c>
      <c r="C949" s="11">
        <v>0.00201</v>
      </c>
      <c r="D949" s="11">
        <v>0.003</v>
      </c>
      <c r="E949" s="11">
        <v>0.00479</v>
      </c>
    </row>
    <row r="950">
      <c r="A950" s="3">
        <v>41862.0</v>
      </c>
      <c r="B950" s="11">
        <v>9.2E-4</v>
      </c>
      <c r="C950" s="11">
        <v>0.00202</v>
      </c>
      <c r="D950" s="11">
        <v>0.00301</v>
      </c>
      <c r="E950" s="11">
        <v>0.00482</v>
      </c>
    </row>
    <row r="951">
      <c r="A951" s="3">
        <v>41859.0</v>
      </c>
      <c r="B951" s="11">
        <v>9.4E-4</v>
      </c>
      <c r="C951" s="11">
        <v>0.00203</v>
      </c>
      <c r="D951" s="11">
        <v>0.00302</v>
      </c>
      <c r="E951" s="11">
        <v>0.00482</v>
      </c>
    </row>
    <row r="952">
      <c r="A952" s="3">
        <v>41858.0</v>
      </c>
      <c r="B952" s="11">
        <v>9.6E-4</v>
      </c>
      <c r="C952" s="11">
        <v>0.0020499999999999997</v>
      </c>
      <c r="D952" s="11">
        <v>0.0030399999999999997</v>
      </c>
      <c r="E952" s="11">
        <v>0.00484</v>
      </c>
    </row>
    <row r="953">
      <c r="A953" s="3">
        <v>41857.0</v>
      </c>
      <c r="B953" s="11">
        <v>9.6E-4</v>
      </c>
      <c r="C953" s="11">
        <v>0.0020599999999999998</v>
      </c>
      <c r="D953" s="11">
        <v>0.00306</v>
      </c>
      <c r="E953" s="11">
        <v>0.00487</v>
      </c>
    </row>
    <row r="954">
      <c r="A954" s="3">
        <v>41856.0</v>
      </c>
      <c r="B954" s="11">
        <v>9.7E-4</v>
      </c>
      <c r="C954" s="11">
        <v>0.00207</v>
      </c>
      <c r="D954" s="11">
        <v>0.00307</v>
      </c>
      <c r="E954" s="11">
        <v>0.00488</v>
      </c>
    </row>
    <row r="955">
      <c r="A955" s="3">
        <v>41855.0</v>
      </c>
      <c r="B955" s="11">
        <v>9.6E-4</v>
      </c>
      <c r="C955" s="11">
        <v>0.00208</v>
      </c>
      <c r="D955" s="11">
        <v>0.00307</v>
      </c>
      <c r="E955" s="11">
        <v>0.00488</v>
      </c>
    </row>
    <row r="956">
      <c r="A956" s="3">
        <v>41852.0</v>
      </c>
      <c r="B956" s="11">
        <v>9.7E-4</v>
      </c>
      <c r="C956" s="11">
        <v>0.00208</v>
      </c>
      <c r="D956" s="11">
        <v>0.00308</v>
      </c>
      <c r="E956" s="11">
        <v>0.00489</v>
      </c>
    </row>
    <row r="957">
      <c r="A957" s="3">
        <v>41851.0</v>
      </c>
      <c r="B957" s="11">
        <v>9.8E-4</v>
      </c>
      <c r="C957" s="11">
        <v>0.00209</v>
      </c>
      <c r="D957" s="11">
        <v>0.00306</v>
      </c>
      <c r="E957" s="11">
        <v>0.00489</v>
      </c>
    </row>
    <row r="958">
      <c r="A958" s="3">
        <v>41850.0</v>
      </c>
      <c r="B958" s="11">
        <v>9.8E-4</v>
      </c>
      <c r="C958" s="11">
        <v>0.00209</v>
      </c>
      <c r="D958" s="11">
        <v>0.0030499999999999998</v>
      </c>
      <c r="E958" s="11">
        <v>0.00489</v>
      </c>
    </row>
    <row r="959">
      <c r="A959" s="3">
        <v>41849.0</v>
      </c>
      <c r="B959" s="11">
        <v>9.9E-4</v>
      </c>
      <c r="C959" s="11">
        <v>0.00209</v>
      </c>
      <c r="D959" s="11">
        <v>0.00306</v>
      </c>
      <c r="E959" s="11">
        <v>0.00489</v>
      </c>
    </row>
    <row r="960">
      <c r="A960" s="3">
        <v>41848.0</v>
      </c>
      <c r="B960" s="11">
        <v>9.9E-4</v>
      </c>
      <c r="C960" s="11">
        <v>0.00209</v>
      </c>
      <c r="D960" s="11">
        <v>0.00306</v>
      </c>
      <c r="E960" s="11">
        <v>0.00489</v>
      </c>
    </row>
    <row r="961">
      <c r="A961" s="3">
        <v>41845.0</v>
      </c>
      <c r="B961" s="11">
        <v>0.001</v>
      </c>
      <c r="C961" s="11">
        <v>0.00209</v>
      </c>
      <c r="D961" s="11">
        <v>0.00307</v>
      </c>
      <c r="E961" s="11">
        <v>0.0049</v>
      </c>
    </row>
    <row r="962">
      <c r="A962" s="3">
        <v>41844.0</v>
      </c>
      <c r="B962" s="11">
        <v>9.9E-4</v>
      </c>
      <c r="C962" s="11">
        <v>0.00209</v>
      </c>
      <c r="D962" s="11">
        <v>0.00308</v>
      </c>
      <c r="E962" s="11">
        <v>0.0049</v>
      </c>
    </row>
    <row r="963">
      <c r="A963" s="3">
        <v>41843.0</v>
      </c>
      <c r="B963" s="11">
        <v>9.8E-4</v>
      </c>
      <c r="C963" s="11">
        <v>0.00208</v>
      </c>
      <c r="D963" s="11">
        <v>0.00308</v>
      </c>
      <c r="E963" s="11">
        <v>0.00489</v>
      </c>
    </row>
    <row r="964">
      <c r="A964" s="3">
        <v>41842.0</v>
      </c>
      <c r="B964" s="11">
        <v>9.6E-4</v>
      </c>
      <c r="C964" s="11">
        <v>0.0020599999999999998</v>
      </c>
      <c r="D964" s="11">
        <v>0.0030499999999999998</v>
      </c>
      <c r="E964" s="11">
        <v>0.00488</v>
      </c>
    </row>
    <row r="965">
      <c r="A965" s="3">
        <v>41841.0</v>
      </c>
      <c r="B965" s="11">
        <v>9.6E-4</v>
      </c>
      <c r="C965" s="11">
        <v>0.0020399999999999997</v>
      </c>
      <c r="D965" s="11">
        <v>0.0030299999999999997</v>
      </c>
      <c r="E965" s="11">
        <v>0.00486</v>
      </c>
    </row>
    <row r="966">
      <c r="A966" s="3">
        <v>41838.0</v>
      </c>
      <c r="B966" s="11">
        <v>9.2E-4</v>
      </c>
      <c r="C966" s="11">
        <v>0.00202</v>
      </c>
      <c r="D966" s="11">
        <v>0.0030299999999999997</v>
      </c>
      <c r="E966" s="11">
        <v>0.00485</v>
      </c>
    </row>
    <row r="967">
      <c r="A967" s="3">
        <v>41837.0</v>
      </c>
      <c r="B967" s="11">
        <v>9.1E-4</v>
      </c>
      <c r="C967" s="11">
        <v>0.00201</v>
      </c>
      <c r="D967" s="11">
        <v>0.0030299999999999997</v>
      </c>
      <c r="E967" s="11">
        <v>0.00486</v>
      </c>
    </row>
    <row r="968">
      <c r="A968" s="3">
        <v>41836.0</v>
      </c>
      <c r="B968" s="11">
        <v>9.1E-4</v>
      </c>
      <c r="C968" s="11">
        <v>0.00201</v>
      </c>
      <c r="D968" s="11">
        <v>0.0030399999999999997</v>
      </c>
      <c r="E968" s="11">
        <v>0.00486</v>
      </c>
    </row>
    <row r="969">
      <c r="A969" s="3">
        <v>41835.0</v>
      </c>
      <c r="B969" s="11">
        <v>9.2E-4</v>
      </c>
      <c r="C969" s="11">
        <v>0.00202</v>
      </c>
      <c r="D969" s="11">
        <v>0.00306</v>
      </c>
      <c r="E969" s="11">
        <v>0.00487</v>
      </c>
    </row>
    <row r="970">
      <c r="A970" s="3">
        <v>41834.0</v>
      </c>
      <c r="B970" s="11">
        <v>9.2E-4</v>
      </c>
      <c r="C970" s="11">
        <v>0.00203</v>
      </c>
      <c r="D970" s="11">
        <v>0.00306</v>
      </c>
      <c r="E970" s="11">
        <v>0.00488</v>
      </c>
    </row>
    <row r="971">
      <c r="A971" s="3">
        <v>41831.0</v>
      </c>
      <c r="B971" s="11">
        <v>9.299999999999999E-4</v>
      </c>
      <c r="C971" s="11">
        <v>0.00203</v>
      </c>
      <c r="D971" s="11">
        <v>0.0030499999999999998</v>
      </c>
      <c r="E971" s="11">
        <v>0.00487</v>
      </c>
    </row>
    <row r="972">
      <c r="A972" s="3">
        <v>41830.0</v>
      </c>
      <c r="B972" s="11">
        <v>9.4E-4</v>
      </c>
      <c r="C972" s="11">
        <v>0.00202</v>
      </c>
      <c r="D972" s="11">
        <v>0.0030399999999999997</v>
      </c>
      <c r="E972" s="11">
        <v>0.00487</v>
      </c>
    </row>
    <row r="973">
      <c r="A973" s="3">
        <v>41829.0</v>
      </c>
      <c r="B973" s="11">
        <v>9.5E-4</v>
      </c>
      <c r="C973" s="11">
        <v>0.00203</v>
      </c>
      <c r="D973" s="11">
        <v>0.0030399999999999997</v>
      </c>
      <c r="E973" s="11">
        <v>0.00487</v>
      </c>
    </row>
    <row r="974">
      <c r="A974" s="3">
        <v>41828.0</v>
      </c>
      <c r="B974" s="11">
        <v>9.6E-4</v>
      </c>
      <c r="C974" s="11">
        <v>0.00203</v>
      </c>
      <c r="D974" s="11">
        <v>0.0030299999999999997</v>
      </c>
      <c r="E974" s="11">
        <v>0.00486</v>
      </c>
    </row>
    <row r="975">
      <c r="A975" s="3">
        <v>41827.0</v>
      </c>
      <c r="B975" s="11">
        <v>9.7E-4</v>
      </c>
      <c r="C975" s="11">
        <v>0.00203</v>
      </c>
      <c r="D975" s="11">
        <v>0.0030299999999999997</v>
      </c>
      <c r="E975" s="11">
        <v>0.00486</v>
      </c>
    </row>
    <row r="976">
      <c r="A976" s="3">
        <v>41824.0</v>
      </c>
      <c r="B976" s="11">
        <v>9.7E-4</v>
      </c>
      <c r="C976" s="11">
        <v>0.0020399999999999997</v>
      </c>
      <c r="D976" s="11">
        <v>0.0030299999999999997</v>
      </c>
      <c r="E976" s="11">
        <v>0.00486</v>
      </c>
    </row>
    <row r="977">
      <c r="A977" s="3">
        <v>41823.0</v>
      </c>
      <c r="B977" s="11">
        <v>9.7E-4</v>
      </c>
      <c r="C977" s="11">
        <v>0.0020599999999999998</v>
      </c>
      <c r="D977" s="11">
        <v>0.0030299999999999997</v>
      </c>
      <c r="E977" s="11">
        <v>0.00488</v>
      </c>
    </row>
    <row r="978">
      <c r="A978" s="3">
        <v>41822.0</v>
      </c>
      <c r="B978" s="11">
        <v>9.6E-4</v>
      </c>
      <c r="C978" s="11">
        <v>0.0020499999999999997</v>
      </c>
      <c r="D978" s="11">
        <v>0.0030299999999999997</v>
      </c>
      <c r="E978" s="11">
        <v>0.00487</v>
      </c>
    </row>
    <row r="979">
      <c r="A979" s="3">
        <v>41821.0</v>
      </c>
      <c r="B979" s="11">
        <v>9.8E-4</v>
      </c>
      <c r="C979" s="11">
        <v>0.0020599999999999998</v>
      </c>
      <c r="D979" s="11">
        <v>0.00302</v>
      </c>
      <c r="E979" s="11">
        <v>0.00488</v>
      </c>
    </row>
    <row r="980">
      <c r="A980" s="3">
        <v>41820.0</v>
      </c>
      <c r="B980" s="11">
        <v>9.9E-4</v>
      </c>
      <c r="C980" s="11">
        <v>0.00207</v>
      </c>
      <c r="D980" s="11">
        <v>0.0030299999999999997</v>
      </c>
      <c r="E980" s="11">
        <v>0.00488</v>
      </c>
    </row>
    <row r="981">
      <c r="A981" s="3">
        <v>41817.0</v>
      </c>
      <c r="B981" s="11">
        <v>0.00101</v>
      </c>
      <c r="C981" s="11">
        <v>0.00207</v>
      </c>
      <c r="D981" s="11">
        <v>0.0030299999999999997</v>
      </c>
      <c r="E981" s="11">
        <v>0.00488</v>
      </c>
    </row>
    <row r="982">
      <c r="A982" s="3">
        <v>41816.0</v>
      </c>
      <c r="B982" s="11">
        <v>0.0010299999999999999</v>
      </c>
      <c r="C982" s="11">
        <v>0.00209</v>
      </c>
      <c r="D982" s="11">
        <v>0.0030499999999999998</v>
      </c>
      <c r="E982" s="11">
        <v>0.00488</v>
      </c>
    </row>
    <row r="983">
      <c r="A983" s="3">
        <v>41815.0</v>
      </c>
      <c r="B983" s="11">
        <v>0.0010299999999999999</v>
      </c>
      <c r="C983" s="11">
        <v>0.00208</v>
      </c>
      <c r="D983" s="11">
        <v>0.00306</v>
      </c>
      <c r="E983" s="11">
        <v>0.00487</v>
      </c>
    </row>
    <row r="984">
      <c r="A984" s="3">
        <v>41814.0</v>
      </c>
      <c r="B984" s="11">
        <v>0.00104</v>
      </c>
      <c r="C984" s="11">
        <v>0.00211</v>
      </c>
      <c r="D984" s="11">
        <v>0.00306</v>
      </c>
      <c r="E984" s="11">
        <v>0.00489</v>
      </c>
    </row>
    <row r="985">
      <c r="A985" s="3">
        <v>41813.0</v>
      </c>
      <c r="B985" s="11">
        <v>0.00105</v>
      </c>
      <c r="C985" s="11">
        <v>0.00211</v>
      </c>
      <c r="D985" s="11">
        <v>0.00307</v>
      </c>
      <c r="E985" s="11">
        <v>0.00489</v>
      </c>
    </row>
    <row r="986">
      <c r="A986" s="3">
        <v>41810.0</v>
      </c>
      <c r="B986" s="11">
        <v>0.00108</v>
      </c>
      <c r="C986" s="11">
        <v>0.00212</v>
      </c>
      <c r="D986" s="11">
        <v>0.00306</v>
      </c>
      <c r="E986" s="11">
        <v>0.00489</v>
      </c>
    </row>
    <row r="987">
      <c r="A987" s="3">
        <v>41809.0</v>
      </c>
      <c r="B987" s="11">
        <v>0.00109</v>
      </c>
      <c r="C987" s="11">
        <v>0.00212</v>
      </c>
      <c r="D987" s="11">
        <v>0.00306</v>
      </c>
      <c r="E987" s="11">
        <v>0.00489</v>
      </c>
    </row>
    <row r="988">
      <c r="A988" s="3">
        <v>41808.0</v>
      </c>
      <c r="B988" s="11">
        <v>0.00113</v>
      </c>
      <c r="C988" s="11">
        <v>0.00216</v>
      </c>
      <c r="D988" s="11">
        <v>0.00309</v>
      </c>
      <c r="E988" s="11">
        <v>0.0049</v>
      </c>
    </row>
    <row r="989">
      <c r="A989" s="3">
        <v>41807.0</v>
      </c>
      <c r="B989" s="11">
        <v>0.0011899999999999999</v>
      </c>
      <c r="C989" s="11">
        <v>0.00217</v>
      </c>
      <c r="D989" s="11">
        <v>0.00312</v>
      </c>
      <c r="E989" s="11">
        <v>0.00491</v>
      </c>
    </row>
    <row r="990">
      <c r="A990" s="3">
        <v>41806.0</v>
      </c>
      <c r="B990" s="11">
        <v>0.00126</v>
      </c>
      <c r="C990" s="11">
        <v>0.00223</v>
      </c>
      <c r="D990" s="11">
        <v>0.00316</v>
      </c>
      <c r="E990" s="11">
        <v>0.00496</v>
      </c>
    </row>
    <row r="991">
      <c r="A991" s="3">
        <v>41803.0</v>
      </c>
      <c r="B991" s="11">
        <v>0.0014000000000000002</v>
      </c>
      <c r="C991" s="11">
        <v>0.00234</v>
      </c>
      <c r="D991" s="11">
        <v>0.0032600000000000003</v>
      </c>
      <c r="E991" s="11">
        <v>0.00507</v>
      </c>
    </row>
    <row r="992">
      <c r="A992" s="3">
        <v>41802.0</v>
      </c>
      <c r="B992" s="11">
        <v>0.00156</v>
      </c>
      <c r="C992" s="11">
        <v>0.00242</v>
      </c>
      <c r="D992" s="11">
        <v>0.00333</v>
      </c>
      <c r="E992" s="11">
        <v>0.00511</v>
      </c>
    </row>
    <row r="993">
      <c r="A993" s="3">
        <v>41801.0</v>
      </c>
      <c r="B993" s="11">
        <v>0.00179</v>
      </c>
      <c r="C993" s="11">
        <v>0.0025800000000000003</v>
      </c>
      <c r="D993" s="11">
        <v>0.0034799999999999996</v>
      </c>
      <c r="E993" s="11">
        <v>0.00525</v>
      </c>
    </row>
    <row r="994">
      <c r="A994" s="3">
        <v>41800.0</v>
      </c>
      <c r="B994" s="11">
        <v>0.00188</v>
      </c>
      <c r="C994" s="11">
        <v>0.00263</v>
      </c>
      <c r="D994" s="11">
        <v>0.0035299999999999997</v>
      </c>
      <c r="E994" s="11">
        <v>0.00528</v>
      </c>
    </row>
    <row r="995">
      <c r="A995" s="3">
        <v>41799.0</v>
      </c>
      <c r="B995" s="11">
        <v>0.00192</v>
      </c>
      <c r="C995" s="11">
        <v>0.00264</v>
      </c>
      <c r="D995" s="11">
        <v>0.0035399999999999997</v>
      </c>
      <c r="E995" s="11">
        <v>0.00529</v>
      </c>
    </row>
    <row r="996">
      <c r="A996" s="3">
        <v>41796.0</v>
      </c>
      <c r="B996" s="11">
        <v>0.00197</v>
      </c>
      <c r="C996" s="11">
        <v>0.00267</v>
      </c>
      <c r="D996" s="11">
        <v>0.00357</v>
      </c>
      <c r="E996" s="11">
        <v>0.0053300000000000005</v>
      </c>
    </row>
    <row r="997">
      <c r="A997" s="3">
        <v>41795.0</v>
      </c>
      <c r="B997" s="11">
        <v>0.0023</v>
      </c>
      <c r="C997" s="11">
        <v>0.00292</v>
      </c>
      <c r="D997" s="11">
        <v>0.00376</v>
      </c>
      <c r="E997" s="11">
        <v>0.005520000000000001</v>
      </c>
    </row>
    <row r="998">
      <c r="A998" s="3">
        <v>41794.0</v>
      </c>
      <c r="B998" s="11">
        <v>0.00241</v>
      </c>
      <c r="C998" s="11">
        <v>0.00301</v>
      </c>
      <c r="D998" s="11">
        <v>0.00386</v>
      </c>
      <c r="E998" s="11">
        <v>0.005620000000000001</v>
      </c>
    </row>
    <row r="999">
      <c r="A999" s="3">
        <v>41793.0</v>
      </c>
      <c r="B999" s="11">
        <v>0.00248</v>
      </c>
      <c r="C999" s="11">
        <v>0.00307</v>
      </c>
      <c r="D999" s="11">
        <v>0.00391</v>
      </c>
      <c r="E999" s="11">
        <v>0.00567</v>
      </c>
    </row>
    <row r="1000">
      <c r="A1000" s="3">
        <v>41792.0</v>
      </c>
      <c r="B1000" s="11">
        <v>0.0025</v>
      </c>
      <c r="C1000" s="11">
        <v>0.00309</v>
      </c>
      <c r="D1000" s="11">
        <v>0.00394</v>
      </c>
      <c r="E1000" s="11">
        <v>0.00569</v>
      </c>
    </row>
    <row r="1001">
      <c r="A1001" s="3">
        <v>41789.0</v>
      </c>
      <c r="B1001" s="11">
        <v>0.00251</v>
      </c>
      <c r="C1001" s="11">
        <v>0.00311</v>
      </c>
      <c r="D1001" s="11">
        <v>0.0039700000000000004</v>
      </c>
      <c r="E1001" s="11">
        <v>0.005719999999999999</v>
      </c>
    </row>
    <row r="1002">
      <c r="A1002" s="3">
        <v>41788.0</v>
      </c>
      <c r="B1002" s="11">
        <v>0.00251</v>
      </c>
      <c r="C1002" s="11">
        <v>0.0031</v>
      </c>
      <c r="D1002" s="11">
        <v>0.0039700000000000004</v>
      </c>
      <c r="E1002" s="11">
        <v>0.005719999999999999</v>
      </c>
    </row>
    <row r="1003">
      <c r="A1003" s="3">
        <v>41787.0</v>
      </c>
      <c r="B1003" s="11">
        <v>0.00255</v>
      </c>
      <c r="C1003" s="11">
        <v>0.00314</v>
      </c>
      <c r="D1003" s="11">
        <v>0.0039900000000000005</v>
      </c>
      <c r="E1003" s="11">
        <v>0.0057399999999999994</v>
      </c>
    </row>
    <row r="1004">
      <c r="A1004" s="3">
        <v>41786.0</v>
      </c>
      <c r="B1004" s="11">
        <v>0.0025700000000000002</v>
      </c>
      <c r="C1004" s="11">
        <v>0.00316</v>
      </c>
      <c r="D1004" s="11">
        <v>0.004</v>
      </c>
      <c r="E1004" s="11">
        <v>0.00573</v>
      </c>
    </row>
    <row r="1005">
      <c r="A1005" s="3">
        <v>41785.0</v>
      </c>
      <c r="B1005" s="11">
        <v>0.0025800000000000003</v>
      </c>
      <c r="C1005" s="11">
        <v>0.00317</v>
      </c>
      <c r="D1005" s="11">
        <v>0.00404</v>
      </c>
      <c r="E1005" s="11">
        <v>0.0057599999999999995</v>
      </c>
    </row>
    <row r="1006">
      <c r="A1006" s="3">
        <v>41782.0</v>
      </c>
      <c r="B1006" s="11">
        <v>0.00261</v>
      </c>
      <c r="C1006" s="11">
        <v>0.00317</v>
      </c>
      <c r="D1006" s="11">
        <v>0.00406</v>
      </c>
      <c r="E1006" s="11">
        <v>0.0057799999999999995</v>
      </c>
    </row>
    <row r="1007">
      <c r="A1007" s="3">
        <v>41781.0</v>
      </c>
      <c r="B1007" s="11">
        <v>0.00262</v>
      </c>
      <c r="C1007" s="11">
        <v>0.00318</v>
      </c>
      <c r="D1007" s="11">
        <v>0.00407</v>
      </c>
      <c r="E1007" s="11">
        <v>0.005829999999999999</v>
      </c>
    </row>
    <row r="1008">
      <c r="A1008" s="3">
        <v>41780.0</v>
      </c>
      <c r="B1008" s="11">
        <v>0.0025900000000000003</v>
      </c>
      <c r="C1008" s="11">
        <v>0.00319</v>
      </c>
      <c r="D1008" s="11">
        <v>0.00407</v>
      </c>
      <c r="E1008" s="11">
        <v>0.005829999999999999</v>
      </c>
    </row>
    <row r="1009">
      <c r="A1009" s="3">
        <v>41779.0</v>
      </c>
      <c r="B1009" s="11">
        <v>0.00256</v>
      </c>
      <c r="C1009" s="11">
        <v>0.00318</v>
      </c>
      <c r="D1009" s="11">
        <v>0.00407</v>
      </c>
      <c r="E1009" s="11">
        <v>0.005849999999999999</v>
      </c>
    </row>
    <row r="1010">
      <c r="A1010" s="3">
        <v>41778.0</v>
      </c>
      <c r="B1010" s="11">
        <v>0.0025700000000000002</v>
      </c>
      <c r="C1010" s="11">
        <v>0.00318</v>
      </c>
      <c r="D1010" s="11">
        <v>0.00409</v>
      </c>
      <c r="E1010" s="11">
        <v>0.00586</v>
      </c>
    </row>
    <row r="1011">
      <c r="A1011" s="3">
        <v>41775.0</v>
      </c>
      <c r="B1011" s="11">
        <v>0.0025700000000000002</v>
      </c>
      <c r="C1011" s="11">
        <v>0.00318</v>
      </c>
      <c r="D1011" s="11">
        <v>0.0040999999999999995</v>
      </c>
      <c r="E1011" s="11">
        <v>0.00586</v>
      </c>
    </row>
    <row r="1012">
      <c r="A1012" s="3">
        <v>41774.0</v>
      </c>
      <c r="B1012" s="11">
        <v>0.0025900000000000003</v>
      </c>
      <c r="C1012" s="11">
        <v>0.00321</v>
      </c>
      <c r="D1012" s="11">
        <v>0.00413</v>
      </c>
      <c r="E1012" s="11">
        <v>0.005869999999999999</v>
      </c>
    </row>
    <row r="1013">
      <c r="A1013" s="3">
        <v>41773.0</v>
      </c>
      <c r="B1013" s="11">
        <v>0.00263</v>
      </c>
      <c r="C1013" s="11">
        <v>0.00328</v>
      </c>
      <c r="D1013" s="11">
        <v>0.00421</v>
      </c>
      <c r="E1013" s="11">
        <v>0.00596</v>
      </c>
    </row>
    <row r="1014">
      <c r="A1014" s="3">
        <v>41772.0</v>
      </c>
      <c r="B1014" s="11">
        <v>0.00268</v>
      </c>
      <c r="C1014" s="11">
        <v>0.00335</v>
      </c>
      <c r="D1014" s="11">
        <v>0.0042899999999999995</v>
      </c>
      <c r="E1014" s="11">
        <v>0.00605</v>
      </c>
    </row>
    <row r="1015">
      <c r="A1015" s="3">
        <v>41771.0</v>
      </c>
      <c r="B1015" s="11">
        <v>0.00267</v>
      </c>
      <c r="C1015" s="11">
        <v>0.00335</v>
      </c>
      <c r="D1015" s="11">
        <v>0.0043</v>
      </c>
      <c r="E1015" s="11">
        <v>0.00607</v>
      </c>
    </row>
    <row r="1016">
      <c r="A1016" s="3">
        <v>41768.0</v>
      </c>
      <c r="B1016" s="11">
        <v>0.00266</v>
      </c>
      <c r="C1016" s="11">
        <v>0.00336</v>
      </c>
      <c r="D1016" s="11">
        <v>0.00431</v>
      </c>
      <c r="E1016" s="11">
        <v>0.006059999999999999</v>
      </c>
    </row>
    <row r="1017">
      <c r="A1017" s="3">
        <v>41767.0</v>
      </c>
      <c r="B1017" s="11">
        <v>0.00262</v>
      </c>
      <c r="C1017" s="11">
        <v>0.00338</v>
      </c>
      <c r="D1017" s="11">
        <v>0.00438</v>
      </c>
      <c r="E1017" s="11">
        <v>0.00617</v>
      </c>
    </row>
    <row r="1018">
      <c r="A1018" s="3">
        <v>41766.0</v>
      </c>
      <c r="B1018" s="11">
        <v>0.00262</v>
      </c>
      <c r="C1018" s="11">
        <v>0.00338</v>
      </c>
      <c r="D1018" s="11">
        <v>0.00437</v>
      </c>
      <c r="E1018" s="11">
        <v>0.00614</v>
      </c>
    </row>
    <row r="1019">
      <c r="A1019" s="3">
        <v>41765.0</v>
      </c>
      <c r="B1019" s="11">
        <v>0.0025700000000000002</v>
      </c>
      <c r="C1019" s="11">
        <v>0.00337</v>
      </c>
      <c r="D1019" s="11">
        <v>0.00438</v>
      </c>
      <c r="E1019" s="11">
        <v>0.00613</v>
      </c>
    </row>
    <row r="1020">
      <c r="A1020" s="3">
        <v>41764.0</v>
      </c>
      <c r="B1020" s="11">
        <v>0.0025800000000000003</v>
      </c>
      <c r="C1020" s="11">
        <v>0.00336</v>
      </c>
      <c r="D1020" s="11">
        <v>0.00437</v>
      </c>
      <c r="E1020" s="11">
        <v>0.00613</v>
      </c>
    </row>
    <row r="1021">
      <c r="A1021" s="3">
        <v>41761.0</v>
      </c>
      <c r="B1021" s="11">
        <v>0.0025800000000000003</v>
      </c>
      <c r="C1021" s="11">
        <v>0.00336</v>
      </c>
      <c r="D1021" s="11">
        <v>0.00437</v>
      </c>
      <c r="E1021" s="11">
        <v>0.00612</v>
      </c>
    </row>
    <row r="1022">
      <c r="A1022" s="3">
        <v>41759.0</v>
      </c>
      <c r="B1022" s="11">
        <v>0.00261</v>
      </c>
      <c r="C1022" s="11">
        <v>0.0033900000000000002</v>
      </c>
      <c r="D1022" s="11">
        <v>0.00438</v>
      </c>
      <c r="E1022" s="11">
        <v>0.00614</v>
      </c>
    </row>
    <row r="1023">
      <c r="A1023" s="3">
        <v>41758.0</v>
      </c>
      <c r="B1023" s="11">
        <v>0.00269</v>
      </c>
      <c r="C1023" s="11">
        <v>0.0034699999999999996</v>
      </c>
      <c r="D1023" s="11">
        <v>0.00444</v>
      </c>
      <c r="E1023" s="11">
        <v>0.00621</v>
      </c>
    </row>
    <row r="1024">
      <c r="A1024" s="3">
        <v>41757.0</v>
      </c>
      <c r="B1024" s="11">
        <v>0.00269</v>
      </c>
      <c r="C1024" s="11">
        <v>0.00345</v>
      </c>
      <c r="D1024" s="11">
        <v>0.00444</v>
      </c>
      <c r="E1024" s="11">
        <v>0.0062</v>
      </c>
    </row>
    <row r="1025">
      <c r="A1025" s="3">
        <v>41754.0</v>
      </c>
      <c r="B1025" s="11">
        <v>0.00269</v>
      </c>
      <c r="C1025" s="11">
        <v>0.00344</v>
      </c>
      <c r="D1025" s="11">
        <v>0.00443</v>
      </c>
      <c r="E1025" s="11">
        <v>0.00619</v>
      </c>
    </row>
    <row r="1026">
      <c r="A1026" s="3">
        <v>41753.0</v>
      </c>
      <c r="B1026" s="11">
        <v>0.00261</v>
      </c>
      <c r="C1026" s="11">
        <v>0.00337</v>
      </c>
      <c r="D1026" s="11">
        <v>0.00437</v>
      </c>
      <c r="E1026" s="11">
        <v>0.00611</v>
      </c>
    </row>
    <row r="1027">
      <c r="A1027" s="3">
        <v>41752.0</v>
      </c>
      <c r="B1027" s="11">
        <v>0.00253</v>
      </c>
      <c r="C1027" s="11">
        <v>0.00332</v>
      </c>
      <c r="D1027" s="11">
        <v>0.00432</v>
      </c>
      <c r="E1027" s="11">
        <v>0.006059999999999999</v>
      </c>
    </row>
    <row r="1028">
      <c r="A1028" s="3">
        <v>41751.0</v>
      </c>
      <c r="B1028" s="11">
        <v>0.00248</v>
      </c>
      <c r="C1028" s="11">
        <v>0.00329</v>
      </c>
      <c r="D1028" s="11">
        <v>0.0042899999999999995</v>
      </c>
      <c r="E1028" s="11">
        <v>0.00603</v>
      </c>
    </row>
    <row r="1029">
      <c r="A1029" s="3">
        <v>41746.0</v>
      </c>
      <c r="B1029" s="11">
        <v>0.00246</v>
      </c>
      <c r="C1029" s="11">
        <v>0.00328</v>
      </c>
      <c r="D1029" s="11">
        <v>0.00426</v>
      </c>
      <c r="E1029" s="11">
        <v>0.00599</v>
      </c>
    </row>
    <row r="1030">
      <c r="A1030" s="3">
        <v>41745.0</v>
      </c>
      <c r="B1030" s="11">
        <v>0.00248</v>
      </c>
      <c r="C1030" s="11">
        <v>0.0032700000000000003</v>
      </c>
      <c r="D1030" s="11">
        <v>0.0042699999999999995</v>
      </c>
      <c r="E1030" s="11">
        <v>0.00598</v>
      </c>
    </row>
    <row r="1031">
      <c r="A1031" s="3">
        <v>41744.0</v>
      </c>
      <c r="B1031" s="11">
        <v>0.00251</v>
      </c>
      <c r="C1031" s="11">
        <v>0.0032700000000000003</v>
      </c>
      <c r="D1031" s="11">
        <v>0.00426</v>
      </c>
      <c r="E1031" s="11">
        <v>0.00598</v>
      </c>
    </row>
    <row r="1032">
      <c r="A1032" s="3">
        <v>41743.0</v>
      </c>
      <c r="B1032" s="11">
        <v>0.00252</v>
      </c>
      <c r="C1032" s="11">
        <v>0.00328</v>
      </c>
      <c r="D1032" s="11">
        <v>0.0042699999999999995</v>
      </c>
      <c r="E1032" s="11">
        <v>0.00599</v>
      </c>
    </row>
    <row r="1033">
      <c r="A1033" s="3">
        <v>41740.0</v>
      </c>
      <c r="B1033" s="11">
        <v>0.00253</v>
      </c>
      <c r="C1033" s="11">
        <v>0.00328</v>
      </c>
      <c r="D1033" s="11">
        <v>0.00428</v>
      </c>
      <c r="E1033" s="11">
        <v>0.00601</v>
      </c>
    </row>
    <row r="1034">
      <c r="A1034" s="3">
        <v>41739.0</v>
      </c>
      <c r="B1034" s="11">
        <v>0.00251</v>
      </c>
      <c r="C1034" s="11">
        <v>0.0032700000000000003</v>
      </c>
      <c r="D1034" s="11">
        <v>0.00426</v>
      </c>
      <c r="E1034" s="11">
        <v>0.00599</v>
      </c>
    </row>
    <row r="1035">
      <c r="A1035" s="3">
        <v>41738.0</v>
      </c>
      <c r="B1035" s="11">
        <v>0.00251</v>
      </c>
      <c r="C1035" s="11">
        <v>0.0032700000000000003</v>
      </c>
      <c r="D1035" s="11">
        <v>0.0042699999999999995</v>
      </c>
      <c r="E1035" s="11">
        <v>0.00599</v>
      </c>
    </row>
    <row r="1036">
      <c r="A1036" s="3">
        <v>41737.0</v>
      </c>
      <c r="B1036" s="11">
        <v>0.00251</v>
      </c>
      <c r="C1036" s="11">
        <v>0.0032700000000000003</v>
      </c>
      <c r="D1036" s="11">
        <v>0.00426</v>
      </c>
      <c r="E1036" s="11">
        <v>0.00599</v>
      </c>
    </row>
    <row r="1037">
      <c r="A1037" s="3">
        <v>41736.0</v>
      </c>
      <c r="B1037" s="11">
        <v>0.00252</v>
      </c>
      <c r="C1037" s="11">
        <v>0.0032700000000000003</v>
      </c>
      <c r="D1037" s="11">
        <v>0.0042699999999999995</v>
      </c>
      <c r="E1037" s="11">
        <v>0.006</v>
      </c>
    </row>
    <row r="1038">
      <c r="A1038" s="3">
        <v>41733.0</v>
      </c>
      <c r="B1038" s="11">
        <v>0.00249</v>
      </c>
      <c r="C1038" s="11">
        <v>0.0032500000000000003</v>
      </c>
      <c r="D1038" s="11">
        <v>0.0042699999999999995</v>
      </c>
      <c r="E1038" s="11">
        <v>0.00603</v>
      </c>
    </row>
    <row r="1039">
      <c r="A1039" s="3">
        <v>41732.0</v>
      </c>
      <c r="B1039" s="11">
        <v>0.0024</v>
      </c>
      <c r="C1039" s="11">
        <v>0.00319</v>
      </c>
      <c r="D1039" s="11">
        <v>0.00423</v>
      </c>
      <c r="E1039" s="11">
        <v>0.006</v>
      </c>
    </row>
    <row r="1040">
      <c r="A1040" s="3">
        <v>41731.0</v>
      </c>
      <c r="B1040" s="11">
        <v>0.00242</v>
      </c>
      <c r="C1040" s="11">
        <v>0.00319</v>
      </c>
      <c r="D1040" s="11">
        <v>0.00423</v>
      </c>
      <c r="E1040" s="11">
        <v>0.00599</v>
      </c>
    </row>
    <row r="1041">
      <c r="A1041" s="3">
        <v>41730.0</v>
      </c>
      <c r="B1041" s="11">
        <v>0.0023499999999999997</v>
      </c>
      <c r="C1041" s="11">
        <v>0.00313</v>
      </c>
      <c r="D1041" s="11">
        <v>0.00418</v>
      </c>
      <c r="E1041" s="11">
        <v>0.0059099999999999995</v>
      </c>
    </row>
    <row r="1042">
      <c r="A1042" s="6"/>
      <c r="B1042" s="7"/>
      <c r="C1042" s="4"/>
      <c r="D1042" s="4"/>
      <c r="E1042" s="4"/>
    </row>
    <row r="1043">
      <c r="A1043" s="6"/>
      <c r="B1043" s="7"/>
      <c r="C1043" s="4"/>
      <c r="D1043" s="4"/>
      <c r="E1043" s="4"/>
    </row>
    <row r="1044">
      <c r="A1044" s="6"/>
      <c r="B1044" s="7"/>
      <c r="C1044" s="4"/>
      <c r="D1044" s="4"/>
      <c r="E1044" s="4"/>
    </row>
    <row r="1045">
      <c r="A1045" s="6"/>
      <c r="B1045" s="7"/>
      <c r="C1045" s="4"/>
      <c r="D1045" s="4"/>
      <c r="E1045" s="4"/>
    </row>
    <row r="1046">
      <c r="A1046" s="6"/>
      <c r="B1046" s="7"/>
      <c r="C1046" s="4"/>
      <c r="D1046" s="4"/>
      <c r="E1046" s="4"/>
    </row>
    <row r="1047">
      <c r="A1047" s="6"/>
      <c r="B1047" s="7"/>
      <c r="C1047" s="4"/>
      <c r="D1047" s="4"/>
      <c r="E1047" s="4"/>
    </row>
    <row r="1048">
      <c r="A1048" s="6"/>
      <c r="B1048" s="7"/>
      <c r="C1048" s="4"/>
      <c r="D1048" s="4"/>
      <c r="E1048" s="4"/>
    </row>
    <row r="1049">
      <c r="A1049" s="6"/>
      <c r="B1049" s="7"/>
      <c r="C1049" s="4"/>
      <c r="D1049" s="4"/>
      <c r="E1049" s="4"/>
    </row>
    <row r="1050">
      <c r="A1050" s="6"/>
      <c r="B1050" s="7"/>
      <c r="C1050" s="4"/>
      <c r="D1050" s="4"/>
      <c r="E1050" s="4"/>
    </row>
    <row r="1051">
      <c r="A1051" s="6"/>
      <c r="B1051" s="7"/>
      <c r="C1051" s="4"/>
      <c r="D1051" s="4"/>
      <c r="E1051" s="4"/>
    </row>
    <row r="1052">
      <c r="A1052" s="6"/>
      <c r="B1052" s="7"/>
      <c r="C1052" s="4"/>
      <c r="D1052" s="4"/>
      <c r="E1052" s="4"/>
    </row>
    <row r="1053">
      <c r="A1053" s="6"/>
      <c r="B1053" s="7"/>
      <c r="C1053" s="4"/>
      <c r="D1053" s="4"/>
      <c r="E1053" s="4"/>
    </row>
    <row r="1054">
      <c r="A1054" s="6"/>
      <c r="B1054" s="7"/>
      <c r="C1054" s="4"/>
      <c r="D1054" s="4"/>
      <c r="E1054" s="4"/>
    </row>
    <row r="1055">
      <c r="A1055" s="6"/>
      <c r="B1055" s="7"/>
      <c r="C1055" s="4"/>
      <c r="D1055" s="4"/>
      <c r="E1055" s="4"/>
    </row>
    <row r="1056">
      <c r="A1056" s="6"/>
      <c r="B1056" s="7"/>
      <c r="C1056" s="4"/>
      <c r="D1056" s="4"/>
      <c r="E1056" s="4"/>
    </row>
    <row r="1057">
      <c r="A1057" s="6"/>
      <c r="B1057" s="7"/>
      <c r="C1057" s="4"/>
      <c r="D1057" s="4"/>
      <c r="E1057" s="4"/>
    </row>
    <row r="1058">
      <c r="A1058" s="6"/>
      <c r="B1058" s="7"/>
      <c r="C1058" s="4"/>
      <c r="D1058" s="4"/>
      <c r="E1058" s="4"/>
    </row>
    <row r="1059">
      <c r="A1059" s="6"/>
      <c r="B1059" s="7"/>
      <c r="C1059" s="4"/>
      <c r="D1059" s="4"/>
      <c r="E1059" s="4"/>
    </row>
    <row r="1060">
      <c r="A1060" s="6"/>
      <c r="B1060" s="7"/>
      <c r="C1060" s="4"/>
      <c r="D1060" s="4"/>
      <c r="E1060" s="4"/>
    </row>
    <row r="1061">
      <c r="A1061" s="6"/>
      <c r="B1061" s="7"/>
      <c r="C1061" s="4"/>
      <c r="D1061" s="4"/>
      <c r="E1061" s="4"/>
    </row>
    <row r="1062">
      <c r="A1062" s="6"/>
      <c r="B1062" s="7"/>
      <c r="C1062" s="4"/>
      <c r="D1062" s="4"/>
      <c r="E1062" s="4"/>
    </row>
    <row r="1063">
      <c r="A1063" s="6"/>
      <c r="B1063" s="7"/>
      <c r="C1063" s="4"/>
      <c r="D1063" s="4"/>
      <c r="E1063" s="4"/>
    </row>
    <row r="1064">
      <c r="A1064" s="6"/>
      <c r="B1064" s="7"/>
      <c r="C1064" s="4"/>
      <c r="D1064" s="4"/>
      <c r="E1064" s="4"/>
    </row>
    <row r="1065">
      <c r="A1065" s="6"/>
      <c r="B1065" s="7"/>
      <c r="C1065" s="4"/>
      <c r="D1065" s="4"/>
      <c r="E1065" s="4"/>
    </row>
    <row r="1066">
      <c r="A1066" s="6"/>
      <c r="B1066" s="7"/>
      <c r="C1066" s="4"/>
      <c r="D1066" s="4"/>
      <c r="E1066" s="4"/>
    </row>
    <row r="1067">
      <c r="A1067" s="6"/>
      <c r="B1067" s="7"/>
      <c r="C1067" s="4"/>
      <c r="D1067" s="4"/>
      <c r="E1067" s="4"/>
    </row>
    <row r="1068">
      <c r="A1068" s="6"/>
      <c r="B1068" s="7"/>
      <c r="C1068" s="4"/>
      <c r="D1068" s="4"/>
      <c r="E1068" s="4"/>
    </row>
    <row r="1069">
      <c r="A1069" s="6"/>
      <c r="B1069" s="7"/>
      <c r="C1069" s="4"/>
      <c r="D1069" s="4"/>
      <c r="E1069" s="4"/>
    </row>
    <row r="1070">
      <c r="A1070" s="6"/>
      <c r="B1070" s="7"/>
      <c r="C1070" s="4"/>
      <c r="D1070" s="4"/>
      <c r="E1070" s="4"/>
    </row>
    <row r="1071">
      <c r="A1071" s="6"/>
      <c r="B1071" s="7"/>
      <c r="C1071" s="4"/>
      <c r="D1071" s="4"/>
      <c r="E1071" s="4"/>
    </row>
    <row r="1072">
      <c r="A1072" s="6"/>
      <c r="B1072" s="7"/>
      <c r="C1072" s="4"/>
      <c r="D1072" s="4"/>
      <c r="E1072" s="4"/>
    </row>
    <row r="1073">
      <c r="A1073" s="6"/>
      <c r="B1073" s="7"/>
      <c r="C1073" s="4"/>
      <c r="D1073" s="4"/>
      <c r="E1073" s="4"/>
    </row>
    <row r="1074">
      <c r="A1074" s="6"/>
      <c r="B1074" s="7"/>
      <c r="C1074" s="4"/>
      <c r="D1074" s="4"/>
      <c r="E1074" s="4"/>
    </row>
    <row r="1075">
      <c r="A1075" s="6"/>
      <c r="B1075" s="7"/>
      <c r="C1075" s="4"/>
      <c r="D1075" s="4"/>
      <c r="E1075" s="4"/>
    </row>
    <row r="1076">
      <c r="A1076" s="6"/>
      <c r="B1076" s="7"/>
      <c r="C1076" s="4"/>
      <c r="D1076" s="4"/>
      <c r="E1076" s="4"/>
    </row>
    <row r="1077">
      <c r="A1077" s="6"/>
      <c r="B1077" s="7"/>
      <c r="C1077" s="4"/>
      <c r="D1077" s="4"/>
      <c r="E1077" s="4"/>
    </row>
    <row r="1078">
      <c r="A1078" s="6"/>
      <c r="B1078" s="7"/>
      <c r="C1078" s="4"/>
      <c r="D1078" s="4"/>
      <c r="E1078" s="4"/>
    </row>
    <row r="1079">
      <c r="A1079" s="6"/>
      <c r="B1079" s="7"/>
      <c r="C1079" s="4"/>
      <c r="D1079" s="4"/>
      <c r="E1079" s="4"/>
    </row>
    <row r="1080">
      <c r="A1080" s="6"/>
      <c r="B1080" s="7"/>
      <c r="C1080" s="4"/>
      <c r="D1080" s="4"/>
      <c r="E1080" s="4"/>
    </row>
    <row r="1081">
      <c r="A1081" s="6"/>
      <c r="B1081" s="7"/>
      <c r="C1081" s="4"/>
      <c r="D1081" s="4"/>
      <c r="E1081" s="4"/>
    </row>
    <row r="1082">
      <c r="A1082" s="6"/>
      <c r="B1082" s="7"/>
      <c r="C1082" s="4"/>
      <c r="D1082" s="4"/>
      <c r="E1082" s="4"/>
    </row>
    <row r="1083">
      <c r="A1083" s="6"/>
      <c r="B1083" s="7"/>
      <c r="C1083" s="4"/>
      <c r="D1083" s="4"/>
      <c r="E1083" s="4"/>
    </row>
    <row r="1084">
      <c r="A1084" s="6"/>
      <c r="B1084" s="7"/>
      <c r="C1084" s="4"/>
      <c r="D1084" s="4"/>
      <c r="E1084" s="4"/>
    </row>
    <row r="1085">
      <c r="A1085" s="6"/>
      <c r="B1085" s="7"/>
      <c r="C1085" s="4"/>
      <c r="D1085" s="4"/>
      <c r="E1085" s="4"/>
    </row>
    <row r="1086">
      <c r="A1086" s="6"/>
      <c r="B1086" s="7"/>
      <c r="C1086" s="4"/>
      <c r="D1086" s="4"/>
      <c r="E1086" s="4"/>
    </row>
    <row r="1087">
      <c r="A1087" s="6"/>
      <c r="B1087" s="7"/>
      <c r="C1087" s="4"/>
      <c r="D1087" s="4"/>
      <c r="E1087" s="4"/>
    </row>
    <row r="1088">
      <c r="A1088" s="6"/>
      <c r="B1088" s="7"/>
      <c r="C1088" s="4"/>
      <c r="D1088" s="4"/>
      <c r="E1088" s="4"/>
    </row>
    <row r="1089">
      <c r="A1089" s="6"/>
      <c r="B1089" s="7"/>
      <c r="C1089" s="4"/>
      <c r="D1089" s="4"/>
      <c r="E1089" s="4"/>
    </row>
    <row r="1090">
      <c r="A1090" s="6"/>
      <c r="B1090" s="7"/>
      <c r="C1090" s="4"/>
      <c r="D1090" s="4"/>
      <c r="E1090" s="4"/>
    </row>
    <row r="1091">
      <c r="A1091" s="6"/>
      <c r="B1091" s="7"/>
      <c r="C1091" s="4"/>
      <c r="D1091" s="4"/>
      <c r="E1091" s="4"/>
    </row>
    <row r="1092">
      <c r="A1092" s="6"/>
      <c r="B1092" s="7"/>
      <c r="C1092" s="4"/>
      <c r="D1092" s="4"/>
      <c r="E1092" s="4"/>
    </row>
    <row r="1093">
      <c r="A1093" s="6"/>
      <c r="B1093" s="7"/>
      <c r="C1093" s="4"/>
      <c r="D1093" s="4"/>
      <c r="E1093" s="4"/>
    </row>
    <row r="1094">
      <c r="A1094" s="6"/>
      <c r="B1094" s="7"/>
      <c r="C1094" s="4"/>
      <c r="D1094" s="4"/>
      <c r="E1094" s="4"/>
    </row>
    <row r="1095">
      <c r="A1095" s="6"/>
      <c r="B1095" s="7"/>
      <c r="C1095" s="4"/>
      <c r="D1095" s="4"/>
      <c r="E1095" s="4"/>
    </row>
    <row r="1096">
      <c r="A1096" s="6"/>
      <c r="B1096" s="7"/>
      <c r="C1096" s="4"/>
      <c r="D1096" s="4"/>
      <c r="E1096" s="4"/>
    </row>
    <row r="1097">
      <c r="A1097" s="6"/>
      <c r="B1097" s="7"/>
      <c r="C1097" s="4"/>
      <c r="D1097" s="4"/>
      <c r="E1097" s="4"/>
    </row>
    <row r="1098">
      <c r="A1098" s="6"/>
      <c r="B1098" s="7"/>
      <c r="C1098" s="4"/>
      <c r="D1098" s="4"/>
      <c r="E1098" s="4"/>
    </row>
    <row r="1099">
      <c r="A1099" s="6"/>
      <c r="B1099" s="7"/>
      <c r="C1099" s="4"/>
      <c r="D1099" s="4"/>
      <c r="E1099" s="4"/>
    </row>
    <row r="1100">
      <c r="A1100" s="6"/>
      <c r="B1100" s="7"/>
      <c r="C1100" s="4"/>
      <c r="D1100" s="4"/>
      <c r="E1100" s="4"/>
    </row>
    <row r="1101">
      <c r="A1101" s="6"/>
      <c r="B1101" s="7"/>
      <c r="C1101" s="4"/>
      <c r="D1101" s="4"/>
      <c r="E1101" s="4"/>
    </row>
    <row r="1102">
      <c r="A1102" s="6"/>
      <c r="B1102" s="7"/>
      <c r="C1102" s="4"/>
      <c r="D1102" s="4"/>
      <c r="E1102" s="4"/>
    </row>
    <row r="1103">
      <c r="A1103" s="6"/>
      <c r="B1103" s="7"/>
      <c r="C1103" s="4"/>
      <c r="D1103" s="4"/>
      <c r="E1103" s="4"/>
    </row>
    <row r="1104">
      <c r="A1104" s="6"/>
      <c r="B1104" s="7"/>
      <c r="C1104" s="4"/>
      <c r="D1104" s="4"/>
      <c r="E1104" s="4"/>
    </row>
    <row r="1105">
      <c r="A1105" s="6"/>
      <c r="B1105" s="7"/>
      <c r="C1105" s="4"/>
      <c r="D1105" s="4"/>
      <c r="E1105" s="4"/>
    </row>
    <row r="1106">
      <c r="A1106" s="6"/>
      <c r="B1106" s="7"/>
      <c r="C1106" s="4"/>
      <c r="D1106" s="4"/>
      <c r="E1106" s="4"/>
    </row>
    <row r="1107">
      <c r="A1107" s="6"/>
      <c r="B1107" s="7"/>
      <c r="C1107" s="4"/>
      <c r="D1107" s="4"/>
      <c r="E1107" s="4"/>
    </row>
    <row r="1108">
      <c r="A1108" s="6"/>
      <c r="B1108" s="7"/>
      <c r="C1108" s="4"/>
      <c r="D1108" s="4"/>
      <c r="E1108" s="4"/>
    </row>
    <row r="1109">
      <c r="A1109" s="6"/>
      <c r="B1109" s="7"/>
      <c r="C1109" s="4"/>
      <c r="D1109" s="4"/>
      <c r="E1109" s="4"/>
    </row>
    <row r="1110">
      <c r="A1110" s="6"/>
      <c r="B1110" s="7"/>
      <c r="C1110" s="4"/>
      <c r="D1110" s="4"/>
      <c r="E1110" s="4"/>
    </row>
    <row r="1111">
      <c r="A1111" s="6"/>
      <c r="B1111" s="7"/>
      <c r="C1111" s="4"/>
      <c r="D1111" s="4"/>
      <c r="E1111" s="4"/>
    </row>
    <row r="1112">
      <c r="A1112" s="6"/>
      <c r="B1112" s="7"/>
      <c r="C1112" s="4"/>
      <c r="D1112" s="4"/>
      <c r="E1112" s="4"/>
    </row>
    <row r="1113">
      <c r="A1113" s="6"/>
      <c r="B1113" s="7"/>
      <c r="C1113" s="4"/>
      <c r="D1113" s="4"/>
      <c r="E1113" s="4"/>
    </row>
    <row r="1114">
      <c r="A1114" s="6"/>
      <c r="B1114" s="7"/>
      <c r="C1114" s="4"/>
      <c r="D1114" s="4"/>
      <c r="E1114" s="4"/>
    </row>
    <row r="1115">
      <c r="A1115" s="6"/>
      <c r="B1115" s="7"/>
      <c r="C1115" s="4"/>
      <c r="D1115" s="4"/>
      <c r="E1115" s="4"/>
    </row>
    <row r="1116">
      <c r="A1116" s="6"/>
      <c r="B1116" s="7"/>
      <c r="C1116" s="4"/>
      <c r="D1116" s="4"/>
      <c r="E1116" s="4"/>
    </row>
    <row r="1117">
      <c r="A1117" s="6"/>
      <c r="B1117" s="7"/>
      <c r="C1117" s="4"/>
      <c r="D1117" s="4"/>
      <c r="E1117" s="4"/>
    </row>
    <row r="1118">
      <c r="A1118" s="6"/>
      <c r="B1118" s="7"/>
      <c r="C1118" s="4"/>
      <c r="D1118" s="4"/>
      <c r="E1118" s="4"/>
    </row>
    <row r="1119">
      <c r="A1119" s="6"/>
      <c r="B1119" s="7"/>
      <c r="C1119" s="4"/>
      <c r="D1119" s="4"/>
      <c r="E1119" s="4"/>
    </row>
    <row r="1120">
      <c r="A1120" s="6"/>
      <c r="B1120" s="7"/>
      <c r="C1120" s="4"/>
      <c r="D1120" s="4"/>
      <c r="E1120" s="4"/>
    </row>
    <row r="1121">
      <c r="A1121" s="6"/>
      <c r="B1121" s="7"/>
      <c r="C1121" s="4"/>
      <c r="D1121" s="4"/>
      <c r="E1121" s="4"/>
    </row>
    <row r="1122">
      <c r="A1122" s="6"/>
      <c r="B1122" s="7"/>
      <c r="C1122" s="4"/>
      <c r="D1122" s="4"/>
      <c r="E1122" s="4"/>
    </row>
    <row r="1123">
      <c r="A1123" s="6"/>
      <c r="B1123" s="7"/>
      <c r="C1123" s="4"/>
      <c r="D1123" s="4"/>
      <c r="E1123" s="4"/>
    </row>
    <row r="1124">
      <c r="A1124" s="6"/>
      <c r="B1124" s="7"/>
      <c r="C1124" s="4"/>
      <c r="D1124" s="4"/>
      <c r="E1124" s="4"/>
    </row>
    <row r="1125">
      <c r="A1125" s="6"/>
      <c r="B1125" s="7"/>
      <c r="C1125" s="4"/>
      <c r="D1125" s="4"/>
      <c r="E1125" s="4"/>
    </row>
    <row r="1126">
      <c r="A1126" s="6"/>
      <c r="B1126" s="7"/>
      <c r="C1126" s="4"/>
      <c r="D1126" s="4"/>
      <c r="E1126" s="4"/>
    </row>
    <row r="1127">
      <c r="A1127" s="6"/>
      <c r="B1127" s="7"/>
      <c r="C1127" s="4"/>
      <c r="D1127" s="4"/>
      <c r="E1127" s="4"/>
    </row>
    <row r="1128">
      <c r="A1128" s="6"/>
      <c r="B1128" s="7"/>
      <c r="C1128" s="4"/>
      <c r="D1128" s="4"/>
      <c r="E1128" s="4"/>
    </row>
    <row r="1129">
      <c r="A1129" s="6"/>
      <c r="B1129" s="7"/>
      <c r="C1129" s="4"/>
      <c r="D1129" s="4"/>
      <c r="E1129" s="4"/>
    </row>
    <row r="1130">
      <c r="A1130" s="6"/>
      <c r="B1130" s="7"/>
      <c r="C1130" s="4"/>
      <c r="D1130" s="4"/>
      <c r="E1130" s="4"/>
    </row>
    <row r="1131">
      <c r="A1131" s="6"/>
      <c r="B1131" s="7"/>
      <c r="C1131" s="4"/>
      <c r="D1131" s="4"/>
      <c r="E1131" s="4"/>
    </row>
    <row r="1132">
      <c r="A1132" s="6"/>
      <c r="B1132" s="7"/>
      <c r="C1132" s="4"/>
      <c r="D1132" s="4"/>
      <c r="E1132" s="4"/>
    </row>
    <row r="1133">
      <c r="A1133" s="6"/>
      <c r="B1133" s="7"/>
      <c r="C1133" s="4"/>
      <c r="D1133" s="4"/>
      <c r="E1133" s="4"/>
    </row>
    <row r="1134">
      <c r="A1134" s="6"/>
      <c r="B1134" s="7"/>
      <c r="C1134" s="4"/>
      <c r="D1134" s="4"/>
      <c r="E1134" s="4"/>
    </row>
    <row r="1135">
      <c r="A1135" s="6"/>
      <c r="B1135" s="7"/>
      <c r="C1135" s="4"/>
      <c r="D1135" s="4"/>
      <c r="E1135" s="4"/>
    </row>
    <row r="1136">
      <c r="A1136" s="6"/>
      <c r="B1136" s="7"/>
      <c r="C1136" s="4"/>
      <c r="D1136" s="4"/>
      <c r="E1136" s="4"/>
    </row>
    <row r="1137">
      <c r="A1137" s="6"/>
      <c r="B1137" s="7"/>
      <c r="C1137" s="4"/>
      <c r="D1137" s="4"/>
      <c r="E1137" s="4"/>
    </row>
    <row r="1138">
      <c r="A1138" s="6"/>
      <c r="B1138" s="7"/>
      <c r="C1138" s="4"/>
      <c r="D1138" s="4"/>
      <c r="E1138" s="4"/>
    </row>
    <row r="1139">
      <c r="A1139" s="6"/>
      <c r="B1139" s="7"/>
      <c r="C1139" s="4"/>
      <c r="D1139" s="4"/>
      <c r="E1139" s="4"/>
    </row>
    <row r="1140">
      <c r="A1140" s="6"/>
      <c r="B1140" s="7"/>
      <c r="C1140" s="4"/>
      <c r="D1140" s="4"/>
      <c r="E1140" s="4"/>
    </row>
    <row r="1141">
      <c r="A1141" s="6"/>
      <c r="B1141" s="7"/>
      <c r="C1141" s="4"/>
      <c r="D1141" s="4"/>
      <c r="E1141" s="4"/>
    </row>
    <row r="1142">
      <c r="A1142" s="6"/>
      <c r="B1142" s="7"/>
      <c r="C1142" s="4"/>
      <c r="D1142" s="4"/>
      <c r="E1142" s="4"/>
    </row>
    <row r="1143">
      <c r="A1143" s="6"/>
      <c r="B1143" s="7"/>
      <c r="C1143" s="4"/>
      <c r="D1143" s="4"/>
      <c r="E1143" s="4"/>
    </row>
    <row r="1144">
      <c r="A1144" s="6"/>
      <c r="B1144" s="7"/>
      <c r="C1144" s="4"/>
      <c r="D1144" s="4"/>
      <c r="E1144" s="4"/>
    </row>
    <row r="1145">
      <c r="A1145" s="6"/>
      <c r="B1145" s="7"/>
      <c r="C1145" s="4"/>
      <c r="D1145" s="4"/>
      <c r="E1145" s="4"/>
    </row>
    <row r="1146">
      <c r="A1146" s="6"/>
      <c r="B1146" s="7"/>
      <c r="C1146" s="4"/>
      <c r="D1146" s="4"/>
      <c r="E1146" s="4"/>
    </row>
    <row r="1147">
      <c r="A1147" s="6"/>
      <c r="B1147" s="7"/>
      <c r="C1147" s="4"/>
      <c r="D1147" s="4"/>
      <c r="E1147" s="4"/>
    </row>
    <row r="1148">
      <c r="A1148" s="6"/>
      <c r="B1148" s="7"/>
      <c r="C1148" s="4"/>
      <c r="D1148" s="4"/>
      <c r="E1148" s="4"/>
    </row>
    <row r="1149">
      <c r="A1149" s="6"/>
      <c r="B1149" s="7"/>
      <c r="C1149" s="4"/>
      <c r="D1149" s="4"/>
      <c r="E1149" s="4"/>
    </row>
    <row r="1150">
      <c r="A1150" s="6"/>
      <c r="B1150" s="7"/>
      <c r="C1150" s="4"/>
      <c r="D1150" s="4"/>
      <c r="E1150" s="4"/>
    </row>
    <row r="1151">
      <c r="A1151" s="6"/>
      <c r="B1151" s="7"/>
      <c r="C1151" s="4"/>
      <c r="D1151" s="4"/>
      <c r="E1151" s="4"/>
    </row>
    <row r="1152">
      <c r="A1152" s="6"/>
      <c r="B1152" s="7"/>
      <c r="C1152" s="4"/>
      <c r="D1152" s="4"/>
      <c r="E1152" s="4"/>
    </row>
    <row r="1153">
      <c r="A1153" s="6"/>
      <c r="B1153" s="7"/>
      <c r="C1153" s="4"/>
      <c r="D1153" s="4"/>
      <c r="E1153" s="4"/>
    </row>
    <row r="1154">
      <c r="A1154" s="6"/>
      <c r="B1154" s="7"/>
      <c r="C1154" s="4"/>
      <c r="D1154" s="4"/>
      <c r="E1154" s="4"/>
    </row>
    <row r="1155">
      <c r="A1155" s="6"/>
      <c r="B1155" s="7"/>
      <c r="C1155" s="4"/>
      <c r="D1155" s="4"/>
      <c r="E1155" s="4"/>
    </row>
    <row r="1156">
      <c r="A1156" s="6"/>
      <c r="B1156" s="7"/>
      <c r="C1156" s="4"/>
      <c r="D1156" s="4"/>
      <c r="E1156" s="4"/>
    </row>
    <row r="1157">
      <c r="A1157" s="6"/>
      <c r="B1157" s="7"/>
      <c r="C1157" s="4"/>
      <c r="D1157" s="4"/>
      <c r="E1157" s="4"/>
    </row>
    <row r="1158">
      <c r="A1158" s="6"/>
      <c r="B1158" s="7"/>
      <c r="C1158" s="4"/>
      <c r="D1158" s="4"/>
      <c r="E1158" s="4"/>
    </row>
    <row r="1159">
      <c r="A1159" s="6"/>
      <c r="B1159" s="7"/>
      <c r="C1159" s="4"/>
      <c r="D1159" s="4"/>
      <c r="E1159" s="4"/>
    </row>
    <row r="1160">
      <c r="A1160" s="6"/>
      <c r="B1160" s="7"/>
      <c r="C1160" s="4"/>
      <c r="D1160" s="4"/>
      <c r="E1160" s="4"/>
    </row>
    <row r="1161">
      <c r="A1161" s="6"/>
      <c r="B1161" s="7"/>
      <c r="C1161" s="4"/>
      <c r="D1161" s="4"/>
      <c r="E1161" s="4"/>
    </row>
    <row r="1162">
      <c r="A1162" s="6"/>
      <c r="B1162" s="7"/>
      <c r="C1162" s="4"/>
      <c r="D1162" s="4"/>
      <c r="E1162" s="4"/>
    </row>
    <row r="1163">
      <c r="A1163" s="6"/>
      <c r="B1163" s="7"/>
      <c r="C1163" s="4"/>
      <c r="D1163" s="4"/>
      <c r="E1163" s="4"/>
    </row>
    <row r="1164">
      <c r="A1164" s="6"/>
      <c r="B1164" s="7"/>
      <c r="C1164" s="4"/>
      <c r="D1164" s="4"/>
      <c r="E1164" s="4"/>
    </row>
    <row r="1165">
      <c r="A1165" s="6"/>
      <c r="B1165" s="7"/>
      <c r="C1165" s="4"/>
      <c r="D1165" s="4"/>
      <c r="E1165" s="4"/>
    </row>
    <row r="1166">
      <c r="A1166" s="6"/>
      <c r="B1166" s="7"/>
      <c r="C1166" s="4"/>
      <c r="D1166" s="4"/>
      <c r="E1166" s="4"/>
    </row>
    <row r="1167">
      <c r="A1167" s="6"/>
      <c r="B1167" s="7"/>
      <c r="C1167" s="4"/>
      <c r="D1167" s="4"/>
      <c r="E1167" s="4"/>
    </row>
    <row r="1168">
      <c r="A1168" s="6"/>
      <c r="B1168" s="7"/>
      <c r="C1168" s="4"/>
      <c r="D1168" s="4"/>
      <c r="E1168" s="4"/>
    </row>
    <row r="1169">
      <c r="A1169" s="6"/>
      <c r="B1169" s="7"/>
      <c r="C1169" s="4"/>
      <c r="D1169" s="4"/>
      <c r="E1169" s="4"/>
    </row>
    <row r="1170">
      <c r="A1170" s="6"/>
      <c r="B1170" s="7"/>
      <c r="C1170" s="4"/>
      <c r="D1170" s="4"/>
      <c r="E1170" s="4"/>
    </row>
    <row r="1171">
      <c r="A1171" s="6"/>
      <c r="B1171" s="7"/>
      <c r="C1171" s="4"/>
      <c r="D1171" s="4"/>
      <c r="E1171" s="4"/>
    </row>
    <row r="1172">
      <c r="A1172" s="6"/>
      <c r="B1172" s="7"/>
      <c r="C1172" s="4"/>
      <c r="D1172" s="4"/>
      <c r="E1172" s="4"/>
    </row>
    <row r="1173">
      <c r="A1173" s="6"/>
      <c r="B1173" s="7"/>
      <c r="C1173" s="4"/>
      <c r="D1173" s="4"/>
      <c r="E1173" s="4"/>
    </row>
    <row r="1174">
      <c r="A1174" s="6"/>
      <c r="B1174" s="7"/>
      <c r="C1174" s="4"/>
      <c r="D1174" s="4"/>
      <c r="E1174" s="4"/>
    </row>
    <row r="1175">
      <c r="A1175" s="6"/>
      <c r="B1175" s="7"/>
      <c r="C1175" s="4"/>
      <c r="D1175" s="4"/>
      <c r="E1175" s="4"/>
    </row>
    <row r="1176">
      <c r="A1176" s="6"/>
      <c r="B1176" s="7"/>
      <c r="C1176" s="4"/>
      <c r="D1176" s="4"/>
      <c r="E1176" s="4"/>
    </row>
    <row r="1177">
      <c r="A1177" s="6"/>
      <c r="B1177" s="7"/>
      <c r="C1177" s="4"/>
      <c r="D1177" s="4"/>
      <c r="E1177" s="4"/>
    </row>
    <row r="1178">
      <c r="A1178" s="6"/>
      <c r="B1178" s="7"/>
      <c r="C1178" s="4"/>
      <c r="D1178" s="4"/>
      <c r="E1178" s="4"/>
    </row>
    <row r="1179">
      <c r="A1179" s="6"/>
      <c r="B1179" s="7"/>
      <c r="C1179" s="4"/>
      <c r="D1179" s="4"/>
      <c r="E1179" s="4"/>
    </row>
    <row r="1180">
      <c r="A1180" s="6"/>
      <c r="B1180" s="7"/>
      <c r="C1180" s="4"/>
      <c r="D1180" s="4"/>
      <c r="E1180" s="4"/>
    </row>
    <row r="1181">
      <c r="A1181" s="6"/>
      <c r="B1181" s="7"/>
      <c r="C1181" s="4"/>
      <c r="D1181" s="4"/>
      <c r="E1181" s="4"/>
    </row>
    <row r="1182">
      <c r="A1182" s="6"/>
      <c r="B1182" s="7"/>
      <c r="C1182" s="4"/>
      <c r="D1182" s="4"/>
      <c r="E1182" s="4"/>
    </row>
    <row r="1183">
      <c r="A1183" s="6"/>
      <c r="B1183" s="7"/>
      <c r="C1183" s="4"/>
      <c r="D1183" s="4"/>
      <c r="E1183" s="4"/>
    </row>
    <row r="1184">
      <c r="A1184" s="6"/>
      <c r="B1184" s="7"/>
      <c r="C1184" s="4"/>
      <c r="D1184" s="4"/>
      <c r="E1184" s="4"/>
    </row>
    <row r="1185">
      <c r="A1185" s="6"/>
      <c r="B1185" s="7"/>
      <c r="C1185" s="4"/>
      <c r="D1185" s="4"/>
      <c r="E1185" s="4"/>
    </row>
    <row r="1186">
      <c r="A1186" s="6"/>
      <c r="B1186" s="7"/>
      <c r="C1186" s="4"/>
      <c r="D1186" s="4"/>
      <c r="E1186" s="4"/>
    </row>
    <row r="1187">
      <c r="A1187" s="6"/>
      <c r="B1187" s="7"/>
      <c r="C1187" s="4"/>
      <c r="D1187" s="4"/>
      <c r="E1187" s="4"/>
    </row>
    <row r="1188">
      <c r="A1188" s="6"/>
      <c r="B1188" s="7"/>
      <c r="C1188" s="4"/>
      <c r="D1188" s="4"/>
      <c r="E1188" s="4"/>
    </row>
    <row r="1189">
      <c r="A1189" s="6"/>
      <c r="B1189" s="7"/>
      <c r="C1189" s="4"/>
      <c r="D1189" s="4"/>
      <c r="E1189" s="4"/>
    </row>
    <row r="1190">
      <c r="A1190" s="6"/>
      <c r="B1190" s="7"/>
      <c r="C1190" s="4"/>
      <c r="D1190" s="4"/>
      <c r="E1190" s="4"/>
    </row>
    <row r="1191">
      <c r="A1191" s="6"/>
      <c r="B1191" s="7"/>
      <c r="C1191" s="4"/>
      <c r="D1191" s="4"/>
      <c r="E1191" s="4"/>
    </row>
    <row r="1192">
      <c r="A1192" s="6"/>
      <c r="B1192" s="7"/>
      <c r="C1192" s="4"/>
      <c r="D1192" s="4"/>
      <c r="E1192" s="4"/>
    </row>
    <row r="1193">
      <c r="A1193" s="6"/>
      <c r="B1193" s="7"/>
      <c r="C1193" s="4"/>
      <c r="D1193" s="4"/>
      <c r="E1193" s="4"/>
    </row>
    <row r="1194">
      <c r="A1194" s="6"/>
      <c r="B1194" s="7"/>
      <c r="C1194" s="4"/>
      <c r="D1194" s="4"/>
      <c r="E1194" s="4"/>
    </row>
    <row r="1195">
      <c r="A1195" s="6"/>
      <c r="B1195" s="7"/>
      <c r="C1195" s="4"/>
      <c r="D1195" s="4"/>
      <c r="E1195" s="4"/>
    </row>
    <row r="1196">
      <c r="A1196" s="6"/>
      <c r="B1196" s="7"/>
      <c r="C1196" s="4"/>
      <c r="D1196" s="4"/>
      <c r="E1196" s="4"/>
    </row>
    <row r="1197">
      <c r="A1197" s="6"/>
      <c r="B1197" s="7"/>
      <c r="C1197" s="4"/>
      <c r="D1197" s="4"/>
      <c r="E1197" s="4"/>
    </row>
    <row r="1198">
      <c r="A1198" s="6"/>
      <c r="B1198" s="7"/>
      <c r="C1198" s="4"/>
      <c r="D1198" s="4"/>
      <c r="E1198" s="4"/>
    </row>
    <row r="1199">
      <c r="A1199" s="6"/>
      <c r="B1199" s="7"/>
      <c r="C1199" s="4"/>
      <c r="D1199" s="4"/>
      <c r="E1199" s="4"/>
    </row>
    <row r="1200">
      <c r="A1200" s="6"/>
      <c r="B1200" s="7"/>
      <c r="C1200" s="4"/>
      <c r="D1200" s="4"/>
      <c r="E1200" s="4"/>
    </row>
    <row r="1201">
      <c r="A1201" s="6"/>
      <c r="B1201" s="7"/>
      <c r="C1201" s="4"/>
      <c r="D1201" s="4"/>
      <c r="E1201" s="4"/>
    </row>
    <row r="1202">
      <c r="A1202" s="6"/>
      <c r="B1202" s="7"/>
      <c r="C1202" s="4"/>
      <c r="D1202" s="4"/>
      <c r="E1202" s="4"/>
    </row>
    <row r="1203">
      <c r="A1203" s="6"/>
      <c r="B1203" s="7"/>
      <c r="C1203" s="4"/>
      <c r="D1203" s="4"/>
      <c r="E1203" s="4"/>
    </row>
    <row r="1204">
      <c r="A1204" s="6"/>
      <c r="B1204" s="7"/>
      <c r="C1204" s="4"/>
      <c r="D1204" s="4"/>
      <c r="E1204" s="4"/>
    </row>
    <row r="1205">
      <c r="A1205" s="6"/>
      <c r="B1205" s="7"/>
      <c r="C1205" s="4"/>
      <c r="D1205" s="4"/>
      <c r="E1205" s="4"/>
    </row>
    <row r="1206">
      <c r="A1206" s="6"/>
      <c r="B1206" s="7"/>
      <c r="C1206" s="4"/>
      <c r="D1206" s="4"/>
      <c r="E1206" s="4"/>
    </row>
    <row r="1207">
      <c r="A1207" s="6"/>
      <c r="B1207" s="7"/>
      <c r="C1207" s="4"/>
      <c r="D1207" s="4"/>
      <c r="E1207" s="4"/>
    </row>
    <row r="1208">
      <c r="A1208" s="6"/>
      <c r="B1208" s="7"/>
      <c r="C1208" s="4"/>
      <c r="D1208" s="4"/>
      <c r="E1208" s="4"/>
    </row>
    <row r="1209">
      <c r="A1209" s="6"/>
      <c r="B1209" s="7"/>
      <c r="C1209" s="4"/>
      <c r="D1209" s="4"/>
      <c r="E1209" s="4"/>
    </row>
    <row r="1210">
      <c r="A1210" s="6"/>
      <c r="B1210" s="7"/>
      <c r="C1210" s="4"/>
      <c r="D1210" s="4"/>
      <c r="E1210" s="4"/>
    </row>
    <row r="1211">
      <c r="A1211" s="6"/>
      <c r="B1211" s="7"/>
      <c r="C1211" s="4"/>
      <c r="D1211" s="4"/>
      <c r="E1211" s="4"/>
    </row>
    <row r="1212">
      <c r="A1212" s="6"/>
      <c r="B1212" s="7"/>
      <c r="C1212" s="4"/>
      <c r="D1212" s="4"/>
      <c r="E1212" s="4"/>
    </row>
    <row r="1213">
      <c r="A1213" s="6"/>
      <c r="B1213" s="7"/>
      <c r="C1213" s="4"/>
      <c r="D1213" s="4"/>
      <c r="E1213" s="4"/>
    </row>
    <row r="1214">
      <c r="A1214" s="6"/>
      <c r="B1214" s="7"/>
      <c r="C1214" s="4"/>
      <c r="D1214" s="4"/>
      <c r="E1214" s="4"/>
    </row>
    <row r="1215">
      <c r="A1215" s="6"/>
      <c r="B1215" s="7"/>
      <c r="C1215" s="4"/>
      <c r="D1215" s="4"/>
      <c r="E1215" s="4"/>
    </row>
    <row r="1216">
      <c r="A1216" s="6"/>
      <c r="B1216" s="7"/>
      <c r="C1216" s="4"/>
      <c r="D1216" s="4"/>
      <c r="E1216" s="4"/>
    </row>
    <row r="1217">
      <c r="A1217" s="6"/>
      <c r="B1217" s="7"/>
      <c r="C1217" s="4"/>
      <c r="D1217" s="4"/>
      <c r="E1217" s="4"/>
    </row>
    <row r="1218">
      <c r="A1218" s="6"/>
      <c r="B1218" s="7"/>
      <c r="C1218" s="4"/>
      <c r="D1218" s="4"/>
      <c r="E1218" s="4"/>
    </row>
    <row r="1219">
      <c r="A1219" s="6"/>
      <c r="B1219" s="7"/>
      <c r="C1219" s="4"/>
      <c r="D1219" s="4"/>
      <c r="E1219" s="4"/>
    </row>
    <row r="1220">
      <c r="A1220" s="6"/>
      <c r="B1220" s="7"/>
      <c r="C1220" s="4"/>
      <c r="D1220" s="4"/>
      <c r="E1220" s="4"/>
    </row>
    <row r="1221">
      <c r="A1221" s="6"/>
      <c r="B1221" s="7"/>
      <c r="C1221" s="4"/>
      <c r="D1221" s="4"/>
      <c r="E1221" s="4"/>
    </row>
    <row r="1222">
      <c r="A1222" s="6"/>
      <c r="B1222" s="7"/>
      <c r="C1222" s="4"/>
      <c r="D1222" s="4"/>
      <c r="E1222" s="4"/>
    </row>
    <row r="1223">
      <c r="A1223" s="6"/>
      <c r="B1223" s="7"/>
      <c r="C1223" s="4"/>
      <c r="D1223" s="4"/>
      <c r="E1223" s="4"/>
    </row>
    <row r="1224">
      <c r="A1224" s="6"/>
      <c r="B1224" s="7"/>
      <c r="C1224" s="4"/>
      <c r="D1224" s="4"/>
      <c r="E1224" s="4"/>
    </row>
    <row r="1225">
      <c r="A1225" s="6"/>
      <c r="B1225" s="7"/>
      <c r="C1225" s="4"/>
      <c r="D1225" s="4"/>
      <c r="E1225" s="4"/>
    </row>
    <row r="1226">
      <c r="A1226" s="6"/>
      <c r="B1226" s="7"/>
      <c r="C1226" s="4"/>
      <c r="D1226" s="4"/>
      <c r="E1226" s="4"/>
    </row>
    <row r="1227">
      <c r="A1227" s="6"/>
      <c r="B1227" s="7"/>
      <c r="C1227" s="4"/>
      <c r="D1227" s="4"/>
      <c r="E1227" s="4"/>
    </row>
    <row r="1228">
      <c r="A1228" s="6"/>
      <c r="B1228" s="7"/>
      <c r="C1228" s="4"/>
      <c r="D1228" s="4"/>
      <c r="E1228" s="4"/>
    </row>
    <row r="1229">
      <c r="A1229" s="6"/>
      <c r="B1229" s="7"/>
      <c r="C1229" s="4"/>
      <c r="D1229" s="4"/>
      <c r="E1229" s="4"/>
    </row>
    <row r="1230">
      <c r="A1230" s="6"/>
      <c r="B1230" s="7"/>
      <c r="C1230" s="4"/>
      <c r="D1230" s="4"/>
      <c r="E1230" s="4"/>
    </row>
    <row r="1231">
      <c r="A1231" s="6"/>
      <c r="B1231" s="7"/>
      <c r="C1231" s="4"/>
      <c r="D1231" s="4"/>
      <c r="E1231" s="4"/>
    </row>
    <row r="1232">
      <c r="A1232" s="6"/>
      <c r="B1232" s="7"/>
      <c r="C1232" s="4"/>
      <c r="D1232" s="4"/>
      <c r="E1232" s="4"/>
    </row>
    <row r="1233">
      <c r="A1233" s="6"/>
      <c r="B1233" s="7"/>
      <c r="C1233" s="4"/>
      <c r="D1233" s="4"/>
      <c r="E1233" s="4"/>
    </row>
    <row r="1234">
      <c r="A1234" s="6"/>
      <c r="B1234" s="7"/>
      <c r="C1234" s="4"/>
      <c r="D1234" s="4"/>
      <c r="E1234" s="4"/>
    </row>
    <row r="1235">
      <c r="A1235" s="6"/>
      <c r="B1235" s="7"/>
      <c r="C1235" s="4"/>
      <c r="D1235" s="4"/>
      <c r="E1235" s="4"/>
    </row>
    <row r="1236">
      <c r="A1236" s="6"/>
      <c r="B1236" s="7"/>
      <c r="C1236" s="4"/>
      <c r="D1236" s="4"/>
      <c r="E1236" s="4"/>
    </row>
    <row r="1237">
      <c r="A1237" s="6"/>
      <c r="B1237" s="7"/>
      <c r="C1237" s="4"/>
      <c r="D1237" s="4"/>
      <c r="E1237" s="4"/>
    </row>
    <row r="1238">
      <c r="A1238" s="6"/>
      <c r="B1238" s="7"/>
      <c r="C1238" s="4"/>
      <c r="D1238" s="4"/>
      <c r="E1238" s="4"/>
    </row>
    <row r="1239">
      <c r="A1239" s="6"/>
      <c r="B1239" s="7"/>
      <c r="C1239" s="4"/>
      <c r="D1239" s="4"/>
      <c r="E1239" s="4"/>
    </row>
    <row r="1240">
      <c r="A1240" s="6"/>
      <c r="B1240" s="7"/>
      <c r="C1240" s="4"/>
      <c r="D1240" s="4"/>
      <c r="E1240" s="4"/>
    </row>
    <row r="1241">
      <c r="A1241" s="6"/>
      <c r="B1241" s="7"/>
      <c r="C1241" s="4"/>
      <c r="D1241" s="4"/>
      <c r="E1241" s="4"/>
    </row>
    <row r="1242">
      <c r="A1242" s="6"/>
      <c r="B1242" s="7"/>
      <c r="C1242" s="4"/>
      <c r="D1242" s="4"/>
      <c r="E1242" s="4"/>
    </row>
    <row r="1243">
      <c r="A1243" s="6"/>
      <c r="B1243" s="7"/>
      <c r="C1243" s="4"/>
      <c r="D1243" s="4"/>
      <c r="E1243" s="4"/>
    </row>
    <row r="1244">
      <c r="A1244" s="6"/>
      <c r="B1244" s="7"/>
      <c r="C1244" s="4"/>
      <c r="D1244" s="4"/>
      <c r="E1244" s="4"/>
    </row>
    <row r="1245">
      <c r="A1245" s="6"/>
      <c r="B1245" s="7"/>
      <c r="C1245" s="4"/>
      <c r="D1245" s="4"/>
      <c r="E1245" s="4"/>
    </row>
    <row r="1246">
      <c r="A1246" s="6"/>
      <c r="B1246" s="7"/>
      <c r="C1246" s="4"/>
      <c r="D1246" s="4"/>
      <c r="E1246" s="4"/>
    </row>
    <row r="1247">
      <c r="A1247" s="6"/>
      <c r="B1247" s="7"/>
      <c r="C1247" s="4"/>
      <c r="D1247" s="4"/>
      <c r="E1247" s="4"/>
    </row>
    <row r="1248">
      <c r="A1248" s="6"/>
      <c r="B1248" s="7"/>
      <c r="C1248" s="4"/>
      <c r="D1248" s="4"/>
      <c r="E1248" s="4"/>
    </row>
    <row r="1249">
      <c r="A1249" s="6"/>
      <c r="B1249" s="7"/>
      <c r="C1249" s="4"/>
      <c r="D1249" s="4"/>
      <c r="E1249" s="4"/>
    </row>
    <row r="1250">
      <c r="A1250" s="6"/>
      <c r="B1250" s="7"/>
      <c r="C1250" s="4"/>
      <c r="D1250" s="4"/>
      <c r="E1250" s="4"/>
    </row>
    <row r="1251">
      <c r="A1251" s="6"/>
      <c r="B1251" s="7"/>
      <c r="C1251" s="4"/>
      <c r="D1251" s="4"/>
      <c r="E1251" s="4"/>
    </row>
    <row r="1252">
      <c r="A1252" s="6"/>
      <c r="B1252" s="7"/>
      <c r="C1252" s="4"/>
      <c r="D1252" s="4"/>
      <c r="E1252" s="4"/>
    </row>
    <row r="1253">
      <c r="A1253" s="6"/>
      <c r="B1253" s="7"/>
      <c r="C1253" s="4"/>
      <c r="D1253" s="4"/>
      <c r="E1253" s="4"/>
    </row>
    <row r="1254">
      <c r="A1254" s="6"/>
      <c r="B1254" s="7"/>
      <c r="C1254" s="4"/>
      <c r="D1254" s="4"/>
      <c r="E1254" s="4"/>
    </row>
    <row r="1255">
      <c r="A1255" s="6"/>
      <c r="B1255" s="7"/>
      <c r="C1255" s="4"/>
      <c r="D1255" s="4"/>
      <c r="E1255" s="4"/>
    </row>
    <row r="1256">
      <c r="A1256" s="6"/>
      <c r="B1256" s="7"/>
      <c r="C1256" s="4"/>
      <c r="D1256" s="4"/>
      <c r="E1256" s="4"/>
    </row>
    <row r="1257">
      <c r="A1257" s="6"/>
      <c r="B1257" s="7"/>
      <c r="C1257" s="4"/>
      <c r="D1257" s="4"/>
      <c r="E1257" s="4"/>
    </row>
    <row r="1258">
      <c r="A1258" s="6"/>
      <c r="B1258" s="7"/>
      <c r="C1258" s="4"/>
      <c r="D1258" s="4"/>
      <c r="E1258" s="4"/>
    </row>
    <row r="1259">
      <c r="A1259" s="6"/>
      <c r="B1259" s="7"/>
      <c r="C1259" s="4"/>
      <c r="D1259" s="4"/>
      <c r="E1259" s="4"/>
    </row>
    <row r="1260">
      <c r="A1260" s="6"/>
      <c r="B1260" s="7"/>
      <c r="C1260" s="4"/>
      <c r="D1260" s="4"/>
      <c r="E1260" s="4"/>
    </row>
    <row r="1261">
      <c r="A1261" s="6"/>
      <c r="B1261" s="7"/>
      <c r="C1261" s="4"/>
      <c r="D1261" s="4"/>
      <c r="E1261" s="4"/>
    </row>
    <row r="1262">
      <c r="A1262" s="6"/>
      <c r="B1262" s="7"/>
      <c r="C1262" s="4"/>
      <c r="D1262" s="4"/>
      <c r="E1262" s="4"/>
    </row>
    <row r="1263">
      <c r="A1263" s="6"/>
      <c r="B1263" s="7"/>
      <c r="C1263" s="4"/>
      <c r="D1263" s="4"/>
      <c r="E1263" s="4"/>
    </row>
    <row r="1264">
      <c r="A1264" s="6"/>
      <c r="B1264" s="7"/>
      <c r="C1264" s="4"/>
      <c r="D1264" s="4"/>
      <c r="E1264" s="4"/>
    </row>
    <row r="1265">
      <c r="A1265" s="6"/>
      <c r="B1265" s="7"/>
      <c r="C1265" s="4"/>
      <c r="D1265" s="4"/>
      <c r="E1265" s="4"/>
    </row>
    <row r="1266">
      <c r="A1266" s="6"/>
      <c r="B1266" s="7"/>
      <c r="C1266" s="4"/>
      <c r="D1266" s="4"/>
      <c r="E1266" s="4"/>
    </row>
    <row r="1267">
      <c r="A1267" s="6"/>
      <c r="B1267" s="7"/>
      <c r="C1267" s="4"/>
      <c r="D1267" s="4"/>
      <c r="E1267" s="4"/>
    </row>
    <row r="1268">
      <c r="A1268" s="6"/>
      <c r="B1268" s="7"/>
      <c r="C1268" s="4"/>
      <c r="D1268" s="4"/>
      <c r="E1268" s="4"/>
    </row>
    <row r="1269">
      <c r="A1269" s="6"/>
      <c r="B1269" s="7"/>
      <c r="C1269" s="4"/>
      <c r="D1269" s="4"/>
      <c r="E1269" s="4"/>
    </row>
    <row r="1270">
      <c r="A1270" s="6"/>
      <c r="B1270" s="7"/>
      <c r="C1270" s="4"/>
      <c r="D1270" s="4"/>
      <c r="E1270" s="4"/>
    </row>
    <row r="1271">
      <c r="A1271" s="6"/>
      <c r="B1271" s="7"/>
      <c r="C1271" s="4"/>
      <c r="D1271" s="4"/>
      <c r="E1271" s="4"/>
    </row>
    <row r="1272">
      <c r="A1272" s="6"/>
      <c r="B1272" s="7"/>
      <c r="C1272" s="4"/>
      <c r="D1272" s="4"/>
      <c r="E1272" s="4"/>
    </row>
    <row r="1273">
      <c r="A1273" s="6"/>
      <c r="B1273" s="7"/>
      <c r="C1273" s="4"/>
      <c r="D1273" s="4"/>
      <c r="E1273" s="4"/>
    </row>
    <row r="1274">
      <c r="A1274" s="6"/>
      <c r="B1274" s="7"/>
      <c r="C1274" s="4"/>
      <c r="D1274" s="4"/>
      <c r="E1274" s="4"/>
    </row>
    <row r="1275">
      <c r="A1275" s="6"/>
      <c r="B1275" s="7"/>
      <c r="C1275" s="4"/>
      <c r="D1275" s="4"/>
      <c r="E1275" s="4"/>
    </row>
    <row r="1276">
      <c r="A1276" s="6"/>
      <c r="B1276" s="7"/>
      <c r="C1276" s="4"/>
      <c r="D1276" s="4"/>
      <c r="E1276" s="4"/>
    </row>
    <row r="1277">
      <c r="A1277" s="6"/>
      <c r="B1277" s="7"/>
      <c r="C1277" s="4"/>
      <c r="D1277" s="4"/>
      <c r="E1277" s="4"/>
    </row>
    <row r="1278">
      <c r="A1278" s="6"/>
      <c r="B1278" s="7"/>
      <c r="C1278" s="4"/>
      <c r="D1278" s="4"/>
      <c r="E1278" s="4"/>
    </row>
    <row r="1279">
      <c r="A1279" s="6"/>
      <c r="B1279" s="7"/>
      <c r="C1279" s="4"/>
      <c r="D1279" s="4"/>
      <c r="E1279" s="4"/>
    </row>
    <row r="1280">
      <c r="A1280" s="6"/>
      <c r="B1280" s="7"/>
      <c r="C1280" s="4"/>
      <c r="D1280" s="4"/>
      <c r="E1280" s="4"/>
    </row>
    <row r="1281">
      <c r="A1281" s="6"/>
      <c r="B1281" s="7"/>
      <c r="C1281" s="4"/>
      <c r="D1281" s="4"/>
      <c r="E1281" s="4"/>
    </row>
    <row r="1282">
      <c r="A1282" s="6"/>
      <c r="B1282" s="7"/>
      <c r="C1282" s="4"/>
      <c r="D1282" s="4"/>
      <c r="E1282" s="4"/>
    </row>
    <row r="1283">
      <c r="A1283" s="6"/>
      <c r="B1283" s="7"/>
      <c r="C1283" s="4"/>
      <c r="D1283" s="4"/>
      <c r="E1283" s="4"/>
    </row>
    <row r="1284">
      <c r="A1284" s="6"/>
      <c r="B1284" s="7"/>
      <c r="C1284" s="4"/>
      <c r="D1284" s="4"/>
      <c r="E1284" s="4"/>
    </row>
    <row r="1285">
      <c r="A1285" s="6"/>
      <c r="B1285" s="7"/>
      <c r="C1285" s="4"/>
      <c r="D1285" s="4"/>
      <c r="E1285" s="4"/>
    </row>
    <row r="1286">
      <c r="A1286" s="6"/>
      <c r="B1286" s="7"/>
      <c r="C1286" s="4"/>
      <c r="D1286" s="4"/>
      <c r="E1286" s="4"/>
    </row>
    <row r="1287">
      <c r="A1287" s="6"/>
      <c r="B1287" s="7"/>
      <c r="C1287" s="4"/>
      <c r="D1287" s="4"/>
      <c r="E1287" s="4"/>
    </row>
    <row r="1288">
      <c r="A1288" s="6"/>
      <c r="B1288" s="7"/>
      <c r="C1288" s="4"/>
      <c r="D1288" s="4"/>
      <c r="E1288" s="4"/>
    </row>
    <row r="1289">
      <c r="A1289" s="6"/>
      <c r="B1289" s="7"/>
      <c r="C1289" s="4"/>
      <c r="D1289" s="4"/>
      <c r="E1289" s="4"/>
    </row>
    <row r="1290">
      <c r="A1290" s="6"/>
      <c r="B1290" s="7"/>
      <c r="C1290" s="4"/>
      <c r="D1290" s="4"/>
      <c r="E1290" s="4"/>
    </row>
    <row r="1291">
      <c r="A1291" s="6"/>
      <c r="B1291" s="7"/>
      <c r="C1291" s="4"/>
      <c r="D1291" s="4"/>
      <c r="E1291" s="4"/>
    </row>
    <row r="1292">
      <c r="A1292" s="6"/>
      <c r="B1292" s="7"/>
      <c r="C1292" s="4"/>
      <c r="D1292" s="4"/>
      <c r="E1292" s="4"/>
    </row>
    <row r="1293">
      <c r="A1293" s="6"/>
      <c r="B1293" s="7"/>
      <c r="C1293" s="4"/>
      <c r="D1293" s="4"/>
      <c r="E1293" s="4"/>
    </row>
    <row r="1294">
      <c r="A1294" s="6"/>
      <c r="B1294" s="7"/>
      <c r="C1294" s="4"/>
      <c r="D1294" s="4"/>
      <c r="E1294" s="4"/>
    </row>
    <row r="1295">
      <c r="A1295" s="6"/>
      <c r="B1295" s="7"/>
      <c r="C1295" s="4"/>
      <c r="D1295" s="4"/>
      <c r="E1295" s="4"/>
    </row>
    <row r="1296">
      <c r="A1296" s="6"/>
      <c r="B1296" s="7"/>
      <c r="C1296" s="4"/>
      <c r="D1296" s="4"/>
      <c r="E1296" s="4"/>
    </row>
    <row r="1297">
      <c r="A1297" s="6"/>
      <c r="B1297" s="7"/>
      <c r="C1297" s="4"/>
      <c r="D1297" s="4"/>
      <c r="E1297" s="4"/>
    </row>
    <row r="1298">
      <c r="A1298" s="6"/>
      <c r="B1298" s="7"/>
      <c r="C1298" s="4"/>
      <c r="D1298" s="4"/>
      <c r="E1298" s="4"/>
    </row>
    <row r="1299">
      <c r="A1299" s="6"/>
      <c r="B1299" s="7"/>
      <c r="C1299" s="4"/>
      <c r="D1299" s="4"/>
      <c r="E1299" s="4"/>
    </row>
    <row r="1300">
      <c r="A1300" s="6"/>
      <c r="B1300" s="7"/>
      <c r="C1300" s="4"/>
      <c r="D1300" s="4"/>
      <c r="E1300" s="4"/>
    </row>
    <row r="1301">
      <c r="A1301" s="6"/>
      <c r="B1301" s="7"/>
      <c r="C1301" s="4"/>
      <c r="D1301" s="4"/>
      <c r="E1301" s="4"/>
    </row>
    <row r="1302">
      <c r="A1302" s="6"/>
      <c r="B1302" s="7"/>
      <c r="C1302" s="4"/>
      <c r="D1302" s="4"/>
      <c r="E1302" s="4"/>
    </row>
    <row r="1303">
      <c r="A1303" s="6"/>
      <c r="B1303" s="7"/>
      <c r="C1303" s="4"/>
      <c r="D1303" s="4"/>
      <c r="E1303" s="4"/>
    </row>
    <row r="1304">
      <c r="A1304" s="6"/>
      <c r="B1304" s="7"/>
      <c r="C1304" s="4"/>
      <c r="D1304" s="4"/>
      <c r="E1304" s="4"/>
    </row>
    <row r="1305">
      <c r="A1305" s="6"/>
      <c r="B1305" s="7"/>
      <c r="C1305" s="4"/>
      <c r="D1305" s="4"/>
      <c r="E1305" s="4"/>
    </row>
    <row r="1306">
      <c r="A1306" s="6"/>
      <c r="B1306" s="7"/>
      <c r="C1306" s="4"/>
      <c r="D1306" s="4"/>
      <c r="E1306" s="4"/>
    </row>
    <row r="1307">
      <c r="A1307" s="6"/>
      <c r="B1307" s="7"/>
      <c r="C1307" s="4"/>
      <c r="D1307" s="4"/>
      <c r="E1307" s="4"/>
    </row>
    <row r="1308">
      <c r="A1308" s="6"/>
      <c r="B1308" s="7"/>
      <c r="C1308" s="4"/>
      <c r="D1308" s="4"/>
      <c r="E1308" s="4"/>
    </row>
    <row r="1309">
      <c r="A1309" s="6"/>
      <c r="B1309" s="7"/>
      <c r="C1309" s="4"/>
      <c r="D1309" s="4"/>
      <c r="E1309" s="4"/>
    </row>
    <row r="1310">
      <c r="A1310" s="6"/>
      <c r="B1310" s="7"/>
      <c r="C1310" s="4"/>
      <c r="D1310" s="4"/>
      <c r="E1310" s="4"/>
    </row>
    <row r="1311">
      <c r="A1311" s="6"/>
      <c r="B1311" s="7"/>
      <c r="C1311" s="4"/>
      <c r="D1311" s="4"/>
      <c r="E1311" s="4"/>
    </row>
    <row r="1312">
      <c r="A1312" s="6"/>
      <c r="B1312" s="7"/>
      <c r="C1312" s="4"/>
      <c r="D1312" s="4"/>
      <c r="E1312" s="4"/>
    </row>
    <row r="1313">
      <c r="A1313" s="6"/>
      <c r="B1313" s="7"/>
      <c r="C1313" s="4"/>
      <c r="D1313" s="4"/>
      <c r="E1313" s="4"/>
    </row>
    <row r="1314">
      <c r="A1314" s="6"/>
      <c r="B1314" s="7"/>
      <c r="C1314" s="4"/>
      <c r="D1314" s="4"/>
      <c r="E1314" s="4"/>
    </row>
    <row r="1315">
      <c r="A1315" s="6"/>
      <c r="B1315" s="7"/>
      <c r="C1315" s="4"/>
      <c r="D1315" s="4"/>
      <c r="E1315" s="4"/>
    </row>
    <row r="1316">
      <c r="A1316" s="6"/>
      <c r="B1316" s="7"/>
      <c r="C1316" s="4"/>
      <c r="D1316" s="4"/>
      <c r="E1316" s="4"/>
    </row>
    <row r="1317">
      <c r="A1317" s="6"/>
      <c r="B1317" s="7"/>
      <c r="C1317" s="4"/>
      <c r="D1317" s="4"/>
      <c r="E1317" s="4"/>
    </row>
    <row r="1318">
      <c r="A1318" s="6"/>
      <c r="B1318" s="7"/>
      <c r="C1318" s="4"/>
      <c r="D1318" s="4"/>
      <c r="E1318" s="4"/>
    </row>
    <row r="1319">
      <c r="A1319" s="6"/>
      <c r="B1319" s="7"/>
      <c r="C1319" s="4"/>
      <c r="D1319" s="4"/>
      <c r="E1319" s="4"/>
    </row>
    <row r="1320">
      <c r="A1320" s="6"/>
      <c r="B1320" s="7"/>
      <c r="C1320" s="4"/>
      <c r="D1320" s="4"/>
      <c r="E1320" s="4"/>
    </row>
    <row r="1321">
      <c r="A1321" s="6"/>
      <c r="B1321" s="7"/>
      <c r="C1321" s="4"/>
      <c r="D1321" s="4"/>
      <c r="E1321" s="4"/>
    </row>
    <row r="1322">
      <c r="A1322" s="6"/>
      <c r="B1322" s="7"/>
      <c r="C1322" s="4"/>
      <c r="D1322" s="4"/>
      <c r="E1322" s="4"/>
    </row>
    <row r="1323">
      <c r="A1323" s="6"/>
      <c r="B1323" s="7"/>
      <c r="C1323" s="4"/>
      <c r="D1323" s="4"/>
      <c r="E1323" s="4"/>
    </row>
    <row r="1324">
      <c r="A1324" s="6"/>
      <c r="B1324" s="7"/>
      <c r="C1324" s="4"/>
      <c r="D1324" s="4"/>
      <c r="E1324" s="4"/>
    </row>
    <row r="1325">
      <c r="A1325" s="6"/>
      <c r="B1325" s="7"/>
      <c r="C1325" s="4"/>
      <c r="D1325" s="4"/>
      <c r="E1325" s="4"/>
    </row>
    <row r="1326">
      <c r="A1326" s="6"/>
      <c r="B1326" s="7"/>
      <c r="C1326" s="4"/>
      <c r="D1326" s="4"/>
      <c r="E1326" s="4"/>
    </row>
    <row r="1327">
      <c r="A1327" s="6"/>
      <c r="B1327" s="7"/>
      <c r="C1327" s="4"/>
      <c r="D1327" s="4"/>
      <c r="E1327" s="4"/>
    </row>
    <row r="1328">
      <c r="A1328" s="6"/>
      <c r="B1328" s="7"/>
      <c r="C1328" s="4"/>
      <c r="D1328" s="4"/>
      <c r="E1328" s="4"/>
    </row>
    <row r="1329">
      <c r="A1329" s="6"/>
      <c r="B1329" s="7"/>
      <c r="C1329" s="4"/>
      <c r="D1329" s="4"/>
      <c r="E1329" s="4"/>
    </row>
    <row r="1330">
      <c r="A1330" s="6"/>
      <c r="B1330" s="7"/>
      <c r="C1330" s="4"/>
      <c r="D1330" s="4"/>
      <c r="E1330" s="4"/>
    </row>
    <row r="1331">
      <c r="A1331" s="6"/>
      <c r="B1331" s="7"/>
      <c r="C1331" s="4"/>
      <c r="D1331" s="4"/>
      <c r="E1331" s="4"/>
    </row>
    <row r="1332">
      <c r="A1332" s="6"/>
      <c r="B1332" s="7"/>
      <c r="C1332" s="4"/>
      <c r="D1332" s="4"/>
      <c r="E1332" s="4"/>
    </row>
    <row r="1333">
      <c r="A1333" s="6"/>
      <c r="B1333" s="7"/>
      <c r="C1333" s="4"/>
      <c r="D1333" s="4"/>
      <c r="E1333" s="4"/>
    </row>
    <row r="1334">
      <c r="A1334" s="6"/>
      <c r="B1334" s="7"/>
      <c r="C1334" s="4"/>
      <c r="D1334" s="4"/>
      <c r="E1334" s="4"/>
    </row>
    <row r="1335">
      <c r="A1335" s="6"/>
      <c r="B1335" s="7"/>
      <c r="C1335" s="4"/>
      <c r="D1335" s="4"/>
      <c r="E1335" s="4"/>
    </row>
    <row r="1336">
      <c r="A1336" s="6"/>
      <c r="B1336" s="7"/>
      <c r="C1336" s="4"/>
      <c r="D1336" s="4"/>
      <c r="E1336" s="4"/>
    </row>
    <row r="1337">
      <c r="A1337" s="6"/>
      <c r="B1337" s="7"/>
      <c r="C1337" s="4"/>
      <c r="D1337" s="4"/>
      <c r="E1337" s="4"/>
    </row>
    <row r="1338">
      <c r="A1338" s="6"/>
      <c r="B1338" s="7"/>
      <c r="C1338" s="4"/>
      <c r="D1338" s="4"/>
      <c r="E1338" s="4"/>
    </row>
    <row r="1339">
      <c r="A1339" s="6"/>
      <c r="B1339" s="7"/>
      <c r="C1339" s="4"/>
      <c r="D1339" s="4"/>
      <c r="E1339" s="4"/>
    </row>
    <row r="1340">
      <c r="A1340" s="6"/>
      <c r="B1340" s="7"/>
      <c r="C1340" s="4"/>
      <c r="D1340" s="4"/>
      <c r="E1340" s="4"/>
    </row>
    <row r="1341">
      <c r="A1341" s="6"/>
      <c r="B1341" s="7"/>
      <c r="C1341" s="4"/>
      <c r="D1341" s="4"/>
      <c r="E1341" s="4"/>
    </row>
    <row r="1342">
      <c r="A1342" s="6"/>
      <c r="B1342" s="7"/>
      <c r="C1342" s="4"/>
      <c r="D1342" s="4"/>
      <c r="E1342" s="4"/>
    </row>
    <row r="1343">
      <c r="A1343" s="6"/>
      <c r="B1343" s="7"/>
      <c r="C1343" s="4"/>
      <c r="D1343" s="4"/>
      <c r="E1343" s="4"/>
    </row>
    <row r="1344">
      <c r="A1344" s="6"/>
      <c r="B1344" s="7"/>
      <c r="C1344" s="4"/>
      <c r="D1344" s="4"/>
      <c r="E1344" s="4"/>
    </row>
    <row r="1345">
      <c r="A1345" s="6"/>
      <c r="B1345" s="7"/>
      <c r="C1345" s="4"/>
      <c r="D1345" s="4"/>
      <c r="E1345" s="4"/>
    </row>
    <row r="1346">
      <c r="A1346" s="6"/>
      <c r="B1346" s="7"/>
      <c r="C1346" s="4"/>
      <c r="D1346" s="4"/>
      <c r="E1346" s="4"/>
    </row>
    <row r="1347">
      <c r="A1347" s="6"/>
      <c r="B1347" s="7"/>
      <c r="C1347" s="4"/>
      <c r="D1347" s="4"/>
      <c r="E1347" s="4"/>
    </row>
    <row r="1348">
      <c r="A1348" s="6"/>
      <c r="B1348" s="7"/>
      <c r="C1348" s="4"/>
      <c r="D1348" s="4"/>
      <c r="E1348" s="4"/>
    </row>
    <row r="1349">
      <c r="A1349" s="6"/>
      <c r="B1349" s="7"/>
      <c r="C1349" s="4"/>
      <c r="D1349" s="4"/>
      <c r="E1349" s="4"/>
    </row>
    <row r="1350">
      <c r="A1350" s="6"/>
      <c r="B1350" s="7"/>
      <c r="C1350" s="4"/>
      <c r="D1350" s="4"/>
      <c r="E1350" s="4"/>
    </row>
    <row r="1351">
      <c r="A1351" s="6"/>
      <c r="B1351" s="7"/>
      <c r="C1351" s="4"/>
      <c r="D1351" s="4"/>
      <c r="E1351" s="4"/>
    </row>
    <row r="1352">
      <c r="A1352" s="6"/>
      <c r="B1352" s="7"/>
      <c r="C1352" s="4"/>
      <c r="D1352" s="4"/>
      <c r="E1352" s="4"/>
    </row>
    <row r="1353">
      <c r="A1353" s="6"/>
      <c r="B1353" s="7"/>
      <c r="C1353" s="4"/>
      <c r="D1353" s="4"/>
      <c r="E1353" s="4"/>
    </row>
    <row r="1354">
      <c r="A1354" s="6"/>
      <c r="B1354" s="7"/>
      <c r="C1354" s="4"/>
      <c r="D1354" s="4"/>
      <c r="E1354" s="4"/>
    </row>
    <row r="1355">
      <c r="A1355" s="6"/>
      <c r="B1355" s="7"/>
      <c r="C1355" s="4"/>
      <c r="D1355" s="4"/>
      <c r="E1355" s="4"/>
    </row>
    <row r="1356">
      <c r="A1356" s="6"/>
      <c r="B1356" s="7"/>
      <c r="C1356" s="4"/>
      <c r="D1356" s="4"/>
      <c r="E1356" s="4"/>
    </row>
    <row r="1357">
      <c r="A1357" s="6"/>
      <c r="B1357" s="7"/>
      <c r="C1357" s="4"/>
      <c r="D1357" s="4"/>
      <c r="E1357" s="4"/>
    </row>
    <row r="1358">
      <c r="A1358" s="6"/>
      <c r="B1358" s="7"/>
      <c r="C1358" s="4"/>
      <c r="D1358" s="4"/>
      <c r="E1358" s="4"/>
    </row>
    <row r="1359">
      <c r="A1359" s="6"/>
      <c r="B1359" s="7"/>
      <c r="C1359" s="4"/>
      <c r="D1359" s="4"/>
      <c r="E1359" s="4"/>
    </row>
    <row r="1360">
      <c r="A1360" s="6"/>
      <c r="B1360" s="7"/>
      <c r="C1360" s="4"/>
      <c r="D1360" s="4"/>
      <c r="E1360" s="4"/>
    </row>
    <row r="1361">
      <c r="A1361" s="6"/>
      <c r="B1361" s="7"/>
      <c r="C1361" s="4"/>
      <c r="D1361" s="4"/>
      <c r="E1361" s="4"/>
    </row>
    <row r="1362">
      <c r="A1362" s="6"/>
      <c r="B1362" s="7"/>
      <c r="C1362" s="4"/>
      <c r="D1362" s="4"/>
      <c r="E1362" s="4"/>
    </row>
    <row r="1363">
      <c r="A1363" s="6"/>
      <c r="B1363" s="7"/>
      <c r="C1363" s="4"/>
      <c r="D1363" s="4"/>
      <c r="E1363" s="4"/>
    </row>
    <row r="1364">
      <c r="A1364" s="6"/>
      <c r="B1364" s="7"/>
      <c r="C1364" s="4"/>
      <c r="D1364" s="4"/>
      <c r="E1364" s="4"/>
    </row>
    <row r="1365">
      <c r="A1365" s="6"/>
      <c r="B1365" s="7"/>
      <c r="C1365" s="4"/>
      <c r="D1365" s="4"/>
      <c r="E1365" s="4"/>
    </row>
    <row r="1366">
      <c r="A1366" s="6"/>
      <c r="B1366" s="7"/>
      <c r="C1366" s="4"/>
      <c r="D1366" s="4"/>
      <c r="E1366" s="4"/>
    </row>
    <row r="1367">
      <c r="A1367" s="6"/>
      <c r="B1367" s="7"/>
      <c r="C1367" s="4"/>
      <c r="D1367" s="4"/>
      <c r="E1367" s="4"/>
    </row>
    <row r="1368">
      <c r="A1368" s="6"/>
      <c r="B1368" s="7"/>
      <c r="C1368" s="4"/>
      <c r="D1368" s="4"/>
      <c r="E1368" s="4"/>
    </row>
    <row r="1369">
      <c r="A1369" s="6"/>
      <c r="B1369" s="7"/>
      <c r="C1369" s="4"/>
      <c r="D1369" s="4"/>
      <c r="E1369" s="4"/>
    </row>
    <row r="1370">
      <c r="A1370" s="6"/>
      <c r="B1370" s="7"/>
      <c r="C1370" s="4"/>
      <c r="D1370" s="4"/>
      <c r="E1370" s="4"/>
    </row>
    <row r="1371">
      <c r="A1371" s="6"/>
      <c r="B1371" s="7"/>
      <c r="C1371" s="4"/>
      <c r="D1371" s="4"/>
      <c r="E1371" s="4"/>
    </row>
    <row r="1372">
      <c r="A1372" s="6"/>
      <c r="B1372" s="7"/>
      <c r="C1372" s="4"/>
      <c r="D1372" s="4"/>
      <c r="E1372" s="4"/>
    </row>
    <row r="1373">
      <c r="A1373" s="6"/>
      <c r="B1373" s="7"/>
      <c r="C1373" s="4"/>
      <c r="D1373" s="4"/>
      <c r="E1373" s="4"/>
    </row>
    <row r="1374">
      <c r="A1374" s="6"/>
      <c r="B1374" s="7"/>
      <c r="C1374" s="4"/>
      <c r="D1374" s="4"/>
      <c r="E1374" s="4"/>
    </row>
    <row r="1375">
      <c r="A1375" s="6"/>
      <c r="B1375" s="7"/>
      <c r="C1375" s="4"/>
      <c r="D1375" s="4"/>
      <c r="E1375" s="4"/>
    </row>
    <row r="1376">
      <c r="A1376" s="6"/>
      <c r="B1376" s="7"/>
      <c r="C1376" s="4"/>
      <c r="D1376" s="4"/>
      <c r="E1376" s="4"/>
    </row>
    <row r="1377">
      <c r="A1377" s="6"/>
      <c r="B1377" s="7"/>
      <c r="C1377" s="4"/>
      <c r="D1377" s="4"/>
      <c r="E1377" s="4"/>
    </row>
    <row r="1378">
      <c r="A1378" s="6"/>
      <c r="B1378" s="7"/>
      <c r="C1378" s="4"/>
      <c r="D1378" s="4"/>
      <c r="E1378" s="4"/>
    </row>
    <row r="1379">
      <c r="A1379" s="6"/>
      <c r="B1379" s="7"/>
      <c r="C1379" s="4"/>
      <c r="D1379" s="4"/>
      <c r="E1379" s="4"/>
    </row>
    <row r="1380">
      <c r="A1380" s="6"/>
      <c r="B1380" s="7"/>
      <c r="C1380" s="4"/>
      <c r="D1380" s="4"/>
      <c r="E1380" s="4"/>
    </row>
    <row r="1381">
      <c r="A1381" s="6"/>
      <c r="B1381" s="7"/>
      <c r="C1381" s="4"/>
      <c r="D1381" s="4"/>
      <c r="E1381" s="4"/>
    </row>
    <row r="1382">
      <c r="A1382" s="6"/>
      <c r="B1382" s="7"/>
      <c r="C1382" s="4"/>
      <c r="D1382" s="4"/>
      <c r="E1382" s="4"/>
    </row>
    <row r="1383">
      <c r="A1383" s="6"/>
      <c r="B1383" s="7"/>
      <c r="C1383" s="4"/>
      <c r="D1383" s="4"/>
      <c r="E1383" s="4"/>
    </row>
    <row r="1384">
      <c r="A1384" s="6"/>
      <c r="B1384" s="7"/>
      <c r="C1384" s="4"/>
      <c r="D1384" s="4"/>
      <c r="E1384" s="4"/>
    </row>
    <row r="1385">
      <c r="A1385" s="6"/>
      <c r="B1385" s="7"/>
      <c r="C1385" s="4"/>
      <c r="D1385" s="4"/>
      <c r="E1385" s="4"/>
    </row>
    <row r="1386">
      <c r="A1386" s="6"/>
      <c r="B1386" s="7"/>
      <c r="C1386" s="4"/>
      <c r="D1386" s="4"/>
      <c r="E1386" s="4"/>
    </row>
    <row r="1387">
      <c r="A1387" s="6"/>
      <c r="B1387" s="7"/>
      <c r="C1387" s="4"/>
      <c r="D1387" s="4"/>
      <c r="E1387" s="4"/>
    </row>
    <row r="1388">
      <c r="A1388" s="6"/>
      <c r="B1388" s="7"/>
      <c r="C1388" s="4"/>
      <c r="D1388" s="4"/>
      <c r="E1388" s="4"/>
    </row>
    <row r="1389">
      <c r="A1389" s="6"/>
      <c r="B1389" s="7"/>
      <c r="C1389" s="4"/>
      <c r="D1389" s="4"/>
      <c r="E1389" s="4"/>
    </row>
    <row r="1390">
      <c r="A1390" s="6"/>
      <c r="B1390" s="7"/>
      <c r="C1390" s="4"/>
      <c r="D1390" s="4"/>
      <c r="E1390" s="4"/>
    </row>
    <row r="1391">
      <c r="A1391" s="6"/>
      <c r="B1391" s="7"/>
      <c r="C1391" s="4"/>
      <c r="D1391" s="4"/>
      <c r="E1391" s="4"/>
    </row>
    <row r="1392">
      <c r="A1392" s="6"/>
      <c r="B1392" s="7"/>
      <c r="C1392" s="4"/>
      <c r="D1392" s="4"/>
      <c r="E1392" s="4"/>
    </row>
    <row r="1393">
      <c r="A1393" s="6"/>
      <c r="B1393" s="7"/>
      <c r="C1393" s="4"/>
      <c r="D1393" s="4"/>
      <c r="E1393" s="4"/>
    </row>
    <row r="1394">
      <c r="A1394" s="6"/>
      <c r="B1394" s="7"/>
      <c r="C1394" s="4"/>
      <c r="D1394" s="4"/>
      <c r="E1394" s="4"/>
    </row>
    <row r="1395">
      <c r="A1395" s="6"/>
      <c r="B1395" s="7"/>
      <c r="C1395" s="4"/>
      <c r="D1395" s="4"/>
      <c r="E1395" s="4"/>
    </row>
    <row r="1396">
      <c r="A1396" s="6"/>
      <c r="B1396" s="7"/>
      <c r="C1396" s="4"/>
      <c r="D1396" s="4"/>
      <c r="E1396" s="4"/>
    </row>
    <row r="1397">
      <c r="A1397" s="6"/>
      <c r="B1397" s="7"/>
      <c r="C1397" s="4"/>
      <c r="D1397" s="4"/>
      <c r="E1397" s="4"/>
    </row>
    <row r="1398">
      <c r="A1398" s="6"/>
      <c r="B1398" s="7"/>
      <c r="C1398" s="4"/>
      <c r="D1398" s="4"/>
      <c r="E1398" s="4"/>
    </row>
    <row r="1399">
      <c r="A1399" s="6"/>
      <c r="B1399" s="7"/>
      <c r="C1399" s="4"/>
      <c r="D1399" s="4"/>
      <c r="E1399" s="4"/>
    </row>
    <row r="1400">
      <c r="A1400" s="6"/>
      <c r="B1400" s="7"/>
      <c r="C1400" s="4"/>
      <c r="D1400" s="4"/>
      <c r="E1400" s="4"/>
    </row>
    <row r="1401">
      <c r="A1401" s="6"/>
      <c r="B1401" s="7"/>
      <c r="C1401" s="4"/>
      <c r="D1401" s="4"/>
      <c r="E1401" s="4"/>
    </row>
    <row r="1402">
      <c r="A1402" s="6"/>
      <c r="B1402" s="7"/>
      <c r="C1402" s="4"/>
      <c r="D1402" s="4"/>
      <c r="E1402" s="4"/>
    </row>
    <row r="1403">
      <c r="A1403" s="6"/>
      <c r="B1403" s="7"/>
      <c r="C1403" s="4"/>
      <c r="D1403" s="4"/>
      <c r="E1403" s="4"/>
    </row>
    <row r="1404">
      <c r="A1404" s="6"/>
      <c r="B1404" s="7"/>
      <c r="C1404" s="4"/>
      <c r="D1404" s="4"/>
      <c r="E1404" s="4"/>
    </row>
    <row r="1405">
      <c r="A1405" s="6"/>
      <c r="B1405" s="7"/>
      <c r="C1405" s="4"/>
      <c r="D1405" s="4"/>
      <c r="E1405" s="4"/>
    </row>
    <row r="1406">
      <c r="A1406" s="6"/>
      <c r="B1406" s="7"/>
      <c r="C1406" s="4"/>
      <c r="D1406" s="4"/>
      <c r="E1406" s="4"/>
    </row>
    <row r="1407">
      <c r="A1407" s="6"/>
      <c r="B1407" s="7"/>
      <c r="C1407" s="4"/>
      <c r="D1407" s="4"/>
      <c r="E1407" s="4"/>
    </row>
    <row r="1408">
      <c r="A1408" s="6"/>
      <c r="B1408" s="7"/>
      <c r="C1408" s="4"/>
      <c r="D1408" s="4"/>
      <c r="E1408" s="4"/>
    </row>
    <row r="1409">
      <c r="A1409" s="6"/>
      <c r="B1409" s="7"/>
      <c r="C1409" s="4"/>
      <c r="D1409" s="4"/>
      <c r="E1409" s="4"/>
    </row>
    <row r="1410">
      <c r="A1410" s="6"/>
      <c r="B1410" s="7"/>
      <c r="C1410" s="4"/>
      <c r="D1410" s="4"/>
      <c r="E1410" s="4"/>
    </row>
    <row r="1411">
      <c r="A1411" s="6"/>
      <c r="B1411" s="7"/>
      <c r="C1411" s="4"/>
      <c r="D1411" s="4"/>
      <c r="E1411" s="4"/>
    </row>
    <row r="1412">
      <c r="A1412" s="6"/>
      <c r="B1412" s="7"/>
      <c r="C1412" s="4"/>
      <c r="D1412" s="4"/>
      <c r="E1412" s="4"/>
    </row>
    <row r="1413">
      <c r="A1413" s="6"/>
      <c r="B1413" s="7"/>
      <c r="C1413" s="4"/>
      <c r="D1413" s="4"/>
      <c r="E1413" s="4"/>
    </row>
    <row r="1414">
      <c r="A1414" s="6"/>
      <c r="B1414" s="7"/>
      <c r="C1414" s="4"/>
      <c r="D1414" s="4"/>
      <c r="E1414" s="4"/>
    </row>
    <row r="1415">
      <c r="A1415" s="6"/>
      <c r="B1415" s="7"/>
      <c r="C1415" s="4"/>
      <c r="D1415" s="4"/>
      <c r="E1415" s="4"/>
    </row>
    <row r="1416">
      <c r="A1416" s="6"/>
      <c r="B1416" s="7"/>
      <c r="C1416" s="4"/>
      <c r="D1416" s="4"/>
      <c r="E1416" s="4"/>
    </row>
    <row r="1417">
      <c r="A1417" s="6"/>
      <c r="B1417" s="7"/>
      <c r="C1417" s="4"/>
      <c r="D1417" s="4"/>
      <c r="E1417" s="4"/>
    </row>
    <row r="1418">
      <c r="A1418" s="6"/>
      <c r="B1418" s="7"/>
      <c r="C1418" s="4"/>
      <c r="D1418" s="4"/>
      <c r="E1418" s="4"/>
    </row>
    <row r="1419">
      <c r="A1419" s="6"/>
      <c r="B1419" s="7"/>
      <c r="C1419" s="4"/>
      <c r="D1419" s="4"/>
      <c r="E1419" s="4"/>
    </row>
    <row r="1420">
      <c r="A1420" s="6"/>
      <c r="B1420" s="7"/>
      <c r="C1420" s="4"/>
      <c r="D1420" s="4"/>
      <c r="E1420" s="4"/>
    </row>
    <row r="1421">
      <c r="A1421" s="6"/>
      <c r="B1421" s="7"/>
      <c r="C1421" s="4"/>
      <c r="D1421" s="4"/>
      <c r="E1421" s="4"/>
    </row>
    <row r="1422">
      <c r="A1422" s="6"/>
      <c r="B1422" s="7"/>
      <c r="C1422" s="4"/>
      <c r="D1422" s="4"/>
      <c r="E1422" s="4"/>
    </row>
    <row r="1423">
      <c r="A1423" s="6"/>
      <c r="B1423" s="7"/>
      <c r="C1423" s="4"/>
      <c r="D1423" s="4"/>
      <c r="E1423" s="4"/>
    </row>
    <row r="1424">
      <c r="A1424" s="6"/>
      <c r="B1424" s="7"/>
      <c r="C1424" s="4"/>
      <c r="D1424" s="4"/>
      <c r="E1424" s="4"/>
    </row>
    <row r="1425">
      <c r="A1425" s="6"/>
      <c r="B1425" s="7"/>
      <c r="C1425" s="4"/>
      <c r="D1425" s="4"/>
      <c r="E1425" s="4"/>
    </row>
    <row r="1426">
      <c r="A1426" s="6"/>
      <c r="B1426" s="7"/>
      <c r="C1426" s="4"/>
      <c r="D1426" s="4"/>
      <c r="E1426" s="4"/>
    </row>
    <row r="1427">
      <c r="A1427" s="6"/>
      <c r="B1427" s="7"/>
      <c r="C1427" s="4"/>
      <c r="D1427" s="4"/>
      <c r="E1427" s="4"/>
    </row>
    <row r="1428">
      <c r="A1428" s="6"/>
      <c r="B1428" s="7"/>
      <c r="C1428" s="4"/>
      <c r="D1428" s="4"/>
      <c r="E1428" s="4"/>
    </row>
    <row r="1429">
      <c r="A1429" s="6"/>
      <c r="B1429" s="7"/>
      <c r="C1429" s="4"/>
      <c r="D1429" s="4"/>
      <c r="E1429" s="4"/>
    </row>
    <row r="1430">
      <c r="A1430" s="6"/>
      <c r="B1430" s="7"/>
      <c r="C1430" s="4"/>
      <c r="D1430" s="4"/>
      <c r="E1430" s="4"/>
    </row>
    <row r="1431">
      <c r="A1431" s="6"/>
      <c r="B1431" s="7"/>
      <c r="C1431" s="4"/>
      <c r="D1431" s="4"/>
      <c r="E1431" s="4"/>
    </row>
    <row r="1432">
      <c r="A1432" s="6"/>
      <c r="B1432" s="7"/>
      <c r="C1432" s="4"/>
      <c r="D1432" s="4"/>
      <c r="E1432" s="4"/>
    </row>
    <row r="1433">
      <c r="A1433" s="6"/>
      <c r="B1433" s="7"/>
      <c r="C1433" s="4"/>
      <c r="D1433" s="4"/>
      <c r="E1433" s="4"/>
    </row>
    <row r="1434">
      <c r="A1434" s="6"/>
      <c r="B1434" s="7"/>
      <c r="C1434" s="4"/>
      <c r="D1434" s="4"/>
      <c r="E1434" s="4"/>
    </row>
    <row r="1435">
      <c r="A1435" s="6"/>
      <c r="B1435" s="7"/>
      <c r="C1435" s="4"/>
      <c r="D1435" s="4"/>
      <c r="E1435" s="4"/>
    </row>
    <row r="1436">
      <c r="A1436" s="6"/>
      <c r="B1436" s="7"/>
      <c r="C1436" s="4"/>
      <c r="D1436" s="4"/>
      <c r="E1436" s="4"/>
    </row>
    <row r="1437">
      <c r="A1437" s="6"/>
      <c r="B1437" s="7"/>
      <c r="C1437" s="4"/>
      <c r="D1437" s="4"/>
      <c r="E1437" s="4"/>
    </row>
    <row r="1438">
      <c r="A1438" s="6"/>
      <c r="B1438" s="7"/>
      <c r="C1438" s="4"/>
      <c r="D1438" s="4"/>
      <c r="E1438" s="4"/>
    </row>
    <row r="1439">
      <c r="A1439" s="6"/>
      <c r="B1439" s="7"/>
      <c r="C1439" s="4"/>
      <c r="D1439" s="4"/>
      <c r="E1439" s="4"/>
    </row>
    <row r="1440">
      <c r="A1440" s="6"/>
      <c r="B1440" s="7"/>
      <c r="C1440" s="4"/>
      <c r="D1440" s="4"/>
      <c r="E1440" s="4"/>
    </row>
    <row r="1441">
      <c r="A1441" s="6"/>
      <c r="B1441" s="7"/>
      <c r="C1441" s="4"/>
      <c r="D1441" s="4"/>
      <c r="E1441" s="4"/>
    </row>
    <row r="1442">
      <c r="A1442" s="6"/>
      <c r="B1442" s="7"/>
      <c r="C1442" s="4"/>
      <c r="D1442" s="4"/>
      <c r="E1442" s="4"/>
    </row>
    <row r="1443">
      <c r="A1443" s="6"/>
      <c r="B1443" s="7"/>
      <c r="C1443" s="4"/>
      <c r="D1443" s="4"/>
      <c r="E1443" s="4"/>
    </row>
    <row r="1444">
      <c r="A1444" s="6"/>
      <c r="B1444" s="7"/>
      <c r="C1444" s="4"/>
      <c r="D1444" s="4"/>
      <c r="E1444" s="4"/>
    </row>
    <row r="1445">
      <c r="A1445" s="6"/>
      <c r="B1445" s="7"/>
      <c r="C1445" s="4"/>
      <c r="D1445" s="4"/>
      <c r="E1445" s="4"/>
    </row>
    <row r="1446">
      <c r="A1446" s="6"/>
      <c r="B1446" s="7"/>
      <c r="C1446" s="4"/>
      <c r="D1446" s="4"/>
      <c r="E1446" s="4"/>
    </row>
    <row r="1447">
      <c r="A1447" s="6"/>
      <c r="B1447" s="7"/>
      <c r="C1447" s="4"/>
      <c r="D1447" s="4"/>
      <c r="E1447" s="4"/>
    </row>
    <row r="1448">
      <c r="A1448" s="6"/>
      <c r="B1448" s="7"/>
      <c r="C1448" s="4"/>
      <c r="D1448" s="4"/>
      <c r="E1448" s="4"/>
    </row>
    <row r="1449">
      <c r="A1449" s="6"/>
      <c r="B1449" s="7"/>
      <c r="C1449" s="4"/>
      <c r="D1449" s="4"/>
      <c r="E1449" s="4"/>
    </row>
    <row r="1450">
      <c r="A1450" s="6"/>
      <c r="B1450" s="7"/>
      <c r="C1450" s="4"/>
      <c r="D1450" s="4"/>
      <c r="E1450" s="4"/>
    </row>
    <row r="1451">
      <c r="A1451" s="6"/>
      <c r="B1451" s="7"/>
      <c r="C1451" s="4"/>
      <c r="D1451" s="4"/>
      <c r="E1451" s="4"/>
    </row>
    <row r="1452">
      <c r="A1452" s="6"/>
      <c r="B1452" s="7"/>
      <c r="C1452" s="4"/>
      <c r="D1452" s="4"/>
      <c r="E1452" s="4"/>
    </row>
    <row r="1453">
      <c r="A1453" s="6"/>
      <c r="B1453" s="7"/>
      <c r="C1453" s="4"/>
      <c r="D1453" s="4"/>
      <c r="E1453" s="4"/>
    </row>
    <row r="1454">
      <c r="A1454" s="6"/>
      <c r="B1454" s="7"/>
      <c r="C1454" s="4"/>
      <c r="D1454" s="4"/>
      <c r="E1454" s="4"/>
    </row>
    <row r="1455">
      <c r="A1455" s="6"/>
      <c r="B1455" s="7"/>
      <c r="C1455" s="4"/>
      <c r="D1455" s="4"/>
      <c r="E1455" s="4"/>
    </row>
    <row r="1456">
      <c r="A1456" s="6"/>
      <c r="B1456" s="7"/>
      <c r="C1456" s="4"/>
      <c r="D1456" s="4"/>
      <c r="E1456" s="4"/>
    </row>
    <row r="1457">
      <c r="A1457" s="6"/>
      <c r="B1457" s="7"/>
      <c r="C1457" s="4"/>
      <c r="D1457" s="4"/>
      <c r="E1457" s="4"/>
    </row>
    <row r="1458">
      <c r="A1458" s="6"/>
      <c r="B1458" s="7"/>
      <c r="C1458" s="4"/>
      <c r="D1458" s="4"/>
      <c r="E1458" s="4"/>
    </row>
    <row r="1459">
      <c r="A1459" s="6"/>
      <c r="B1459" s="7"/>
      <c r="C1459" s="4"/>
      <c r="D1459" s="4"/>
      <c r="E1459" s="4"/>
    </row>
    <row r="1460">
      <c r="A1460" s="6"/>
      <c r="B1460" s="7"/>
      <c r="C1460" s="4"/>
      <c r="D1460" s="4"/>
      <c r="E1460" s="4"/>
    </row>
    <row r="1461">
      <c r="A1461" s="6"/>
      <c r="B1461" s="7"/>
      <c r="C1461" s="4"/>
      <c r="D1461" s="4"/>
      <c r="E1461" s="4"/>
    </row>
    <row r="1462">
      <c r="A1462" s="6"/>
      <c r="B1462" s="7"/>
      <c r="C1462" s="4"/>
      <c r="D1462" s="4"/>
      <c r="E1462" s="4"/>
    </row>
    <row r="1463">
      <c r="A1463" s="6"/>
      <c r="B1463" s="7"/>
      <c r="C1463" s="4"/>
      <c r="D1463" s="4"/>
      <c r="E1463" s="4"/>
    </row>
    <row r="1464">
      <c r="A1464" s="6"/>
      <c r="B1464" s="7"/>
      <c r="C1464" s="4"/>
      <c r="D1464" s="4"/>
      <c r="E1464" s="4"/>
    </row>
    <row r="1465">
      <c r="A1465" s="6"/>
      <c r="B1465" s="7"/>
      <c r="C1465" s="4"/>
      <c r="D1465" s="4"/>
      <c r="E1465" s="4"/>
    </row>
    <row r="1466">
      <c r="A1466" s="6"/>
      <c r="B1466" s="7"/>
      <c r="C1466" s="4"/>
      <c r="D1466" s="4"/>
      <c r="E1466" s="4"/>
    </row>
    <row r="1467">
      <c r="A1467" s="6"/>
      <c r="B1467" s="7"/>
      <c r="C1467" s="4"/>
      <c r="D1467" s="4"/>
      <c r="E1467" s="4"/>
    </row>
    <row r="1468">
      <c r="A1468" s="6"/>
      <c r="B1468" s="7"/>
      <c r="C1468" s="4"/>
      <c r="D1468" s="4"/>
      <c r="E1468" s="4"/>
    </row>
    <row r="1469">
      <c r="A1469" s="6"/>
      <c r="B1469" s="7"/>
      <c r="C1469" s="4"/>
      <c r="D1469" s="4"/>
      <c r="E1469" s="4"/>
    </row>
    <row r="1470">
      <c r="A1470" s="6"/>
      <c r="B1470" s="7"/>
      <c r="C1470" s="4"/>
      <c r="D1470" s="4"/>
      <c r="E1470" s="4"/>
    </row>
    <row r="1471">
      <c r="A1471" s="6"/>
      <c r="B1471" s="7"/>
      <c r="C1471" s="4"/>
      <c r="D1471" s="4"/>
      <c r="E1471" s="4"/>
    </row>
    <row r="1472">
      <c r="A1472" s="6"/>
      <c r="B1472" s="7"/>
      <c r="C1472" s="4"/>
      <c r="D1472" s="4"/>
      <c r="E1472" s="4"/>
    </row>
    <row r="1473">
      <c r="A1473" s="6"/>
      <c r="B1473" s="7"/>
      <c r="C1473" s="4"/>
      <c r="D1473" s="4"/>
      <c r="E1473" s="4"/>
    </row>
    <row r="1474">
      <c r="A1474" s="6"/>
      <c r="B1474" s="7"/>
      <c r="C1474" s="4"/>
      <c r="D1474" s="4"/>
      <c r="E1474" s="4"/>
    </row>
    <row r="1475">
      <c r="A1475" s="6"/>
      <c r="B1475" s="7"/>
      <c r="C1475" s="4"/>
      <c r="D1475" s="4"/>
      <c r="E1475" s="4"/>
    </row>
    <row r="1476">
      <c r="A1476" s="6"/>
      <c r="B1476" s="7"/>
      <c r="C1476" s="4"/>
      <c r="D1476" s="4"/>
      <c r="E1476" s="4"/>
    </row>
    <row r="1477">
      <c r="A1477" s="6"/>
      <c r="B1477" s="7"/>
      <c r="C1477" s="4"/>
      <c r="D1477" s="4"/>
      <c r="E1477" s="4"/>
    </row>
    <row r="1478">
      <c r="A1478" s="6"/>
      <c r="B1478" s="7"/>
      <c r="C1478" s="4"/>
      <c r="D1478" s="4"/>
      <c r="E1478" s="4"/>
    </row>
    <row r="1479">
      <c r="A1479" s="6"/>
      <c r="B1479" s="7"/>
      <c r="C1479" s="4"/>
      <c r="D1479" s="4"/>
      <c r="E1479" s="4"/>
    </row>
    <row r="1480">
      <c r="A1480" s="6"/>
      <c r="B1480" s="7"/>
      <c r="C1480" s="4"/>
      <c r="D1480" s="4"/>
      <c r="E1480" s="4"/>
    </row>
    <row r="1481">
      <c r="A1481" s="6"/>
      <c r="B1481" s="7"/>
      <c r="C1481" s="4"/>
      <c r="D1481" s="4"/>
      <c r="E1481" s="4"/>
    </row>
    <row r="1482">
      <c r="A1482" s="6"/>
      <c r="B1482" s="7"/>
      <c r="C1482" s="4"/>
      <c r="D1482" s="4"/>
      <c r="E1482" s="4"/>
    </row>
    <row r="1483">
      <c r="A1483" s="6"/>
      <c r="B1483" s="7"/>
      <c r="C1483" s="4"/>
      <c r="D1483" s="4"/>
      <c r="E1483" s="4"/>
    </row>
    <row r="1484">
      <c r="A1484" s="6"/>
      <c r="B1484" s="7"/>
      <c r="C1484" s="4"/>
      <c r="D1484" s="4"/>
      <c r="E1484" s="4"/>
    </row>
    <row r="1485">
      <c r="A1485" s="6"/>
      <c r="B1485" s="7"/>
      <c r="C1485" s="4"/>
      <c r="D1485" s="4"/>
      <c r="E1485" s="4"/>
    </row>
    <row r="1486">
      <c r="A1486" s="6"/>
      <c r="B1486" s="7"/>
      <c r="C1486" s="4"/>
      <c r="D1486" s="4"/>
      <c r="E1486" s="4"/>
    </row>
    <row r="1487">
      <c r="A1487" s="6"/>
      <c r="B1487" s="7"/>
      <c r="C1487" s="4"/>
      <c r="D1487" s="4"/>
      <c r="E1487" s="4"/>
    </row>
    <row r="1488">
      <c r="A1488" s="6"/>
      <c r="B1488" s="7"/>
      <c r="C1488" s="4"/>
      <c r="D1488" s="4"/>
      <c r="E1488" s="4"/>
    </row>
    <row r="1489">
      <c r="A1489" s="6"/>
      <c r="B1489" s="7"/>
      <c r="C1489" s="4"/>
      <c r="D1489" s="4"/>
      <c r="E1489" s="4"/>
    </row>
    <row r="1490">
      <c r="A1490" s="6"/>
      <c r="B1490" s="7"/>
      <c r="C1490" s="4"/>
      <c r="D1490" s="4"/>
      <c r="E1490" s="4"/>
    </row>
    <row r="1491">
      <c r="A1491" s="6"/>
      <c r="B1491" s="7"/>
      <c r="C1491" s="4"/>
      <c r="D1491" s="4"/>
      <c r="E1491" s="4"/>
    </row>
    <row r="1492">
      <c r="A1492" s="6"/>
      <c r="B1492" s="7"/>
      <c r="C1492" s="4"/>
      <c r="D1492" s="4"/>
      <c r="E1492" s="4"/>
    </row>
    <row r="1493">
      <c r="A1493" s="6"/>
      <c r="B1493" s="7"/>
      <c r="C1493" s="4"/>
      <c r="D1493" s="4"/>
      <c r="E1493" s="4"/>
    </row>
    <row r="1494">
      <c r="A1494" s="6"/>
      <c r="B1494" s="7"/>
      <c r="C1494" s="4"/>
      <c r="D1494" s="4"/>
      <c r="E1494" s="4"/>
    </row>
    <row r="1495">
      <c r="A1495" s="6"/>
      <c r="B1495" s="7"/>
      <c r="C1495" s="4"/>
      <c r="D1495" s="4"/>
      <c r="E1495" s="4"/>
    </row>
    <row r="1496">
      <c r="A1496" s="6"/>
      <c r="B1496" s="7"/>
      <c r="C1496" s="4"/>
      <c r="D1496" s="4"/>
      <c r="E1496" s="4"/>
    </row>
    <row r="1497">
      <c r="A1497" s="6"/>
      <c r="B1497" s="7"/>
      <c r="C1497" s="4"/>
      <c r="D1497" s="4"/>
      <c r="E1497" s="4"/>
    </row>
    <row r="1498">
      <c r="A1498" s="6"/>
      <c r="B1498" s="7"/>
      <c r="C1498" s="4"/>
      <c r="D1498" s="4"/>
      <c r="E1498" s="4"/>
    </row>
    <row r="1499">
      <c r="A1499" s="6"/>
      <c r="B1499" s="7"/>
      <c r="C1499" s="4"/>
      <c r="D1499" s="4"/>
      <c r="E1499" s="4"/>
    </row>
    <row r="1500">
      <c r="A1500" s="6"/>
      <c r="B1500" s="7"/>
      <c r="C1500" s="4"/>
      <c r="D1500" s="4"/>
      <c r="E1500" s="4"/>
    </row>
    <row r="1501">
      <c r="A1501" s="6"/>
      <c r="B1501" s="7"/>
      <c r="C1501" s="4"/>
      <c r="D1501" s="4"/>
      <c r="E1501" s="4"/>
    </row>
    <row r="1502">
      <c r="A1502" s="6"/>
      <c r="B1502" s="7"/>
      <c r="C1502" s="4"/>
      <c r="D1502" s="4"/>
      <c r="E1502" s="4"/>
    </row>
    <row r="1503">
      <c r="A1503" s="6"/>
      <c r="B1503" s="7"/>
      <c r="C1503" s="4"/>
      <c r="D1503" s="4"/>
      <c r="E1503" s="4"/>
    </row>
    <row r="1504">
      <c r="A1504" s="6"/>
      <c r="B1504" s="7"/>
      <c r="C1504" s="4"/>
      <c r="D1504" s="4"/>
      <c r="E1504" s="4"/>
    </row>
    <row r="1505">
      <c r="A1505" s="6"/>
      <c r="B1505" s="7"/>
      <c r="C1505" s="4"/>
      <c r="D1505" s="4"/>
      <c r="E1505" s="4"/>
    </row>
    <row r="1506">
      <c r="A1506" s="6"/>
      <c r="B1506" s="7"/>
      <c r="C1506" s="4"/>
      <c r="D1506" s="4"/>
      <c r="E1506" s="4"/>
    </row>
    <row r="1507">
      <c r="A1507" s="6"/>
      <c r="B1507" s="7"/>
      <c r="C1507" s="4"/>
      <c r="D1507" s="4"/>
      <c r="E1507" s="4"/>
    </row>
    <row r="1508">
      <c r="A1508" s="6"/>
      <c r="B1508" s="7"/>
      <c r="C1508" s="4"/>
      <c r="D1508" s="4"/>
      <c r="E1508" s="4"/>
    </row>
    <row r="1509">
      <c r="A1509" s="6"/>
      <c r="B1509" s="7"/>
      <c r="C1509" s="4"/>
      <c r="D1509" s="4"/>
      <c r="E1509" s="4"/>
    </row>
    <row r="1510">
      <c r="A1510" s="6"/>
      <c r="B1510" s="7"/>
      <c r="C1510" s="4"/>
      <c r="D1510" s="4"/>
      <c r="E1510" s="4"/>
    </row>
    <row r="1511">
      <c r="A1511" s="6"/>
      <c r="B1511" s="7"/>
      <c r="C1511" s="4"/>
      <c r="D1511" s="4"/>
      <c r="E1511" s="4"/>
    </row>
    <row r="1512">
      <c r="A1512" s="6"/>
      <c r="B1512" s="7"/>
      <c r="C1512" s="4"/>
      <c r="D1512" s="4"/>
      <c r="E1512" s="4"/>
    </row>
    <row r="1513">
      <c r="A1513" s="6"/>
      <c r="B1513" s="7"/>
      <c r="C1513" s="4"/>
      <c r="D1513" s="4"/>
      <c r="E1513" s="4"/>
    </row>
    <row r="1514">
      <c r="A1514" s="6"/>
      <c r="B1514" s="7"/>
      <c r="C1514" s="4"/>
      <c r="D1514" s="4"/>
      <c r="E1514" s="4"/>
    </row>
    <row r="1515">
      <c r="A1515" s="6"/>
      <c r="B1515" s="7"/>
      <c r="C1515" s="4"/>
      <c r="D1515" s="4"/>
      <c r="E1515" s="4"/>
    </row>
    <row r="1516">
      <c r="A1516" s="6"/>
      <c r="B1516" s="7"/>
      <c r="C1516" s="4"/>
      <c r="D1516" s="4"/>
      <c r="E1516" s="4"/>
    </row>
    <row r="1517">
      <c r="A1517" s="6"/>
      <c r="B1517" s="7"/>
      <c r="C1517" s="4"/>
      <c r="D1517" s="4"/>
      <c r="E1517" s="4"/>
    </row>
    <row r="1518">
      <c r="A1518" s="6"/>
      <c r="B1518" s="7"/>
      <c r="C1518" s="4"/>
      <c r="D1518" s="4"/>
      <c r="E1518" s="4"/>
    </row>
    <row r="1519">
      <c r="A1519" s="6"/>
      <c r="B1519" s="7"/>
      <c r="C1519" s="4"/>
      <c r="D1519" s="4"/>
      <c r="E1519" s="4"/>
    </row>
    <row r="1520">
      <c r="A1520" s="6"/>
      <c r="B1520" s="7"/>
      <c r="C1520" s="4"/>
      <c r="D1520" s="4"/>
      <c r="E1520" s="4"/>
    </row>
    <row r="1521">
      <c r="A1521" s="6"/>
      <c r="B1521" s="7"/>
      <c r="C1521" s="4"/>
      <c r="D1521" s="4"/>
      <c r="E1521" s="4"/>
    </row>
    <row r="1522">
      <c r="A1522" s="6"/>
      <c r="B1522" s="7"/>
      <c r="C1522" s="4"/>
      <c r="D1522" s="4"/>
      <c r="E1522" s="4"/>
    </row>
    <row r="1523">
      <c r="A1523" s="6"/>
      <c r="B1523" s="7"/>
      <c r="C1523" s="4"/>
      <c r="D1523" s="4"/>
      <c r="E1523" s="4"/>
    </row>
    <row r="1524">
      <c r="A1524" s="6"/>
      <c r="B1524" s="7"/>
      <c r="C1524" s="4"/>
      <c r="D1524" s="4"/>
      <c r="E1524" s="4"/>
    </row>
    <row r="1525">
      <c r="A1525" s="6"/>
      <c r="B1525" s="7"/>
      <c r="C1525" s="4"/>
      <c r="D1525" s="4"/>
      <c r="E1525" s="4"/>
    </row>
    <row r="1526">
      <c r="A1526" s="6"/>
      <c r="B1526" s="7"/>
      <c r="C1526" s="4"/>
      <c r="D1526" s="4"/>
      <c r="E1526" s="4"/>
    </row>
    <row r="1527">
      <c r="A1527" s="6"/>
      <c r="B1527" s="7"/>
      <c r="C1527" s="4"/>
      <c r="D1527" s="4"/>
      <c r="E1527" s="4"/>
    </row>
    <row r="1528">
      <c r="A1528" s="6"/>
      <c r="B1528" s="7"/>
      <c r="C1528" s="4"/>
      <c r="D1528" s="4"/>
      <c r="E1528" s="4"/>
    </row>
    <row r="1529">
      <c r="A1529" s="6"/>
      <c r="B1529" s="7"/>
      <c r="C1529" s="4"/>
      <c r="D1529" s="4"/>
      <c r="E1529" s="4"/>
    </row>
    <row r="1530">
      <c r="A1530" s="6"/>
      <c r="B1530" s="7"/>
      <c r="C1530" s="4"/>
      <c r="D1530" s="4"/>
      <c r="E1530" s="4"/>
    </row>
    <row r="1531">
      <c r="A1531" s="6"/>
      <c r="B1531" s="7"/>
      <c r="C1531" s="4"/>
      <c r="D1531" s="4"/>
      <c r="E1531" s="4"/>
    </row>
    <row r="1532">
      <c r="A1532" s="6"/>
      <c r="B1532" s="7"/>
      <c r="C1532" s="4"/>
      <c r="D1532" s="4"/>
      <c r="E1532" s="4"/>
    </row>
    <row r="1533">
      <c r="A1533" s="6"/>
      <c r="B1533" s="7"/>
      <c r="C1533" s="4"/>
      <c r="D1533" s="4"/>
      <c r="E1533" s="4"/>
    </row>
    <row r="1534">
      <c r="A1534" s="6"/>
      <c r="B1534" s="7"/>
      <c r="C1534" s="4"/>
      <c r="D1534" s="4"/>
      <c r="E1534" s="4"/>
    </row>
    <row r="1535">
      <c r="A1535" s="6"/>
      <c r="B1535" s="7"/>
      <c r="C1535" s="4"/>
      <c r="D1535" s="4"/>
      <c r="E1535" s="4"/>
    </row>
    <row r="1536">
      <c r="A1536" s="6"/>
      <c r="B1536" s="7"/>
      <c r="C1536" s="4"/>
      <c r="D1536" s="4"/>
      <c r="E1536" s="4"/>
    </row>
    <row r="1537">
      <c r="A1537" s="6"/>
      <c r="B1537" s="7"/>
      <c r="C1537" s="4"/>
      <c r="D1537" s="4"/>
      <c r="E1537" s="4"/>
    </row>
    <row r="1538">
      <c r="A1538" s="6"/>
      <c r="B1538" s="7"/>
      <c r="C1538" s="4"/>
      <c r="D1538" s="4"/>
      <c r="E1538" s="4"/>
    </row>
    <row r="1539">
      <c r="A1539" s="6"/>
      <c r="B1539" s="7"/>
      <c r="C1539" s="4"/>
      <c r="D1539" s="4"/>
      <c r="E1539" s="4"/>
    </row>
    <row r="1540">
      <c r="A1540" s="6"/>
      <c r="B1540" s="7"/>
      <c r="C1540" s="4"/>
      <c r="D1540" s="4"/>
      <c r="E1540" s="4"/>
    </row>
    <row r="1541">
      <c r="A1541" s="6"/>
      <c r="B1541" s="7"/>
      <c r="C1541" s="4"/>
      <c r="D1541" s="4"/>
      <c r="E1541" s="4"/>
    </row>
    <row r="1542">
      <c r="A1542" s="6"/>
      <c r="B1542" s="7"/>
      <c r="C1542" s="4"/>
      <c r="D1542" s="4"/>
      <c r="E1542" s="4"/>
    </row>
    <row r="1543">
      <c r="A1543" s="6"/>
      <c r="B1543" s="7"/>
      <c r="C1543" s="4"/>
      <c r="D1543" s="4"/>
      <c r="E1543" s="4"/>
    </row>
    <row r="1544">
      <c r="A1544" s="6"/>
      <c r="B1544" s="7"/>
      <c r="C1544" s="4"/>
      <c r="D1544" s="4"/>
      <c r="E1544" s="4"/>
    </row>
    <row r="1545">
      <c r="A1545" s="6"/>
      <c r="B1545" s="7"/>
      <c r="C1545" s="4"/>
      <c r="D1545" s="4"/>
      <c r="E1545" s="4"/>
    </row>
    <row r="1546">
      <c r="A1546" s="6"/>
      <c r="B1546" s="7"/>
      <c r="C1546" s="4"/>
      <c r="D1546" s="4"/>
      <c r="E1546" s="4"/>
    </row>
    <row r="1547">
      <c r="A1547" s="6"/>
      <c r="B1547" s="7"/>
      <c r="C1547" s="4"/>
      <c r="D1547" s="4"/>
      <c r="E1547" s="4"/>
    </row>
    <row r="1548">
      <c r="A1548" s="6"/>
      <c r="B1548" s="7"/>
      <c r="C1548" s="4"/>
      <c r="D1548" s="4"/>
      <c r="E1548" s="4"/>
    </row>
    <row r="1549">
      <c r="A1549" s="6"/>
      <c r="B1549" s="7"/>
      <c r="C1549" s="4"/>
      <c r="D1549" s="4"/>
      <c r="E1549" s="4"/>
    </row>
    <row r="1550">
      <c r="A1550" s="6"/>
      <c r="B1550" s="7"/>
      <c r="C1550" s="4"/>
      <c r="D1550" s="4"/>
      <c r="E1550" s="4"/>
    </row>
    <row r="1551">
      <c r="A1551" s="6"/>
      <c r="B1551" s="7"/>
      <c r="C1551" s="4"/>
      <c r="D1551" s="4"/>
      <c r="E1551" s="4"/>
    </row>
    <row r="1552">
      <c r="A1552" s="6"/>
      <c r="B1552" s="7"/>
      <c r="C1552" s="4"/>
      <c r="D1552" s="4"/>
      <c r="E1552" s="4"/>
    </row>
    <row r="1553">
      <c r="A1553" s="6"/>
      <c r="B1553" s="7"/>
      <c r="C1553" s="4"/>
      <c r="D1553" s="4"/>
      <c r="E1553" s="4"/>
    </row>
    <row r="1554">
      <c r="A1554" s="6"/>
      <c r="B1554" s="7"/>
      <c r="C1554" s="4"/>
      <c r="D1554" s="4"/>
      <c r="E1554" s="4"/>
    </row>
    <row r="1555">
      <c r="A1555" s="6"/>
      <c r="B1555" s="7"/>
      <c r="C1555" s="4"/>
      <c r="D1555" s="4"/>
      <c r="E1555" s="4"/>
    </row>
    <row r="1556">
      <c r="A1556" s="6"/>
      <c r="B1556" s="7"/>
      <c r="C1556" s="4"/>
      <c r="D1556" s="4"/>
      <c r="E1556" s="4"/>
    </row>
    <row r="1557">
      <c r="A1557" s="6"/>
      <c r="B1557" s="7"/>
      <c r="C1557" s="4"/>
      <c r="D1557" s="4"/>
      <c r="E1557" s="4"/>
    </row>
    <row r="1558">
      <c r="A1558" s="6"/>
      <c r="B1558" s="7"/>
      <c r="C1558" s="4"/>
      <c r="D1558" s="4"/>
      <c r="E1558" s="4"/>
    </row>
    <row r="1559">
      <c r="A1559" s="6"/>
      <c r="B1559" s="7"/>
      <c r="C1559" s="4"/>
      <c r="D1559" s="4"/>
      <c r="E1559" s="4"/>
    </row>
    <row r="1560">
      <c r="A1560" s="6"/>
      <c r="B1560" s="7"/>
      <c r="C1560" s="4"/>
      <c r="D1560" s="4"/>
      <c r="E1560" s="4"/>
    </row>
    <row r="1561">
      <c r="A1561" s="6"/>
      <c r="B1561" s="7"/>
      <c r="C1561" s="4"/>
      <c r="D1561" s="4"/>
      <c r="E1561" s="4"/>
    </row>
    <row r="1562">
      <c r="A1562" s="6"/>
      <c r="B1562" s="7"/>
      <c r="C1562" s="4"/>
      <c r="D1562" s="4"/>
      <c r="E1562" s="4"/>
    </row>
    <row r="1563">
      <c r="A1563" s="6"/>
      <c r="B1563" s="7"/>
      <c r="C1563" s="4"/>
      <c r="D1563" s="4"/>
      <c r="E1563" s="4"/>
    </row>
    <row r="1564">
      <c r="A1564" s="6"/>
      <c r="B1564" s="7"/>
      <c r="C1564" s="4"/>
      <c r="D1564" s="4"/>
      <c r="E1564" s="4"/>
    </row>
    <row r="1565">
      <c r="A1565" s="6"/>
      <c r="B1565" s="7"/>
      <c r="C1565" s="4"/>
      <c r="D1565" s="4"/>
      <c r="E1565" s="4"/>
    </row>
    <row r="1566">
      <c r="A1566" s="6"/>
      <c r="B1566" s="7"/>
      <c r="C1566" s="4"/>
      <c r="D1566" s="4"/>
      <c r="E1566" s="4"/>
    </row>
    <row r="1567">
      <c r="A1567" s="6"/>
      <c r="B1567" s="7"/>
      <c r="C1567" s="4"/>
      <c r="D1567" s="4"/>
      <c r="E1567" s="4"/>
    </row>
    <row r="1568">
      <c r="A1568" s="6"/>
      <c r="B1568" s="7"/>
      <c r="C1568" s="4"/>
      <c r="D1568" s="4"/>
      <c r="E1568" s="4"/>
    </row>
    <row r="1569">
      <c r="A1569" s="6"/>
      <c r="B1569" s="7"/>
      <c r="C1569" s="4"/>
      <c r="D1569" s="4"/>
      <c r="E1569" s="4"/>
    </row>
    <row r="1570">
      <c r="A1570" s="6"/>
      <c r="B1570" s="7"/>
      <c r="C1570" s="4"/>
      <c r="D1570" s="4"/>
      <c r="E1570" s="4"/>
    </row>
    <row r="1571">
      <c r="A1571" s="6"/>
      <c r="B1571" s="7"/>
      <c r="C1571" s="4"/>
      <c r="D1571" s="4"/>
      <c r="E1571" s="4"/>
    </row>
    <row r="1572">
      <c r="A1572" s="6"/>
      <c r="B1572" s="7"/>
      <c r="C1572" s="4"/>
      <c r="D1572" s="4"/>
      <c r="E1572" s="4"/>
    </row>
    <row r="1573">
      <c r="A1573" s="6"/>
      <c r="B1573" s="7"/>
      <c r="C1573" s="4"/>
      <c r="D1573" s="4"/>
      <c r="E1573" s="4"/>
    </row>
    <row r="1574">
      <c r="A1574" s="6"/>
      <c r="B1574" s="7"/>
      <c r="C1574" s="4"/>
      <c r="D1574" s="4"/>
      <c r="E1574" s="4"/>
    </row>
    <row r="1575">
      <c r="A1575" s="6"/>
      <c r="B1575" s="7"/>
      <c r="C1575" s="4"/>
      <c r="D1575" s="4"/>
      <c r="E1575" s="4"/>
    </row>
    <row r="1576">
      <c r="A1576" s="6"/>
      <c r="B1576" s="7"/>
      <c r="C1576" s="4"/>
      <c r="D1576" s="4"/>
      <c r="E1576" s="4"/>
    </row>
    <row r="1577">
      <c r="A1577" s="6"/>
      <c r="B1577" s="7"/>
      <c r="C1577" s="4"/>
      <c r="D1577" s="4"/>
      <c r="E1577" s="4"/>
    </row>
    <row r="1578">
      <c r="A1578" s="6"/>
      <c r="B1578" s="7"/>
      <c r="C1578" s="4"/>
      <c r="D1578" s="4"/>
      <c r="E1578" s="4"/>
    </row>
    <row r="1579">
      <c r="A1579" s="6"/>
      <c r="B1579" s="7"/>
      <c r="C1579" s="4"/>
      <c r="D1579" s="4"/>
      <c r="E1579" s="4"/>
    </row>
    <row r="1580">
      <c r="A1580" s="6"/>
      <c r="B1580" s="7"/>
      <c r="C1580" s="4"/>
      <c r="D1580" s="4"/>
      <c r="E1580" s="4"/>
    </row>
    <row r="1581">
      <c r="A1581" s="6"/>
      <c r="B1581" s="7"/>
      <c r="C1581" s="4"/>
      <c r="D1581" s="4"/>
      <c r="E1581" s="4"/>
    </row>
    <row r="1582">
      <c r="A1582" s="6"/>
      <c r="B1582" s="7"/>
      <c r="C1582" s="4"/>
      <c r="D1582" s="4"/>
      <c r="E1582" s="4"/>
    </row>
    <row r="1583">
      <c r="A1583" s="6"/>
      <c r="B1583" s="7"/>
      <c r="C1583" s="4"/>
      <c r="D1583" s="4"/>
      <c r="E1583" s="4"/>
    </row>
    <row r="1584">
      <c r="A1584" s="6"/>
      <c r="B1584" s="7"/>
      <c r="C1584" s="4"/>
      <c r="D1584" s="4"/>
      <c r="E1584" s="4"/>
    </row>
    <row r="1585">
      <c r="A1585" s="6"/>
      <c r="B1585" s="7"/>
      <c r="C1585" s="4"/>
      <c r="D1585" s="4"/>
      <c r="E1585" s="4"/>
    </row>
    <row r="1586">
      <c r="A1586" s="6"/>
      <c r="B1586" s="7"/>
      <c r="C1586" s="4"/>
      <c r="D1586" s="4"/>
      <c r="E1586" s="4"/>
    </row>
    <row r="1587">
      <c r="A1587" s="6"/>
      <c r="B1587" s="7"/>
      <c r="C1587" s="4"/>
      <c r="D1587" s="4"/>
      <c r="E1587" s="4"/>
    </row>
    <row r="1588">
      <c r="A1588" s="6"/>
      <c r="B1588" s="7"/>
      <c r="C1588" s="4"/>
      <c r="D1588" s="4"/>
      <c r="E1588" s="4"/>
    </row>
    <row r="1589">
      <c r="A1589" s="6"/>
      <c r="B1589" s="7"/>
      <c r="C1589" s="4"/>
      <c r="D1589" s="4"/>
      <c r="E1589" s="4"/>
    </row>
    <row r="1590">
      <c r="A1590" s="6"/>
      <c r="B1590" s="7"/>
      <c r="C1590" s="4"/>
      <c r="D1590" s="4"/>
      <c r="E1590" s="4"/>
    </row>
    <row r="1591">
      <c r="A1591" s="6"/>
      <c r="B1591" s="7"/>
      <c r="C1591" s="4"/>
      <c r="D1591" s="4"/>
      <c r="E1591" s="4"/>
    </row>
    <row r="1592">
      <c r="A1592" s="6"/>
      <c r="B1592" s="7"/>
      <c r="C1592" s="4"/>
      <c r="D1592" s="4"/>
      <c r="E1592" s="4"/>
    </row>
    <row r="1593">
      <c r="A1593" s="6"/>
      <c r="B1593" s="7"/>
      <c r="C1593" s="4"/>
      <c r="D1593" s="4"/>
      <c r="E1593" s="4"/>
    </row>
    <row r="1594">
      <c r="A1594" s="6"/>
      <c r="B1594" s="7"/>
      <c r="C1594" s="4"/>
      <c r="D1594" s="4"/>
      <c r="E1594" s="4"/>
    </row>
    <row r="1595">
      <c r="A1595" s="6"/>
      <c r="B1595" s="7"/>
      <c r="C1595" s="4"/>
      <c r="D1595" s="4"/>
      <c r="E1595" s="4"/>
    </row>
    <row r="1596">
      <c r="A1596" s="6"/>
      <c r="B1596" s="7"/>
      <c r="C1596" s="4"/>
      <c r="D1596" s="4"/>
      <c r="E1596" s="4"/>
    </row>
    <row r="1597">
      <c r="A1597" s="6"/>
      <c r="B1597" s="7"/>
      <c r="C1597" s="4"/>
      <c r="D1597" s="4"/>
      <c r="E1597" s="4"/>
    </row>
    <row r="1598">
      <c r="A1598" s="6"/>
      <c r="B1598" s="7"/>
      <c r="C1598" s="4"/>
      <c r="D1598" s="4"/>
      <c r="E1598" s="4"/>
    </row>
    <row r="1599">
      <c r="A1599" s="6"/>
      <c r="B1599" s="7"/>
      <c r="C1599" s="4"/>
      <c r="D1599" s="4"/>
      <c r="E1599" s="4"/>
    </row>
    <row r="1600">
      <c r="A1600" s="6"/>
      <c r="B1600" s="7"/>
      <c r="C1600" s="4"/>
      <c r="D1600" s="4"/>
      <c r="E1600" s="4"/>
    </row>
    <row r="1601">
      <c r="A1601" s="6"/>
      <c r="B1601" s="7"/>
      <c r="C1601" s="4"/>
      <c r="D1601" s="4"/>
      <c r="E1601" s="4"/>
    </row>
    <row r="1602">
      <c r="A1602" s="6"/>
      <c r="B1602" s="7"/>
      <c r="C1602" s="4"/>
      <c r="D1602" s="4"/>
      <c r="E1602" s="4"/>
    </row>
    <row r="1603">
      <c r="A1603" s="6"/>
      <c r="B1603" s="7"/>
      <c r="C1603" s="4"/>
      <c r="D1603" s="4"/>
      <c r="E1603" s="4"/>
    </row>
    <row r="1604">
      <c r="A1604" s="6"/>
      <c r="B1604" s="7"/>
      <c r="C1604" s="4"/>
      <c r="D1604" s="4"/>
      <c r="E1604" s="4"/>
    </row>
    <row r="1605">
      <c r="A1605" s="6"/>
      <c r="B1605" s="7"/>
      <c r="C1605" s="4"/>
      <c r="D1605" s="4"/>
      <c r="E1605" s="4"/>
    </row>
    <row r="1606">
      <c r="A1606" s="6"/>
      <c r="B1606" s="7"/>
      <c r="C1606" s="4"/>
      <c r="D1606" s="4"/>
      <c r="E1606" s="4"/>
    </row>
    <row r="1607">
      <c r="A1607" s="6"/>
      <c r="B1607" s="7"/>
      <c r="C1607" s="4"/>
      <c r="D1607" s="4"/>
      <c r="E1607" s="4"/>
    </row>
    <row r="1608">
      <c r="A1608" s="6"/>
      <c r="B1608" s="7"/>
      <c r="C1608" s="4"/>
      <c r="D1608" s="4"/>
      <c r="E1608" s="4"/>
    </row>
    <row r="1609">
      <c r="A1609" s="6"/>
      <c r="B1609" s="7"/>
      <c r="C1609" s="4"/>
      <c r="D1609" s="4"/>
      <c r="E1609" s="4"/>
    </row>
    <row r="1610">
      <c r="A1610" s="6"/>
      <c r="B1610" s="7"/>
      <c r="C1610" s="4"/>
      <c r="D1610" s="4"/>
      <c r="E1610" s="4"/>
    </row>
    <row r="1611">
      <c r="A1611" s="6"/>
      <c r="B1611" s="7"/>
      <c r="C1611" s="4"/>
      <c r="D1611" s="4"/>
      <c r="E1611" s="4"/>
    </row>
    <row r="1612">
      <c r="A1612" s="6"/>
      <c r="B1612" s="7"/>
      <c r="C1612" s="4"/>
      <c r="D1612" s="4"/>
      <c r="E1612" s="4"/>
    </row>
    <row r="1613">
      <c r="A1613" s="6"/>
      <c r="B1613" s="7"/>
      <c r="C1613" s="4"/>
      <c r="D1613" s="4"/>
      <c r="E1613" s="4"/>
    </row>
    <row r="1614">
      <c r="A1614" s="6"/>
      <c r="B1614" s="7"/>
      <c r="C1614" s="4"/>
      <c r="D1614" s="4"/>
      <c r="E1614" s="4"/>
    </row>
    <row r="1615">
      <c r="A1615" s="6"/>
      <c r="B1615" s="7"/>
      <c r="C1615" s="4"/>
      <c r="D1615" s="4"/>
      <c r="E1615" s="4"/>
    </row>
    <row r="1616">
      <c r="A1616" s="6"/>
      <c r="B1616" s="7"/>
      <c r="C1616" s="4"/>
      <c r="D1616" s="4"/>
      <c r="E1616" s="4"/>
    </row>
    <row r="1617">
      <c r="A1617" s="6"/>
      <c r="B1617" s="7"/>
      <c r="C1617" s="4"/>
      <c r="D1617" s="4"/>
      <c r="E1617" s="4"/>
    </row>
    <row r="1618">
      <c r="A1618" s="6"/>
      <c r="B1618" s="7"/>
      <c r="C1618" s="4"/>
      <c r="D1618" s="4"/>
      <c r="E1618" s="4"/>
    </row>
    <row r="1619">
      <c r="A1619" s="6"/>
      <c r="B1619" s="7"/>
      <c r="C1619" s="4"/>
      <c r="D1619" s="4"/>
      <c r="E1619" s="4"/>
    </row>
    <row r="1620">
      <c r="A1620" s="6"/>
      <c r="B1620" s="7"/>
      <c r="C1620" s="4"/>
      <c r="D1620" s="4"/>
      <c r="E1620" s="4"/>
    </row>
    <row r="1621">
      <c r="A1621" s="6"/>
      <c r="B1621" s="7"/>
      <c r="C1621" s="4"/>
      <c r="D1621" s="4"/>
      <c r="E1621" s="4"/>
    </row>
    <row r="1622">
      <c r="A1622" s="6"/>
      <c r="B1622" s="7"/>
      <c r="C1622" s="4"/>
      <c r="D1622" s="4"/>
      <c r="E1622" s="4"/>
    </row>
    <row r="1623">
      <c r="A1623" s="6"/>
      <c r="B1623" s="7"/>
      <c r="C1623" s="4"/>
      <c r="D1623" s="4"/>
      <c r="E1623" s="4"/>
    </row>
    <row r="1624">
      <c r="A1624" s="6"/>
      <c r="B1624" s="7"/>
      <c r="C1624" s="4"/>
      <c r="D1624" s="4"/>
      <c r="E1624" s="4"/>
    </row>
    <row r="1625">
      <c r="A1625" s="6"/>
      <c r="B1625" s="7"/>
      <c r="C1625" s="4"/>
      <c r="D1625" s="4"/>
      <c r="E1625" s="4"/>
    </row>
    <row r="1626">
      <c r="A1626" s="6"/>
      <c r="B1626" s="7"/>
      <c r="C1626" s="4"/>
      <c r="D1626" s="4"/>
      <c r="E1626" s="4"/>
    </row>
    <row r="1627">
      <c r="A1627" s="6"/>
      <c r="B1627" s="7"/>
      <c r="C1627" s="4"/>
      <c r="D1627" s="4"/>
      <c r="E1627" s="4"/>
    </row>
    <row r="1628">
      <c r="A1628" s="6"/>
      <c r="B1628" s="7"/>
      <c r="C1628" s="4"/>
      <c r="D1628" s="4"/>
      <c r="E1628" s="4"/>
    </row>
    <row r="1629">
      <c r="A1629" s="6"/>
      <c r="B1629" s="7"/>
      <c r="C1629" s="4"/>
      <c r="D1629" s="4"/>
      <c r="E1629" s="4"/>
    </row>
    <row r="1630">
      <c r="A1630" s="6"/>
      <c r="B1630" s="7"/>
      <c r="C1630" s="4"/>
      <c r="D1630" s="4"/>
      <c r="E1630" s="4"/>
    </row>
    <row r="1631">
      <c r="A1631" s="6"/>
      <c r="B1631" s="7"/>
      <c r="C1631" s="4"/>
      <c r="D1631" s="4"/>
      <c r="E1631" s="4"/>
    </row>
    <row r="1632">
      <c r="A1632" s="6"/>
      <c r="B1632" s="7"/>
      <c r="C1632" s="4"/>
      <c r="D1632" s="4"/>
      <c r="E1632" s="4"/>
    </row>
    <row r="1633">
      <c r="A1633" s="6"/>
      <c r="B1633" s="7"/>
      <c r="C1633" s="4"/>
      <c r="D1633" s="4"/>
      <c r="E1633" s="4"/>
    </row>
    <row r="1634">
      <c r="A1634" s="6"/>
      <c r="B1634" s="7"/>
      <c r="C1634" s="4"/>
      <c r="D1634" s="4"/>
      <c r="E1634" s="4"/>
    </row>
    <row r="1635">
      <c r="A1635" s="6"/>
      <c r="B1635" s="7"/>
      <c r="C1635" s="4"/>
      <c r="D1635" s="4"/>
      <c r="E1635" s="4"/>
    </row>
    <row r="1636">
      <c r="A1636" s="6"/>
      <c r="B1636" s="7"/>
      <c r="C1636" s="4"/>
      <c r="D1636" s="4"/>
      <c r="E1636" s="4"/>
    </row>
    <row r="1637">
      <c r="A1637" s="6"/>
      <c r="B1637" s="7"/>
      <c r="C1637" s="4"/>
      <c r="D1637" s="4"/>
      <c r="E1637" s="4"/>
    </row>
    <row r="1638">
      <c r="A1638" s="6"/>
      <c r="B1638" s="7"/>
      <c r="C1638" s="4"/>
      <c r="D1638" s="4"/>
      <c r="E1638" s="4"/>
    </row>
    <row r="1639">
      <c r="A1639" s="6"/>
      <c r="B1639" s="7"/>
      <c r="C1639" s="4"/>
      <c r="D1639" s="4"/>
      <c r="E1639" s="4"/>
    </row>
    <row r="1640">
      <c r="A1640" s="6"/>
      <c r="B1640" s="7"/>
      <c r="C1640" s="4"/>
      <c r="D1640" s="4"/>
      <c r="E1640" s="4"/>
    </row>
    <row r="1641">
      <c r="A1641" s="6"/>
      <c r="B1641" s="7"/>
      <c r="C1641" s="4"/>
      <c r="D1641" s="4"/>
      <c r="E1641" s="4"/>
    </row>
    <row r="1642">
      <c r="A1642" s="6"/>
      <c r="B1642" s="7"/>
      <c r="C1642" s="4"/>
      <c r="D1642" s="4"/>
      <c r="E1642" s="4"/>
    </row>
    <row r="1643">
      <c r="A1643" s="6"/>
      <c r="B1643" s="7"/>
      <c r="C1643" s="4"/>
      <c r="D1643" s="4"/>
      <c r="E1643" s="4"/>
    </row>
    <row r="1644">
      <c r="A1644" s="6"/>
      <c r="B1644" s="7"/>
      <c r="C1644" s="4"/>
      <c r="D1644" s="4"/>
      <c r="E1644" s="4"/>
    </row>
    <row r="1645">
      <c r="A1645" s="6"/>
      <c r="B1645" s="7"/>
      <c r="C1645" s="4"/>
      <c r="D1645" s="4"/>
      <c r="E1645" s="4"/>
    </row>
    <row r="1646">
      <c r="A1646" s="6"/>
      <c r="B1646" s="7"/>
      <c r="C1646" s="4"/>
      <c r="D1646" s="4"/>
      <c r="E1646" s="4"/>
    </row>
    <row r="1647">
      <c r="A1647" s="6"/>
      <c r="B1647" s="7"/>
      <c r="C1647" s="4"/>
      <c r="D1647" s="4"/>
      <c r="E1647" s="4"/>
    </row>
    <row r="1648">
      <c r="A1648" s="6"/>
      <c r="B1648" s="7"/>
      <c r="C1648" s="4"/>
      <c r="D1648" s="4"/>
      <c r="E1648" s="4"/>
    </row>
    <row r="1649">
      <c r="A1649" s="6"/>
      <c r="B1649" s="7"/>
      <c r="C1649" s="4"/>
      <c r="D1649" s="4"/>
      <c r="E1649" s="4"/>
    </row>
    <row r="1650">
      <c r="A1650" s="6"/>
      <c r="B1650" s="7"/>
      <c r="C1650" s="4"/>
      <c r="D1650" s="4"/>
      <c r="E1650" s="4"/>
    </row>
    <row r="1651">
      <c r="A1651" s="6"/>
      <c r="B1651" s="7"/>
      <c r="C1651" s="4"/>
      <c r="D1651" s="4"/>
      <c r="E1651" s="4"/>
    </row>
    <row r="1652">
      <c r="A1652" s="6"/>
      <c r="B1652" s="7"/>
      <c r="C1652" s="4"/>
      <c r="D1652" s="4"/>
      <c r="E1652" s="4"/>
    </row>
    <row r="1653">
      <c r="A1653" s="6"/>
      <c r="B1653" s="7"/>
      <c r="C1653" s="4"/>
      <c r="D1653" s="4"/>
      <c r="E1653" s="4"/>
    </row>
    <row r="1654">
      <c r="A1654" s="6"/>
      <c r="B1654" s="7"/>
      <c r="C1654" s="4"/>
      <c r="D1654" s="4"/>
      <c r="E1654" s="4"/>
    </row>
    <row r="1655">
      <c r="A1655" s="6"/>
      <c r="B1655" s="7"/>
      <c r="C1655" s="4"/>
      <c r="D1655" s="4"/>
      <c r="E1655" s="4"/>
    </row>
    <row r="1656">
      <c r="A1656" s="6"/>
      <c r="B1656" s="7"/>
      <c r="C1656" s="4"/>
      <c r="D1656" s="4"/>
      <c r="E1656" s="4"/>
    </row>
    <row r="1657">
      <c r="A1657" s="6"/>
      <c r="B1657" s="7"/>
      <c r="C1657" s="4"/>
      <c r="D1657" s="4"/>
      <c r="E1657" s="4"/>
    </row>
    <row r="1658">
      <c r="A1658" s="6"/>
      <c r="B1658" s="7"/>
      <c r="C1658" s="4"/>
      <c r="D1658" s="4"/>
      <c r="E1658" s="4"/>
    </row>
    <row r="1659">
      <c r="A1659" s="6"/>
      <c r="B1659" s="7"/>
      <c r="C1659" s="4"/>
      <c r="D1659" s="4"/>
      <c r="E1659" s="4"/>
    </row>
    <row r="1660">
      <c r="A1660" s="6"/>
      <c r="B1660" s="7"/>
      <c r="C1660" s="4"/>
      <c r="D1660" s="4"/>
      <c r="E1660" s="4"/>
    </row>
    <row r="1661">
      <c r="A1661" s="6"/>
      <c r="B1661" s="7"/>
      <c r="C1661" s="4"/>
      <c r="D1661" s="4"/>
      <c r="E1661" s="4"/>
    </row>
    <row r="1662">
      <c r="A1662" s="6"/>
      <c r="B1662" s="7"/>
      <c r="C1662" s="4"/>
      <c r="D1662" s="4"/>
      <c r="E1662" s="4"/>
    </row>
    <row r="1663">
      <c r="A1663" s="6"/>
      <c r="B1663" s="7"/>
      <c r="C1663" s="4"/>
      <c r="D1663" s="4"/>
      <c r="E1663" s="4"/>
    </row>
    <row r="1664">
      <c r="A1664" s="6"/>
      <c r="B1664" s="7"/>
      <c r="C1664" s="4"/>
      <c r="D1664" s="4"/>
      <c r="E1664" s="4"/>
    </row>
    <row r="1665">
      <c r="A1665" s="6"/>
      <c r="B1665" s="7"/>
      <c r="C1665" s="4"/>
      <c r="D1665" s="4"/>
      <c r="E1665" s="4"/>
    </row>
    <row r="1666">
      <c r="A1666" s="6"/>
      <c r="B1666" s="7"/>
      <c r="C1666" s="4"/>
      <c r="D1666" s="4"/>
      <c r="E1666" s="4"/>
    </row>
    <row r="1667">
      <c r="A1667" s="6"/>
      <c r="B1667" s="7"/>
      <c r="C1667" s="4"/>
      <c r="D1667" s="4"/>
      <c r="E1667" s="4"/>
    </row>
    <row r="1668">
      <c r="A1668" s="6"/>
      <c r="B1668" s="7"/>
      <c r="C1668" s="4"/>
      <c r="D1668" s="4"/>
      <c r="E1668" s="4"/>
    </row>
    <row r="1669">
      <c r="A1669" s="6"/>
      <c r="B1669" s="7"/>
      <c r="C1669" s="4"/>
      <c r="D1669" s="4"/>
      <c r="E1669" s="4"/>
    </row>
    <row r="1670">
      <c r="A1670" s="6"/>
      <c r="B1670" s="7"/>
      <c r="C1670" s="4"/>
      <c r="D1670" s="4"/>
      <c r="E1670" s="4"/>
    </row>
    <row r="1671">
      <c r="A1671" s="6"/>
      <c r="B1671" s="7"/>
      <c r="C1671" s="4"/>
      <c r="D1671" s="4"/>
      <c r="E1671" s="4"/>
    </row>
    <row r="1672">
      <c r="A1672" s="6"/>
      <c r="B1672" s="7"/>
      <c r="C1672" s="4"/>
      <c r="D1672" s="4"/>
      <c r="E1672" s="4"/>
    </row>
    <row r="1673">
      <c r="A1673" s="6"/>
      <c r="B1673" s="7"/>
      <c r="C1673" s="4"/>
      <c r="D1673" s="4"/>
      <c r="E1673" s="4"/>
    </row>
    <row r="1674">
      <c r="A1674" s="6"/>
      <c r="B1674" s="7"/>
      <c r="C1674" s="4"/>
      <c r="D1674" s="4"/>
      <c r="E1674" s="4"/>
    </row>
    <row r="1675">
      <c r="A1675" s="6"/>
      <c r="B1675" s="7"/>
      <c r="C1675" s="4"/>
      <c r="D1675" s="4"/>
      <c r="E1675" s="4"/>
    </row>
    <row r="1676">
      <c r="A1676" s="6"/>
      <c r="B1676" s="7"/>
      <c r="C1676" s="4"/>
      <c r="D1676" s="4"/>
      <c r="E1676" s="4"/>
    </row>
    <row r="1677">
      <c r="A1677" s="6"/>
      <c r="B1677" s="7"/>
      <c r="C1677" s="4"/>
      <c r="D1677" s="4"/>
      <c r="E1677" s="4"/>
    </row>
    <row r="1678">
      <c r="A1678" s="6"/>
      <c r="B1678" s="7"/>
      <c r="C1678" s="4"/>
      <c r="D1678" s="4"/>
      <c r="E1678" s="4"/>
    </row>
    <row r="1679">
      <c r="A1679" s="6"/>
      <c r="B1679" s="7"/>
      <c r="C1679" s="4"/>
      <c r="D1679" s="4"/>
      <c r="E1679" s="4"/>
    </row>
    <row r="1680">
      <c r="A1680" s="6"/>
      <c r="B1680" s="7"/>
      <c r="C1680" s="4"/>
      <c r="D1680" s="4"/>
      <c r="E1680" s="4"/>
    </row>
    <row r="1681">
      <c r="A1681" s="6"/>
      <c r="B1681" s="7"/>
      <c r="C1681" s="4"/>
      <c r="D1681" s="4"/>
      <c r="E1681" s="4"/>
    </row>
    <row r="1682">
      <c r="A1682" s="6"/>
      <c r="B1682" s="7"/>
      <c r="C1682" s="4"/>
      <c r="D1682" s="4"/>
      <c r="E1682" s="4"/>
    </row>
    <row r="1683">
      <c r="A1683" s="6"/>
      <c r="B1683" s="7"/>
      <c r="C1683" s="4"/>
      <c r="D1683" s="4"/>
      <c r="E1683" s="4"/>
    </row>
    <row r="1684">
      <c r="A1684" s="6"/>
      <c r="B1684" s="7"/>
      <c r="C1684" s="4"/>
      <c r="D1684" s="4"/>
      <c r="E1684" s="4"/>
    </row>
    <row r="1685">
      <c r="A1685" s="6"/>
      <c r="B1685" s="7"/>
      <c r="C1685" s="4"/>
      <c r="D1685" s="4"/>
      <c r="E1685" s="4"/>
    </row>
    <row r="1686">
      <c r="A1686" s="6"/>
      <c r="B1686" s="7"/>
      <c r="C1686" s="4"/>
      <c r="D1686" s="4"/>
      <c r="E1686" s="4"/>
    </row>
    <row r="1687">
      <c r="A1687" s="6"/>
      <c r="B1687" s="7"/>
      <c r="C1687" s="4"/>
      <c r="D1687" s="4"/>
      <c r="E1687" s="4"/>
    </row>
    <row r="1688">
      <c r="A1688" s="6"/>
      <c r="B1688" s="7"/>
      <c r="C1688" s="4"/>
      <c r="D1688" s="4"/>
      <c r="E1688" s="4"/>
    </row>
    <row r="1689">
      <c r="A1689" s="6"/>
      <c r="B1689" s="7"/>
      <c r="C1689" s="4"/>
      <c r="D1689" s="4"/>
      <c r="E1689" s="4"/>
    </row>
    <row r="1690">
      <c r="A1690" s="6"/>
      <c r="B1690" s="7"/>
      <c r="C1690" s="4"/>
      <c r="D1690" s="4"/>
      <c r="E1690" s="4"/>
    </row>
    <row r="1691">
      <c r="A1691" s="6"/>
      <c r="B1691" s="7"/>
      <c r="C1691" s="4"/>
      <c r="D1691" s="4"/>
      <c r="E1691" s="4"/>
    </row>
    <row r="1692">
      <c r="A1692" s="6"/>
      <c r="B1692" s="7"/>
      <c r="C1692" s="4"/>
      <c r="D1692" s="4"/>
      <c r="E1692" s="4"/>
    </row>
    <row r="1693">
      <c r="A1693" s="6"/>
      <c r="B1693" s="7"/>
      <c r="C1693" s="4"/>
      <c r="D1693" s="4"/>
      <c r="E1693" s="4"/>
    </row>
    <row r="1694">
      <c r="A1694" s="6"/>
      <c r="B1694" s="7"/>
      <c r="C1694" s="4"/>
      <c r="D1694" s="4"/>
      <c r="E1694" s="4"/>
    </row>
    <row r="1695">
      <c r="A1695" s="6"/>
      <c r="B1695" s="7"/>
      <c r="C1695" s="4"/>
      <c r="D1695" s="4"/>
      <c r="E1695" s="4"/>
    </row>
    <row r="1696">
      <c r="A1696" s="6"/>
      <c r="B1696" s="7"/>
      <c r="C1696" s="4"/>
      <c r="D1696" s="4"/>
      <c r="E1696" s="4"/>
    </row>
    <row r="1697">
      <c r="A1697" s="6"/>
      <c r="B1697" s="7"/>
      <c r="C1697" s="4"/>
      <c r="D1697" s="4"/>
      <c r="E1697" s="4"/>
    </row>
    <row r="1698">
      <c r="A1698" s="6"/>
      <c r="B1698" s="7"/>
      <c r="C1698" s="4"/>
      <c r="D1698" s="4"/>
      <c r="E1698" s="4"/>
    </row>
    <row r="1699">
      <c r="A1699" s="6"/>
      <c r="B1699" s="7"/>
      <c r="C1699" s="4"/>
      <c r="D1699" s="4"/>
      <c r="E1699" s="4"/>
    </row>
    <row r="1700">
      <c r="A1700" s="6"/>
      <c r="B1700" s="7"/>
      <c r="C1700" s="4"/>
      <c r="D1700" s="4"/>
      <c r="E1700" s="4"/>
    </row>
    <row r="1701">
      <c r="A1701" s="6"/>
      <c r="B1701" s="7"/>
      <c r="C1701" s="4"/>
      <c r="D1701" s="4"/>
      <c r="E1701" s="4"/>
    </row>
    <row r="1702">
      <c r="A1702" s="6"/>
      <c r="B1702" s="7"/>
      <c r="C1702" s="4"/>
      <c r="D1702" s="4"/>
      <c r="E1702" s="4"/>
    </row>
    <row r="1703">
      <c r="A1703" s="6"/>
      <c r="B1703" s="7"/>
      <c r="C1703" s="4"/>
      <c r="D1703" s="4"/>
      <c r="E1703" s="4"/>
    </row>
    <row r="1704">
      <c r="A1704" s="6"/>
      <c r="B1704" s="7"/>
      <c r="C1704" s="4"/>
      <c r="D1704" s="4"/>
      <c r="E1704" s="4"/>
    </row>
    <row r="1705">
      <c r="A1705" s="6"/>
      <c r="B1705" s="7"/>
      <c r="C1705" s="4"/>
      <c r="D1705" s="4"/>
      <c r="E1705" s="4"/>
    </row>
    <row r="1706">
      <c r="A1706" s="6"/>
      <c r="B1706" s="7"/>
      <c r="C1706" s="4"/>
      <c r="D1706" s="4"/>
      <c r="E1706" s="4"/>
    </row>
    <row r="1707">
      <c r="A1707" s="6"/>
      <c r="B1707" s="7"/>
      <c r="C1707" s="4"/>
      <c r="D1707" s="4"/>
      <c r="E1707" s="4"/>
    </row>
    <row r="1708">
      <c r="A1708" s="6"/>
      <c r="B1708" s="7"/>
      <c r="C1708" s="4"/>
      <c r="D1708" s="4"/>
      <c r="E1708" s="4"/>
    </row>
    <row r="1709">
      <c r="A1709" s="6"/>
      <c r="B1709" s="7"/>
      <c r="C1709" s="4"/>
      <c r="D1709" s="4"/>
      <c r="E1709" s="4"/>
    </row>
    <row r="1710">
      <c r="A1710" s="6"/>
      <c r="B1710" s="7"/>
      <c r="C1710" s="4"/>
      <c r="D1710" s="4"/>
      <c r="E1710" s="4"/>
    </row>
    <row r="1711">
      <c r="A1711" s="6"/>
      <c r="B1711" s="7"/>
      <c r="C1711" s="4"/>
      <c r="D1711" s="4"/>
      <c r="E1711" s="4"/>
    </row>
    <row r="1712">
      <c r="A1712" s="6"/>
      <c r="B1712" s="7"/>
      <c r="C1712" s="4"/>
      <c r="D1712" s="4"/>
      <c r="E1712" s="4"/>
    </row>
    <row r="1713">
      <c r="A1713" s="6"/>
      <c r="B1713" s="7"/>
      <c r="C1713" s="4"/>
      <c r="D1713" s="4"/>
      <c r="E1713" s="4"/>
    </row>
    <row r="1714">
      <c r="A1714" s="6"/>
      <c r="B1714" s="7"/>
      <c r="C1714" s="4"/>
      <c r="D1714" s="4"/>
      <c r="E1714" s="4"/>
    </row>
    <row r="1715">
      <c r="A1715" s="6"/>
      <c r="B1715" s="7"/>
      <c r="C1715" s="4"/>
      <c r="D1715" s="4"/>
      <c r="E1715" s="4"/>
    </row>
    <row r="1716">
      <c r="A1716" s="6"/>
      <c r="B1716" s="7"/>
      <c r="C1716" s="4"/>
      <c r="D1716" s="4"/>
      <c r="E1716" s="4"/>
    </row>
    <row r="1717">
      <c r="A1717" s="6"/>
      <c r="B1717" s="7"/>
      <c r="C1717" s="4"/>
      <c r="D1717" s="4"/>
      <c r="E1717" s="4"/>
    </row>
    <row r="1718">
      <c r="A1718" s="6"/>
      <c r="B1718" s="7"/>
      <c r="C1718" s="4"/>
      <c r="D1718" s="4"/>
      <c r="E1718" s="4"/>
    </row>
    <row r="1719">
      <c r="A1719" s="6"/>
      <c r="B1719" s="7"/>
      <c r="C1719" s="4"/>
      <c r="D1719" s="4"/>
      <c r="E1719" s="4"/>
    </row>
    <row r="1720">
      <c r="A1720" s="6"/>
      <c r="B1720" s="7"/>
      <c r="C1720" s="4"/>
      <c r="D1720" s="4"/>
      <c r="E1720" s="4"/>
    </row>
    <row r="1721">
      <c r="A1721" s="6"/>
      <c r="B1721" s="7"/>
      <c r="C1721" s="4"/>
      <c r="D1721" s="4"/>
      <c r="E1721" s="4"/>
    </row>
    <row r="1722">
      <c r="A1722" s="6"/>
      <c r="B1722" s="7"/>
      <c r="C1722" s="4"/>
      <c r="D1722" s="4"/>
      <c r="E1722" s="4"/>
    </row>
    <row r="1723">
      <c r="A1723" s="6"/>
      <c r="B1723" s="7"/>
      <c r="C1723" s="4"/>
      <c r="D1723" s="4"/>
      <c r="E1723" s="4"/>
    </row>
    <row r="1724">
      <c r="A1724" s="6"/>
      <c r="B1724" s="7"/>
      <c r="C1724" s="4"/>
      <c r="D1724" s="4"/>
      <c r="E1724" s="4"/>
    </row>
    <row r="1725">
      <c r="A1725" s="6"/>
      <c r="B1725" s="7"/>
      <c r="C1725" s="4"/>
      <c r="D1725" s="4"/>
      <c r="E1725" s="4"/>
    </row>
    <row r="1726">
      <c r="A1726" s="6"/>
      <c r="B1726" s="7"/>
      <c r="C1726" s="4"/>
      <c r="D1726" s="4"/>
      <c r="E1726" s="4"/>
    </row>
    <row r="1727">
      <c r="A1727" s="6"/>
      <c r="B1727" s="7"/>
      <c r="C1727" s="4"/>
      <c r="D1727" s="4"/>
      <c r="E1727" s="4"/>
    </row>
    <row r="1728">
      <c r="A1728" s="6"/>
      <c r="B1728" s="7"/>
      <c r="C1728" s="4"/>
      <c r="D1728" s="4"/>
      <c r="E1728" s="4"/>
    </row>
    <row r="1729">
      <c r="A1729" s="6"/>
      <c r="B1729" s="7"/>
      <c r="C1729" s="4"/>
      <c r="D1729" s="4"/>
      <c r="E1729" s="4"/>
    </row>
    <row r="1730">
      <c r="A1730" s="6"/>
      <c r="B1730" s="7"/>
      <c r="C1730" s="4"/>
      <c r="D1730" s="4"/>
      <c r="E1730" s="4"/>
    </row>
    <row r="1731">
      <c r="A1731" s="6"/>
      <c r="B1731" s="7"/>
      <c r="C1731" s="4"/>
      <c r="D1731" s="4"/>
      <c r="E1731" s="4"/>
    </row>
    <row r="1732">
      <c r="A1732" s="6"/>
      <c r="B1732" s="7"/>
      <c r="C1732" s="4"/>
      <c r="D1732" s="4"/>
      <c r="E1732" s="4"/>
    </row>
    <row r="1733">
      <c r="A1733" s="6"/>
      <c r="B1733" s="7"/>
      <c r="C1733" s="4"/>
      <c r="D1733" s="4"/>
      <c r="E1733" s="4"/>
    </row>
    <row r="1734">
      <c r="A1734" s="6"/>
      <c r="B1734" s="7"/>
      <c r="C1734" s="4"/>
      <c r="D1734" s="4"/>
      <c r="E1734" s="4"/>
    </row>
    <row r="1735">
      <c r="A1735" s="6"/>
      <c r="B1735" s="7"/>
      <c r="C1735" s="4"/>
      <c r="D1735" s="4"/>
      <c r="E1735" s="4"/>
    </row>
    <row r="1736">
      <c r="A1736" s="6"/>
      <c r="B1736" s="7"/>
      <c r="C1736" s="4"/>
      <c r="D1736" s="4"/>
      <c r="E1736" s="4"/>
    </row>
    <row r="1737">
      <c r="A1737" s="6"/>
      <c r="B1737" s="7"/>
      <c r="C1737" s="4"/>
      <c r="D1737" s="4"/>
      <c r="E1737" s="4"/>
    </row>
    <row r="1738">
      <c r="A1738" s="6"/>
      <c r="B1738" s="7"/>
      <c r="C1738" s="4"/>
      <c r="D1738" s="4"/>
      <c r="E1738" s="4"/>
    </row>
    <row r="1739">
      <c r="A1739" s="6"/>
      <c r="B1739" s="7"/>
      <c r="C1739" s="4"/>
      <c r="D1739" s="4"/>
      <c r="E1739" s="4"/>
    </row>
    <row r="1740">
      <c r="A1740" s="6"/>
      <c r="B1740" s="7"/>
      <c r="C1740" s="4"/>
      <c r="D1740" s="4"/>
      <c r="E1740" s="4"/>
    </row>
    <row r="1741">
      <c r="A1741" s="6"/>
      <c r="B1741" s="7"/>
      <c r="C1741" s="4"/>
      <c r="D1741" s="4"/>
      <c r="E1741" s="4"/>
    </row>
    <row r="1742">
      <c r="A1742" s="6"/>
      <c r="B1742" s="7"/>
      <c r="C1742" s="4"/>
      <c r="D1742" s="4"/>
      <c r="E1742" s="4"/>
    </row>
    <row r="1743">
      <c r="A1743" s="6"/>
      <c r="B1743" s="7"/>
      <c r="C1743" s="4"/>
      <c r="D1743" s="4"/>
      <c r="E1743" s="4"/>
    </row>
    <row r="1744">
      <c r="A1744" s="6"/>
      <c r="B1744" s="7"/>
      <c r="C1744" s="4"/>
      <c r="D1744" s="4"/>
      <c r="E1744" s="4"/>
    </row>
    <row r="1745">
      <c r="A1745" s="6"/>
      <c r="B1745" s="7"/>
      <c r="C1745" s="4"/>
      <c r="D1745" s="4"/>
      <c r="E1745" s="4"/>
    </row>
    <row r="1746">
      <c r="A1746" s="6"/>
      <c r="B1746" s="7"/>
      <c r="C1746" s="4"/>
      <c r="D1746" s="4"/>
      <c r="E1746" s="4"/>
    </row>
    <row r="1747">
      <c r="A1747" s="6"/>
      <c r="B1747" s="7"/>
      <c r="C1747" s="4"/>
      <c r="D1747" s="4"/>
      <c r="E1747" s="4"/>
    </row>
    <row r="1748">
      <c r="A1748" s="6"/>
      <c r="B1748" s="7"/>
      <c r="C1748" s="4"/>
      <c r="D1748" s="4"/>
      <c r="E1748" s="4"/>
    </row>
    <row r="1749">
      <c r="A1749" s="6"/>
      <c r="B1749" s="7"/>
      <c r="C1749" s="4"/>
      <c r="D1749" s="4"/>
      <c r="E1749" s="4"/>
    </row>
    <row r="1750">
      <c r="A1750" s="6"/>
      <c r="B1750" s="7"/>
      <c r="C1750" s="4"/>
      <c r="D1750" s="4"/>
      <c r="E1750" s="4"/>
    </row>
    <row r="1751">
      <c r="A1751" s="6"/>
      <c r="B1751" s="7"/>
      <c r="C1751" s="4"/>
      <c r="D1751" s="4"/>
      <c r="E1751" s="4"/>
    </row>
    <row r="1752">
      <c r="A1752" s="6"/>
      <c r="B1752" s="7"/>
      <c r="C1752" s="4"/>
      <c r="D1752" s="4"/>
      <c r="E1752" s="4"/>
    </row>
    <row r="1753">
      <c r="A1753" s="6"/>
      <c r="B1753" s="7"/>
      <c r="C1753" s="4"/>
      <c r="D1753" s="4"/>
      <c r="E1753" s="4"/>
    </row>
    <row r="1754">
      <c r="A1754" s="6"/>
      <c r="B1754" s="7"/>
      <c r="C1754" s="4"/>
      <c r="D1754" s="4"/>
      <c r="E1754" s="4"/>
    </row>
    <row r="1755">
      <c r="A1755" s="6"/>
      <c r="B1755" s="7"/>
      <c r="C1755" s="4"/>
      <c r="D1755" s="4"/>
      <c r="E1755" s="4"/>
    </row>
    <row r="1756">
      <c r="A1756" s="6"/>
      <c r="B1756" s="7"/>
      <c r="C1756" s="4"/>
      <c r="D1756" s="4"/>
      <c r="E1756" s="4"/>
    </row>
    <row r="1757">
      <c r="A1757" s="6"/>
      <c r="B1757" s="7"/>
      <c r="C1757" s="4"/>
      <c r="D1757" s="4"/>
      <c r="E1757" s="4"/>
    </row>
    <row r="1758">
      <c r="A1758" s="6"/>
      <c r="B1758" s="7"/>
      <c r="C1758" s="4"/>
      <c r="D1758" s="4"/>
      <c r="E1758" s="4"/>
    </row>
    <row r="1759">
      <c r="A1759" s="6"/>
      <c r="B1759" s="7"/>
      <c r="C1759" s="4"/>
      <c r="D1759" s="4"/>
      <c r="E1759" s="4"/>
    </row>
    <row r="1760">
      <c r="A1760" s="6"/>
      <c r="B1760" s="7"/>
      <c r="C1760" s="4"/>
      <c r="D1760" s="4"/>
      <c r="E1760" s="4"/>
    </row>
    <row r="1761">
      <c r="A1761" s="6"/>
      <c r="B1761" s="7"/>
      <c r="C1761" s="4"/>
      <c r="D1761" s="4"/>
      <c r="E1761" s="4"/>
    </row>
    <row r="1762">
      <c r="A1762" s="6"/>
      <c r="B1762" s="7"/>
      <c r="C1762" s="4"/>
      <c r="D1762" s="4"/>
      <c r="E1762" s="4"/>
    </row>
    <row r="1763">
      <c r="A1763" s="6"/>
      <c r="B1763" s="7"/>
      <c r="C1763" s="4"/>
      <c r="D1763" s="4"/>
      <c r="E1763" s="4"/>
    </row>
    <row r="1764">
      <c r="A1764" s="6"/>
      <c r="B1764" s="7"/>
      <c r="C1764" s="4"/>
      <c r="D1764" s="4"/>
      <c r="E1764" s="4"/>
    </row>
    <row r="1765">
      <c r="A1765" s="6"/>
      <c r="B1765" s="7"/>
      <c r="C1765" s="4"/>
      <c r="D1765" s="4"/>
      <c r="E1765" s="4"/>
    </row>
    <row r="1766">
      <c r="A1766" s="6"/>
      <c r="B1766" s="7"/>
      <c r="C1766" s="4"/>
      <c r="D1766" s="4"/>
      <c r="E1766" s="4"/>
    </row>
    <row r="1767">
      <c r="A1767" s="6"/>
      <c r="B1767" s="7"/>
      <c r="C1767" s="4"/>
      <c r="D1767" s="4"/>
      <c r="E1767" s="4"/>
    </row>
    <row r="1768">
      <c r="A1768" s="6"/>
      <c r="B1768" s="7"/>
      <c r="C1768" s="4"/>
      <c r="D1768" s="4"/>
      <c r="E1768" s="4"/>
    </row>
    <row r="1769">
      <c r="A1769" s="6"/>
      <c r="B1769" s="7"/>
      <c r="C1769" s="4"/>
      <c r="D1769" s="4"/>
      <c r="E1769" s="4"/>
    </row>
    <row r="1770">
      <c r="A1770" s="6"/>
      <c r="B1770" s="7"/>
      <c r="C1770" s="4"/>
      <c r="D1770" s="4"/>
      <c r="E1770" s="4"/>
    </row>
    <row r="1771">
      <c r="A1771" s="6"/>
      <c r="B1771" s="7"/>
      <c r="C1771" s="4"/>
      <c r="D1771" s="4"/>
      <c r="E1771" s="4"/>
    </row>
    <row r="1772">
      <c r="A1772" s="6"/>
      <c r="B1772" s="7"/>
      <c r="C1772" s="4"/>
      <c r="D1772" s="4"/>
      <c r="E1772" s="4"/>
    </row>
    <row r="1773">
      <c r="A1773" s="6"/>
      <c r="B1773" s="7"/>
      <c r="C1773" s="4"/>
      <c r="D1773" s="4"/>
      <c r="E1773" s="4"/>
    </row>
    <row r="1774">
      <c r="A1774" s="6"/>
      <c r="B1774" s="7"/>
      <c r="C1774" s="4"/>
      <c r="D1774" s="4"/>
      <c r="E1774" s="4"/>
    </row>
    <row r="1775">
      <c r="A1775" s="6"/>
      <c r="B1775" s="7"/>
      <c r="C1775" s="4"/>
      <c r="D1775" s="4"/>
      <c r="E1775" s="4"/>
    </row>
    <row r="1776">
      <c r="A1776" s="6"/>
      <c r="B1776" s="7"/>
      <c r="C1776" s="4"/>
      <c r="D1776" s="4"/>
      <c r="E1776" s="4"/>
    </row>
    <row r="1777">
      <c r="A1777" s="6"/>
      <c r="B1777" s="7"/>
      <c r="C1777" s="4"/>
      <c r="D1777" s="4"/>
      <c r="E1777" s="4"/>
    </row>
    <row r="1778">
      <c r="A1778" s="6"/>
      <c r="B1778" s="7"/>
      <c r="C1778" s="4"/>
      <c r="D1778" s="4"/>
      <c r="E1778" s="4"/>
    </row>
    <row r="1779">
      <c r="A1779" s="6"/>
      <c r="B1779" s="7"/>
      <c r="C1779" s="4"/>
      <c r="D1779" s="4"/>
      <c r="E1779" s="4"/>
    </row>
    <row r="1780">
      <c r="A1780" s="6"/>
      <c r="B1780" s="7"/>
      <c r="C1780" s="4"/>
      <c r="D1780" s="4"/>
      <c r="E1780" s="4"/>
    </row>
    <row r="1781">
      <c r="A1781" s="6"/>
      <c r="B1781" s="7"/>
      <c r="C1781" s="4"/>
      <c r="D1781" s="4"/>
      <c r="E1781" s="4"/>
    </row>
    <row r="1782">
      <c r="A1782" s="6"/>
      <c r="B1782" s="7"/>
      <c r="C1782" s="4"/>
      <c r="D1782" s="4"/>
      <c r="E1782" s="4"/>
    </row>
    <row r="1783">
      <c r="A1783" s="6"/>
      <c r="B1783" s="7"/>
      <c r="C1783" s="4"/>
      <c r="D1783" s="4"/>
      <c r="E1783" s="4"/>
    </row>
    <row r="1784">
      <c r="A1784" s="6"/>
      <c r="B1784" s="7"/>
      <c r="C1784" s="4"/>
      <c r="D1784" s="4"/>
      <c r="E1784" s="4"/>
    </row>
    <row r="1785">
      <c r="A1785" s="6"/>
      <c r="B1785" s="7"/>
      <c r="C1785" s="4"/>
      <c r="D1785" s="4"/>
      <c r="E1785" s="4"/>
    </row>
    <row r="1786">
      <c r="A1786" s="6"/>
      <c r="B1786" s="7"/>
      <c r="C1786" s="4"/>
      <c r="D1786" s="4"/>
      <c r="E1786" s="4"/>
    </row>
    <row r="1787">
      <c r="A1787" s="6"/>
      <c r="B1787" s="7"/>
      <c r="C1787" s="4"/>
      <c r="D1787" s="4"/>
      <c r="E1787" s="4"/>
    </row>
    <row r="1788">
      <c r="A1788" s="6"/>
      <c r="B1788" s="7"/>
      <c r="C1788" s="4"/>
      <c r="D1788" s="4"/>
      <c r="E1788" s="4"/>
    </row>
    <row r="1789">
      <c r="A1789" s="6"/>
      <c r="B1789" s="7"/>
      <c r="C1789" s="4"/>
      <c r="D1789" s="4"/>
      <c r="E1789" s="4"/>
    </row>
    <row r="1790">
      <c r="A1790" s="6"/>
      <c r="B1790" s="7"/>
      <c r="C1790" s="4"/>
      <c r="D1790" s="4"/>
      <c r="E1790" s="4"/>
    </row>
    <row r="1791">
      <c r="A1791" s="6"/>
      <c r="B1791" s="7"/>
      <c r="C1791" s="4"/>
      <c r="D1791" s="4"/>
      <c r="E1791" s="4"/>
    </row>
    <row r="1792">
      <c r="A1792" s="6"/>
      <c r="B1792" s="7"/>
      <c r="C1792" s="4"/>
      <c r="D1792" s="4"/>
      <c r="E1792" s="4"/>
    </row>
    <row r="1793">
      <c r="A1793" s="6"/>
      <c r="B1793" s="7"/>
      <c r="C1793" s="4"/>
      <c r="D1793" s="4"/>
      <c r="E1793" s="4"/>
    </row>
    <row r="1794">
      <c r="A1794" s="6"/>
      <c r="B1794" s="7"/>
      <c r="C1794" s="4"/>
      <c r="D1794" s="4"/>
      <c r="E1794" s="4"/>
    </row>
    <row r="1795">
      <c r="A1795" s="6"/>
      <c r="B1795" s="7"/>
      <c r="C1795" s="4"/>
      <c r="D1795" s="4"/>
      <c r="E1795" s="4"/>
    </row>
    <row r="1796">
      <c r="A1796" s="6"/>
      <c r="B1796" s="7"/>
      <c r="C1796" s="4"/>
      <c r="D1796" s="4"/>
      <c r="E1796" s="4"/>
    </row>
    <row r="1797">
      <c r="A1797" s="6"/>
      <c r="B1797" s="7"/>
      <c r="C1797" s="4"/>
      <c r="D1797" s="4"/>
      <c r="E1797" s="4"/>
    </row>
    <row r="1798">
      <c r="A1798" s="6"/>
      <c r="B1798" s="7"/>
      <c r="C1798" s="4"/>
      <c r="D1798" s="4"/>
      <c r="E1798" s="4"/>
    </row>
    <row r="1799">
      <c r="A1799" s="6"/>
      <c r="B1799" s="7"/>
      <c r="C1799" s="4"/>
      <c r="D1799" s="4"/>
      <c r="E1799" s="4"/>
    </row>
    <row r="1800">
      <c r="A1800" s="6"/>
      <c r="B1800" s="7"/>
      <c r="C1800" s="4"/>
      <c r="D1800" s="4"/>
      <c r="E1800" s="4"/>
    </row>
    <row r="1801">
      <c r="A1801" s="6"/>
      <c r="B1801" s="7"/>
      <c r="C1801" s="4"/>
      <c r="D1801" s="4"/>
      <c r="E1801" s="4"/>
    </row>
    <row r="1802">
      <c r="A1802" s="6"/>
      <c r="B1802" s="7"/>
      <c r="C1802" s="4"/>
      <c r="D1802" s="4"/>
      <c r="E1802" s="4"/>
    </row>
    <row r="1803">
      <c r="A1803" s="6"/>
      <c r="B1803" s="7"/>
      <c r="C1803" s="4"/>
      <c r="D1803" s="4"/>
      <c r="E1803" s="4"/>
    </row>
    <row r="1804">
      <c r="A1804" s="6"/>
      <c r="B1804" s="7"/>
      <c r="C1804" s="4"/>
      <c r="D1804" s="4"/>
      <c r="E1804" s="4"/>
    </row>
    <row r="1805">
      <c r="A1805" s="6"/>
      <c r="B1805" s="7"/>
      <c r="C1805" s="4"/>
      <c r="D1805" s="4"/>
      <c r="E1805" s="4"/>
    </row>
    <row r="1806">
      <c r="A1806" s="6"/>
      <c r="B1806" s="7"/>
      <c r="C1806" s="4"/>
      <c r="D1806" s="4"/>
      <c r="E1806" s="4"/>
    </row>
    <row r="1807">
      <c r="A1807" s="6"/>
      <c r="B1807" s="7"/>
      <c r="C1807" s="4"/>
      <c r="D1807" s="4"/>
      <c r="E1807" s="4"/>
    </row>
    <row r="1808">
      <c r="A1808" s="6"/>
      <c r="B1808" s="7"/>
      <c r="C1808" s="4"/>
      <c r="D1808" s="4"/>
      <c r="E1808" s="4"/>
    </row>
    <row r="1809">
      <c r="A1809" s="6"/>
      <c r="B1809" s="7"/>
      <c r="C1809" s="4"/>
      <c r="D1809" s="4"/>
      <c r="E1809" s="4"/>
    </row>
    <row r="1810">
      <c r="A1810" s="6"/>
      <c r="B1810" s="7"/>
      <c r="C1810" s="4"/>
      <c r="D1810" s="4"/>
      <c r="E1810" s="4"/>
    </row>
    <row r="1811">
      <c r="A1811" s="6"/>
      <c r="B1811" s="7"/>
      <c r="C1811" s="4"/>
      <c r="D1811" s="4"/>
      <c r="E1811" s="4"/>
    </row>
    <row r="1812">
      <c r="A1812" s="6"/>
      <c r="B1812" s="7"/>
      <c r="C1812" s="4"/>
      <c r="D1812" s="4"/>
      <c r="E1812" s="4"/>
    </row>
    <row r="1813">
      <c r="A1813" s="6"/>
      <c r="B1813" s="7"/>
      <c r="C1813" s="4"/>
      <c r="D1813" s="4"/>
      <c r="E1813" s="4"/>
    </row>
    <row r="1814">
      <c r="A1814" s="6"/>
      <c r="B1814" s="7"/>
      <c r="C1814" s="4"/>
      <c r="D1814" s="4"/>
      <c r="E1814" s="4"/>
    </row>
    <row r="1815">
      <c r="A1815" s="6"/>
      <c r="B1815" s="7"/>
      <c r="C1815" s="4"/>
      <c r="D1815" s="4"/>
      <c r="E1815" s="4"/>
    </row>
    <row r="1816">
      <c r="A1816" s="6"/>
      <c r="B1816" s="7"/>
      <c r="C1816" s="4"/>
      <c r="D1816" s="4"/>
      <c r="E1816" s="4"/>
    </row>
    <row r="1817">
      <c r="A1817" s="6"/>
      <c r="B1817" s="7"/>
      <c r="C1817" s="4"/>
      <c r="D1817" s="4"/>
      <c r="E1817" s="4"/>
    </row>
    <row r="1818">
      <c r="A1818" s="6"/>
      <c r="B1818" s="7"/>
      <c r="C1818" s="4"/>
      <c r="D1818" s="4"/>
      <c r="E1818" s="4"/>
    </row>
    <row r="1819">
      <c r="A1819" s="6"/>
      <c r="B1819" s="7"/>
      <c r="C1819" s="4"/>
      <c r="D1819" s="4"/>
      <c r="E1819" s="4"/>
    </row>
    <row r="1820">
      <c r="A1820" s="6"/>
      <c r="B1820" s="7"/>
      <c r="C1820" s="4"/>
      <c r="D1820" s="4"/>
      <c r="E1820" s="4"/>
    </row>
    <row r="1821">
      <c r="A1821" s="6"/>
      <c r="B1821" s="7"/>
      <c r="C1821" s="4"/>
      <c r="D1821" s="4"/>
      <c r="E1821" s="4"/>
    </row>
    <row r="1822">
      <c r="A1822" s="6"/>
      <c r="B1822" s="7"/>
      <c r="C1822" s="4"/>
      <c r="D1822" s="4"/>
      <c r="E1822" s="4"/>
    </row>
    <row r="1823">
      <c r="A1823" s="6"/>
      <c r="B1823" s="7"/>
      <c r="C1823" s="4"/>
      <c r="D1823" s="4"/>
      <c r="E1823" s="4"/>
    </row>
    <row r="1824">
      <c r="A1824" s="6"/>
      <c r="B1824" s="7"/>
      <c r="C1824" s="4"/>
      <c r="D1824" s="4"/>
      <c r="E1824" s="4"/>
    </row>
    <row r="1825">
      <c r="A1825" s="6"/>
      <c r="B1825" s="7"/>
      <c r="C1825" s="4"/>
      <c r="D1825" s="4"/>
      <c r="E1825" s="4"/>
    </row>
    <row r="1826">
      <c r="A1826" s="6"/>
      <c r="B1826" s="7"/>
      <c r="C1826" s="4"/>
      <c r="D1826" s="4"/>
      <c r="E1826" s="4"/>
    </row>
    <row r="1827">
      <c r="A1827" s="6"/>
      <c r="B1827" s="7"/>
      <c r="C1827" s="4"/>
      <c r="D1827" s="4"/>
      <c r="E1827" s="4"/>
    </row>
    <row r="1828">
      <c r="A1828" s="6"/>
      <c r="B1828" s="7"/>
      <c r="C1828" s="4"/>
      <c r="D1828" s="4"/>
      <c r="E1828" s="4"/>
    </row>
    <row r="1829">
      <c r="A1829" s="6"/>
      <c r="B1829" s="7"/>
      <c r="C1829" s="4"/>
      <c r="D1829" s="4"/>
      <c r="E1829" s="4"/>
    </row>
    <row r="1830">
      <c r="A1830" s="6"/>
      <c r="B1830" s="7"/>
      <c r="C1830" s="4"/>
      <c r="D1830" s="4"/>
      <c r="E1830" s="4"/>
    </row>
    <row r="1831">
      <c r="A1831" s="6"/>
      <c r="B1831" s="7"/>
      <c r="C1831" s="4"/>
      <c r="D1831" s="4"/>
      <c r="E1831" s="4"/>
    </row>
    <row r="1832">
      <c r="A1832" s="6"/>
      <c r="B1832" s="7"/>
      <c r="C1832" s="4"/>
      <c r="D1832" s="4"/>
      <c r="E1832" s="4"/>
    </row>
    <row r="1833">
      <c r="A1833" s="6"/>
      <c r="B1833" s="7"/>
      <c r="C1833" s="4"/>
      <c r="D1833" s="4"/>
      <c r="E1833" s="4"/>
    </row>
    <row r="1834">
      <c r="A1834" s="6"/>
      <c r="B1834" s="7"/>
      <c r="C1834" s="4"/>
      <c r="D1834" s="4"/>
      <c r="E1834" s="4"/>
    </row>
    <row r="1835">
      <c r="A1835" s="6"/>
      <c r="B1835" s="7"/>
      <c r="C1835" s="4"/>
      <c r="D1835" s="4"/>
      <c r="E1835" s="4"/>
    </row>
    <row r="1836">
      <c r="A1836" s="6"/>
      <c r="B1836" s="7"/>
      <c r="C1836" s="4"/>
      <c r="D1836" s="4"/>
      <c r="E1836" s="4"/>
    </row>
    <row r="1837">
      <c r="A1837" s="6"/>
      <c r="B1837" s="7"/>
      <c r="C1837" s="4"/>
      <c r="D1837" s="4"/>
      <c r="E1837" s="4"/>
    </row>
    <row r="1838">
      <c r="A1838" s="6"/>
      <c r="B1838" s="7"/>
      <c r="C1838" s="4"/>
      <c r="D1838" s="4"/>
      <c r="E1838" s="4"/>
    </row>
    <row r="1839">
      <c r="A1839" s="6"/>
      <c r="B1839" s="7"/>
      <c r="C1839" s="4"/>
      <c r="D1839" s="4"/>
      <c r="E1839" s="4"/>
    </row>
    <row r="1840">
      <c r="A1840" s="6"/>
      <c r="B1840" s="7"/>
      <c r="C1840" s="4"/>
      <c r="D1840" s="4"/>
      <c r="E1840" s="4"/>
    </row>
    <row r="1841">
      <c r="A1841" s="6"/>
      <c r="B1841" s="7"/>
      <c r="C1841" s="4"/>
      <c r="D1841" s="4"/>
      <c r="E1841" s="4"/>
    </row>
    <row r="1842">
      <c r="A1842" s="6"/>
      <c r="B1842" s="7"/>
      <c r="C1842" s="4"/>
      <c r="D1842" s="4"/>
      <c r="E1842" s="4"/>
    </row>
    <row r="1843">
      <c r="A1843" s="6"/>
      <c r="B1843" s="7"/>
      <c r="C1843" s="4"/>
      <c r="D1843" s="4"/>
      <c r="E1843" s="4"/>
    </row>
    <row r="1844">
      <c r="A1844" s="6"/>
      <c r="B1844" s="7"/>
      <c r="C1844" s="4"/>
      <c r="D1844" s="4"/>
      <c r="E1844" s="4"/>
    </row>
    <row r="1845">
      <c r="A1845" s="6"/>
      <c r="B1845" s="7"/>
      <c r="C1845" s="4"/>
      <c r="D1845" s="4"/>
      <c r="E1845" s="4"/>
    </row>
    <row r="1846">
      <c r="A1846" s="6"/>
      <c r="B1846" s="7"/>
      <c r="C1846" s="4"/>
      <c r="D1846" s="4"/>
      <c r="E1846" s="4"/>
    </row>
    <row r="1847">
      <c r="A1847" s="6"/>
      <c r="B1847" s="7"/>
      <c r="C1847" s="4"/>
      <c r="D1847" s="4"/>
      <c r="E1847" s="4"/>
    </row>
    <row r="1848">
      <c r="A1848" s="6"/>
      <c r="B1848" s="7"/>
      <c r="C1848" s="4"/>
      <c r="D1848" s="4"/>
      <c r="E1848" s="4"/>
    </row>
    <row r="1849">
      <c r="A1849" s="6"/>
      <c r="B1849" s="7"/>
      <c r="C1849" s="4"/>
      <c r="D1849" s="4"/>
      <c r="E1849" s="4"/>
    </row>
    <row r="1850">
      <c r="A1850" s="6"/>
      <c r="B1850" s="7"/>
      <c r="C1850" s="4"/>
      <c r="D1850" s="4"/>
      <c r="E1850" s="4"/>
    </row>
    <row r="1851">
      <c r="A1851" s="6"/>
      <c r="B1851" s="7"/>
      <c r="C1851" s="4"/>
      <c r="D1851" s="4"/>
      <c r="E1851" s="4"/>
    </row>
    <row r="1852">
      <c r="A1852" s="6"/>
      <c r="B1852" s="7"/>
      <c r="C1852" s="4"/>
      <c r="D1852" s="4"/>
      <c r="E1852" s="4"/>
    </row>
    <row r="1853">
      <c r="A1853" s="6"/>
      <c r="B1853" s="7"/>
      <c r="C1853" s="4"/>
      <c r="D1853" s="4"/>
      <c r="E1853" s="4"/>
    </row>
    <row r="1854">
      <c r="A1854" s="6"/>
      <c r="B1854" s="7"/>
      <c r="C1854" s="4"/>
      <c r="D1854" s="4"/>
      <c r="E1854" s="4"/>
    </row>
    <row r="1855">
      <c r="A1855" s="6"/>
      <c r="B1855" s="7"/>
      <c r="C1855" s="4"/>
      <c r="D1855" s="4"/>
      <c r="E1855" s="4"/>
    </row>
    <row r="1856">
      <c r="A1856" s="6"/>
      <c r="B1856" s="7"/>
      <c r="C1856" s="4"/>
      <c r="D1856" s="4"/>
      <c r="E1856" s="4"/>
    </row>
    <row r="1857">
      <c r="A1857" s="6"/>
      <c r="B1857" s="7"/>
      <c r="C1857" s="4"/>
      <c r="D1857" s="4"/>
      <c r="E1857" s="4"/>
    </row>
    <row r="1858">
      <c r="A1858" s="6"/>
      <c r="B1858" s="7"/>
      <c r="C1858" s="4"/>
      <c r="D1858" s="4"/>
      <c r="E1858" s="4"/>
    </row>
    <row r="1859">
      <c r="A1859" s="6"/>
      <c r="B1859" s="7"/>
      <c r="C1859" s="4"/>
      <c r="D1859" s="4"/>
      <c r="E1859" s="4"/>
    </row>
    <row r="1860">
      <c r="A1860" s="6"/>
      <c r="B1860" s="7"/>
      <c r="C1860" s="4"/>
      <c r="D1860" s="4"/>
      <c r="E1860" s="4"/>
    </row>
    <row r="1861">
      <c r="A1861" s="6"/>
      <c r="B1861" s="7"/>
      <c r="C1861" s="4"/>
      <c r="D1861" s="4"/>
      <c r="E1861" s="4"/>
    </row>
    <row r="1862">
      <c r="A1862" s="6"/>
      <c r="B1862" s="7"/>
      <c r="C1862" s="4"/>
      <c r="D1862" s="4"/>
      <c r="E1862" s="4"/>
    </row>
    <row r="1863">
      <c r="A1863" s="6"/>
      <c r="B1863" s="7"/>
      <c r="C1863" s="4"/>
      <c r="D1863" s="4"/>
      <c r="E1863" s="4"/>
    </row>
    <row r="1864">
      <c r="A1864" s="6"/>
      <c r="B1864" s="7"/>
      <c r="C1864" s="4"/>
      <c r="D1864" s="4"/>
      <c r="E1864" s="4"/>
    </row>
    <row r="1865">
      <c r="A1865" s="6"/>
      <c r="B1865" s="7"/>
      <c r="C1865" s="4"/>
      <c r="D1865" s="4"/>
      <c r="E1865" s="4"/>
    </row>
    <row r="1866">
      <c r="A1866" s="6"/>
      <c r="B1866" s="7"/>
      <c r="C1866" s="4"/>
      <c r="D1866" s="4"/>
      <c r="E1866" s="4"/>
    </row>
    <row r="1867">
      <c r="A1867" s="6"/>
      <c r="B1867" s="7"/>
      <c r="C1867" s="4"/>
      <c r="D1867" s="4"/>
      <c r="E1867" s="4"/>
    </row>
    <row r="1868">
      <c r="A1868" s="6"/>
      <c r="B1868" s="7"/>
      <c r="C1868" s="4"/>
      <c r="D1868" s="4"/>
      <c r="E1868" s="4"/>
    </row>
    <row r="1869">
      <c r="A1869" s="6"/>
      <c r="B1869" s="7"/>
      <c r="C1869" s="4"/>
      <c r="D1869" s="4"/>
      <c r="E1869" s="4"/>
    </row>
    <row r="1870">
      <c r="A1870" s="6"/>
      <c r="B1870" s="7"/>
      <c r="C1870" s="4"/>
      <c r="D1870" s="4"/>
      <c r="E1870" s="4"/>
    </row>
    <row r="1871">
      <c r="A1871" s="6"/>
      <c r="B1871" s="7"/>
      <c r="C1871" s="4"/>
      <c r="D1871" s="4"/>
      <c r="E1871" s="4"/>
    </row>
    <row r="1872">
      <c r="A1872" s="6"/>
      <c r="B1872" s="7"/>
      <c r="C1872" s="4"/>
      <c r="D1872" s="4"/>
      <c r="E1872" s="4"/>
    </row>
    <row r="1873">
      <c r="A1873" s="6"/>
      <c r="B1873" s="7"/>
      <c r="C1873" s="4"/>
      <c r="D1873" s="4"/>
      <c r="E1873" s="4"/>
    </row>
    <row r="1874">
      <c r="A1874" s="6"/>
      <c r="B1874" s="7"/>
      <c r="C1874" s="4"/>
      <c r="D1874" s="4"/>
      <c r="E1874" s="4"/>
    </row>
    <row r="1875">
      <c r="A1875" s="6"/>
      <c r="B1875" s="7"/>
      <c r="C1875" s="4"/>
      <c r="D1875" s="4"/>
      <c r="E1875" s="4"/>
    </row>
    <row r="1876">
      <c r="A1876" s="6"/>
      <c r="B1876" s="7"/>
      <c r="C1876" s="4"/>
      <c r="D1876" s="4"/>
      <c r="E1876" s="4"/>
    </row>
    <row r="1877">
      <c r="A1877" s="6"/>
      <c r="B1877" s="7"/>
      <c r="C1877" s="4"/>
      <c r="D1877" s="4"/>
      <c r="E1877" s="4"/>
    </row>
    <row r="1878">
      <c r="A1878" s="6"/>
      <c r="B1878" s="7"/>
      <c r="C1878" s="4"/>
      <c r="D1878" s="4"/>
      <c r="E1878" s="4"/>
    </row>
    <row r="1879">
      <c r="A1879" s="6"/>
      <c r="B1879" s="7"/>
      <c r="C1879" s="4"/>
      <c r="D1879" s="4"/>
      <c r="E1879" s="4"/>
    </row>
    <row r="1880">
      <c r="A1880" s="6"/>
      <c r="B1880" s="7"/>
      <c r="C1880" s="4"/>
      <c r="D1880" s="4"/>
      <c r="E1880" s="4"/>
    </row>
    <row r="1881">
      <c r="A1881" s="6"/>
      <c r="B1881" s="7"/>
      <c r="C1881" s="4"/>
      <c r="D1881" s="4"/>
      <c r="E1881" s="4"/>
    </row>
    <row r="1882">
      <c r="A1882" s="6"/>
      <c r="B1882" s="7"/>
      <c r="C1882" s="4"/>
      <c r="D1882" s="4"/>
      <c r="E1882" s="4"/>
    </row>
    <row r="1883">
      <c r="A1883" s="6"/>
      <c r="B1883" s="7"/>
      <c r="C1883" s="4"/>
      <c r="D1883" s="4"/>
      <c r="E1883" s="4"/>
    </row>
    <row r="1884">
      <c r="A1884" s="6"/>
      <c r="B1884" s="7"/>
      <c r="C1884" s="4"/>
      <c r="D1884" s="4"/>
      <c r="E1884" s="4"/>
    </row>
    <row r="1885">
      <c r="A1885" s="6"/>
      <c r="B1885" s="7"/>
      <c r="C1885" s="4"/>
      <c r="D1885" s="4"/>
      <c r="E1885" s="4"/>
    </row>
    <row r="1886">
      <c r="A1886" s="6"/>
      <c r="B1886" s="7"/>
      <c r="C1886" s="4"/>
      <c r="D1886" s="4"/>
      <c r="E1886" s="4"/>
    </row>
    <row r="1887">
      <c r="A1887" s="6"/>
      <c r="B1887" s="7"/>
      <c r="C1887" s="4"/>
      <c r="D1887" s="4"/>
      <c r="E1887" s="4"/>
    </row>
    <row r="1888">
      <c r="A1888" s="6"/>
      <c r="B1888" s="7"/>
      <c r="C1888" s="4"/>
      <c r="D1888" s="4"/>
      <c r="E1888" s="4"/>
    </row>
    <row r="1889">
      <c r="A1889" s="6"/>
      <c r="B1889" s="7"/>
      <c r="C1889" s="4"/>
      <c r="D1889" s="4"/>
      <c r="E1889" s="4"/>
    </row>
    <row r="1890">
      <c r="A1890" s="6"/>
      <c r="B1890" s="7"/>
      <c r="C1890" s="4"/>
      <c r="D1890" s="4"/>
      <c r="E1890" s="4"/>
    </row>
    <row r="1891">
      <c r="A1891" s="6"/>
      <c r="B1891" s="7"/>
      <c r="C1891" s="4"/>
      <c r="D1891" s="4"/>
      <c r="E1891" s="4"/>
    </row>
    <row r="1892">
      <c r="A1892" s="6"/>
      <c r="B1892" s="7"/>
      <c r="C1892" s="4"/>
      <c r="D1892" s="4"/>
      <c r="E1892" s="4"/>
    </row>
    <row r="1893">
      <c r="A1893" s="6"/>
      <c r="B1893" s="7"/>
      <c r="C1893" s="4"/>
      <c r="D1893" s="4"/>
      <c r="E1893" s="4"/>
    </row>
    <row r="1894">
      <c r="A1894" s="6"/>
      <c r="B1894" s="7"/>
      <c r="C1894" s="4"/>
      <c r="D1894" s="4"/>
      <c r="E1894" s="4"/>
    </row>
    <row r="1895">
      <c r="A1895" s="6"/>
      <c r="B1895" s="7"/>
      <c r="C1895" s="4"/>
      <c r="D1895" s="4"/>
      <c r="E1895" s="4"/>
    </row>
    <row r="1896">
      <c r="A1896" s="6"/>
      <c r="B1896" s="7"/>
      <c r="C1896" s="4"/>
      <c r="D1896" s="4"/>
      <c r="E1896" s="4"/>
    </row>
    <row r="1897">
      <c r="A1897" s="6"/>
      <c r="B1897" s="7"/>
      <c r="C1897" s="4"/>
      <c r="D1897" s="4"/>
      <c r="E1897" s="4"/>
    </row>
    <row r="1898">
      <c r="A1898" s="6"/>
      <c r="B1898" s="7"/>
      <c r="C1898" s="4"/>
      <c r="D1898" s="4"/>
      <c r="E1898" s="4"/>
    </row>
    <row r="1899">
      <c r="A1899" s="6"/>
      <c r="B1899" s="7"/>
      <c r="C1899" s="4"/>
      <c r="D1899" s="4"/>
      <c r="E1899" s="4"/>
    </row>
    <row r="1900">
      <c r="A1900" s="6"/>
      <c r="B1900" s="7"/>
      <c r="C1900" s="4"/>
      <c r="D1900" s="4"/>
      <c r="E1900" s="4"/>
    </row>
    <row r="1901">
      <c r="A1901" s="6"/>
      <c r="B1901" s="7"/>
      <c r="C1901" s="4"/>
      <c r="D1901" s="4"/>
      <c r="E1901" s="4"/>
    </row>
    <row r="1902">
      <c r="A1902" s="6"/>
      <c r="B1902" s="7"/>
      <c r="C1902" s="4"/>
      <c r="D1902" s="4"/>
      <c r="E1902" s="4"/>
    </row>
    <row r="1903">
      <c r="A1903" s="6"/>
      <c r="B1903" s="7"/>
      <c r="C1903" s="4"/>
      <c r="D1903" s="4"/>
      <c r="E1903" s="4"/>
    </row>
    <row r="1904">
      <c r="A1904" s="6"/>
      <c r="B1904" s="7"/>
      <c r="C1904" s="4"/>
      <c r="D1904" s="4"/>
      <c r="E1904" s="4"/>
    </row>
    <row r="1905">
      <c r="A1905" s="6"/>
      <c r="B1905" s="7"/>
      <c r="C1905" s="4"/>
      <c r="D1905" s="4"/>
      <c r="E1905" s="4"/>
    </row>
    <row r="1906">
      <c r="A1906" s="6"/>
      <c r="B1906" s="7"/>
      <c r="C1906" s="4"/>
      <c r="D1906" s="4"/>
      <c r="E1906" s="4"/>
    </row>
    <row r="1907">
      <c r="A1907" s="6"/>
      <c r="B1907" s="7"/>
      <c r="C1907" s="4"/>
      <c r="D1907" s="4"/>
      <c r="E1907" s="4"/>
    </row>
    <row r="1908">
      <c r="A1908" s="6"/>
      <c r="B1908" s="7"/>
      <c r="C1908" s="4"/>
      <c r="D1908" s="4"/>
      <c r="E1908" s="4"/>
    </row>
    <row r="1909">
      <c r="A1909" s="6"/>
      <c r="B1909" s="7"/>
      <c r="C1909" s="4"/>
      <c r="D1909" s="4"/>
      <c r="E1909" s="4"/>
    </row>
    <row r="1910">
      <c r="A1910" s="6"/>
      <c r="B1910" s="7"/>
      <c r="C1910" s="4"/>
      <c r="D1910" s="4"/>
      <c r="E1910" s="4"/>
    </row>
    <row r="1911">
      <c r="A1911" s="6"/>
      <c r="B1911" s="7"/>
      <c r="C1911" s="4"/>
      <c r="D1911" s="4"/>
      <c r="E1911" s="4"/>
    </row>
    <row r="1912">
      <c r="A1912" s="6"/>
      <c r="B1912" s="7"/>
      <c r="C1912" s="4"/>
      <c r="D1912" s="4"/>
      <c r="E1912" s="4"/>
    </row>
    <row r="1913">
      <c r="A1913" s="6"/>
      <c r="B1913" s="7"/>
      <c r="C1913" s="4"/>
      <c r="D1913" s="4"/>
      <c r="E1913" s="4"/>
    </row>
    <row r="1914">
      <c r="A1914" s="6"/>
      <c r="B1914" s="7"/>
      <c r="C1914" s="4"/>
      <c r="D1914" s="4"/>
      <c r="E1914" s="4"/>
    </row>
    <row r="1915">
      <c r="A1915" s="6"/>
      <c r="B1915" s="7"/>
      <c r="C1915" s="4"/>
      <c r="D1915" s="4"/>
      <c r="E1915" s="4"/>
    </row>
    <row r="1916">
      <c r="A1916" s="6"/>
      <c r="B1916" s="7"/>
      <c r="C1916" s="4"/>
      <c r="D1916" s="4"/>
      <c r="E1916" s="4"/>
    </row>
    <row r="1917">
      <c r="A1917" s="6"/>
      <c r="B1917" s="7"/>
      <c r="C1917" s="4"/>
      <c r="D1917" s="4"/>
      <c r="E1917" s="4"/>
    </row>
    <row r="1918">
      <c r="A1918" s="6"/>
      <c r="B1918" s="7"/>
      <c r="C1918" s="4"/>
      <c r="D1918" s="4"/>
      <c r="E1918" s="4"/>
    </row>
    <row r="1919">
      <c r="A1919" s="6"/>
      <c r="B1919" s="7"/>
      <c r="C1919" s="4"/>
      <c r="D1919" s="4"/>
      <c r="E1919" s="4"/>
    </row>
    <row r="1920">
      <c r="A1920" s="6"/>
      <c r="B1920" s="7"/>
      <c r="C1920" s="4"/>
      <c r="D1920" s="4"/>
      <c r="E1920" s="4"/>
    </row>
    <row r="1921">
      <c r="A1921" s="6"/>
      <c r="B1921" s="7"/>
      <c r="C1921" s="4"/>
      <c r="D1921" s="4"/>
      <c r="E1921" s="4"/>
    </row>
    <row r="1922">
      <c r="A1922" s="6"/>
      <c r="B1922" s="7"/>
      <c r="C1922" s="4"/>
      <c r="D1922" s="4"/>
      <c r="E1922" s="4"/>
    </row>
    <row r="1923">
      <c r="A1923" s="6"/>
      <c r="B1923" s="7"/>
      <c r="C1923" s="4"/>
      <c r="D1923" s="4"/>
      <c r="E1923" s="4"/>
    </row>
    <row r="1924">
      <c r="A1924" s="6"/>
      <c r="B1924" s="7"/>
      <c r="C1924" s="4"/>
      <c r="D1924" s="4"/>
      <c r="E1924" s="4"/>
    </row>
    <row r="1925">
      <c r="A1925" s="6"/>
      <c r="B1925" s="7"/>
      <c r="C1925" s="4"/>
      <c r="D1925" s="4"/>
      <c r="E1925" s="4"/>
    </row>
    <row r="1926">
      <c r="A1926" s="6"/>
      <c r="B1926" s="7"/>
      <c r="C1926" s="4"/>
      <c r="D1926" s="4"/>
      <c r="E1926" s="4"/>
    </row>
    <row r="1927">
      <c r="A1927" s="6"/>
      <c r="B1927" s="7"/>
      <c r="C1927" s="4"/>
      <c r="D1927" s="4"/>
      <c r="E1927" s="4"/>
    </row>
    <row r="1928">
      <c r="A1928" s="6"/>
      <c r="B1928" s="7"/>
      <c r="C1928" s="4"/>
      <c r="D1928" s="4"/>
      <c r="E1928" s="4"/>
    </row>
    <row r="1929">
      <c r="A1929" s="6"/>
      <c r="B1929" s="7"/>
      <c r="C1929" s="4"/>
      <c r="D1929" s="4"/>
      <c r="E1929" s="4"/>
    </row>
    <row r="1930">
      <c r="A1930" s="6"/>
      <c r="B1930" s="7"/>
      <c r="C1930" s="4"/>
      <c r="D1930" s="4"/>
      <c r="E1930" s="4"/>
    </row>
    <row r="1931">
      <c r="A1931" s="6"/>
      <c r="B1931" s="7"/>
      <c r="C1931" s="4"/>
      <c r="D1931" s="4"/>
      <c r="E1931" s="4"/>
    </row>
    <row r="1932">
      <c r="A1932" s="6"/>
      <c r="B1932" s="7"/>
      <c r="C1932" s="4"/>
      <c r="D1932" s="4"/>
      <c r="E1932" s="4"/>
    </row>
    <row r="1933">
      <c r="A1933" s="6"/>
      <c r="B1933" s="7"/>
      <c r="C1933" s="4"/>
      <c r="D1933" s="4"/>
      <c r="E1933" s="4"/>
    </row>
    <row r="1934">
      <c r="A1934" s="6"/>
      <c r="B1934" s="7"/>
      <c r="C1934" s="4"/>
      <c r="D1934" s="4"/>
      <c r="E1934" s="4"/>
    </row>
    <row r="1935">
      <c r="A1935" s="6"/>
      <c r="B1935" s="7"/>
      <c r="C1935" s="4"/>
      <c r="D1935" s="4"/>
      <c r="E1935" s="4"/>
    </row>
    <row r="1936">
      <c r="A1936" s="6"/>
      <c r="B1936" s="7"/>
      <c r="C1936" s="4"/>
      <c r="D1936" s="4"/>
      <c r="E1936" s="4"/>
    </row>
    <row r="1937">
      <c r="A1937" s="6"/>
      <c r="B1937" s="7"/>
      <c r="C1937" s="4"/>
      <c r="D1937" s="4"/>
      <c r="E1937" s="4"/>
    </row>
    <row r="1938">
      <c r="A1938" s="6"/>
      <c r="B1938" s="7"/>
      <c r="C1938" s="4"/>
      <c r="D1938" s="4"/>
      <c r="E1938" s="4"/>
    </row>
    <row r="1939">
      <c r="A1939" s="6"/>
      <c r="B1939" s="7"/>
      <c r="C1939" s="4"/>
      <c r="D1939" s="4"/>
      <c r="E1939" s="4"/>
    </row>
    <row r="1940">
      <c r="A1940" s="6"/>
      <c r="B1940" s="7"/>
      <c r="C1940" s="4"/>
      <c r="D1940" s="4"/>
      <c r="E1940" s="4"/>
    </row>
    <row r="1941">
      <c r="A1941" s="6"/>
      <c r="B1941" s="7"/>
      <c r="C1941" s="4"/>
      <c r="D1941" s="4"/>
      <c r="E1941" s="4"/>
    </row>
    <row r="1942">
      <c r="A1942" s="6"/>
      <c r="B1942" s="7"/>
      <c r="C1942" s="4"/>
      <c r="D1942" s="4"/>
      <c r="E1942" s="4"/>
    </row>
    <row r="1943">
      <c r="A1943" s="6"/>
      <c r="B1943" s="7"/>
      <c r="C1943" s="4"/>
      <c r="D1943" s="4"/>
      <c r="E1943" s="4"/>
    </row>
    <row r="1944">
      <c r="A1944" s="6"/>
      <c r="B1944" s="7"/>
      <c r="C1944" s="4"/>
      <c r="D1944" s="4"/>
      <c r="E1944" s="4"/>
    </row>
    <row r="1945">
      <c r="A1945" s="6"/>
      <c r="B1945" s="7"/>
      <c r="C1945" s="4"/>
      <c r="D1945" s="4"/>
      <c r="E1945" s="4"/>
    </row>
    <row r="1946">
      <c r="A1946" s="6"/>
      <c r="B1946" s="7"/>
      <c r="C1946" s="4"/>
      <c r="D1946" s="4"/>
      <c r="E1946" s="4"/>
    </row>
    <row r="1947">
      <c r="A1947" s="6"/>
      <c r="B1947" s="7"/>
      <c r="C1947" s="4"/>
      <c r="D1947" s="4"/>
      <c r="E1947" s="4"/>
    </row>
    <row r="1948">
      <c r="A1948" s="6"/>
      <c r="B1948" s="7"/>
      <c r="C1948" s="4"/>
      <c r="D1948" s="4"/>
      <c r="E1948" s="4"/>
    </row>
    <row r="1949">
      <c r="A1949" s="6"/>
      <c r="B1949" s="7"/>
      <c r="C1949" s="4"/>
      <c r="D1949" s="4"/>
      <c r="E1949" s="4"/>
    </row>
    <row r="1950">
      <c r="A1950" s="6"/>
      <c r="B1950" s="7"/>
      <c r="C1950" s="4"/>
      <c r="D1950" s="4"/>
      <c r="E1950" s="4"/>
    </row>
    <row r="1951">
      <c r="A1951" s="6"/>
      <c r="B1951" s="7"/>
      <c r="C1951" s="4"/>
      <c r="D1951" s="4"/>
      <c r="E1951" s="4"/>
    </row>
    <row r="1952">
      <c r="A1952" s="6"/>
      <c r="B1952" s="7"/>
      <c r="C1952" s="4"/>
      <c r="D1952" s="4"/>
      <c r="E1952" s="4"/>
    </row>
    <row r="1953">
      <c r="A1953" s="6"/>
      <c r="B1953" s="7"/>
      <c r="C1953" s="4"/>
      <c r="D1953" s="4"/>
      <c r="E1953" s="4"/>
    </row>
    <row r="1954">
      <c r="A1954" s="6"/>
      <c r="B1954" s="7"/>
      <c r="C1954" s="4"/>
      <c r="D1954" s="4"/>
      <c r="E1954" s="4"/>
    </row>
    <row r="1955">
      <c r="A1955" s="6"/>
      <c r="B1955" s="7"/>
      <c r="C1955" s="4"/>
      <c r="D1955" s="4"/>
      <c r="E1955" s="4"/>
    </row>
    <row r="1956">
      <c r="A1956" s="6"/>
      <c r="B1956" s="7"/>
      <c r="C1956" s="4"/>
      <c r="D1956" s="4"/>
      <c r="E1956" s="4"/>
    </row>
    <row r="1957">
      <c r="A1957" s="6"/>
      <c r="B1957" s="7"/>
      <c r="C1957" s="4"/>
      <c r="D1957" s="4"/>
      <c r="E1957" s="4"/>
    </row>
    <row r="1958">
      <c r="A1958" s="6"/>
      <c r="B1958" s="7"/>
      <c r="C1958" s="4"/>
      <c r="D1958" s="4"/>
      <c r="E1958" s="4"/>
    </row>
    <row r="1959">
      <c r="A1959" s="6"/>
      <c r="B1959" s="7"/>
      <c r="C1959" s="4"/>
      <c r="D1959" s="4"/>
      <c r="E1959" s="4"/>
    </row>
    <row r="1960">
      <c r="A1960" s="6"/>
      <c r="B1960" s="7"/>
      <c r="C1960" s="4"/>
      <c r="D1960" s="4"/>
      <c r="E1960" s="4"/>
    </row>
    <row r="1961">
      <c r="A1961" s="6"/>
      <c r="B1961" s="7"/>
      <c r="C1961" s="4"/>
      <c r="D1961" s="4"/>
      <c r="E1961" s="4"/>
    </row>
    <row r="1962">
      <c r="A1962" s="6"/>
      <c r="B1962" s="7"/>
      <c r="C1962" s="4"/>
      <c r="D1962" s="4"/>
      <c r="E1962" s="4"/>
    </row>
    <row r="1963">
      <c r="A1963" s="6"/>
      <c r="B1963" s="7"/>
      <c r="C1963" s="4"/>
      <c r="D1963" s="4"/>
      <c r="E1963" s="4"/>
    </row>
    <row r="1964">
      <c r="A1964" s="6"/>
      <c r="B1964" s="7"/>
      <c r="C1964" s="4"/>
      <c r="D1964" s="4"/>
      <c r="E1964" s="4"/>
    </row>
    <row r="1965">
      <c r="A1965" s="6"/>
      <c r="B1965" s="7"/>
      <c r="C1965" s="4"/>
      <c r="D1965" s="4"/>
      <c r="E1965" s="4"/>
    </row>
    <row r="1966">
      <c r="A1966" s="6"/>
      <c r="B1966" s="7"/>
      <c r="C1966" s="4"/>
      <c r="D1966" s="4"/>
      <c r="E1966" s="4"/>
    </row>
    <row r="1967">
      <c r="A1967" s="6"/>
      <c r="B1967" s="7"/>
      <c r="C1967" s="4"/>
      <c r="D1967" s="4"/>
      <c r="E1967" s="4"/>
    </row>
    <row r="1968">
      <c r="A1968" s="6"/>
      <c r="B1968" s="7"/>
      <c r="C1968" s="4"/>
      <c r="D1968" s="4"/>
      <c r="E1968" s="4"/>
    </row>
    <row r="1969">
      <c r="A1969" s="6"/>
      <c r="B1969" s="7"/>
      <c r="C1969" s="4"/>
      <c r="D1969" s="4"/>
      <c r="E1969" s="4"/>
    </row>
    <row r="1970">
      <c r="A1970" s="6"/>
      <c r="B1970" s="7"/>
      <c r="C1970" s="4"/>
      <c r="D1970" s="4"/>
      <c r="E1970" s="4"/>
    </row>
    <row r="1971">
      <c r="A1971" s="6"/>
      <c r="B1971" s="7"/>
      <c r="C1971" s="4"/>
      <c r="D1971" s="4"/>
      <c r="E1971" s="4"/>
    </row>
    <row r="1972">
      <c r="A1972" s="6"/>
      <c r="B1972" s="7"/>
      <c r="C1972" s="4"/>
      <c r="D1972" s="4"/>
      <c r="E1972" s="4"/>
    </row>
    <row r="1973">
      <c r="A1973" s="6"/>
      <c r="B1973" s="7"/>
      <c r="C1973" s="4"/>
      <c r="D1973" s="4"/>
      <c r="E1973" s="4"/>
    </row>
    <row r="1974">
      <c r="A1974" s="6"/>
      <c r="B1974" s="7"/>
      <c r="C1974" s="4"/>
      <c r="D1974" s="4"/>
      <c r="E1974" s="4"/>
    </row>
    <row r="1975">
      <c r="A1975" s="6"/>
      <c r="B1975" s="7"/>
      <c r="C1975" s="4"/>
      <c r="D1975" s="4"/>
      <c r="E1975" s="4"/>
    </row>
    <row r="1976">
      <c r="A1976" s="6"/>
      <c r="B1976" s="7"/>
      <c r="C1976" s="4"/>
      <c r="D1976" s="4"/>
      <c r="E1976" s="4"/>
    </row>
    <row r="1977">
      <c r="A1977" s="6"/>
      <c r="B1977" s="7"/>
      <c r="C1977" s="4"/>
      <c r="D1977" s="4"/>
      <c r="E1977" s="4"/>
    </row>
    <row r="1978">
      <c r="A1978" s="6"/>
      <c r="B1978" s="7"/>
      <c r="C1978" s="4"/>
      <c r="D1978" s="4"/>
      <c r="E1978" s="4"/>
    </row>
    <row r="1979">
      <c r="A1979" s="6"/>
      <c r="B1979" s="7"/>
      <c r="C1979" s="4"/>
      <c r="D1979" s="4"/>
      <c r="E1979" s="4"/>
    </row>
    <row r="1980">
      <c r="A1980" s="6"/>
      <c r="B1980" s="7"/>
      <c r="C1980" s="4"/>
      <c r="D1980" s="4"/>
      <c r="E1980" s="4"/>
    </row>
    <row r="1981">
      <c r="A1981" s="6"/>
      <c r="B1981" s="7"/>
      <c r="C1981" s="4"/>
      <c r="D1981" s="4"/>
      <c r="E1981" s="4"/>
    </row>
    <row r="1982">
      <c r="A1982" s="6"/>
      <c r="B1982" s="7"/>
      <c r="C1982" s="4"/>
      <c r="D1982" s="4"/>
      <c r="E1982" s="4"/>
    </row>
    <row r="1983">
      <c r="A1983" s="6"/>
      <c r="B1983" s="7"/>
      <c r="C1983" s="4"/>
      <c r="D1983" s="4"/>
      <c r="E1983" s="4"/>
    </row>
    <row r="1984">
      <c r="A1984" s="6"/>
      <c r="B1984" s="7"/>
      <c r="C1984" s="4"/>
      <c r="D1984" s="4"/>
      <c r="E1984" s="4"/>
    </row>
    <row r="1985">
      <c r="A1985" s="6"/>
      <c r="B1985" s="7"/>
      <c r="C1985" s="4"/>
      <c r="D1985" s="4"/>
      <c r="E1985" s="4"/>
    </row>
    <row r="1986">
      <c r="A1986" s="6"/>
      <c r="B1986" s="7"/>
      <c r="C1986" s="4"/>
      <c r="D1986" s="4"/>
      <c r="E1986" s="4"/>
    </row>
    <row r="1987">
      <c r="A1987" s="6"/>
      <c r="B1987" s="7"/>
      <c r="C1987" s="4"/>
      <c r="D1987" s="4"/>
      <c r="E1987" s="4"/>
    </row>
    <row r="1988">
      <c r="A1988" s="6"/>
      <c r="B1988" s="7"/>
      <c r="C1988" s="4"/>
      <c r="D1988" s="4"/>
      <c r="E1988" s="4"/>
    </row>
    <row r="1989">
      <c r="A1989" s="6"/>
      <c r="B1989" s="7"/>
      <c r="C1989" s="4"/>
      <c r="D1989" s="4"/>
      <c r="E1989" s="4"/>
    </row>
    <row r="1990">
      <c r="A1990" s="6"/>
      <c r="B1990" s="7"/>
      <c r="C1990" s="4"/>
      <c r="D1990" s="4"/>
      <c r="E1990" s="4"/>
    </row>
    <row r="1991">
      <c r="A1991" s="6"/>
      <c r="B1991" s="7"/>
      <c r="C1991" s="4"/>
      <c r="D1991" s="4"/>
      <c r="E1991" s="4"/>
    </row>
    <row r="1992">
      <c r="A1992" s="6"/>
      <c r="B1992" s="7"/>
      <c r="C1992" s="4"/>
      <c r="D1992" s="4"/>
      <c r="E1992" s="4"/>
    </row>
    <row r="1993">
      <c r="A1993" s="6"/>
      <c r="B1993" s="7"/>
      <c r="C1993" s="4"/>
      <c r="D1993" s="4"/>
      <c r="E1993" s="4"/>
    </row>
    <row r="1994">
      <c r="A1994" s="6"/>
      <c r="B1994" s="7"/>
      <c r="C1994" s="4"/>
      <c r="D1994" s="4"/>
      <c r="E1994" s="4"/>
    </row>
    <row r="1995">
      <c r="A1995" s="6"/>
      <c r="B1995" s="7"/>
      <c r="C1995" s="4"/>
      <c r="D1995" s="4"/>
      <c r="E1995" s="4"/>
    </row>
    <row r="1996">
      <c r="A1996" s="6"/>
      <c r="B1996" s="7"/>
      <c r="C1996" s="4"/>
      <c r="D1996" s="4"/>
      <c r="E1996" s="4"/>
    </row>
    <row r="1997">
      <c r="A1997" s="6"/>
      <c r="B1997" s="7"/>
      <c r="C1997" s="4"/>
      <c r="D1997" s="4"/>
      <c r="E1997" s="4"/>
    </row>
    <row r="1998">
      <c r="A1998" s="6"/>
      <c r="B1998" s="7"/>
      <c r="C1998" s="4"/>
      <c r="D1998" s="4"/>
      <c r="E1998" s="4"/>
    </row>
    <row r="1999">
      <c r="A1999" s="6"/>
      <c r="B1999" s="7"/>
      <c r="C1999" s="4"/>
      <c r="D1999" s="4"/>
      <c r="E1999" s="4"/>
    </row>
    <row r="2000">
      <c r="A2000" s="6"/>
      <c r="B2000" s="7"/>
      <c r="C2000" s="4"/>
      <c r="D2000" s="4"/>
      <c r="E2000" s="4"/>
    </row>
    <row r="2001">
      <c r="A2001" s="6"/>
      <c r="B2001" s="7"/>
      <c r="C2001" s="4"/>
      <c r="D2001" s="4"/>
      <c r="E2001" s="4"/>
    </row>
    <row r="2002">
      <c r="A2002" s="6"/>
      <c r="B2002" s="7"/>
      <c r="C2002" s="4"/>
      <c r="D2002" s="4"/>
      <c r="E2002" s="4"/>
    </row>
    <row r="2003">
      <c r="A2003" s="6"/>
      <c r="B2003" s="7"/>
      <c r="C2003" s="4"/>
      <c r="D2003" s="4"/>
      <c r="E2003" s="4"/>
    </row>
    <row r="2004">
      <c r="A2004" s="6"/>
      <c r="B2004" s="7"/>
      <c r="C2004" s="4"/>
      <c r="D2004" s="4"/>
      <c r="E2004" s="4"/>
    </row>
    <row r="2005">
      <c r="A2005" s="6"/>
      <c r="B2005" s="7"/>
      <c r="C2005" s="4"/>
      <c r="D2005" s="4"/>
      <c r="E2005" s="4"/>
    </row>
    <row r="2006">
      <c r="A2006" s="6"/>
      <c r="B2006" s="7"/>
      <c r="C2006" s="4"/>
      <c r="D2006" s="4"/>
      <c r="E2006" s="4"/>
    </row>
    <row r="2007">
      <c r="A2007" s="6"/>
      <c r="B2007" s="7"/>
      <c r="C2007" s="4"/>
      <c r="D2007" s="4"/>
      <c r="E2007" s="4"/>
    </row>
    <row r="2008">
      <c r="A2008" s="6"/>
      <c r="B2008" s="7"/>
      <c r="C2008" s="4"/>
      <c r="D2008" s="4"/>
      <c r="E2008" s="4"/>
    </row>
    <row r="2009">
      <c r="A2009" s="6"/>
      <c r="B2009" s="7"/>
      <c r="C2009" s="4"/>
      <c r="D2009" s="4"/>
      <c r="E2009" s="4"/>
    </row>
    <row r="2010">
      <c r="A2010" s="6"/>
      <c r="B2010" s="7"/>
      <c r="C2010" s="4"/>
      <c r="D2010" s="4"/>
      <c r="E2010" s="4"/>
    </row>
    <row r="2011">
      <c r="A2011" s="6"/>
      <c r="B2011" s="7"/>
      <c r="C2011" s="4"/>
      <c r="D2011" s="4"/>
      <c r="E2011" s="4"/>
    </row>
    <row r="2012">
      <c r="A2012" s="6"/>
      <c r="B2012" s="7"/>
      <c r="C2012" s="4"/>
      <c r="D2012" s="4"/>
      <c r="E2012" s="4"/>
    </row>
    <row r="2013">
      <c r="A2013" s="6"/>
      <c r="B2013" s="7"/>
      <c r="C2013" s="4"/>
      <c r="D2013" s="4"/>
      <c r="E2013" s="4"/>
    </row>
    <row r="2014">
      <c r="A2014" s="6"/>
      <c r="B2014" s="7"/>
      <c r="C2014" s="4"/>
      <c r="D2014" s="4"/>
      <c r="E2014" s="4"/>
    </row>
    <row r="2015">
      <c r="A2015" s="6"/>
      <c r="B2015" s="7"/>
      <c r="C2015" s="4"/>
      <c r="D2015" s="4"/>
      <c r="E2015" s="4"/>
    </row>
    <row r="2016">
      <c r="A2016" s="6"/>
      <c r="B2016" s="7"/>
      <c r="C2016" s="4"/>
      <c r="D2016" s="4"/>
      <c r="E2016" s="4"/>
    </row>
    <row r="2017">
      <c r="A2017" s="6"/>
      <c r="B2017" s="7"/>
      <c r="C2017" s="4"/>
      <c r="D2017" s="4"/>
      <c r="E2017" s="4"/>
    </row>
    <row r="2018">
      <c r="A2018" s="6"/>
      <c r="B2018" s="7"/>
      <c r="C2018" s="4"/>
      <c r="D2018" s="4"/>
      <c r="E2018" s="4"/>
    </row>
    <row r="2019">
      <c r="A2019" s="6"/>
      <c r="B2019" s="7"/>
      <c r="C2019" s="4"/>
      <c r="D2019" s="4"/>
      <c r="E2019" s="4"/>
    </row>
    <row r="2020">
      <c r="A2020" s="6"/>
      <c r="B2020" s="7"/>
      <c r="C2020" s="4"/>
      <c r="D2020" s="4"/>
      <c r="E2020" s="4"/>
    </row>
    <row r="2021">
      <c r="A2021" s="6"/>
      <c r="B2021" s="7"/>
      <c r="C2021" s="4"/>
      <c r="D2021" s="4"/>
      <c r="E2021" s="4"/>
    </row>
    <row r="2022">
      <c r="A2022" s="6"/>
      <c r="B2022" s="7"/>
      <c r="C2022" s="4"/>
      <c r="D2022" s="4"/>
      <c r="E2022" s="4"/>
    </row>
    <row r="2023">
      <c r="A2023" s="6"/>
      <c r="B2023" s="7"/>
      <c r="C2023" s="4"/>
      <c r="D2023" s="4"/>
      <c r="E2023" s="4"/>
    </row>
    <row r="2024">
      <c r="A2024" s="6"/>
      <c r="B2024" s="7"/>
      <c r="C2024" s="4"/>
      <c r="D2024" s="4"/>
      <c r="E2024" s="4"/>
    </row>
    <row r="2025">
      <c r="A2025" s="6"/>
      <c r="B2025" s="7"/>
      <c r="C2025" s="4"/>
      <c r="D2025" s="4"/>
      <c r="E2025" s="4"/>
    </row>
    <row r="2026">
      <c r="A2026" s="6"/>
      <c r="B2026" s="7"/>
      <c r="C2026" s="4"/>
      <c r="D2026" s="4"/>
      <c r="E2026" s="4"/>
    </row>
    <row r="2027">
      <c r="A2027" s="6"/>
      <c r="B2027" s="7"/>
      <c r="C2027" s="4"/>
      <c r="D2027" s="4"/>
      <c r="E2027" s="4"/>
    </row>
    <row r="2028">
      <c r="A2028" s="6"/>
      <c r="B2028" s="7"/>
      <c r="C2028" s="4"/>
      <c r="D2028" s="4"/>
      <c r="E2028" s="4"/>
    </row>
    <row r="2029">
      <c r="A2029" s="6"/>
      <c r="B2029" s="7"/>
      <c r="C2029" s="4"/>
      <c r="D2029" s="4"/>
      <c r="E2029" s="4"/>
    </row>
    <row r="2030">
      <c r="A2030" s="6"/>
      <c r="B2030" s="7"/>
      <c r="C2030" s="4"/>
      <c r="D2030" s="4"/>
      <c r="E2030" s="4"/>
    </row>
    <row r="2031">
      <c r="A2031" s="6"/>
      <c r="B2031" s="7"/>
      <c r="C2031" s="4"/>
      <c r="D2031" s="4"/>
      <c r="E2031" s="4"/>
    </row>
    <row r="2032">
      <c r="A2032" s="6"/>
      <c r="B2032" s="7"/>
      <c r="C2032" s="4"/>
      <c r="D2032" s="4"/>
      <c r="E2032" s="4"/>
    </row>
    <row r="2033">
      <c r="A2033" s="6"/>
      <c r="B2033" s="7"/>
      <c r="C2033" s="4"/>
      <c r="D2033" s="4"/>
      <c r="E2033" s="4"/>
    </row>
    <row r="2034">
      <c r="A2034" s="6"/>
      <c r="B2034" s="7"/>
      <c r="C2034" s="4"/>
      <c r="D2034" s="4"/>
      <c r="E2034" s="4"/>
    </row>
    <row r="2035">
      <c r="A2035" s="6"/>
      <c r="B2035" s="7"/>
      <c r="C2035" s="4"/>
      <c r="D2035" s="4"/>
      <c r="E2035" s="4"/>
    </row>
    <row r="2036">
      <c r="A2036" s="6"/>
      <c r="B2036" s="7"/>
      <c r="C2036" s="4"/>
      <c r="D2036" s="4"/>
      <c r="E2036" s="4"/>
    </row>
    <row r="2037">
      <c r="A2037" s="6"/>
      <c r="B2037" s="7"/>
      <c r="C2037" s="4"/>
      <c r="D2037" s="4"/>
      <c r="E2037" s="4"/>
    </row>
    <row r="2038">
      <c r="A2038" s="6"/>
      <c r="B2038" s="7"/>
      <c r="C2038" s="4"/>
      <c r="D2038" s="4"/>
      <c r="E2038" s="4"/>
    </row>
    <row r="2039">
      <c r="A2039" s="6"/>
      <c r="B2039" s="7"/>
      <c r="C2039" s="4"/>
      <c r="D2039" s="4"/>
      <c r="E2039" s="4"/>
    </row>
    <row r="2040">
      <c r="A2040" s="6"/>
      <c r="B2040" s="7"/>
      <c r="C2040" s="4"/>
      <c r="D2040" s="4"/>
      <c r="E2040" s="4"/>
    </row>
    <row r="2041">
      <c r="A2041" s="6"/>
      <c r="B2041" s="7"/>
      <c r="C2041" s="4"/>
      <c r="D2041" s="4"/>
      <c r="E2041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8">
        <v>41730.0</v>
      </c>
      <c r="B2" s="12">
        <v>0.004925</v>
      </c>
      <c r="C2" s="12">
        <v>0.006281999999999999</v>
      </c>
      <c r="D2" s="12">
        <v>0.009895000000000001</v>
      </c>
    </row>
    <row r="3">
      <c r="A3" s="8">
        <v>41731.0</v>
      </c>
      <c r="B3" s="12">
        <v>0.00497</v>
      </c>
      <c r="C3" s="12">
        <v>0.00642</v>
      </c>
      <c r="D3" s="12">
        <v>0.01012</v>
      </c>
    </row>
    <row r="4">
      <c r="A4" s="8">
        <v>41732.0</v>
      </c>
      <c r="B4" s="12">
        <v>0.00489</v>
      </c>
      <c r="C4" s="12">
        <v>0.0062450000000000006</v>
      </c>
      <c r="D4" s="12">
        <v>0.009961</v>
      </c>
    </row>
    <row r="5">
      <c r="A5" s="8">
        <v>41733.0</v>
      </c>
      <c r="B5" s="12">
        <v>0.00466</v>
      </c>
      <c r="C5" s="12">
        <v>0.005869999999999999</v>
      </c>
      <c r="D5" s="12">
        <v>0.009361000000000001</v>
      </c>
    </row>
    <row r="6">
      <c r="A6" s="8">
        <v>41736.0</v>
      </c>
      <c r="B6" s="12">
        <v>0.004739999999999999</v>
      </c>
      <c r="C6" s="12">
        <v>0.005893000000000001</v>
      </c>
      <c r="D6" s="12">
        <v>0.009365</v>
      </c>
    </row>
    <row r="7">
      <c r="A7" s="8">
        <v>41737.0</v>
      </c>
      <c r="B7" s="12">
        <v>0.00475</v>
      </c>
      <c r="C7" s="12">
        <v>0.005998</v>
      </c>
      <c r="D7" s="12">
        <v>0.009519999999999999</v>
      </c>
    </row>
    <row r="8">
      <c r="A8" s="8">
        <v>41738.0</v>
      </c>
      <c r="B8" s="12">
        <v>0.0048</v>
      </c>
      <c r="C8" s="12">
        <v>0.005975</v>
      </c>
      <c r="D8" s="12">
        <v>0.00982</v>
      </c>
    </row>
    <row r="9">
      <c r="A9" s="8">
        <v>41739.0</v>
      </c>
      <c r="B9" s="12">
        <v>0.0046</v>
      </c>
      <c r="C9" s="12">
        <v>0.0058779999999999995</v>
      </c>
      <c r="D9" s="12">
        <v>0.009429</v>
      </c>
    </row>
    <row r="10">
      <c r="A10" s="8">
        <v>41740.0</v>
      </c>
      <c r="B10" s="12">
        <v>0.004675</v>
      </c>
      <c r="C10" s="12">
        <v>0.005868</v>
      </c>
      <c r="D10" s="12">
        <v>0.009248</v>
      </c>
    </row>
    <row r="11">
      <c r="A11" s="8">
        <v>41743.0</v>
      </c>
      <c r="B11" s="12">
        <v>0.00458</v>
      </c>
      <c r="C11" s="12">
        <v>0.005798</v>
      </c>
      <c r="D11" s="12">
        <v>0.00933</v>
      </c>
    </row>
    <row r="12">
      <c r="A12" s="8">
        <v>41744.0</v>
      </c>
      <c r="B12" s="12">
        <v>0.0044</v>
      </c>
      <c r="C12" s="12">
        <v>0.005548</v>
      </c>
      <c r="D12" s="12">
        <v>0.008945</v>
      </c>
    </row>
    <row r="13">
      <c r="A13" s="8">
        <v>41745.0</v>
      </c>
      <c r="B13" s="12">
        <v>0.0044729999999999995</v>
      </c>
      <c r="C13" s="12">
        <v>0.005592000000000001</v>
      </c>
      <c r="D13" s="12">
        <v>0.00902</v>
      </c>
    </row>
    <row r="14">
      <c r="A14" s="8">
        <v>41746.0</v>
      </c>
      <c r="B14" s="12">
        <v>0.00473</v>
      </c>
      <c r="C14" s="12">
        <v>0.00584</v>
      </c>
      <c r="D14" s="12">
        <v>0.009525</v>
      </c>
    </row>
    <row r="15">
      <c r="A15" s="8">
        <v>41747.0</v>
      </c>
      <c r="B15" s="13">
        <v>0.00473</v>
      </c>
      <c r="C15" s="12">
        <v>0.0059299999999999995</v>
      </c>
      <c r="D15" s="12">
        <v>0.009565</v>
      </c>
    </row>
    <row r="16">
      <c r="A16" s="8">
        <v>41750.0</v>
      </c>
      <c r="B16" s="13">
        <v>0.00473</v>
      </c>
      <c r="C16" s="12">
        <v>0.0059299999999999995</v>
      </c>
      <c r="D16" s="12">
        <v>0.009525</v>
      </c>
    </row>
    <row r="17">
      <c r="A17" s="8">
        <v>41751.0</v>
      </c>
      <c r="B17" s="12">
        <v>0.00471</v>
      </c>
      <c r="C17" s="12">
        <v>0.00597</v>
      </c>
      <c r="D17" s="12">
        <v>0.0095</v>
      </c>
    </row>
    <row r="18">
      <c r="A18" s="8">
        <v>41752.0</v>
      </c>
      <c r="B18" s="12">
        <v>0.0048</v>
      </c>
      <c r="C18" s="12">
        <v>0.00603</v>
      </c>
      <c r="D18" s="12">
        <v>0.00963</v>
      </c>
    </row>
    <row r="19">
      <c r="A19" s="8">
        <v>41753.0</v>
      </c>
      <c r="B19" s="12">
        <v>0.00486</v>
      </c>
      <c r="C19" s="12">
        <v>0.00614</v>
      </c>
      <c r="D19" s="12">
        <v>0.00972</v>
      </c>
    </row>
    <row r="20">
      <c r="A20" s="8">
        <v>41754.0</v>
      </c>
      <c r="B20" s="12">
        <v>0.004795</v>
      </c>
      <c r="C20" s="12">
        <v>0.006031</v>
      </c>
      <c r="D20" s="12">
        <v>0.009545</v>
      </c>
    </row>
    <row r="21">
      <c r="A21" s="8">
        <v>41757.0</v>
      </c>
      <c r="B21" s="12">
        <v>0.00482</v>
      </c>
      <c r="C21" s="12">
        <v>0.006097</v>
      </c>
      <c r="D21" s="12">
        <v>0.009584</v>
      </c>
    </row>
    <row r="22">
      <c r="A22" s="8">
        <v>41758.0</v>
      </c>
      <c r="B22" s="12">
        <v>0.00455</v>
      </c>
      <c r="C22" s="12">
        <v>0.005829999999999999</v>
      </c>
      <c r="D22" s="12">
        <v>0.00937</v>
      </c>
    </row>
    <row r="23">
      <c r="A23" s="8">
        <v>41759.0</v>
      </c>
      <c r="B23" s="12">
        <v>0.0044800000000000005</v>
      </c>
      <c r="C23" s="12">
        <v>0.005699999999999999</v>
      </c>
      <c r="D23" s="12">
        <v>0.009156</v>
      </c>
    </row>
    <row r="24">
      <c r="A24" s="8">
        <v>41760.0</v>
      </c>
      <c r="B24" s="12">
        <v>0.00449</v>
      </c>
      <c r="C24" s="12">
        <v>0.005699999999999999</v>
      </c>
      <c r="D24" s="12">
        <v>0.009155</v>
      </c>
    </row>
    <row r="25">
      <c r="A25" s="8">
        <v>41761.0</v>
      </c>
      <c r="B25" s="12">
        <v>0.004355</v>
      </c>
      <c r="C25" s="12">
        <v>0.005540000000000001</v>
      </c>
      <c r="D25" s="12">
        <v>0.008976</v>
      </c>
    </row>
    <row r="26">
      <c r="A26" s="8">
        <v>41764.0</v>
      </c>
      <c r="B26" s="12">
        <v>0.004465</v>
      </c>
      <c r="C26" s="12">
        <v>0.005599</v>
      </c>
      <c r="D26" s="12">
        <v>0.00907</v>
      </c>
    </row>
    <row r="27">
      <c r="A27" s="8">
        <v>41765.0</v>
      </c>
      <c r="B27" s="12">
        <v>0.00459</v>
      </c>
      <c r="C27" s="12">
        <v>0.00579</v>
      </c>
      <c r="D27" s="12">
        <v>0.009245</v>
      </c>
    </row>
    <row r="28">
      <c r="A28" s="8">
        <v>41766.0</v>
      </c>
      <c r="B28" s="12">
        <v>0.00461</v>
      </c>
      <c r="C28" s="12">
        <v>0.00586</v>
      </c>
      <c r="D28" s="12">
        <v>0.009358</v>
      </c>
    </row>
    <row r="29">
      <c r="A29" s="8">
        <v>41767.0</v>
      </c>
      <c r="B29" s="12">
        <v>0.00432</v>
      </c>
      <c r="C29" s="12">
        <v>0.005415</v>
      </c>
      <c r="D29" s="12">
        <v>0.00891</v>
      </c>
    </row>
    <row r="30">
      <c r="A30" s="8">
        <v>41768.0</v>
      </c>
      <c r="B30" s="12">
        <v>0.004395</v>
      </c>
      <c r="C30" s="12">
        <v>0.00547</v>
      </c>
      <c r="D30" s="12">
        <v>0.0089</v>
      </c>
    </row>
    <row r="31">
      <c r="A31" s="8">
        <v>41771.0</v>
      </c>
      <c r="B31" s="12">
        <v>0.00436</v>
      </c>
      <c r="C31" s="12">
        <v>0.005452</v>
      </c>
      <c r="D31" s="12">
        <v>0.008859</v>
      </c>
    </row>
    <row r="32">
      <c r="A32" s="8">
        <v>41772.0</v>
      </c>
      <c r="B32" s="12">
        <v>0.00415</v>
      </c>
      <c r="C32" s="12">
        <v>0.005086</v>
      </c>
      <c r="D32" s="12">
        <v>0.008357</v>
      </c>
    </row>
    <row r="33">
      <c r="A33" s="8">
        <v>41773.0</v>
      </c>
      <c r="B33" s="12">
        <v>0.0039900000000000005</v>
      </c>
      <c r="C33" s="12">
        <v>0.00483</v>
      </c>
      <c r="D33" s="12">
        <v>0.007876</v>
      </c>
    </row>
    <row r="34">
      <c r="A34" s="8">
        <v>41774.0</v>
      </c>
      <c r="B34" s="12">
        <v>0.003875</v>
      </c>
      <c r="C34" s="12">
        <v>0.004588999999999999</v>
      </c>
      <c r="D34" s="12">
        <v>0.007534999999999999</v>
      </c>
    </row>
    <row r="35">
      <c r="A35" s="8">
        <v>41775.0</v>
      </c>
      <c r="B35" s="12">
        <v>0.0039000000000000003</v>
      </c>
      <c r="C35" s="12">
        <v>0.004775</v>
      </c>
      <c r="D35" s="12">
        <v>0.00777</v>
      </c>
    </row>
    <row r="36">
      <c r="A36" s="8">
        <v>41778.0</v>
      </c>
      <c r="B36" s="12">
        <v>0.003975</v>
      </c>
      <c r="C36" s="12">
        <v>0.004863</v>
      </c>
      <c r="D36" s="12">
        <v>0.008031</v>
      </c>
    </row>
    <row r="37">
      <c r="A37" s="8">
        <v>41779.0</v>
      </c>
      <c r="B37" s="12">
        <v>0.00387</v>
      </c>
      <c r="C37" s="12">
        <v>0.0048</v>
      </c>
      <c r="D37" s="12">
        <v>0.00792</v>
      </c>
    </row>
    <row r="38">
      <c r="A38" s="8">
        <v>41780.0</v>
      </c>
      <c r="B38" s="12">
        <v>0.003895</v>
      </c>
      <c r="C38" s="12">
        <v>0.00487</v>
      </c>
      <c r="D38" s="12">
        <v>0.008144</v>
      </c>
    </row>
    <row r="39">
      <c r="A39" s="8">
        <v>41781.0</v>
      </c>
      <c r="B39" s="12">
        <v>0.00383</v>
      </c>
      <c r="C39" s="12">
        <v>0.0047799999999999995</v>
      </c>
      <c r="D39" s="12">
        <v>0.007972</v>
      </c>
    </row>
    <row r="40">
      <c r="A40" s="8">
        <v>41782.0</v>
      </c>
      <c r="B40" s="12">
        <v>0.00376</v>
      </c>
      <c r="C40" s="12">
        <v>0.004741</v>
      </c>
      <c r="D40" s="12">
        <v>0.007989000000000001</v>
      </c>
    </row>
    <row r="41">
      <c r="A41" s="8">
        <v>41785.0</v>
      </c>
      <c r="B41" s="12">
        <v>0.00363</v>
      </c>
      <c r="C41" s="12">
        <v>0.0046</v>
      </c>
      <c r="D41" s="12">
        <v>0.00793</v>
      </c>
    </row>
    <row r="42">
      <c r="A42" s="8">
        <v>41786.0</v>
      </c>
      <c r="B42" s="12">
        <v>0.00368</v>
      </c>
      <c r="C42" s="12">
        <v>0.00452</v>
      </c>
      <c r="D42" s="12">
        <v>0.007629</v>
      </c>
    </row>
    <row r="43">
      <c r="A43" s="8">
        <v>41787.0</v>
      </c>
      <c r="B43" s="12">
        <v>0.00364</v>
      </c>
      <c r="C43" s="12">
        <v>0.004445</v>
      </c>
      <c r="D43" s="12">
        <v>0.007383999999999999</v>
      </c>
    </row>
    <row r="44">
      <c r="A44" s="8">
        <v>41788.0</v>
      </c>
      <c r="B44" s="12">
        <v>0.00367</v>
      </c>
      <c r="C44" s="12">
        <v>0.004545</v>
      </c>
      <c r="D44" s="12">
        <v>0.00753</v>
      </c>
    </row>
    <row r="45">
      <c r="A45" s="8">
        <v>41789.0</v>
      </c>
      <c r="B45" s="12">
        <v>0.0037</v>
      </c>
      <c r="C45" s="12">
        <v>0.00458</v>
      </c>
      <c r="D45" s="12">
        <v>0.00762</v>
      </c>
    </row>
    <row r="46">
      <c r="A46" s="8">
        <v>41792.0</v>
      </c>
      <c r="B46" s="12">
        <v>0.00364</v>
      </c>
      <c r="C46" s="12">
        <v>0.004517</v>
      </c>
      <c r="D46" s="12">
        <v>0.007574999999999999</v>
      </c>
    </row>
    <row r="47">
      <c r="A47" s="8">
        <v>41793.0</v>
      </c>
      <c r="B47" s="12">
        <v>0.00361</v>
      </c>
      <c r="C47" s="12">
        <v>0.0045839999999999995</v>
      </c>
      <c r="D47" s="12">
        <v>0.007850000000000001</v>
      </c>
    </row>
    <row r="48">
      <c r="A48" s="8">
        <v>41794.0</v>
      </c>
      <c r="B48" s="12">
        <v>0.00345</v>
      </c>
      <c r="C48" s="12">
        <v>0.00451</v>
      </c>
      <c r="D48" s="12">
        <v>0.00786</v>
      </c>
    </row>
    <row r="49">
      <c r="A49" s="8">
        <v>41795.0</v>
      </c>
      <c r="B49" s="12">
        <v>0.00345</v>
      </c>
      <c r="C49" s="12">
        <v>0.00428</v>
      </c>
      <c r="D49" s="12">
        <v>0.00732</v>
      </c>
    </row>
    <row r="50">
      <c r="A50" s="8">
        <v>41796.0</v>
      </c>
      <c r="B50" s="12">
        <v>0.0034649999999999998</v>
      </c>
      <c r="C50" s="12">
        <v>0.00413</v>
      </c>
      <c r="D50" s="12">
        <v>0.006908</v>
      </c>
    </row>
    <row r="51">
      <c r="A51" s="8">
        <v>41799.0</v>
      </c>
      <c r="B51" s="12">
        <v>0.0034200000000000003</v>
      </c>
      <c r="C51" s="12">
        <v>0.00416</v>
      </c>
      <c r="D51" s="12">
        <v>0.0070750000000000006</v>
      </c>
    </row>
    <row r="52">
      <c r="A52" s="8">
        <v>41800.0</v>
      </c>
      <c r="B52" s="12">
        <v>0.003505</v>
      </c>
      <c r="C52" s="12">
        <v>0.004207</v>
      </c>
      <c r="D52" s="12">
        <v>0.007295</v>
      </c>
    </row>
    <row r="53">
      <c r="A53" s="8">
        <v>41801.0</v>
      </c>
      <c r="B53" s="12">
        <v>0.0033250000000000003</v>
      </c>
      <c r="C53" s="12">
        <v>0.004103</v>
      </c>
      <c r="D53" s="12">
        <v>0.0072299999999999994</v>
      </c>
    </row>
    <row r="54">
      <c r="A54" s="8">
        <v>41802.0</v>
      </c>
      <c r="B54" s="12">
        <v>0.0032300000000000002</v>
      </c>
      <c r="C54" s="12">
        <v>0.00398</v>
      </c>
      <c r="D54" s="12">
        <v>0.006919</v>
      </c>
    </row>
    <row r="55">
      <c r="A55" s="8">
        <v>41803.0</v>
      </c>
      <c r="B55" s="12">
        <v>0.00317</v>
      </c>
      <c r="C55" s="12">
        <v>0.0039900000000000005</v>
      </c>
      <c r="D55" s="12">
        <v>0.006985</v>
      </c>
    </row>
    <row r="56">
      <c r="A56" s="8">
        <v>41806.0</v>
      </c>
      <c r="B56" s="12">
        <v>0.0031630000000000004</v>
      </c>
      <c r="C56" s="12">
        <v>0.003955</v>
      </c>
      <c r="D56" s="12">
        <v>0.006961</v>
      </c>
    </row>
    <row r="57">
      <c r="A57" s="8">
        <v>41807.0</v>
      </c>
      <c r="B57" s="12">
        <v>0.003255</v>
      </c>
      <c r="C57" s="12">
        <v>0.004129</v>
      </c>
      <c r="D57" s="12">
        <v>0.0072829999999999995</v>
      </c>
    </row>
    <row r="58">
      <c r="A58" s="8">
        <v>41808.0</v>
      </c>
      <c r="B58" s="12">
        <v>0.0032600000000000003</v>
      </c>
      <c r="C58" s="12">
        <v>0.004025</v>
      </c>
      <c r="D58" s="12">
        <v>0.007045</v>
      </c>
    </row>
    <row r="59">
      <c r="A59" s="8">
        <v>41809.0</v>
      </c>
      <c r="B59" s="12">
        <v>0.003205</v>
      </c>
      <c r="C59" s="12">
        <v>0.00395</v>
      </c>
      <c r="D59" s="12">
        <v>0.00683</v>
      </c>
    </row>
    <row r="60">
      <c r="A60" s="8">
        <v>41810.0</v>
      </c>
      <c r="B60" s="12">
        <v>0.0032500000000000003</v>
      </c>
      <c r="C60" s="12">
        <v>0.004035</v>
      </c>
      <c r="D60" s="12">
        <v>0.006939999999999999</v>
      </c>
    </row>
    <row r="61">
      <c r="A61" s="8">
        <v>41813.0</v>
      </c>
      <c r="B61" s="12">
        <v>0.0032600000000000003</v>
      </c>
      <c r="C61" s="12">
        <v>0.003995</v>
      </c>
      <c r="D61" s="12">
        <v>0.006860000000000001</v>
      </c>
    </row>
    <row r="62">
      <c r="A62" s="8">
        <v>41814.0</v>
      </c>
      <c r="B62" s="12">
        <v>0.00322</v>
      </c>
      <c r="C62" s="12">
        <v>0.003985</v>
      </c>
      <c r="D62" s="12">
        <v>0.006840000000000001</v>
      </c>
    </row>
    <row r="63">
      <c r="A63" s="8">
        <v>41815.0</v>
      </c>
      <c r="B63" s="12">
        <v>0.00317</v>
      </c>
      <c r="C63" s="12">
        <v>0.0039000000000000003</v>
      </c>
      <c r="D63" s="12">
        <v>0.006573</v>
      </c>
    </row>
    <row r="64">
      <c r="A64" s="8">
        <v>41816.0</v>
      </c>
      <c r="B64" s="12">
        <v>0.00315</v>
      </c>
      <c r="C64" s="12">
        <v>0.0038900000000000002</v>
      </c>
      <c r="D64" s="12">
        <v>0.00651</v>
      </c>
    </row>
    <row r="65">
      <c r="A65" s="8">
        <v>41817.0</v>
      </c>
      <c r="B65" s="12">
        <v>0.0032</v>
      </c>
      <c r="C65" s="12">
        <v>0.00398</v>
      </c>
      <c r="D65" s="12">
        <v>0.006730000000000001</v>
      </c>
    </row>
    <row r="66">
      <c r="A66" s="8">
        <v>41820.0</v>
      </c>
      <c r="B66" s="12">
        <v>0.00311</v>
      </c>
      <c r="C66" s="12">
        <v>0.003855</v>
      </c>
      <c r="D66" s="12">
        <v>0.006542</v>
      </c>
    </row>
    <row r="67">
      <c r="A67" s="8">
        <v>41821.0</v>
      </c>
      <c r="B67" s="12">
        <v>0.00307</v>
      </c>
      <c r="C67" s="12">
        <v>0.003802</v>
      </c>
      <c r="D67" s="12">
        <v>0.006512</v>
      </c>
    </row>
    <row r="68">
      <c r="A68" s="8">
        <v>41822.0</v>
      </c>
      <c r="B68" s="12">
        <v>0.00318</v>
      </c>
      <c r="C68" s="12">
        <v>0.00393</v>
      </c>
      <c r="D68" s="12">
        <v>0.006770000000000001</v>
      </c>
    </row>
    <row r="69">
      <c r="A69" s="8">
        <v>41823.0</v>
      </c>
      <c r="B69" s="12">
        <v>0.00313</v>
      </c>
      <c r="C69" s="12">
        <v>0.003936</v>
      </c>
      <c r="D69" s="12">
        <v>0.006790000000000001</v>
      </c>
    </row>
    <row r="70">
      <c r="A70" s="8">
        <v>41824.0</v>
      </c>
      <c r="B70" s="12">
        <v>0.003095</v>
      </c>
      <c r="C70" s="12">
        <v>0.003895</v>
      </c>
      <c r="D70" s="12">
        <v>0.00661</v>
      </c>
    </row>
    <row r="71">
      <c r="A71" s="8">
        <v>41827.0</v>
      </c>
      <c r="B71" s="12">
        <v>0.00311</v>
      </c>
      <c r="C71" s="12">
        <v>0.003876</v>
      </c>
      <c r="D71" s="12">
        <v>0.00664</v>
      </c>
    </row>
    <row r="72">
      <c r="A72" s="8">
        <v>41828.0</v>
      </c>
      <c r="B72" s="12">
        <v>0.0030930000000000003</v>
      </c>
      <c r="C72" s="12">
        <v>0.003785</v>
      </c>
      <c r="D72" s="12">
        <v>0.0063549999999999995</v>
      </c>
    </row>
    <row r="73">
      <c r="A73" s="8">
        <v>41829.0</v>
      </c>
      <c r="B73" s="12">
        <v>0.00313</v>
      </c>
      <c r="C73" s="12">
        <v>0.00382</v>
      </c>
      <c r="D73" s="12">
        <v>0.006444999999999999</v>
      </c>
    </row>
    <row r="74">
      <c r="A74" s="8">
        <v>41830.0</v>
      </c>
      <c r="B74" s="12">
        <v>0.00313</v>
      </c>
      <c r="C74" s="12">
        <v>0.00382</v>
      </c>
      <c r="D74" s="12">
        <v>0.00639</v>
      </c>
    </row>
    <row r="75">
      <c r="A75" s="8">
        <v>41831.0</v>
      </c>
      <c r="B75" s="12">
        <v>0.00315</v>
      </c>
      <c r="C75" s="12">
        <v>0.003849</v>
      </c>
      <c r="D75" s="12">
        <v>0.00636</v>
      </c>
    </row>
    <row r="76">
      <c r="A76" s="8">
        <v>41834.0</v>
      </c>
      <c r="B76" s="12">
        <v>0.003185</v>
      </c>
      <c r="C76" s="12">
        <v>0.003865</v>
      </c>
      <c r="D76" s="12">
        <v>0.0063939999999999995</v>
      </c>
    </row>
    <row r="77">
      <c r="A77" s="8">
        <v>41835.0</v>
      </c>
      <c r="B77" s="12">
        <v>0.00318</v>
      </c>
      <c r="C77" s="12">
        <v>0.003885</v>
      </c>
      <c r="D77" s="12">
        <v>0.00641</v>
      </c>
    </row>
    <row r="78">
      <c r="A78" s="8">
        <v>41836.0</v>
      </c>
      <c r="B78" s="12">
        <v>0.00315</v>
      </c>
      <c r="C78" s="12">
        <v>0.00384</v>
      </c>
      <c r="D78" s="12">
        <v>0.00632</v>
      </c>
    </row>
    <row r="79">
      <c r="A79" s="8">
        <v>41837.0</v>
      </c>
      <c r="B79" s="12">
        <v>0.00315</v>
      </c>
      <c r="C79" s="12">
        <v>0.00382</v>
      </c>
      <c r="D79" s="12">
        <v>0.00618</v>
      </c>
    </row>
    <row r="80">
      <c r="A80" s="8">
        <v>41838.0</v>
      </c>
      <c r="B80" s="12">
        <v>0.0032</v>
      </c>
      <c r="C80" s="12">
        <v>0.00388</v>
      </c>
      <c r="D80" s="12">
        <v>0.006267</v>
      </c>
    </row>
    <row r="81">
      <c r="A81" s="8">
        <v>41841.0</v>
      </c>
      <c r="B81" s="12">
        <v>0.003235</v>
      </c>
      <c r="C81" s="12">
        <v>0.00391</v>
      </c>
      <c r="D81" s="12">
        <v>0.00625</v>
      </c>
    </row>
    <row r="82">
      <c r="A82" s="8">
        <v>41842.0</v>
      </c>
      <c r="B82" s="12">
        <v>0.00333</v>
      </c>
      <c r="C82" s="12">
        <v>0.004025</v>
      </c>
      <c r="D82" s="12">
        <v>0.00642</v>
      </c>
    </row>
    <row r="83">
      <c r="A83" s="8">
        <v>41843.0</v>
      </c>
      <c r="B83" s="12">
        <v>0.0033</v>
      </c>
      <c r="C83" s="12">
        <v>0.003977</v>
      </c>
      <c r="D83" s="12">
        <v>0.006323</v>
      </c>
    </row>
    <row r="84">
      <c r="A84" s="8">
        <v>41844.0</v>
      </c>
      <c r="B84" s="12">
        <v>0.00338</v>
      </c>
      <c r="C84" s="12">
        <v>0.00411</v>
      </c>
      <c r="D84" s="12">
        <v>0.00655</v>
      </c>
    </row>
    <row r="85">
      <c r="A85" s="8">
        <v>41845.0</v>
      </c>
      <c r="B85" s="12">
        <v>0.003285</v>
      </c>
      <c r="C85" s="12">
        <v>0.00398</v>
      </c>
      <c r="D85" s="12">
        <v>0.006301</v>
      </c>
    </row>
    <row r="86">
      <c r="A86" s="8">
        <v>41848.0</v>
      </c>
      <c r="B86" s="12">
        <v>0.00335</v>
      </c>
      <c r="C86" s="12">
        <v>0.004025</v>
      </c>
      <c r="D86" s="12">
        <v>0.006348</v>
      </c>
    </row>
    <row r="87">
      <c r="A87" s="8">
        <v>41849.0</v>
      </c>
      <c r="B87" s="12">
        <v>0.00335</v>
      </c>
      <c r="C87" s="12">
        <v>0.003979</v>
      </c>
      <c r="D87" s="12">
        <v>0.006248</v>
      </c>
    </row>
    <row r="88">
      <c r="A88" s="8">
        <v>41850.0</v>
      </c>
      <c r="B88" s="12">
        <v>0.003405</v>
      </c>
      <c r="C88" s="12">
        <v>0.00411</v>
      </c>
      <c r="D88" s="12">
        <v>0.0066549999999999995</v>
      </c>
    </row>
    <row r="89">
      <c r="A89" s="8">
        <v>41851.0</v>
      </c>
      <c r="B89" s="12">
        <v>0.00336</v>
      </c>
      <c r="C89" s="12">
        <v>0.004059</v>
      </c>
      <c r="D89" s="12">
        <v>0.0064800000000000005</v>
      </c>
    </row>
    <row r="90">
      <c r="A90" s="8">
        <v>41852.0</v>
      </c>
      <c r="B90" s="12">
        <v>0.00336</v>
      </c>
      <c r="C90" s="12">
        <v>0.004039</v>
      </c>
      <c r="D90" s="12">
        <v>0.00639</v>
      </c>
    </row>
    <row r="91">
      <c r="A91" s="8">
        <v>41855.0</v>
      </c>
      <c r="B91" s="12">
        <v>0.00338</v>
      </c>
      <c r="C91" s="12">
        <v>0.004085</v>
      </c>
      <c r="D91" s="12">
        <v>0.0065049999999999995</v>
      </c>
    </row>
    <row r="92">
      <c r="A92" s="8">
        <v>41856.0</v>
      </c>
      <c r="B92" s="12">
        <v>0.0034200000000000003</v>
      </c>
      <c r="C92" s="12">
        <v>0.004154</v>
      </c>
      <c r="D92" s="12">
        <v>0.00658</v>
      </c>
    </row>
    <row r="93">
      <c r="A93" s="8">
        <v>41857.0</v>
      </c>
      <c r="B93" s="12">
        <v>0.00328</v>
      </c>
      <c r="C93" s="12">
        <v>0.003978</v>
      </c>
      <c r="D93" s="12">
        <v>0.00621</v>
      </c>
    </row>
    <row r="94">
      <c r="A94" s="8">
        <v>41858.0</v>
      </c>
      <c r="B94" s="12">
        <v>0.0032600000000000003</v>
      </c>
      <c r="C94" s="12">
        <v>0.003922999999999999</v>
      </c>
      <c r="D94" s="12">
        <v>0.006098</v>
      </c>
    </row>
    <row r="95">
      <c r="A95" s="8">
        <v>41859.0</v>
      </c>
      <c r="B95" s="12">
        <v>0.00334</v>
      </c>
      <c r="C95" s="12">
        <v>0.00404</v>
      </c>
      <c r="D95" s="12">
        <v>0.006389000000000001</v>
      </c>
    </row>
    <row r="96">
      <c r="A96" s="8">
        <v>41862.0</v>
      </c>
      <c r="B96" s="12">
        <v>0.0032679999999999996</v>
      </c>
      <c r="C96" s="12">
        <v>0.0039250000000000005</v>
      </c>
      <c r="D96" s="12">
        <v>0.006213</v>
      </c>
    </row>
    <row r="97">
      <c r="A97" s="8">
        <v>41863.0</v>
      </c>
      <c r="B97" s="12">
        <v>0.003255</v>
      </c>
      <c r="C97" s="12">
        <v>0.003903</v>
      </c>
      <c r="D97" s="12">
        <v>0.00621</v>
      </c>
    </row>
    <row r="98">
      <c r="A98" s="8">
        <v>41864.0</v>
      </c>
      <c r="B98" s="12">
        <v>0.0032</v>
      </c>
      <c r="C98" s="12">
        <v>0.003808</v>
      </c>
      <c r="D98" s="12">
        <v>0.005865</v>
      </c>
    </row>
    <row r="99">
      <c r="A99" s="8">
        <v>41865.0</v>
      </c>
      <c r="B99" s="12">
        <v>0.003188</v>
      </c>
      <c r="C99" s="12">
        <v>0.003757</v>
      </c>
      <c r="D99" s="12">
        <v>0.0058189999999999995</v>
      </c>
    </row>
    <row r="100">
      <c r="A100" s="8">
        <v>41866.0</v>
      </c>
      <c r="B100" s="12">
        <v>0.00311</v>
      </c>
      <c r="C100" s="12">
        <v>0.00374</v>
      </c>
      <c r="D100" s="12">
        <v>0.00577</v>
      </c>
    </row>
    <row r="101">
      <c r="A101" s="8">
        <v>41869.0</v>
      </c>
      <c r="B101" s="12">
        <v>0.00316</v>
      </c>
      <c r="C101" s="12">
        <v>0.003757</v>
      </c>
      <c r="D101" s="12">
        <v>0.005918</v>
      </c>
    </row>
    <row r="102">
      <c r="A102" s="8">
        <v>41870.0</v>
      </c>
      <c r="B102" s="12">
        <v>0.00309</v>
      </c>
      <c r="C102" s="12">
        <v>0.00369</v>
      </c>
      <c r="D102" s="12">
        <v>0.00573</v>
      </c>
    </row>
    <row r="103">
      <c r="A103" s="8">
        <v>41871.0</v>
      </c>
      <c r="B103" s="12">
        <v>0.00307</v>
      </c>
      <c r="C103" s="12">
        <v>0.00363</v>
      </c>
      <c r="D103" s="12">
        <v>0.00559</v>
      </c>
    </row>
    <row r="104">
      <c r="A104" s="8">
        <v>41872.0</v>
      </c>
      <c r="B104" s="12">
        <v>0.0030299999999999997</v>
      </c>
      <c r="C104" s="12">
        <v>0.0036149999999999997</v>
      </c>
      <c r="D104" s="12">
        <v>0.005675</v>
      </c>
    </row>
    <row r="105">
      <c r="A105" s="8">
        <v>41873.0</v>
      </c>
      <c r="B105" s="12">
        <v>0.003005</v>
      </c>
      <c r="C105" s="12">
        <v>0.00358</v>
      </c>
      <c r="D105" s="12">
        <v>0.0055249999999999995</v>
      </c>
    </row>
    <row r="106">
      <c r="A106" s="8">
        <v>41876.0</v>
      </c>
      <c r="B106" s="12">
        <v>0.0026</v>
      </c>
      <c r="C106" s="12">
        <v>0.003125</v>
      </c>
      <c r="D106" s="12">
        <v>0.00515</v>
      </c>
    </row>
    <row r="107">
      <c r="A107" s="8">
        <v>41877.0</v>
      </c>
      <c r="B107" s="12">
        <v>0.002718</v>
      </c>
      <c r="C107" s="12">
        <v>0.003215</v>
      </c>
      <c r="D107" s="12">
        <v>0.005115</v>
      </c>
    </row>
    <row r="108">
      <c r="A108" s="8">
        <v>41878.0</v>
      </c>
      <c r="B108" s="12">
        <v>0.0027300000000000002</v>
      </c>
      <c r="C108" s="12">
        <v>0.0032500000000000003</v>
      </c>
      <c r="D108" s="12">
        <v>0.0049499999999999995</v>
      </c>
    </row>
    <row r="109">
      <c r="A109" s="8">
        <v>41879.0</v>
      </c>
      <c r="B109" s="12">
        <v>0.002815</v>
      </c>
      <c r="C109" s="12">
        <v>0.003292</v>
      </c>
      <c r="D109" s="12">
        <v>0.004996</v>
      </c>
    </row>
    <row r="110">
      <c r="A110" s="8">
        <v>41880.0</v>
      </c>
      <c r="B110" s="12">
        <v>0.0026550000000000002</v>
      </c>
      <c r="C110" s="12">
        <v>0.00321</v>
      </c>
      <c r="D110" s="12">
        <v>0.0050349999999999995</v>
      </c>
    </row>
    <row r="111">
      <c r="A111" s="8">
        <v>41883.0</v>
      </c>
      <c r="B111" s="12">
        <v>0.00255</v>
      </c>
      <c r="C111" s="12">
        <v>0.0030399999999999997</v>
      </c>
      <c r="D111" s="12">
        <v>0.004821</v>
      </c>
    </row>
    <row r="112">
      <c r="A112" s="8">
        <v>41884.0</v>
      </c>
      <c r="B112" s="12">
        <v>0.0025800000000000003</v>
      </c>
      <c r="C112" s="12">
        <v>0.00312</v>
      </c>
      <c r="D112" s="12">
        <v>0.00503</v>
      </c>
    </row>
    <row r="113">
      <c r="A113" s="8">
        <v>41885.0</v>
      </c>
      <c r="B113" s="12">
        <v>0.00265</v>
      </c>
      <c r="C113" s="12">
        <v>0.003176</v>
      </c>
      <c r="D113" s="12">
        <v>0.00504</v>
      </c>
    </row>
    <row r="114">
      <c r="A114" s="8">
        <v>41886.0</v>
      </c>
      <c r="B114" s="12">
        <v>0.0022</v>
      </c>
      <c r="C114" s="12">
        <v>0.0027500000000000003</v>
      </c>
      <c r="D114" s="12">
        <v>0.004719999999999999</v>
      </c>
    </row>
    <row r="115">
      <c r="A115" s="8">
        <v>41887.0</v>
      </c>
      <c r="B115" s="12">
        <v>0.0020399999999999997</v>
      </c>
      <c r="C115" s="12">
        <v>0.002606</v>
      </c>
      <c r="D115" s="12">
        <v>0.0045910000000000005</v>
      </c>
    </row>
    <row r="116">
      <c r="A116" s="8">
        <v>41890.0</v>
      </c>
      <c r="B116" s="12">
        <v>0.0020499999999999997</v>
      </c>
      <c r="C116" s="12">
        <v>0.00268</v>
      </c>
      <c r="D116" s="12">
        <v>0.0048130000000000004</v>
      </c>
    </row>
    <row r="117">
      <c r="A117" s="8">
        <v>41891.0</v>
      </c>
      <c r="B117" s="12">
        <v>0.002068</v>
      </c>
      <c r="C117" s="12">
        <v>0.002682</v>
      </c>
      <c r="D117" s="12">
        <v>0.00487</v>
      </c>
    </row>
    <row r="118">
      <c r="A118" s="8">
        <v>41892.0</v>
      </c>
      <c r="B118" s="12">
        <v>0.002055</v>
      </c>
      <c r="C118" s="12">
        <v>0.0027400000000000002</v>
      </c>
      <c r="D118" s="12">
        <v>0.004924</v>
      </c>
    </row>
    <row r="119">
      <c r="A119" s="8">
        <v>41893.0</v>
      </c>
      <c r="B119" s="12">
        <v>0.002035</v>
      </c>
      <c r="C119" s="12">
        <v>0.00265</v>
      </c>
      <c r="D119" s="12">
        <v>0.0048270000000000006</v>
      </c>
    </row>
    <row r="120">
      <c r="A120" s="8">
        <v>41894.0</v>
      </c>
      <c r="B120" s="12">
        <v>0.00214</v>
      </c>
      <c r="C120" s="12">
        <v>0.002825</v>
      </c>
      <c r="D120" s="12">
        <v>0.00515</v>
      </c>
    </row>
    <row r="121">
      <c r="A121" s="8">
        <v>41897.0</v>
      </c>
      <c r="B121" s="12">
        <v>0.002035</v>
      </c>
      <c r="C121" s="12">
        <v>0.002677</v>
      </c>
      <c r="D121" s="12">
        <v>0.00488</v>
      </c>
    </row>
    <row r="122">
      <c r="A122" s="8">
        <v>41898.0</v>
      </c>
      <c r="B122" s="12">
        <v>0.00213</v>
      </c>
      <c r="C122" s="12">
        <v>0.002745</v>
      </c>
      <c r="D122" s="12">
        <v>0.0050680000000000005</v>
      </c>
    </row>
    <row r="123">
      <c r="A123" s="8">
        <v>41899.0</v>
      </c>
      <c r="B123" s="12">
        <v>0.002053</v>
      </c>
      <c r="C123" s="12">
        <v>0.0027300000000000002</v>
      </c>
      <c r="D123" s="12">
        <v>0.004925</v>
      </c>
    </row>
    <row r="124">
      <c r="A124" s="8">
        <v>41900.0</v>
      </c>
      <c r="B124" s="12">
        <v>0.00216</v>
      </c>
      <c r="C124" s="12">
        <v>0.002864</v>
      </c>
      <c r="D124" s="12">
        <v>0.005274999999999999</v>
      </c>
    </row>
    <row r="125">
      <c r="A125" s="8">
        <v>41901.0</v>
      </c>
      <c r="B125" s="12">
        <v>0.002048</v>
      </c>
      <c r="C125" s="12">
        <v>0.0027300000000000002</v>
      </c>
      <c r="D125" s="12">
        <v>0.00489</v>
      </c>
    </row>
    <row r="126">
      <c r="A126" s="8">
        <v>41904.0</v>
      </c>
      <c r="B126" s="12">
        <v>0.0020499999999999997</v>
      </c>
      <c r="C126" s="12">
        <v>0.00268</v>
      </c>
      <c r="D126" s="12">
        <v>0.00482</v>
      </c>
    </row>
    <row r="127">
      <c r="A127" s="8">
        <v>41905.0</v>
      </c>
      <c r="B127" s="12">
        <v>0.00218</v>
      </c>
      <c r="C127" s="12">
        <v>0.0027700000000000003</v>
      </c>
      <c r="D127" s="12">
        <v>0.004895</v>
      </c>
    </row>
    <row r="128">
      <c r="A128" s="8">
        <v>41906.0</v>
      </c>
      <c r="B128" s="12">
        <v>0.002075</v>
      </c>
      <c r="C128" s="12">
        <v>0.0027400000000000002</v>
      </c>
      <c r="D128" s="12">
        <v>0.004965</v>
      </c>
    </row>
    <row r="129">
      <c r="A129" s="8">
        <v>41907.0</v>
      </c>
      <c r="B129" s="12">
        <v>0.002045</v>
      </c>
      <c r="C129" s="12">
        <v>0.002591</v>
      </c>
      <c r="D129" s="12">
        <v>0.0046500000000000005</v>
      </c>
    </row>
    <row r="130">
      <c r="A130" s="8">
        <v>41908.0</v>
      </c>
      <c r="B130" s="12">
        <v>0.0020180000000000003</v>
      </c>
      <c r="C130" s="12">
        <v>0.002606</v>
      </c>
      <c r="D130" s="12">
        <v>0.004675</v>
      </c>
    </row>
    <row r="131">
      <c r="A131" s="8">
        <v>41911.0</v>
      </c>
      <c r="B131" s="12">
        <v>0.00203</v>
      </c>
      <c r="C131" s="12">
        <v>0.00262</v>
      </c>
      <c r="D131" s="12">
        <v>0.004637</v>
      </c>
    </row>
    <row r="132">
      <c r="A132" s="8">
        <v>41912.0</v>
      </c>
      <c r="B132" s="12">
        <v>0.001928</v>
      </c>
      <c r="C132" s="12">
        <v>0.00247</v>
      </c>
      <c r="D132" s="12">
        <v>0.00446</v>
      </c>
    </row>
    <row r="133">
      <c r="A133" s="8">
        <v>41913.0</v>
      </c>
      <c r="B133" s="12">
        <v>0.0018579999999999998</v>
      </c>
      <c r="C133" s="12">
        <v>0.0023610000000000003</v>
      </c>
      <c r="D133" s="12">
        <v>0.00417</v>
      </c>
    </row>
    <row r="134">
      <c r="A134" s="8">
        <v>41914.0</v>
      </c>
      <c r="B134" s="12">
        <v>0.0019450000000000001</v>
      </c>
      <c r="C134" s="12">
        <v>0.00253</v>
      </c>
      <c r="D134" s="12">
        <v>0.00457</v>
      </c>
    </row>
    <row r="135">
      <c r="A135" s="8">
        <v>41915.0</v>
      </c>
      <c r="B135" s="12">
        <v>0.00201</v>
      </c>
      <c r="C135" s="12">
        <v>0.00264</v>
      </c>
      <c r="D135" s="12">
        <v>0.004595</v>
      </c>
    </row>
    <row r="136">
      <c r="A136" s="8">
        <v>41918.0</v>
      </c>
      <c r="B136" s="12">
        <v>0.00194</v>
      </c>
      <c r="C136" s="12">
        <v>0.002553</v>
      </c>
      <c r="D136" s="12">
        <v>0.004511</v>
      </c>
    </row>
    <row r="137">
      <c r="A137" s="8">
        <v>41919.0</v>
      </c>
      <c r="B137" s="12">
        <v>0.001955</v>
      </c>
      <c r="C137" s="12">
        <v>0.0025280000000000003</v>
      </c>
      <c r="D137" s="12">
        <v>0.004441</v>
      </c>
    </row>
    <row r="138">
      <c r="A138" s="8">
        <v>41920.0</v>
      </c>
      <c r="B138" s="12">
        <v>0.00198</v>
      </c>
      <c r="C138" s="12">
        <v>0.0025169999999999997</v>
      </c>
      <c r="D138" s="12">
        <v>0.004475</v>
      </c>
    </row>
    <row r="139">
      <c r="A139" s="8">
        <v>41921.0</v>
      </c>
      <c r="B139" s="12">
        <v>0.00201</v>
      </c>
      <c r="C139" s="12">
        <v>0.002605</v>
      </c>
      <c r="D139" s="12">
        <v>0.004586</v>
      </c>
    </row>
    <row r="140">
      <c r="A140" s="8">
        <v>41922.0</v>
      </c>
      <c r="B140" s="12">
        <v>0.00213</v>
      </c>
      <c r="C140" s="12">
        <v>0.00268</v>
      </c>
      <c r="D140" s="12">
        <v>0.00454</v>
      </c>
    </row>
    <row r="141">
      <c r="A141" s="8">
        <v>41925.0</v>
      </c>
      <c r="B141" s="12">
        <v>0.002215</v>
      </c>
      <c r="C141" s="12">
        <v>0.0027700000000000003</v>
      </c>
      <c r="D141" s="12">
        <v>0.0046489999999999995</v>
      </c>
    </row>
    <row r="142">
      <c r="A142" s="8">
        <v>41926.0</v>
      </c>
      <c r="B142" s="12">
        <v>0.00212</v>
      </c>
      <c r="C142" s="12">
        <v>0.002624</v>
      </c>
      <c r="D142" s="12">
        <v>0.004375</v>
      </c>
    </row>
    <row r="143">
      <c r="A143" s="8">
        <v>41927.0</v>
      </c>
      <c r="B143" s="12">
        <v>0.002063</v>
      </c>
      <c r="C143" s="12">
        <v>0.0025800000000000003</v>
      </c>
      <c r="D143" s="12">
        <v>0.00402</v>
      </c>
    </row>
    <row r="144">
      <c r="A144" s="8">
        <v>41928.0</v>
      </c>
      <c r="B144" s="12">
        <v>0.002345</v>
      </c>
      <c r="C144" s="12">
        <v>0.0028899999999999998</v>
      </c>
      <c r="D144" s="12">
        <v>0.004692</v>
      </c>
    </row>
    <row r="145">
      <c r="A145" s="8">
        <v>41929.0</v>
      </c>
      <c r="B145" s="12">
        <v>0.00228</v>
      </c>
      <c r="C145" s="12">
        <v>0.0028499999999999997</v>
      </c>
      <c r="D145" s="12">
        <v>0.00468</v>
      </c>
    </row>
    <row r="146">
      <c r="A146" s="8">
        <v>41932.0</v>
      </c>
      <c r="B146" s="12">
        <v>0.002255</v>
      </c>
      <c r="C146" s="12">
        <v>0.0027900000000000004</v>
      </c>
      <c r="D146" s="12">
        <v>0.00458</v>
      </c>
    </row>
    <row r="147">
      <c r="A147" s="8">
        <v>41933.0</v>
      </c>
      <c r="B147" s="12">
        <v>0.0023250000000000002</v>
      </c>
      <c r="C147" s="12">
        <v>0.002895</v>
      </c>
      <c r="D147" s="12">
        <v>0.0047799999999999995</v>
      </c>
    </row>
    <row r="148">
      <c r="A148" s="8">
        <v>41934.0</v>
      </c>
      <c r="B148" s="12">
        <v>0.002333</v>
      </c>
      <c r="C148" s="12">
        <v>0.0028499999999999997</v>
      </c>
      <c r="D148" s="12">
        <v>0.0046700000000000005</v>
      </c>
    </row>
    <row r="149">
      <c r="A149" s="8">
        <v>41935.0</v>
      </c>
      <c r="B149" s="12">
        <v>0.00233</v>
      </c>
      <c r="C149" s="12">
        <v>0.0029349999999999997</v>
      </c>
      <c r="D149" s="12">
        <v>0.00488</v>
      </c>
    </row>
    <row r="150">
      <c r="A150" s="8">
        <v>41936.0</v>
      </c>
      <c r="B150" s="12">
        <v>0.0023899999999999998</v>
      </c>
      <c r="C150" s="12">
        <v>0.00296</v>
      </c>
      <c r="D150" s="12">
        <v>0.004895</v>
      </c>
    </row>
    <row r="151">
      <c r="A151" s="8">
        <v>41939.0</v>
      </c>
      <c r="B151" s="12">
        <v>0.0023699999999999997</v>
      </c>
      <c r="C151" s="12">
        <v>0.00293</v>
      </c>
      <c r="D151" s="12">
        <v>0.004821</v>
      </c>
    </row>
    <row r="152">
      <c r="A152" s="8">
        <v>41940.0</v>
      </c>
      <c r="B152" s="12">
        <v>0.002345</v>
      </c>
      <c r="C152" s="12">
        <v>0.002948</v>
      </c>
      <c r="D152" s="12">
        <v>0.0048449999999999995</v>
      </c>
    </row>
    <row r="153">
      <c r="A153" s="8">
        <v>41941.0</v>
      </c>
      <c r="B153" s="12">
        <v>0.00241</v>
      </c>
      <c r="C153" s="12">
        <v>0.00301</v>
      </c>
      <c r="D153" s="12">
        <v>0.00494</v>
      </c>
    </row>
    <row r="154">
      <c r="A154" s="8">
        <v>41942.0</v>
      </c>
      <c r="B154" s="12">
        <v>0.00229</v>
      </c>
      <c r="C154" s="12">
        <v>0.0028299999999999996</v>
      </c>
      <c r="D154" s="12">
        <v>0.004635</v>
      </c>
    </row>
    <row r="155">
      <c r="A155" s="8">
        <v>41943.0</v>
      </c>
      <c r="B155" s="12">
        <v>0.00218</v>
      </c>
      <c r="C155" s="12">
        <v>0.0026889999999999996</v>
      </c>
      <c r="D155" s="12">
        <v>0.00437</v>
      </c>
    </row>
    <row r="156">
      <c r="A156" s="8">
        <v>41946.0</v>
      </c>
      <c r="B156" s="12">
        <v>0.00219</v>
      </c>
      <c r="C156" s="12">
        <v>0.002782</v>
      </c>
      <c r="D156" s="12">
        <v>0.004525</v>
      </c>
    </row>
    <row r="157">
      <c r="A157" s="8">
        <v>41947.0</v>
      </c>
      <c r="B157" s="12">
        <v>0.00216</v>
      </c>
      <c r="C157" s="12">
        <v>0.00262</v>
      </c>
      <c r="D157" s="12">
        <v>0.004263</v>
      </c>
    </row>
    <row r="158">
      <c r="A158" s="8">
        <v>41948.0</v>
      </c>
      <c r="B158" s="12">
        <v>0.00217</v>
      </c>
      <c r="C158" s="12">
        <v>0.002646</v>
      </c>
      <c r="D158" s="12">
        <v>0.00431</v>
      </c>
    </row>
    <row r="159">
      <c r="A159" s="8">
        <v>41949.0</v>
      </c>
      <c r="B159" s="12">
        <v>0.00211</v>
      </c>
      <c r="C159" s="12">
        <v>0.00261</v>
      </c>
      <c r="D159" s="12">
        <v>0.004315</v>
      </c>
    </row>
    <row r="160">
      <c r="A160" s="8">
        <v>41950.0</v>
      </c>
      <c r="B160" s="12">
        <v>0.00209</v>
      </c>
      <c r="C160" s="12">
        <v>0.0025700000000000002</v>
      </c>
      <c r="D160" s="12">
        <v>0.00419</v>
      </c>
    </row>
    <row r="161">
      <c r="A161" s="8">
        <v>41953.0</v>
      </c>
      <c r="B161" s="12">
        <v>0.0021279999999999997</v>
      </c>
      <c r="C161" s="12">
        <v>0.00263</v>
      </c>
      <c r="D161" s="12">
        <v>0.00435</v>
      </c>
    </row>
    <row r="162">
      <c r="A162" s="8">
        <v>41954.0</v>
      </c>
      <c r="B162" s="12">
        <v>0.002125</v>
      </c>
      <c r="C162" s="12">
        <v>0.002625</v>
      </c>
      <c r="D162" s="12">
        <v>0.004314</v>
      </c>
    </row>
    <row r="163">
      <c r="A163" s="8">
        <v>41955.0</v>
      </c>
      <c r="B163" s="12">
        <v>0.00209</v>
      </c>
      <c r="C163" s="12">
        <v>0.002562</v>
      </c>
      <c r="D163" s="12">
        <v>0.00422</v>
      </c>
    </row>
    <row r="164">
      <c r="A164" s="8">
        <v>41956.0</v>
      </c>
      <c r="B164" s="12">
        <v>0.002095</v>
      </c>
      <c r="C164" s="12">
        <v>0.00254</v>
      </c>
      <c r="D164" s="12">
        <v>0.00406</v>
      </c>
    </row>
    <row r="165">
      <c r="A165" s="8">
        <v>41957.0</v>
      </c>
      <c r="B165" s="12">
        <v>0.002125</v>
      </c>
      <c r="C165" s="12">
        <v>0.0025800000000000003</v>
      </c>
      <c r="D165" s="12">
        <v>0.004</v>
      </c>
    </row>
    <row r="166">
      <c r="A166" s="8">
        <v>41960.0</v>
      </c>
      <c r="B166" s="12">
        <v>0.00215</v>
      </c>
      <c r="C166" s="12">
        <v>0.002637</v>
      </c>
      <c r="D166" s="12">
        <v>0.00423</v>
      </c>
    </row>
    <row r="167">
      <c r="A167" s="8">
        <v>41961.0</v>
      </c>
      <c r="B167" s="12">
        <v>0.002233</v>
      </c>
      <c r="C167" s="12">
        <v>0.0027500000000000003</v>
      </c>
      <c r="D167" s="12">
        <v>0.00433</v>
      </c>
    </row>
    <row r="168">
      <c r="A168" s="8">
        <v>41962.0</v>
      </c>
      <c r="B168" s="12">
        <v>0.002318</v>
      </c>
      <c r="C168" s="12">
        <v>0.002873</v>
      </c>
      <c r="D168" s="12">
        <v>0.004608</v>
      </c>
    </row>
    <row r="169">
      <c r="A169" s="8">
        <v>41963.0</v>
      </c>
      <c r="B169" s="12">
        <v>0.00221</v>
      </c>
      <c r="C169" s="12">
        <v>0.002735</v>
      </c>
      <c r="D169" s="12">
        <v>0.0042899999999999995</v>
      </c>
    </row>
    <row r="170">
      <c r="A170" s="8">
        <v>41964.0</v>
      </c>
      <c r="B170" s="12">
        <v>0.0021</v>
      </c>
      <c r="C170" s="12">
        <v>0.0025900000000000003</v>
      </c>
      <c r="D170" s="12">
        <v>0.00413</v>
      </c>
    </row>
    <row r="171">
      <c r="A171" s="8">
        <v>41967.0</v>
      </c>
      <c r="B171" s="12">
        <v>0.002055</v>
      </c>
      <c r="C171" s="12">
        <v>0.002555</v>
      </c>
      <c r="D171" s="12">
        <v>0.00411</v>
      </c>
    </row>
    <row r="172">
      <c r="A172" s="8">
        <v>41968.0</v>
      </c>
      <c r="B172" s="12">
        <v>0.00209</v>
      </c>
      <c r="C172" s="12">
        <v>0.0025800000000000003</v>
      </c>
      <c r="D172" s="12">
        <v>0.004014</v>
      </c>
    </row>
    <row r="173">
      <c r="A173" s="8">
        <v>41969.0</v>
      </c>
      <c r="B173" s="12">
        <v>0.00209</v>
      </c>
      <c r="C173" s="12">
        <v>0.0025800000000000003</v>
      </c>
      <c r="D173" s="12">
        <v>0.004004</v>
      </c>
    </row>
    <row r="174">
      <c r="A174" s="8">
        <v>41970.0</v>
      </c>
      <c r="B174" s="12">
        <v>0.0021</v>
      </c>
      <c r="C174" s="12">
        <v>0.0025900000000000003</v>
      </c>
      <c r="D174" s="12">
        <v>0.00396</v>
      </c>
    </row>
    <row r="175">
      <c r="A175" s="8">
        <v>41971.0</v>
      </c>
      <c r="B175" s="12">
        <v>0.00208</v>
      </c>
      <c r="C175" s="12">
        <v>0.0025700000000000002</v>
      </c>
      <c r="D175" s="12">
        <v>0.0039689999999999994</v>
      </c>
    </row>
    <row r="176">
      <c r="A176" s="8">
        <v>41974.0</v>
      </c>
      <c r="B176" s="12">
        <v>0.00222</v>
      </c>
      <c r="C176" s="12">
        <v>0.002747</v>
      </c>
      <c r="D176" s="12">
        <v>0.00441</v>
      </c>
    </row>
    <row r="177">
      <c r="A177" s="8">
        <v>41975.0</v>
      </c>
      <c r="B177" s="12">
        <v>0.00211</v>
      </c>
      <c r="C177" s="12">
        <v>0.0026810000000000002</v>
      </c>
      <c r="D177" s="12">
        <v>0.004243</v>
      </c>
    </row>
    <row r="178">
      <c r="A178" s="8">
        <v>41976.0</v>
      </c>
      <c r="B178" s="12">
        <v>0.0020499999999999997</v>
      </c>
      <c r="C178" s="12">
        <v>0.00256</v>
      </c>
      <c r="D178" s="12">
        <v>0.00404</v>
      </c>
    </row>
    <row r="179">
      <c r="A179" s="8">
        <v>41977.0</v>
      </c>
      <c r="B179" s="12">
        <v>0.00211</v>
      </c>
      <c r="C179" s="12">
        <v>0.00261</v>
      </c>
      <c r="D179" s="12">
        <v>0.004116</v>
      </c>
    </row>
    <row r="180">
      <c r="A180" s="8">
        <v>41978.0</v>
      </c>
      <c r="B180" s="12">
        <v>0.00217</v>
      </c>
      <c r="C180" s="12">
        <v>0.00269</v>
      </c>
      <c r="D180" s="12">
        <v>0.00426</v>
      </c>
    </row>
    <row r="181">
      <c r="A181" s="8">
        <v>41981.0</v>
      </c>
      <c r="B181" s="12">
        <v>0.0021</v>
      </c>
      <c r="C181" s="12">
        <v>0.0026</v>
      </c>
      <c r="D181" s="12">
        <v>0.004044</v>
      </c>
    </row>
    <row r="182">
      <c r="A182" s="8">
        <v>41982.0</v>
      </c>
      <c r="B182" s="12">
        <v>0.002088</v>
      </c>
      <c r="C182" s="12">
        <v>0.002645</v>
      </c>
      <c r="D182" s="12">
        <v>0.00411</v>
      </c>
    </row>
    <row r="183">
      <c r="A183" s="8">
        <v>41983.0</v>
      </c>
      <c r="B183" s="12">
        <v>0.00212</v>
      </c>
      <c r="C183" s="12">
        <v>0.00263</v>
      </c>
      <c r="D183" s="12">
        <v>0.004030000000000001</v>
      </c>
    </row>
    <row r="184">
      <c r="A184" s="8">
        <v>41984.0</v>
      </c>
      <c r="B184" s="12">
        <v>0.00209</v>
      </c>
      <c r="C184" s="12">
        <v>0.0025900000000000003</v>
      </c>
      <c r="D184" s="12">
        <v>0.004033</v>
      </c>
    </row>
    <row r="185">
      <c r="A185" s="8">
        <v>41985.0</v>
      </c>
      <c r="B185" s="12">
        <v>0.0020599999999999998</v>
      </c>
      <c r="C185" s="12">
        <v>0.00255</v>
      </c>
      <c r="D185" s="12">
        <v>0.00388</v>
      </c>
    </row>
    <row r="186">
      <c r="A186" s="8">
        <v>41988.0</v>
      </c>
      <c r="B186" s="12">
        <v>0.00199</v>
      </c>
      <c r="C186" s="12">
        <v>0.0025</v>
      </c>
      <c r="D186" s="12">
        <v>0.00391</v>
      </c>
    </row>
    <row r="187">
      <c r="A187" s="8">
        <v>41989.0</v>
      </c>
      <c r="B187" s="12">
        <v>0.0020599999999999998</v>
      </c>
      <c r="C187" s="12">
        <v>0.00245</v>
      </c>
      <c r="D187" s="12">
        <v>0.003846</v>
      </c>
    </row>
    <row r="188">
      <c r="A188" s="8">
        <v>41990.0</v>
      </c>
      <c r="B188" s="12">
        <v>0.00201</v>
      </c>
      <c r="C188" s="12">
        <v>0.002523</v>
      </c>
      <c r="D188" s="12">
        <v>0.003958</v>
      </c>
    </row>
    <row r="189">
      <c r="A189" s="8">
        <v>41991.0</v>
      </c>
      <c r="B189" s="12">
        <v>0.001988</v>
      </c>
      <c r="C189" s="12">
        <v>0.002529</v>
      </c>
      <c r="D189" s="12">
        <v>0.004033</v>
      </c>
    </row>
    <row r="190">
      <c r="A190" s="8">
        <v>41992.0</v>
      </c>
      <c r="B190" s="12">
        <v>0.00192</v>
      </c>
      <c r="C190" s="12">
        <v>0.00244</v>
      </c>
      <c r="D190" s="12">
        <v>0.0038900000000000002</v>
      </c>
    </row>
    <row r="191">
      <c r="A191" s="8">
        <v>41995.0</v>
      </c>
      <c r="B191" s="12">
        <v>0.00188</v>
      </c>
      <c r="C191" s="12">
        <v>0.00241</v>
      </c>
      <c r="D191" s="12">
        <v>0.00391</v>
      </c>
    </row>
    <row r="192">
      <c r="A192" s="8">
        <v>41996.0</v>
      </c>
      <c r="B192" s="12">
        <v>0.00191</v>
      </c>
      <c r="C192" s="12">
        <v>0.002435</v>
      </c>
      <c r="D192" s="12">
        <v>0.003953</v>
      </c>
    </row>
    <row r="193">
      <c r="A193" s="8">
        <v>41997.0</v>
      </c>
      <c r="B193" s="12">
        <v>0.0019</v>
      </c>
      <c r="C193" s="12">
        <v>0.0024</v>
      </c>
      <c r="D193" s="12">
        <v>0.00391</v>
      </c>
    </row>
    <row r="194">
      <c r="A194" s="8">
        <v>41998.0</v>
      </c>
      <c r="B194" s="12">
        <v>0.0019</v>
      </c>
      <c r="C194" s="12">
        <v>0.0024</v>
      </c>
      <c r="D194" s="12">
        <v>0.0039000000000000003</v>
      </c>
    </row>
    <row r="195">
      <c r="A195" s="8">
        <v>41999.0</v>
      </c>
      <c r="B195" s="12">
        <v>0.0019</v>
      </c>
      <c r="C195" s="12">
        <v>0.002385</v>
      </c>
      <c r="D195" s="12">
        <v>0.003915</v>
      </c>
    </row>
    <row r="196">
      <c r="A196" s="8">
        <v>42002.0</v>
      </c>
      <c r="B196" s="12">
        <v>0.00183</v>
      </c>
      <c r="C196" s="12">
        <v>0.00229</v>
      </c>
      <c r="D196" s="12">
        <v>0.00367</v>
      </c>
    </row>
    <row r="197">
      <c r="A197" s="8">
        <v>42003.0</v>
      </c>
      <c r="B197" s="12">
        <v>0.00178</v>
      </c>
      <c r="C197" s="12">
        <v>0.0022400000000000002</v>
      </c>
      <c r="D197" s="12">
        <v>0.00359</v>
      </c>
    </row>
    <row r="198">
      <c r="A198" s="8">
        <v>42004.0</v>
      </c>
      <c r="B198" s="12">
        <v>0.00182</v>
      </c>
      <c r="C198" s="12">
        <v>0.0022040000000000002</v>
      </c>
      <c r="D198" s="12">
        <v>0.0035809999999999995</v>
      </c>
    </row>
    <row r="199">
      <c r="A199" s="8">
        <v>42005.0</v>
      </c>
      <c r="B199" s="12">
        <v>0.0017499999999999998</v>
      </c>
      <c r="C199" s="12">
        <v>0.00218</v>
      </c>
      <c r="D199" s="12">
        <v>0.00357</v>
      </c>
    </row>
    <row r="200">
      <c r="A200" s="8">
        <v>42006.0</v>
      </c>
      <c r="B200" s="12">
        <v>0.00165</v>
      </c>
      <c r="C200" s="12">
        <v>0.0020499999999999997</v>
      </c>
      <c r="D200" s="12">
        <v>0.0034200000000000003</v>
      </c>
    </row>
    <row r="201">
      <c r="A201" s="8">
        <v>42009.0</v>
      </c>
      <c r="B201" s="12">
        <v>0.00167</v>
      </c>
      <c r="C201" s="12">
        <v>0.002094</v>
      </c>
      <c r="D201" s="12">
        <v>0.00345</v>
      </c>
    </row>
    <row r="202">
      <c r="A202" s="8">
        <v>42010.0</v>
      </c>
      <c r="B202" s="12">
        <v>0.00165</v>
      </c>
      <c r="C202" s="12">
        <v>0.002066</v>
      </c>
      <c r="D202" s="12">
        <v>0.0033489999999999995</v>
      </c>
    </row>
    <row r="203">
      <c r="A203" s="8">
        <v>42011.0</v>
      </c>
      <c r="B203" s="12">
        <v>0.00165</v>
      </c>
      <c r="C203" s="12">
        <v>0.002092</v>
      </c>
      <c r="D203" s="12">
        <v>0.003435</v>
      </c>
    </row>
    <row r="204">
      <c r="A204" s="8">
        <v>42012.0</v>
      </c>
      <c r="B204" s="12">
        <v>0.0017100000000000001</v>
      </c>
      <c r="C204" s="12">
        <v>0.00216</v>
      </c>
      <c r="D204" s="12">
        <v>0.0034999999999999996</v>
      </c>
    </row>
    <row r="205">
      <c r="A205" s="8">
        <v>42013.0</v>
      </c>
      <c r="B205" s="12">
        <v>0.00164</v>
      </c>
      <c r="C205" s="12">
        <v>0.00213</v>
      </c>
      <c r="D205" s="12">
        <v>0.0034549999999999997</v>
      </c>
    </row>
    <row r="206">
      <c r="A206" s="8">
        <v>42016.0</v>
      </c>
      <c r="B206" s="12">
        <v>0.0016300000000000002</v>
      </c>
      <c r="C206" s="12">
        <v>0.002051</v>
      </c>
      <c r="D206" s="12">
        <v>0.003333</v>
      </c>
    </row>
    <row r="207">
      <c r="A207" s="8">
        <v>42017.0</v>
      </c>
      <c r="B207" s="12">
        <v>0.00161</v>
      </c>
      <c r="C207" s="12">
        <v>0.0019950000000000002</v>
      </c>
      <c r="D207" s="12">
        <v>0.00334</v>
      </c>
    </row>
    <row r="208">
      <c r="A208" s="8">
        <v>42018.0</v>
      </c>
      <c r="B208" s="12">
        <v>0.00153</v>
      </c>
      <c r="C208" s="12">
        <v>0.001925</v>
      </c>
      <c r="D208" s="12">
        <v>0.00316</v>
      </c>
    </row>
    <row r="209">
      <c r="A209" s="8">
        <v>42019.0</v>
      </c>
      <c r="B209" s="12">
        <v>0.00127</v>
      </c>
      <c r="C209" s="12">
        <v>0.001592</v>
      </c>
      <c r="D209" s="12">
        <v>0.002827</v>
      </c>
    </row>
    <row r="210">
      <c r="A210" s="8">
        <v>42020.0</v>
      </c>
      <c r="B210" s="12">
        <v>0.00117</v>
      </c>
      <c r="C210" s="12">
        <v>0.001502</v>
      </c>
      <c r="D210" s="12">
        <v>0.002859</v>
      </c>
    </row>
    <row r="211">
      <c r="A211" s="8">
        <v>42023.0</v>
      </c>
      <c r="B211" s="12">
        <v>0.00115</v>
      </c>
      <c r="C211" s="12">
        <v>0.00149</v>
      </c>
      <c r="D211" s="12">
        <v>0.002785</v>
      </c>
    </row>
    <row r="212">
      <c r="A212" s="8">
        <v>42024.0</v>
      </c>
      <c r="B212" s="12">
        <v>0.00127</v>
      </c>
      <c r="C212" s="12">
        <v>0.001665</v>
      </c>
      <c r="D212" s="12">
        <v>0.002995</v>
      </c>
    </row>
    <row r="213">
      <c r="A213" s="8">
        <v>42025.0</v>
      </c>
      <c r="B213" s="12">
        <v>0.00133</v>
      </c>
      <c r="C213" s="12">
        <v>0.00178</v>
      </c>
      <c r="D213" s="12">
        <v>0.00332</v>
      </c>
    </row>
    <row r="214">
      <c r="A214" s="8">
        <v>42026.0</v>
      </c>
      <c r="B214" s="12">
        <v>0.0012</v>
      </c>
      <c r="C214" s="12">
        <v>0.0016</v>
      </c>
      <c r="D214" s="12">
        <v>0.0030859999999999998</v>
      </c>
    </row>
    <row r="215">
      <c r="A215" s="8">
        <v>42027.0</v>
      </c>
      <c r="B215" s="12">
        <v>0.0010630000000000001</v>
      </c>
      <c r="C215" s="12">
        <v>0.0014219999999999999</v>
      </c>
      <c r="D215" s="12">
        <v>0.002736</v>
      </c>
    </row>
    <row r="216">
      <c r="A216" s="8">
        <v>42030.0</v>
      </c>
      <c r="B216" s="12">
        <v>0.0012900000000000001</v>
      </c>
      <c r="C216" s="12">
        <v>0.00172</v>
      </c>
      <c r="D216" s="12">
        <v>0.00316</v>
      </c>
    </row>
    <row r="217">
      <c r="A217" s="8">
        <v>42031.0</v>
      </c>
      <c r="B217" s="12">
        <v>0.00123</v>
      </c>
      <c r="C217" s="12">
        <v>0.001645</v>
      </c>
      <c r="D217" s="12">
        <v>0.003085</v>
      </c>
    </row>
    <row r="218">
      <c r="A218" s="8">
        <v>42032.0</v>
      </c>
      <c r="B218" s="12">
        <v>0.00121</v>
      </c>
      <c r="C218" s="12">
        <v>0.0015359999999999998</v>
      </c>
      <c r="D218" s="12">
        <v>0.0027300000000000002</v>
      </c>
    </row>
    <row r="219">
      <c r="A219" s="8">
        <v>42033.0</v>
      </c>
      <c r="B219" s="12">
        <v>0.0014099999999999998</v>
      </c>
      <c r="C219" s="12">
        <v>0.00178</v>
      </c>
      <c r="D219" s="12">
        <v>0.00317</v>
      </c>
    </row>
    <row r="220">
      <c r="A220" s="8">
        <v>42034.0</v>
      </c>
      <c r="B220" s="12">
        <v>0.0015199999999999999</v>
      </c>
      <c r="C220" s="12">
        <v>0.001912</v>
      </c>
      <c r="D220" s="12">
        <v>0.00301</v>
      </c>
    </row>
    <row r="221">
      <c r="A221" s="8">
        <v>42037.0</v>
      </c>
      <c r="B221" s="12">
        <v>0.00148</v>
      </c>
      <c r="C221" s="12">
        <v>0.00185</v>
      </c>
      <c r="D221" s="12">
        <v>0.003091</v>
      </c>
    </row>
    <row r="222">
      <c r="A222" s="8">
        <v>42038.0</v>
      </c>
      <c r="B222" s="12">
        <v>0.00134</v>
      </c>
      <c r="C222" s="12">
        <v>0.0017399999999999998</v>
      </c>
      <c r="D222" s="12">
        <v>0.0031219999999999998</v>
      </c>
    </row>
    <row r="223">
      <c r="A223" s="8">
        <v>42039.0</v>
      </c>
      <c r="B223" s="12">
        <v>0.0013800000000000002</v>
      </c>
      <c r="C223" s="12">
        <v>0.001779</v>
      </c>
      <c r="D223" s="12">
        <v>0.00313</v>
      </c>
    </row>
    <row r="224">
      <c r="A224" s="8">
        <v>42040.0</v>
      </c>
      <c r="B224" s="12">
        <v>0.0014099999999999998</v>
      </c>
      <c r="C224" s="12">
        <v>0.0018</v>
      </c>
      <c r="D224" s="12">
        <v>0.00314</v>
      </c>
    </row>
    <row r="225">
      <c r="A225" s="8">
        <v>42041.0</v>
      </c>
      <c r="B225" s="12">
        <v>0.0014149999999999998</v>
      </c>
      <c r="C225" s="12">
        <v>0.0017879999999999999</v>
      </c>
      <c r="D225" s="12">
        <v>0.00306</v>
      </c>
    </row>
    <row r="226">
      <c r="A226" s="8">
        <v>42044.0</v>
      </c>
      <c r="B226" s="12">
        <v>0.0015</v>
      </c>
      <c r="C226" s="12">
        <v>0.00188</v>
      </c>
      <c r="D226" s="12">
        <v>0.003165</v>
      </c>
    </row>
    <row r="227">
      <c r="A227" s="8">
        <v>42045.0</v>
      </c>
      <c r="B227" s="12">
        <v>0.0014399999999999999</v>
      </c>
      <c r="C227" s="12">
        <v>0.0018290000000000001</v>
      </c>
      <c r="D227" s="12">
        <v>0.003185</v>
      </c>
    </row>
    <row r="228">
      <c r="A228" s="8">
        <v>42046.0</v>
      </c>
      <c r="B228" s="12">
        <v>0.001423</v>
      </c>
      <c r="C228" s="12">
        <v>0.00181</v>
      </c>
      <c r="D228" s="12">
        <v>0.00311</v>
      </c>
    </row>
    <row r="229">
      <c r="A229" s="8">
        <v>42047.0</v>
      </c>
      <c r="B229" s="12">
        <v>0.00131</v>
      </c>
      <c r="C229" s="12">
        <v>0.00167</v>
      </c>
      <c r="D229" s="12">
        <v>0.00294</v>
      </c>
    </row>
    <row r="230">
      <c r="A230" s="8">
        <v>42048.0</v>
      </c>
      <c r="B230" s="12">
        <v>0.00132</v>
      </c>
      <c r="C230" s="12">
        <v>0.0017000000000000001</v>
      </c>
      <c r="D230" s="12">
        <v>0.00301</v>
      </c>
    </row>
    <row r="231">
      <c r="A231" s="8">
        <v>42051.0</v>
      </c>
      <c r="B231" s="12">
        <v>0.001308</v>
      </c>
      <c r="C231" s="12">
        <v>0.00166</v>
      </c>
      <c r="D231" s="12">
        <v>0.002811</v>
      </c>
    </row>
    <row r="232">
      <c r="A232" s="8">
        <v>42052.0</v>
      </c>
      <c r="B232" s="12">
        <v>0.001363</v>
      </c>
      <c r="C232" s="12">
        <v>0.001764</v>
      </c>
      <c r="D232" s="12">
        <v>0.00313</v>
      </c>
    </row>
    <row r="233">
      <c r="A233" s="8">
        <v>42053.0</v>
      </c>
      <c r="B233" s="12">
        <v>0.0013</v>
      </c>
      <c r="C233" s="12">
        <v>0.00169</v>
      </c>
      <c r="D233" s="12">
        <v>0.003085</v>
      </c>
    </row>
    <row r="234">
      <c r="A234" s="8">
        <v>42054.0</v>
      </c>
      <c r="B234" s="12">
        <v>0.0013</v>
      </c>
      <c r="C234" s="12">
        <v>0.00169</v>
      </c>
      <c r="D234" s="12">
        <v>0.003095</v>
      </c>
    </row>
    <row r="235">
      <c r="A235" s="8">
        <v>42055.0</v>
      </c>
      <c r="B235" s="12">
        <v>0.00136</v>
      </c>
      <c r="C235" s="12">
        <v>0.001704</v>
      </c>
      <c r="D235" s="12">
        <v>0.003208</v>
      </c>
    </row>
    <row r="236">
      <c r="A236" s="8">
        <v>42058.0</v>
      </c>
      <c r="B236" s="12">
        <v>0.00122</v>
      </c>
      <c r="C236" s="12">
        <v>0.001591</v>
      </c>
      <c r="D236" s="12">
        <v>0.00295</v>
      </c>
    </row>
    <row r="237">
      <c r="A237" s="8">
        <v>42059.0</v>
      </c>
      <c r="B237" s="12">
        <v>0.00114</v>
      </c>
      <c r="C237" s="12">
        <v>0.001512</v>
      </c>
      <c r="D237" s="12">
        <v>0.002895</v>
      </c>
    </row>
    <row r="238">
      <c r="A238" s="8">
        <v>42060.0</v>
      </c>
      <c r="B238" s="12">
        <v>0.00107</v>
      </c>
      <c r="C238" s="12">
        <v>0.001416</v>
      </c>
      <c r="D238" s="12">
        <v>0.00266</v>
      </c>
    </row>
    <row r="239">
      <c r="A239" s="8">
        <v>42061.0</v>
      </c>
      <c r="B239" s="12">
        <v>9.8E-4</v>
      </c>
      <c r="C239" s="12">
        <v>0.00133</v>
      </c>
      <c r="D239" s="12">
        <v>0.002606</v>
      </c>
    </row>
    <row r="240">
      <c r="A240" s="8">
        <v>42062.0</v>
      </c>
      <c r="B240" s="12">
        <v>9.8E-4</v>
      </c>
      <c r="C240" s="12">
        <v>0.001349</v>
      </c>
      <c r="D240" s="12">
        <v>0.00268</v>
      </c>
    </row>
    <row r="241">
      <c r="A241" s="8">
        <v>42065.0</v>
      </c>
      <c r="B241" s="12">
        <v>9.9E-4</v>
      </c>
      <c r="C241" s="12">
        <v>0.001366</v>
      </c>
      <c r="D241" s="12">
        <v>0.0027700000000000003</v>
      </c>
    </row>
    <row r="242">
      <c r="A242" s="8">
        <v>42066.0</v>
      </c>
      <c r="B242" s="12">
        <v>0.001013</v>
      </c>
      <c r="C242" s="12">
        <v>0.0014089999999999999</v>
      </c>
      <c r="D242" s="12">
        <v>0.002837</v>
      </c>
    </row>
    <row r="243">
      <c r="A243" s="8">
        <v>42067.0</v>
      </c>
      <c r="B243" s="12">
        <v>0.00111</v>
      </c>
      <c r="C243" s="12">
        <v>0.0015310000000000002</v>
      </c>
      <c r="D243" s="12">
        <v>0.00298</v>
      </c>
    </row>
    <row r="244">
      <c r="A244" s="8">
        <v>42068.0</v>
      </c>
      <c r="B244" s="12">
        <v>0.0011200000000000001</v>
      </c>
      <c r="C244" s="12">
        <v>0.00155</v>
      </c>
      <c r="D244" s="12">
        <v>0.00295</v>
      </c>
    </row>
    <row r="245">
      <c r="A245" s="8">
        <v>42069.0</v>
      </c>
      <c r="B245" s="12">
        <v>0.0011200000000000001</v>
      </c>
      <c r="C245" s="12">
        <v>0.00164</v>
      </c>
      <c r="D245" s="12">
        <v>0.0032540000000000004</v>
      </c>
    </row>
    <row r="246">
      <c r="A246" s="8">
        <v>42072.0</v>
      </c>
      <c r="B246" s="12">
        <v>0.001055</v>
      </c>
      <c r="C246" s="12">
        <v>0.0015210000000000002</v>
      </c>
      <c r="D246" s="12">
        <v>0.002985</v>
      </c>
    </row>
    <row r="247">
      <c r="A247" s="8">
        <v>42073.0</v>
      </c>
      <c r="B247" s="12">
        <v>9.2E-4</v>
      </c>
      <c r="C247" s="12">
        <v>0.001315</v>
      </c>
      <c r="D247" s="12">
        <v>0.0027</v>
      </c>
    </row>
    <row r="248">
      <c r="A248" s="8">
        <v>42074.0</v>
      </c>
      <c r="B248" s="12">
        <v>8.4E-4</v>
      </c>
      <c r="C248" s="12">
        <v>0.00121</v>
      </c>
      <c r="D248" s="12">
        <v>0.0025</v>
      </c>
    </row>
    <row r="249">
      <c r="A249" s="8">
        <v>42075.0</v>
      </c>
      <c r="B249" s="12">
        <v>9.2E-4</v>
      </c>
      <c r="C249" s="12">
        <v>0.001371</v>
      </c>
      <c r="D249" s="12">
        <v>0.0028000000000000004</v>
      </c>
    </row>
    <row r="250">
      <c r="A250" s="8">
        <v>42076.0</v>
      </c>
      <c r="B250" s="12">
        <v>9.0E-4</v>
      </c>
      <c r="C250" s="12">
        <v>0.00133</v>
      </c>
      <c r="D250" s="12">
        <v>0.002735</v>
      </c>
    </row>
    <row r="251">
      <c r="A251" s="8">
        <v>42079.0</v>
      </c>
      <c r="B251" s="12">
        <v>9.07E-4</v>
      </c>
      <c r="C251" s="12">
        <v>0.0013900000000000002</v>
      </c>
      <c r="D251" s="12">
        <v>0.002835</v>
      </c>
    </row>
    <row r="252">
      <c r="A252" s="8">
        <v>42080.0</v>
      </c>
      <c r="B252" s="12">
        <v>0.00101</v>
      </c>
      <c r="C252" s="12">
        <v>0.00146</v>
      </c>
      <c r="D252" s="12">
        <v>0.0028439999999999997</v>
      </c>
    </row>
    <row r="253">
      <c r="A253" s="8">
        <v>42081.0</v>
      </c>
      <c r="B253" s="12">
        <v>8.95E-4</v>
      </c>
      <c r="C253" s="12">
        <v>0.001235</v>
      </c>
      <c r="D253" s="12">
        <v>0.002435</v>
      </c>
    </row>
    <row r="254">
      <c r="A254" s="8">
        <v>42082.0</v>
      </c>
      <c r="B254" s="12">
        <v>9.4E-4</v>
      </c>
      <c r="C254" s="12">
        <v>0.001308</v>
      </c>
      <c r="D254" s="12">
        <v>0.002495</v>
      </c>
    </row>
    <row r="255">
      <c r="A255" s="8">
        <v>42083.0</v>
      </c>
      <c r="B255" s="12">
        <v>8.97E-4</v>
      </c>
      <c r="C255" s="12">
        <v>0.00128</v>
      </c>
      <c r="D255" s="12">
        <v>0.0025</v>
      </c>
    </row>
    <row r="256">
      <c r="A256" s="8">
        <v>42086.0</v>
      </c>
      <c r="B256" s="12">
        <v>9.8E-4</v>
      </c>
      <c r="C256" s="12">
        <v>0.0014050000000000002</v>
      </c>
      <c r="D256" s="12">
        <v>0.002811</v>
      </c>
    </row>
    <row r="257">
      <c r="A257" s="8">
        <v>42087.0</v>
      </c>
      <c r="B257" s="12">
        <v>9.95E-4</v>
      </c>
      <c r="C257" s="12">
        <v>0.001458</v>
      </c>
      <c r="D257" s="12">
        <v>0.002784</v>
      </c>
    </row>
    <row r="258">
      <c r="A258" s="8">
        <v>42088.0</v>
      </c>
      <c r="B258" s="12">
        <v>9.05E-4</v>
      </c>
      <c r="C258" s="12">
        <v>0.00131</v>
      </c>
      <c r="D258" s="12">
        <v>0.0026950000000000003</v>
      </c>
    </row>
    <row r="259">
      <c r="A259" s="8">
        <v>42089.0</v>
      </c>
      <c r="B259" s="12">
        <v>8.9E-4</v>
      </c>
      <c r="C259" s="12">
        <v>0.0012850000000000001</v>
      </c>
      <c r="D259" s="12">
        <v>0.002555</v>
      </c>
    </row>
    <row r="260">
      <c r="A260" s="8">
        <v>42090.0</v>
      </c>
      <c r="B260" s="12">
        <v>9.299999999999999E-4</v>
      </c>
      <c r="C260" s="12">
        <v>0.001308</v>
      </c>
      <c r="D260" s="12">
        <v>0.002613</v>
      </c>
    </row>
    <row r="261">
      <c r="A261" s="8">
        <v>42093.0</v>
      </c>
      <c r="B261" s="12">
        <v>8.849999999999999E-4</v>
      </c>
      <c r="C261" s="12">
        <v>0.0013089999999999998</v>
      </c>
      <c r="D261" s="12">
        <v>0.00268</v>
      </c>
    </row>
    <row r="262">
      <c r="A262" s="8">
        <v>42094.0</v>
      </c>
      <c r="B262" s="12">
        <v>8.269999999999999E-4</v>
      </c>
      <c r="C262" s="12">
        <v>0.00121</v>
      </c>
      <c r="D262" s="12">
        <v>0.002445</v>
      </c>
    </row>
    <row r="263">
      <c r="A263" s="8">
        <v>42095.0</v>
      </c>
      <c r="B263" s="12">
        <v>8.52E-4</v>
      </c>
      <c r="C263" s="12">
        <v>0.001235</v>
      </c>
      <c r="D263" s="12">
        <v>0.0025</v>
      </c>
    </row>
    <row r="264">
      <c r="A264" s="8">
        <v>42096.0</v>
      </c>
      <c r="B264" s="12">
        <v>9.130000000000001E-4</v>
      </c>
      <c r="C264" s="12">
        <v>0.001305</v>
      </c>
      <c r="D264" s="12">
        <v>0.00264</v>
      </c>
    </row>
    <row r="265">
      <c r="A265" s="8">
        <v>42097.0</v>
      </c>
      <c r="B265" s="12">
        <v>9.0E-4</v>
      </c>
      <c r="C265" s="12">
        <v>0.0012900000000000001</v>
      </c>
      <c r="D265" s="12">
        <v>0.002645</v>
      </c>
    </row>
    <row r="266">
      <c r="A266" s="8">
        <v>42100.0</v>
      </c>
      <c r="B266" s="12">
        <v>8.799999999999999E-4</v>
      </c>
      <c r="C266" s="12">
        <v>0.0013</v>
      </c>
      <c r="D266" s="12">
        <v>0.002645</v>
      </c>
    </row>
    <row r="267">
      <c r="A267" s="8">
        <v>42101.0</v>
      </c>
      <c r="B267" s="12">
        <v>8.500000000000001E-4</v>
      </c>
      <c r="C267" s="12">
        <v>0.001237</v>
      </c>
      <c r="D267" s="12">
        <v>0.00249</v>
      </c>
    </row>
    <row r="268">
      <c r="A268" s="8">
        <v>42102.0</v>
      </c>
      <c r="B268" s="12">
        <v>7.5E-4</v>
      </c>
      <c r="C268" s="12">
        <v>0.001055</v>
      </c>
      <c r="D268" s="12">
        <v>0.0022</v>
      </c>
    </row>
    <row r="269">
      <c r="A269" s="8">
        <v>42103.0</v>
      </c>
      <c r="B269" s="12">
        <v>7.17E-4</v>
      </c>
      <c r="C269" s="12">
        <v>0.001044</v>
      </c>
      <c r="D269" s="12">
        <v>0.002182</v>
      </c>
    </row>
    <row r="270">
      <c r="A270" s="8">
        <v>42104.0</v>
      </c>
      <c r="B270" s="12">
        <v>7.199999999999999E-4</v>
      </c>
      <c r="C270" s="12">
        <v>0.001045</v>
      </c>
      <c r="D270" s="12">
        <v>0.002175</v>
      </c>
    </row>
    <row r="271">
      <c r="A271" s="8">
        <v>42107.0</v>
      </c>
      <c r="B271" s="12">
        <v>6.72E-4</v>
      </c>
      <c r="C271" s="12">
        <v>0.001</v>
      </c>
      <c r="D271" s="12">
        <v>0.0021390000000000003</v>
      </c>
    </row>
    <row r="272">
      <c r="A272" s="8">
        <v>42108.0</v>
      </c>
      <c r="B272" s="12">
        <v>5.949999999999999E-4</v>
      </c>
      <c r="C272" s="12">
        <v>9.11E-4</v>
      </c>
      <c r="D272" s="12">
        <v>0.0020399999999999997</v>
      </c>
    </row>
    <row r="273">
      <c r="A273" s="8">
        <v>42109.0</v>
      </c>
      <c r="B273" s="12">
        <v>5.97E-4</v>
      </c>
      <c r="C273" s="12">
        <v>9.05E-4</v>
      </c>
      <c r="D273" s="12">
        <v>0.001916</v>
      </c>
    </row>
    <row r="274">
      <c r="A274" s="8">
        <v>42110.0</v>
      </c>
      <c r="B274" s="12">
        <v>6.15E-4</v>
      </c>
      <c r="C274" s="12">
        <v>9.2E-4</v>
      </c>
      <c r="D274" s="12">
        <v>0.00185</v>
      </c>
    </row>
    <row r="275">
      <c r="A275" s="8">
        <v>42111.0</v>
      </c>
      <c r="B275" s="12">
        <v>6.900000000000001E-4</v>
      </c>
      <c r="C275" s="12">
        <v>9.710000000000001E-4</v>
      </c>
      <c r="D275" s="12">
        <v>0.0018559999999999998</v>
      </c>
    </row>
    <row r="276">
      <c r="A276" s="8">
        <v>42114.0</v>
      </c>
      <c r="B276" s="12">
        <v>7.3E-4</v>
      </c>
      <c r="C276" s="12">
        <v>0.00101</v>
      </c>
      <c r="D276" s="12">
        <v>0.0019500000000000001</v>
      </c>
    </row>
    <row r="277">
      <c r="A277" s="8">
        <v>42115.0</v>
      </c>
      <c r="B277" s="12">
        <v>7.000000000000001E-4</v>
      </c>
      <c r="C277" s="12">
        <v>9.77E-4</v>
      </c>
      <c r="D277" s="12">
        <v>0.002105</v>
      </c>
    </row>
    <row r="278">
      <c r="A278" s="8">
        <v>42116.0</v>
      </c>
      <c r="B278" s="12">
        <v>7.599999999999999E-4</v>
      </c>
      <c r="C278" s="12">
        <v>0.00115</v>
      </c>
      <c r="D278" s="12">
        <v>0.0023380000000000002</v>
      </c>
    </row>
    <row r="279">
      <c r="A279" s="8">
        <v>42117.0</v>
      </c>
      <c r="B279" s="12">
        <v>7.07E-4</v>
      </c>
      <c r="C279" s="12">
        <v>0.00105</v>
      </c>
      <c r="D279" s="12">
        <v>0.0021709999999999998</v>
      </c>
    </row>
    <row r="280">
      <c r="A280" s="8">
        <v>42118.0</v>
      </c>
      <c r="B280" s="12">
        <v>6.900000000000001E-4</v>
      </c>
      <c r="C280" s="12">
        <v>0.001044</v>
      </c>
      <c r="D280" s="12">
        <v>0.00211</v>
      </c>
    </row>
    <row r="281">
      <c r="A281" s="8">
        <v>42121.0</v>
      </c>
      <c r="B281" s="12">
        <v>6.619999999999999E-4</v>
      </c>
      <c r="C281" s="12">
        <v>9.99E-4</v>
      </c>
      <c r="D281" s="12">
        <v>0.002105</v>
      </c>
    </row>
    <row r="282">
      <c r="A282" s="8">
        <v>42122.0</v>
      </c>
      <c r="B282" s="12">
        <v>5.85E-4</v>
      </c>
      <c r="C282" s="12">
        <v>9.36E-4</v>
      </c>
      <c r="D282" s="12">
        <v>0.0020499999999999997</v>
      </c>
    </row>
    <row r="283">
      <c r="A283" s="8">
        <v>42123.0</v>
      </c>
      <c r="B283" s="12">
        <v>8.0E-4</v>
      </c>
      <c r="C283" s="12">
        <v>0.001227</v>
      </c>
      <c r="D283" s="12">
        <v>0.002555</v>
      </c>
    </row>
    <row r="284">
      <c r="A284" s="8">
        <v>42124.0</v>
      </c>
      <c r="B284" s="12">
        <v>9.299999999999999E-4</v>
      </c>
      <c r="C284" s="12">
        <v>0.0015199999999999999</v>
      </c>
      <c r="D284" s="12">
        <v>0.0029289999999999997</v>
      </c>
    </row>
    <row r="285">
      <c r="A285" s="8">
        <v>42125.0</v>
      </c>
      <c r="B285" s="12">
        <v>0.0010199999999999999</v>
      </c>
      <c r="C285" s="12">
        <v>0.001693</v>
      </c>
      <c r="D285" s="12">
        <v>0.0029289999999999997</v>
      </c>
    </row>
    <row r="286">
      <c r="A286" s="8">
        <v>42128.0</v>
      </c>
      <c r="B286" s="12">
        <v>0.00101</v>
      </c>
      <c r="C286" s="12">
        <v>0.0016300000000000002</v>
      </c>
      <c r="D286" s="12">
        <v>0.0035039999999999997</v>
      </c>
    </row>
    <row r="287">
      <c r="A287" s="8">
        <v>42129.0</v>
      </c>
      <c r="B287" s="12">
        <v>0.00104</v>
      </c>
      <c r="C287" s="12">
        <v>0.00172</v>
      </c>
      <c r="D287" s="12">
        <v>0.0037099999999999998</v>
      </c>
    </row>
    <row r="288">
      <c r="A288" s="8">
        <v>42130.0</v>
      </c>
      <c r="B288" s="12">
        <v>0.0010199999999999999</v>
      </c>
      <c r="C288" s="12">
        <v>0.00181</v>
      </c>
      <c r="D288" s="12">
        <v>0.004079</v>
      </c>
    </row>
    <row r="289">
      <c r="A289" s="8">
        <v>42131.0</v>
      </c>
      <c r="B289" s="12">
        <v>9.72E-4</v>
      </c>
      <c r="C289" s="12">
        <v>0.001678</v>
      </c>
      <c r="D289" s="12">
        <v>0.003835</v>
      </c>
    </row>
    <row r="290">
      <c r="A290" s="8">
        <v>42132.0</v>
      </c>
      <c r="B290" s="12">
        <v>9.4E-4</v>
      </c>
      <c r="C290" s="12">
        <v>0.001647</v>
      </c>
      <c r="D290" s="12">
        <v>0.00365</v>
      </c>
    </row>
    <row r="291">
      <c r="A291" s="8">
        <v>42135.0</v>
      </c>
      <c r="B291" s="12">
        <v>0.001015</v>
      </c>
      <c r="C291" s="12">
        <v>0.00182</v>
      </c>
      <c r="D291" s="12">
        <v>0.00402</v>
      </c>
    </row>
    <row r="292">
      <c r="A292" s="8">
        <v>42136.0</v>
      </c>
      <c r="B292" s="12">
        <v>0.00109</v>
      </c>
      <c r="C292" s="12">
        <v>0.00188</v>
      </c>
      <c r="D292" s="12">
        <v>0.00426</v>
      </c>
    </row>
    <row r="293">
      <c r="A293" s="8">
        <v>42137.0</v>
      </c>
      <c r="B293" s="12">
        <v>0.00125</v>
      </c>
      <c r="C293" s="12">
        <v>0.00201</v>
      </c>
      <c r="D293" s="12">
        <v>0.004295</v>
      </c>
    </row>
    <row r="294">
      <c r="A294" s="8">
        <v>42138.0</v>
      </c>
      <c r="B294" s="12">
        <v>0.00114</v>
      </c>
      <c r="C294" s="12">
        <v>0.0019500000000000001</v>
      </c>
      <c r="D294" s="12">
        <v>0.00414</v>
      </c>
    </row>
    <row r="295">
      <c r="A295" s="8">
        <v>42139.0</v>
      </c>
      <c r="B295" s="12">
        <v>0.00113</v>
      </c>
      <c r="C295" s="12">
        <v>0.00187</v>
      </c>
      <c r="D295" s="12">
        <v>0.004044</v>
      </c>
    </row>
    <row r="296">
      <c r="A296" s="8">
        <v>42142.0</v>
      </c>
      <c r="B296" s="12">
        <v>0.00115</v>
      </c>
      <c r="C296" s="12">
        <v>0.00192</v>
      </c>
      <c r="D296" s="12">
        <v>0.004107</v>
      </c>
    </row>
    <row r="297">
      <c r="A297" s="8">
        <v>42143.0</v>
      </c>
      <c r="B297" s="12">
        <v>0.00106</v>
      </c>
      <c r="C297" s="12">
        <v>0.001794</v>
      </c>
      <c r="D297" s="12">
        <v>0.003934</v>
      </c>
    </row>
    <row r="298">
      <c r="A298" s="8">
        <v>42144.0</v>
      </c>
      <c r="B298" s="12">
        <v>0.0010299999999999999</v>
      </c>
      <c r="C298" s="12">
        <v>0.00178</v>
      </c>
      <c r="D298" s="12">
        <v>0.0039629999999999995</v>
      </c>
    </row>
    <row r="299">
      <c r="A299" s="8">
        <v>42145.0</v>
      </c>
      <c r="B299" s="12">
        <v>0.00105</v>
      </c>
      <c r="C299" s="12">
        <v>0.001798</v>
      </c>
      <c r="D299" s="12">
        <v>0.0040539999999999994</v>
      </c>
    </row>
    <row r="300">
      <c r="A300" s="8">
        <v>42146.0</v>
      </c>
      <c r="B300" s="12">
        <v>0.00109</v>
      </c>
      <c r="C300" s="12">
        <v>0.001778</v>
      </c>
      <c r="D300" s="12">
        <v>0.003987</v>
      </c>
    </row>
    <row r="301">
      <c r="A301" s="8">
        <v>42149.0</v>
      </c>
      <c r="B301" s="12">
        <v>0.0011</v>
      </c>
      <c r="C301" s="12">
        <v>0.00178</v>
      </c>
      <c r="D301" s="12">
        <v>0.003988</v>
      </c>
    </row>
    <row r="302">
      <c r="A302" s="8">
        <v>42150.0</v>
      </c>
      <c r="B302" s="12">
        <v>0.001023</v>
      </c>
      <c r="C302" s="12">
        <v>0.00169</v>
      </c>
      <c r="D302" s="12">
        <v>0.00375</v>
      </c>
    </row>
    <row r="303">
      <c r="A303" s="8">
        <v>42151.0</v>
      </c>
      <c r="B303" s="12">
        <v>9.8E-4</v>
      </c>
      <c r="C303" s="12">
        <v>0.00164</v>
      </c>
      <c r="D303" s="12">
        <v>0.003665</v>
      </c>
    </row>
    <row r="304">
      <c r="A304" s="8">
        <v>42152.0</v>
      </c>
      <c r="B304" s="12">
        <v>0.0010299999999999999</v>
      </c>
      <c r="C304" s="12">
        <v>0.00168</v>
      </c>
      <c r="D304" s="12">
        <v>0.0037199999999999998</v>
      </c>
    </row>
    <row r="305">
      <c r="A305" s="8">
        <v>42153.0</v>
      </c>
      <c r="B305" s="12">
        <v>0.00101</v>
      </c>
      <c r="C305" s="12">
        <v>0.00165</v>
      </c>
      <c r="D305" s="12">
        <v>0.0034999999999999996</v>
      </c>
    </row>
    <row r="306">
      <c r="A306" s="8">
        <v>42156.0</v>
      </c>
      <c r="B306" s="12">
        <v>0.00106</v>
      </c>
      <c r="C306" s="12">
        <v>0.0017399999999999998</v>
      </c>
      <c r="D306" s="12">
        <v>0.00395</v>
      </c>
    </row>
    <row r="307">
      <c r="A307" s="8">
        <v>42157.0</v>
      </c>
      <c r="B307" s="12">
        <v>0.00111</v>
      </c>
      <c r="C307" s="12">
        <v>0.00187</v>
      </c>
      <c r="D307" s="12">
        <v>0.00431</v>
      </c>
    </row>
    <row r="308">
      <c r="A308" s="8">
        <v>42158.0</v>
      </c>
      <c r="B308" s="12">
        <v>0.00127</v>
      </c>
      <c r="C308" s="12">
        <v>0.0022400000000000002</v>
      </c>
      <c r="D308" s="12">
        <v>0.005540000000000001</v>
      </c>
    </row>
    <row r="309">
      <c r="A309" s="8">
        <v>42159.0</v>
      </c>
      <c r="B309" s="12">
        <v>0.00127</v>
      </c>
      <c r="C309" s="12">
        <v>0.00222</v>
      </c>
      <c r="D309" s="12">
        <v>0.0049499999999999995</v>
      </c>
    </row>
    <row r="310">
      <c r="A310" s="8">
        <v>42160.0</v>
      </c>
      <c r="B310" s="12">
        <v>0.0012900000000000001</v>
      </c>
      <c r="C310" s="12">
        <v>0.002311</v>
      </c>
      <c r="D310" s="12">
        <v>0.005132</v>
      </c>
    </row>
    <row r="311">
      <c r="A311" s="8">
        <v>42163.0</v>
      </c>
      <c r="B311" s="12">
        <v>0.00148</v>
      </c>
      <c r="C311" s="12">
        <v>0.002552</v>
      </c>
      <c r="D311" s="12">
        <v>0.005410000000000001</v>
      </c>
    </row>
    <row r="312">
      <c r="A312" s="8">
        <v>42164.0</v>
      </c>
      <c r="B312" s="12">
        <v>0.0015199999999999999</v>
      </c>
      <c r="C312" s="12">
        <v>0.0026750000000000003</v>
      </c>
      <c r="D312" s="12">
        <v>0.005829999999999999</v>
      </c>
    </row>
    <row r="313">
      <c r="A313" s="8">
        <v>42165.0</v>
      </c>
      <c r="B313" s="12">
        <v>0.001448</v>
      </c>
      <c r="C313" s="12">
        <v>0.00261</v>
      </c>
      <c r="D313" s="12">
        <v>0.005842000000000001</v>
      </c>
    </row>
    <row r="314">
      <c r="A314" s="8">
        <v>42166.0</v>
      </c>
      <c r="B314" s="12">
        <v>0.00145</v>
      </c>
      <c r="C314" s="12">
        <v>0.002541</v>
      </c>
      <c r="D314" s="12">
        <v>0.0054410000000000005</v>
      </c>
    </row>
    <row r="315">
      <c r="A315" s="8">
        <v>42167.0</v>
      </c>
      <c r="B315" s="12">
        <v>0.00155</v>
      </c>
      <c r="C315" s="12">
        <v>0.0026650000000000003</v>
      </c>
      <c r="D315" s="12">
        <v>0.00557</v>
      </c>
    </row>
    <row r="316">
      <c r="A316" s="8">
        <v>42170.0</v>
      </c>
      <c r="B316" s="12">
        <v>0.0017000000000000001</v>
      </c>
      <c r="C316" s="12">
        <v>0.0027600000000000003</v>
      </c>
      <c r="D316" s="12">
        <v>0.005585</v>
      </c>
    </row>
    <row r="317">
      <c r="A317" s="8">
        <v>42171.0</v>
      </c>
      <c r="B317" s="12">
        <v>0.00161</v>
      </c>
      <c r="C317" s="12">
        <v>0.0025900000000000003</v>
      </c>
      <c r="D317" s="12">
        <v>0.005425</v>
      </c>
    </row>
    <row r="318">
      <c r="A318" s="8">
        <v>42172.0</v>
      </c>
      <c r="B318" s="12">
        <v>0.00155</v>
      </c>
      <c r="C318" s="12">
        <v>0.0024749999999999998</v>
      </c>
      <c r="D318" s="12">
        <v>0.0053100000000000005</v>
      </c>
    </row>
    <row r="319">
      <c r="A319" s="8">
        <v>42173.0</v>
      </c>
      <c r="B319" s="12">
        <v>0.00148</v>
      </c>
      <c r="C319" s="12">
        <v>0.002424</v>
      </c>
      <c r="D319" s="12">
        <v>0.005325</v>
      </c>
    </row>
    <row r="320">
      <c r="A320" s="8">
        <v>42174.0</v>
      </c>
      <c r="B320" s="12">
        <v>0.00146</v>
      </c>
      <c r="C320" s="12">
        <v>0.002435</v>
      </c>
      <c r="D320" s="12">
        <v>0.005119</v>
      </c>
    </row>
    <row r="321">
      <c r="A321" s="8">
        <v>42177.0</v>
      </c>
      <c r="B321" s="12">
        <v>0.0013139999999999998</v>
      </c>
      <c r="C321" s="12">
        <v>0.002415</v>
      </c>
      <c r="D321" s="12">
        <v>0.005562</v>
      </c>
    </row>
    <row r="322">
      <c r="A322" s="8">
        <v>42178.0</v>
      </c>
      <c r="B322" s="12">
        <v>0.00133</v>
      </c>
      <c r="C322" s="12">
        <v>0.0024460000000000003</v>
      </c>
      <c r="D322" s="12">
        <v>0.005535</v>
      </c>
    </row>
    <row r="323">
      <c r="A323" s="8">
        <v>42179.0</v>
      </c>
      <c r="B323" s="12">
        <v>0.0012850000000000001</v>
      </c>
      <c r="C323" s="12">
        <v>0.002275</v>
      </c>
      <c r="D323" s="12">
        <v>0.0051400000000000005</v>
      </c>
    </row>
    <row r="324">
      <c r="A324" s="8">
        <v>42180.0</v>
      </c>
      <c r="B324" s="12">
        <v>0.0012690000000000002</v>
      </c>
      <c r="C324" s="12">
        <v>0.00229</v>
      </c>
      <c r="D324" s="12">
        <v>0.0053029999999999996</v>
      </c>
    </row>
    <row r="325">
      <c r="A325" s="8">
        <v>42181.0</v>
      </c>
      <c r="B325" s="12">
        <v>0.00136</v>
      </c>
      <c r="C325" s="12">
        <v>0.00248</v>
      </c>
      <c r="D325" s="12">
        <v>0.005694</v>
      </c>
    </row>
    <row r="326">
      <c r="A326" s="8">
        <v>42184.0</v>
      </c>
      <c r="B326" s="12">
        <v>0.00132</v>
      </c>
      <c r="C326" s="12">
        <v>0.0023</v>
      </c>
      <c r="D326" s="12">
        <v>0.004975</v>
      </c>
    </row>
    <row r="327">
      <c r="A327" s="8">
        <v>42185.0</v>
      </c>
      <c r="B327" s="12">
        <v>0.00125</v>
      </c>
      <c r="C327" s="12">
        <v>0.002228</v>
      </c>
      <c r="D327" s="12">
        <v>0.005004999999999999</v>
      </c>
    </row>
    <row r="328">
      <c r="A328" s="8">
        <v>42186.0</v>
      </c>
      <c r="B328" s="12">
        <v>0.00122</v>
      </c>
      <c r="C328" s="12">
        <v>0.002187</v>
      </c>
      <c r="D328" s="12">
        <v>0.005086</v>
      </c>
    </row>
    <row r="329">
      <c r="A329" s="8">
        <v>42187.0</v>
      </c>
      <c r="B329" s="12">
        <v>0.0012</v>
      </c>
      <c r="C329" s="12">
        <v>0.0022040000000000002</v>
      </c>
      <c r="D329" s="12">
        <v>0.005183</v>
      </c>
    </row>
    <row r="330">
      <c r="A330" s="8">
        <v>42188.0</v>
      </c>
      <c r="B330" s="12">
        <v>0.00124</v>
      </c>
      <c r="C330" s="12">
        <v>0.002105</v>
      </c>
      <c r="D330" s="12">
        <v>0.004922</v>
      </c>
    </row>
    <row r="331">
      <c r="A331" s="8">
        <v>42191.0</v>
      </c>
      <c r="B331" s="12">
        <v>0.00124</v>
      </c>
      <c r="C331" s="12">
        <v>0.0020180000000000003</v>
      </c>
      <c r="D331" s="12">
        <v>0.004595</v>
      </c>
    </row>
    <row r="332">
      <c r="A332" s="8">
        <v>42192.0</v>
      </c>
      <c r="B332" s="12">
        <v>0.00122</v>
      </c>
      <c r="C332" s="12">
        <v>0.00197</v>
      </c>
      <c r="D332" s="12">
        <v>0.00449</v>
      </c>
    </row>
    <row r="333">
      <c r="A333" s="8">
        <v>42193.0</v>
      </c>
      <c r="B333" s="12">
        <v>0.001154</v>
      </c>
      <c r="C333" s="12">
        <v>0.0019370000000000001</v>
      </c>
      <c r="D333" s="12">
        <v>0.004548</v>
      </c>
    </row>
    <row r="334">
      <c r="A334" s="8">
        <v>42194.0</v>
      </c>
      <c r="B334" s="12">
        <v>0.0012</v>
      </c>
      <c r="C334" s="12">
        <v>0.00203</v>
      </c>
      <c r="D334" s="12">
        <v>0.004824999999999999</v>
      </c>
    </row>
    <row r="335">
      <c r="A335" s="8">
        <v>42195.0</v>
      </c>
      <c r="B335" s="12">
        <v>0.0013800000000000002</v>
      </c>
      <c r="C335" s="12">
        <v>0.002415</v>
      </c>
      <c r="D335" s="12">
        <v>0.005585</v>
      </c>
    </row>
    <row r="336">
      <c r="A336" s="8">
        <v>42198.0</v>
      </c>
      <c r="B336" s="12">
        <v>0.0011849999999999999</v>
      </c>
      <c r="C336" s="12">
        <v>0.002233</v>
      </c>
      <c r="D336" s="12">
        <v>0.00517</v>
      </c>
    </row>
    <row r="337">
      <c r="A337" s="8">
        <v>42199.0</v>
      </c>
      <c r="B337" s="12">
        <v>0.00109</v>
      </c>
      <c r="C337" s="12">
        <v>0.0020599999999999998</v>
      </c>
      <c r="D337" s="12">
        <v>0.004969</v>
      </c>
    </row>
    <row r="338">
      <c r="A338" s="8">
        <v>42200.0</v>
      </c>
      <c r="B338" s="12">
        <v>0.00101</v>
      </c>
      <c r="C338" s="12">
        <v>0.001885</v>
      </c>
      <c r="D338" s="12">
        <v>0.00461</v>
      </c>
    </row>
    <row r="339">
      <c r="A339" s="8">
        <v>42201.0</v>
      </c>
      <c r="B339" s="12">
        <v>0.00104</v>
      </c>
      <c r="C339" s="12">
        <v>0.001961</v>
      </c>
      <c r="D339" s="12">
        <v>0.004795</v>
      </c>
    </row>
    <row r="340">
      <c r="A340" s="8">
        <v>42202.0</v>
      </c>
      <c r="B340" s="12">
        <v>0.00104</v>
      </c>
      <c r="C340" s="12">
        <v>0.0019270000000000001</v>
      </c>
      <c r="D340" s="12">
        <v>0.004463</v>
      </c>
    </row>
    <row r="341">
      <c r="A341" s="8">
        <v>42205.0</v>
      </c>
      <c r="B341" s="12">
        <v>0.001055</v>
      </c>
      <c r="C341" s="12">
        <v>0.00183</v>
      </c>
      <c r="D341" s="12">
        <v>0.004419</v>
      </c>
    </row>
    <row r="342">
      <c r="A342" s="8">
        <v>42206.0</v>
      </c>
      <c r="B342" s="12">
        <v>0.001035</v>
      </c>
      <c r="C342" s="12">
        <v>0.00187</v>
      </c>
      <c r="D342" s="12">
        <v>0.004517</v>
      </c>
    </row>
    <row r="343">
      <c r="A343" s="8">
        <v>42207.0</v>
      </c>
      <c r="B343" s="12">
        <v>0.00105</v>
      </c>
      <c r="C343" s="12">
        <v>0.001817</v>
      </c>
      <c r="D343" s="12">
        <v>0.00431</v>
      </c>
    </row>
    <row r="344">
      <c r="A344" s="8">
        <v>42208.0</v>
      </c>
      <c r="B344" s="12">
        <v>0.001038</v>
      </c>
      <c r="C344" s="12">
        <v>0.0018</v>
      </c>
      <c r="D344" s="12">
        <v>0.004244</v>
      </c>
    </row>
    <row r="345">
      <c r="A345" s="8">
        <v>42209.0</v>
      </c>
      <c r="B345" s="12">
        <v>0.001023</v>
      </c>
      <c r="C345" s="12">
        <v>0.0017439999999999999</v>
      </c>
      <c r="D345" s="12">
        <v>0.00411</v>
      </c>
    </row>
    <row r="346">
      <c r="A346" s="8">
        <v>42212.0</v>
      </c>
      <c r="B346" s="12">
        <v>0.00104</v>
      </c>
      <c r="C346" s="12">
        <v>0.0017100000000000001</v>
      </c>
      <c r="D346" s="12">
        <v>0.004062</v>
      </c>
    </row>
    <row r="347">
      <c r="A347" s="8">
        <v>42213.0</v>
      </c>
      <c r="B347" s="12">
        <v>0.0010199999999999999</v>
      </c>
      <c r="C347" s="12">
        <v>0.0017699999999999999</v>
      </c>
      <c r="D347" s="12">
        <v>0.00416</v>
      </c>
    </row>
    <row r="348">
      <c r="A348" s="8">
        <v>42214.0</v>
      </c>
      <c r="B348" s="12">
        <v>9.85E-4</v>
      </c>
      <c r="C348" s="12">
        <v>0.0017299999999999998</v>
      </c>
      <c r="D348" s="12">
        <v>0.004111</v>
      </c>
    </row>
    <row r="349">
      <c r="A349" s="8">
        <v>42215.0</v>
      </c>
      <c r="B349" s="12">
        <v>9.5E-4</v>
      </c>
      <c r="C349" s="12">
        <v>0.0017100000000000001</v>
      </c>
      <c r="D349" s="12">
        <v>0.0040100000000000005</v>
      </c>
    </row>
    <row r="350">
      <c r="A350" s="8">
        <v>42216.0</v>
      </c>
      <c r="B350" s="12">
        <v>9.4E-4</v>
      </c>
      <c r="C350" s="12">
        <v>0.00169</v>
      </c>
      <c r="D350" s="12">
        <v>0.003985</v>
      </c>
    </row>
    <row r="351">
      <c r="A351" s="8">
        <v>42219.0</v>
      </c>
      <c r="B351" s="12">
        <v>9.07E-4</v>
      </c>
      <c r="C351" s="12">
        <v>0.001595</v>
      </c>
      <c r="D351" s="12">
        <v>0.00384</v>
      </c>
    </row>
    <row r="352">
      <c r="A352" s="8">
        <v>42220.0</v>
      </c>
      <c r="B352" s="12">
        <v>8.9E-4</v>
      </c>
      <c r="C352" s="12">
        <v>0.0017299999999999998</v>
      </c>
      <c r="D352" s="12">
        <v>0.004075</v>
      </c>
    </row>
    <row r="353">
      <c r="A353" s="8">
        <v>42221.0</v>
      </c>
      <c r="B353" s="12">
        <v>9.5E-4</v>
      </c>
      <c r="C353" s="12">
        <v>0.001777</v>
      </c>
      <c r="D353" s="12">
        <v>0.004325</v>
      </c>
    </row>
    <row r="354">
      <c r="A354" s="8">
        <v>42222.0</v>
      </c>
      <c r="B354" s="12">
        <v>9.6E-4</v>
      </c>
      <c r="C354" s="12">
        <v>0.001768</v>
      </c>
      <c r="D354" s="12">
        <v>0.00414</v>
      </c>
    </row>
    <row r="355">
      <c r="A355" s="8">
        <v>42223.0</v>
      </c>
      <c r="B355" s="12">
        <v>8.849999999999999E-4</v>
      </c>
      <c r="C355" s="12">
        <v>0.0016539999999999999</v>
      </c>
      <c r="D355" s="12">
        <v>0.003912</v>
      </c>
    </row>
    <row r="356">
      <c r="A356" s="8">
        <v>42226.0</v>
      </c>
      <c r="B356" s="12">
        <v>8.9E-4</v>
      </c>
      <c r="C356" s="12">
        <v>0.0017100000000000001</v>
      </c>
      <c r="D356" s="12">
        <v>0.004093</v>
      </c>
    </row>
    <row r="357">
      <c r="A357" s="8">
        <v>42227.0</v>
      </c>
      <c r="B357" s="12">
        <v>8.4E-4</v>
      </c>
      <c r="C357" s="12">
        <v>0.001576</v>
      </c>
      <c r="D357" s="12">
        <v>0.00383</v>
      </c>
    </row>
    <row r="358">
      <c r="A358" s="8">
        <v>42228.0</v>
      </c>
      <c r="B358" s="12">
        <v>9.0E-4</v>
      </c>
      <c r="C358" s="12">
        <v>0.00153</v>
      </c>
      <c r="D358" s="12">
        <v>0.00375</v>
      </c>
    </row>
    <row r="359">
      <c r="A359" s="8">
        <v>42229.0</v>
      </c>
      <c r="B359" s="12">
        <v>8.3E-4</v>
      </c>
      <c r="C359" s="12">
        <v>0.001585</v>
      </c>
      <c r="D359" s="12">
        <v>0.00384</v>
      </c>
    </row>
    <row r="360">
      <c r="A360" s="8">
        <v>42230.0</v>
      </c>
      <c r="B360" s="12">
        <v>8.6E-4</v>
      </c>
      <c r="C360" s="12">
        <v>0.001665</v>
      </c>
      <c r="D360" s="12">
        <v>0.00402</v>
      </c>
    </row>
    <row r="361">
      <c r="A361" s="8">
        <v>42233.0</v>
      </c>
      <c r="B361" s="12">
        <v>8.62E-4</v>
      </c>
      <c r="C361" s="12">
        <v>0.00166</v>
      </c>
      <c r="D361" s="12">
        <v>0.003901</v>
      </c>
    </row>
    <row r="362">
      <c r="A362" s="8">
        <v>42234.0</v>
      </c>
      <c r="B362" s="12">
        <v>8.649999999999999E-4</v>
      </c>
      <c r="C362" s="12">
        <v>0.00167</v>
      </c>
      <c r="D362" s="12">
        <v>0.003953</v>
      </c>
    </row>
    <row r="363">
      <c r="A363" s="8">
        <v>42235.0</v>
      </c>
      <c r="B363" s="12">
        <v>8.500000000000001E-4</v>
      </c>
      <c r="C363" s="12">
        <v>0.00161</v>
      </c>
      <c r="D363" s="12">
        <v>0.003647</v>
      </c>
    </row>
    <row r="364">
      <c r="A364" s="8">
        <v>42236.0</v>
      </c>
      <c r="B364" s="12">
        <v>7.9E-4</v>
      </c>
      <c r="C364" s="12">
        <v>0.001495</v>
      </c>
      <c r="D364" s="12">
        <v>0.0035399999999999997</v>
      </c>
    </row>
    <row r="365">
      <c r="A365" s="8">
        <v>42237.0</v>
      </c>
      <c r="B365" s="12">
        <v>8.0E-4</v>
      </c>
      <c r="C365" s="12">
        <v>0.0015199999999999999</v>
      </c>
      <c r="D365" s="12">
        <v>0.003568</v>
      </c>
    </row>
    <row r="366">
      <c r="A366" s="8">
        <v>42240.0</v>
      </c>
      <c r="B366" s="12">
        <v>9.6E-4</v>
      </c>
      <c r="C366" s="12">
        <v>0.001609</v>
      </c>
      <c r="D366" s="12">
        <v>0.0037419999999999997</v>
      </c>
    </row>
    <row r="367">
      <c r="A367" s="8">
        <v>42241.0</v>
      </c>
      <c r="B367" s="12">
        <v>9.6E-4</v>
      </c>
      <c r="C367" s="12">
        <v>0.0018520000000000001</v>
      </c>
      <c r="D367" s="12">
        <v>0.004339</v>
      </c>
    </row>
    <row r="368">
      <c r="A368" s="8">
        <v>42242.0</v>
      </c>
      <c r="B368" s="12">
        <v>9.7E-4</v>
      </c>
      <c r="C368" s="12">
        <v>0.0017430000000000002</v>
      </c>
      <c r="D368" s="12">
        <v>0.004319</v>
      </c>
    </row>
    <row r="369">
      <c r="A369" s="8">
        <v>42243.0</v>
      </c>
      <c r="B369" s="12">
        <v>9.1E-4</v>
      </c>
      <c r="C369" s="12">
        <v>0.0017499999999999998</v>
      </c>
      <c r="D369" s="12">
        <v>0.004226</v>
      </c>
    </row>
    <row r="370">
      <c r="A370" s="8">
        <v>42244.0</v>
      </c>
      <c r="B370" s="12">
        <v>9.4E-4</v>
      </c>
      <c r="C370" s="12">
        <v>0.00178</v>
      </c>
      <c r="D370" s="12">
        <v>0.004284</v>
      </c>
    </row>
    <row r="371">
      <c r="A371" s="8">
        <v>42247.0</v>
      </c>
      <c r="B371" s="12">
        <v>0.0013700000000000001</v>
      </c>
      <c r="C371" s="12">
        <v>0.001835</v>
      </c>
      <c r="D371" s="12">
        <v>0.004678</v>
      </c>
    </row>
    <row r="372">
      <c r="A372" s="8">
        <v>42248.0</v>
      </c>
      <c r="B372" s="12">
        <v>9.4E-4</v>
      </c>
      <c r="C372" s="12">
        <v>0.0018599999999999999</v>
      </c>
      <c r="D372" s="12">
        <v>0.004553</v>
      </c>
    </row>
    <row r="373">
      <c r="A373" s="8">
        <v>42249.0</v>
      </c>
      <c r="B373" s="12">
        <v>9.0E-4</v>
      </c>
      <c r="C373" s="12">
        <v>0.00179</v>
      </c>
      <c r="D373" s="12">
        <v>0.004438</v>
      </c>
    </row>
    <row r="374">
      <c r="A374" s="8">
        <v>42250.0</v>
      </c>
      <c r="B374" s="12">
        <v>7.599999999999999E-4</v>
      </c>
      <c r="C374" s="12">
        <v>0.00157</v>
      </c>
      <c r="D374" s="12">
        <v>0.00402</v>
      </c>
    </row>
    <row r="375">
      <c r="A375" s="8">
        <v>42251.0</v>
      </c>
      <c r="B375" s="12">
        <v>7.8E-4</v>
      </c>
      <c r="C375" s="12">
        <v>0.00153</v>
      </c>
      <c r="D375" s="12">
        <v>0.003798</v>
      </c>
    </row>
    <row r="376">
      <c r="A376" s="8">
        <v>42254.0</v>
      </c>
      <c r="B376" s="12">
        <v>8.0E-4</v>
      </c>
      <c r="C376" s="12">
        <v>0.0015199999999999999</v>
      </c>
      <c r="D376" s="12">
        <v>0.003758</v>
      </c>
    </row>
    <row r="377">
      <c r="A377" s="8">
        <v>42255.0</v>
      </c>
      <c r="B377" s="12">
        <v>8.2E-4</v>
      </c>
      <c r="C377" s="12">
        <v>0.0015509999999999999</v>
      </c>
      <c r="D377" s="12">
        <v>0.00383</v>
      </c>
    </row>
    <row r="378">
      <c r="A378" s="8">
        <v>42256.0</v>
      </c>
      <c r="B378" s="12">
        <v>7.5E-4</v>
      </c>
      <c r="C378" s="12">
        <v>0.00154</v>
      </c>
      <c r="D378" s="12">
        <v>0.003735</v>
      </c>
    </row>
    <row r="379">
      <c r="A379" s="8">
        <v>42257.0</v>
      </c>
      <c r="B379" s="12">
        <v>7.93E-4</v>
      </c>
      <c r="C379" s="12">
        <v>0.00153</v>
      </c>
      <c r="D379" s="12">
        <v>0.003841</v>
      </c>
    </row>
    <row r="380">
      <c r="A380" s="8">
        <v>42258.0</v>
      </c>
      <c r="B380" s="12">
        <v>7.5E-4</v>
      </c>
      <c r="C380" s="12">
        <v>0.00147</v>
      </c>
      <c r="D380" s="12">
        <v>0.0037</v>
      </c>
    </row>
    <row r="381">
      <c r="A381" s="8">
        <v>42261.0</v>
      </c>
      <c r="B381" s="12">
        <v>7.199999999999999E-4</v>
      </c>
      <c r="C381" s="12">
        <v>0.0014219999999999999</v>
      </c>
      <c r="D381" s="12">
        <v>0.003659</v>
      </c>
    </row>
    <row r="382">
      <c r="A382" s="8">
        <v>42262.0</v>
      </c>
      <c r="B382" s="12">
        <v>8.0E-4</v>
      </c>
      <c r="C382" s="12">
        <v>0.001577</v>
      </c>
      <c r="D382" s="12">
        <v>0.004192</v>
      </c>
    </row>
    <row r="383">
      <c r="A383" s="8">
        <v>42263.0</v>
      </c>
      <c r="B383" s="12">
        <v>8.42E-4</v>
      </c>
      <c r="C383" s="12">
        <v>0.001638</v>
      </c>
      <c r="D383" s="12">
        <v>0.0042699999999999995</v>
      </c>
    </row>
    <row r="384">
      <c r="A384" s="8">
        <v>42264.0</v>
      </c>
      <c r="B384" s="12">
        <v>5.8E-4</v>
      </c>
      <c r="C384" s="12">
        <v>0.001797</v>
      </c>
      <c r="D384" s="12">
        <v>0.0039000000000000003</v>
      </c>
    </row>
    <row r="385">
      <c r="A385" s="8">
        <v>42265.0</v>
      </c>
      <c r="B385" s="12">
        <v>6.1E-4</v>
      </c>
      <c r="C385" s="12">
        <v>0.0015</v>
      </c>
      <c r="D385" s="12">
        <v>0.0038269999999999997</v>
      </c>
    </row>
    <row r="386">
      <c r="A386" s="8">
        <v>42268.0</v>
      </c>
      <c r="B386" s="12">
        <v>7.000000000000001E-4</v>
      </c>
      <c r="C386" s="12">
        <v>0.00151</v>
      </c>
      <c r="D386" s="12">
        <v>0.003916</v>
      </c>
    </row>
    <row r="387">
      <c r="A387" s="8">
        <v>42269.0</v>
      </c>
      <c r="B387" s="12">
        <v>4.7E-4</v>
      </c>
      <c r="C387" s="12">
        <v>0.001167</v>
      </c>
      <c r="D387" s="12">
        <v>0.003525</v>
      </c>
    </row>
    <row r="388">
      <c r="A388" s="8">
        <v>42270.0</v>
      </c>
      <c r="B388" s="12">
        <v>5.2E-4</v>
      </c>
      <c r="C388" s="12">
        <v>0.00125</v>
      </c>
      <c r="D388" s="12">
        <v>0.00356</v>
      </c>
    </row>
    <row r="389">
      <c r="A389" s="8">
        <v>42271.0</v>
      </c>
      <c r="B389" s="12">
        <v>7.099999999999999E-4</v>
      </c>
      <c r="C389" s="12">
        <v>0.00132</v>
      </c>
      <c r="D389" s="12">
        <v>0.003776</v>
      </c>
    </row>
    <row r="390">
      <c r="A390" s="8">
        <v>42272.0</v>
      </c>
      <c r="B390" s="12">
        <v>6.4E-4</v>
      </c>
      <c r="C390" s="12">
        <v>0.0014099999999999998</v>
      </c>
      <c r="D390" s="12">
        <v>0.0037199999999999998</v>
      </c>
    </row>
    <row r="391">
      <c r="A391" s="8">
        <v>42275.0</v>
      </c>
      <c r="B391" s="12">
        <v>5.600000000000001E-4</v>
      </c>
      <c r="C391" s="12">
        <v>0.0013</v>
      </c>
      <c r="D391" s="12">
        <v>0.003535</v>
      </c>
    </row>
    <row r="392">
      <c r="A392" s="8">
        <v>42276.0</v>
      </c>
      <c r="B392" s="12">
        <v>5.099999999999999E-4</v>
      </c>
      <c r="C392" s="12">
        <v>0.00126</v>
      </c>
      <c r="D392" s="12">
        <v>0.003536</v>
      </c>
    </row>
    <row r="393">
      <c r="A393" s="8">
        <v>42277.0</v>
      </c>
      <c r="B393" s="12">
        <v>4.8E-4</v>
      </c>
      <c r="C393" s="12">
        <v>0.00122</v>
      </c>
      <c r="D393" s="12">
        <v>0.0034699999999999996</v>
      </c>
    </row>
    <row r="394">
      <c r="A394" s="8">
        <v>42278.0</v>
      </c>
      <c r="B394" s="12">
        <v>3.9E-4</v>
      </c>
      <c r="C394" s="12">
        <v>0.00108</v>
      </c>
      <c r="D394" s="12">
        <v>0.0032500000000000003</v>
      </c>
    </row>
    <row r="395">
      <c r="A395" s="8">
        <v>42279.0</v>
      </c>
      <c r="B395" s="12">
        <v>3.7E-4</v>
      </c>
      <c r="C395" s="12">
        <v>0.001007</v>
      </c>
      <c r="D395" s="12">
        <v>0.003186</v>
      </c>
    </row>
    <row r="396">
      <c r="A396" s="8">
        <v>42282.0</v>
      </c>
      <c r="B396" s="12">
        <v>4.2E-4</v>
      </c>
      <c r="C396" s="12">
        <v>0.00109</v>
      </c>
      <c r="D396" s="12">
        <v>0.0033789999999999996</v>
      </c>
    </row>
    <row r="397">
      <c r="A397" s="8">
        <v>42283.0</v>
      </c>
      <c r="B397" s="12">
        <v>5.4E-4</v>
      </c>
      <c r="C397" s="12">
        <v>0.001231</v>
      </c>
      <c r="D397" s="12">
        <v>0.0035139999999999998</v>
      </c>
    </row>
    <row r="398">
      <c r="A398" s="8">
        <v>42284.0</v>
      </c>
      <c r="B398" s="12">
        <v>5.8E-4</v>
      </c>
      <c r="C398" s="12">
        <v>0.00131</v>
      </c>
      <c r="D398" s="12">
        <v>0.00364</v>
      </c>
    </row>
    <row r="399">
      <c r="A399" s="8">
        <v>42285.0</v>
      </c>
      <c r="B399" s="12">
        <v>5.600000000000001E-4</v>
      </c>
      <c r="C399" s="12">
        <v>0.001275</v>
      </c>
      <c r="D399" s="12">
        <v>0.0036309999999999997</v>
      </c>
    </row>
    <row r="400">
      <c r="A400" s="8">
        <v>42286.0</v>
      </c>
      <c r="B400" s="12">
        <v>5.899999999999999E-4</v>
      </c>
      <c r="C400" s="12">
        <v>0.00132</v>
      </c>
      <c r="D400" s="12">
        <v>0.00365</v>
      </c>
    </row>
    <row r="401">
      <c r="A401" s="8">
        <v>42289.0</v>
      </c>
      <c r="B401" s="12">
        <v>5.38E-4</v>
      </c>
      <c r="C401" s="12">
        <v>0.00123</v>
      </c>
      <c r="D401" s="12">
        <v>0.00344</v>
      </c>
    </row>
    <row r="402">
      <c r="A402" s="8">
        <v>42290.0</v>
      </c>
      <c r="B402" s="12">
        <v>5.0E-4</v>
      </c>
      <c r="C402" s="12">
        <v>0.001245</v>
      </c>
      <c r="D402" s="12">
        <v>0.003434</v>
      </c>
    </row>
    <row r="403">
      <c r="A403" s="8">
        <v>42291.0</v>
      </c>
      <c r="B403" s="12">
        <v>4.1E-4</v>
      </c>
      <c r="C403" s="12">
        <v>0.001075</v>
      </c>
      <c r="D403" s="12">
        <v>0.0031929999999999997</v>
      </c>
    </row>
    <row r="404">
      <c r="A404" s="8">
        <v>42292.0</v>
      </c>
      <c r="B404" s="12">
        <v>4.3999999999999996E-4</v>
      </c>
      <c r="C404" s="12">
        <v>0.001111</v>
      </c>
      <c r="D404" s="12">
        <v>0.0033729999999999997</v>
      </c>
    </row>
    <row r="405">
      <c r="A405" s="8">
        <v>42293.0</v>
      </c>
      <c r="B405" s="12">
        <v>3.0E-4</v>
      </c>
      <c r="C405" s="12">
        <v>0.001</v>
      </c>
      <c r="D405" s="12">
        <v>0.003251</v>
      </c>
    </row>
    <row r="406">
      <c r="A406" s="8">
        <v>42296.0</v>
      </c>
      <c r="B406" s="12">
        <v>2.7E-4</v>
      </c>
      <c r="C406" s="12">
        <v>9.8E-4</v>
      </c>
      <c r="D406" s="12">
        <v>0.003236</v>
      </c>
    </row>
    <row r="407">
      <c r="A407" s="8">
        <v>42297.0</v>
      </c>
      <c r="B407" s="12">
        <v>4.5E-4</v>
      </c>
      <c r="C407" s="12">
        <v>0.0011949999999999999</v>
      </c>
      <c r="D407" s="12">
        <v>0.003554</v>
      </c>
    </row>
    <row r="408">
      <c r="A408" s="8">
        <v>42298.0</v>
      </c>
      <c r="B408" s="12">
        <v>3.7999999999999997E-4</v>
      </c>
      <c r="C408" s="12">
        <v>0.001042</v>
      </c>
      <c r="D408" s="12">
        <v>0.0032440000000000004</v>
      </c>
    </row>
    <row r="409">
      <c r="A409" s="8">
        <v>42299.0</v>
      </c>
      <c r="B409" s="12">
        <v>-6.0E-5</v>
      </c>
      <c r="C409" s="12">
        <v>5.85E-4</v>
      </c>
      <c r="D409" s="12">
        <v>0.002763</v>
      </c>
    </row>
    <row r="410">
      <c r="A410" s="8">
        <v>42300.0</v>
      </c>
      <c r="B410" s="12">
        <v>-1.7999999999999998E-4</v>
      </c>
      <c r="C410" s="12">
        <v>4.82E-4</v>
      </c>
      <c r="D410" s="12">
        <v>0.0027400000000000002</v>
      </c>
    </row>
    <row r="411">
      <c r="A411" s="8">
        <v>42303.0</v>
      </c>
      <c r="B411" s="12">
        <v>-3.3E-4</v>
      </c>
      <c r="C411" s="12">
        <v>2.88E-4</v>
      </c>
      <c r="D411" s="12">
        <v>0.002552</v>
      </c>
    </row>
    <row r="412">
      <c r="A412" s="8">
        <v>42304.0</v>
      </c>
      <c r="B412" s="12">
        <v>-4.0E-4</v>
      </c>
      <c r="C412" s="12">
        <v>1.7500000000000003E-4</v>
      </c>
      <c r="D412" s="12">
        <v>0.002304</v>
      </c>
    </row>
    <row r="413">
      <c r="A413" s="8">
        <v>42305.0</v>
      </c>
      <c r="B413" s="12">
        <v>-3.5999999999999997E-4</v>
      </c>
      <c r="C413" s="12">
        <v>2.24E-4</v>
      </c>
      <c r="D413" s="12">
        <v>0.002443</v>
      </c>
    </row>
    <row r="414">
      <c r="A414" s="8">
        <v>42306.0</v>
      </c>
      <c r="B414" s="12">
        <v>-2.3199999999999997E-4</v>
      </c>
      <c r="C414" s="12">
        <v>3.9E-4</v>
      </c>
      <c r="D414" s="12">
        <v>0.002725</v>
      </c>
    </row>
    <row r="415">
      <c r="A415" s="8">
        <v>42307.0</v>
      </c>
      <c r="B415" s="12">
        <v>-2.0400000000000003E-4</v>
      </c>
      <c r="C415" s="12">
        <v>4.16E-4</v>
      </c>
      <c r="D415" s="12">
        <v>0.0027089999999999996</v>
      </c>
    </row>
    <row r="416">
      <c r="A416" s="8">
        <v>42310.0</v>
      </c>
      <c r="B416" s="12">
        <v>0.0</v>
      </c>
      <c r="C416" s="12">
        <v>5.75E-4</v>
      </c>
      <c r="D416" s="12">
        <v>0.002952</v>
      </c>
    </row>
    <row r="417">
      <c r="A417" s="8">
        <v>42311.0</v>
      </c>
      <c r="B417" s="12">
        <v>-2.3E-4</v>
      </c>
      <c r="C417" s="12">
        <v>4.7E-4</v>
      </c>
      <c r="D417" s="12">
        <v>0.002883</v>
      </c>
    </row>
    <row r="418">
      <c r="A418" s="8">
        <v>42312.0</v>
      </c>
      <c r="B418" s="12">
        <v>-2.1E-4</v>
      </c>
      <c r="C418" s="12">
        <v>4.3599999999999997E-4</v>
      </c>
      <c r="D418" s="12">
        <v>0.0028199999999999996</v>
      </c>
    </row>
    <row r="419">
      <c r="A419" s="8">
        <v>42313.0</v>
      </c>
      <c r="B419" s="12">
        <v>-3.2E-4</v>
      </c>
      <c r="C419" s="12">
        <v>3.7E-4</v>
      </c>
      <c r="D419" s="12">
        <v>0.002795</v>
      </c>
    </row>
    <row r="420">
      <c r="A420" s="8">
        <v>42314.0</v>
      </c>
      <c r="B420" s="12">
        <v>-4.0E-5</v>
      </c>
      <c r="C420" s="12">
        <v>6.900000000000001E-4</v>
      </c>
      <c r="D420" s="12">
        <v>0.003186</v>
      </c>
    </row>
    <row r="421">
      <c r="A421" s="8">
        <v>42317.0</v>
      </c>
      <c r="B421" s="12">
        <v>-5.3E-4</v>
      </c>
      <c r="C421" s="12">
        <v>1.66E-4</v>
      </c>
      <c r="D421" s="12">
        <v>0.002662</v>
      </c>
    </row>
    <row r="422">
      <c r="A422" s="8">
        <v>42318.0</v>
      </c>
      <c r="B422" s="12">
        <v>-6.6E-4</v>
      </c>
      <c r="C422" s="12">
        <v>5.3E-5</v>
      </c>
      <c r="D422" s="12">
        <v>0.002553</v>
      </c>
    </row>
    <row r="423">
      <c r="A423" s="8">
        <v>42319.0</v>
      </c>
      <c r="B423" s="12">
        <v>-6.4E-4</v>
      </c>
      <c r="C423" s="12">
        <v>3.0E-5</v>
      </c>
      <c r="D423" s="12">
        <v>0.00246</v>
      </c>
    </row>
    <row r="424">
      <c r="A424" s="8">
        <v>42320.0</v>
      </c>
      <c r="B424" s="12">
        <v>-6.1E-4</v>
      </c>
      <c r="C424" s="12">
        <v>4.0E-6</v>
      </c>
      <c r="D424" s="12">
        <v>0.002522</v>
      </c>
    </row>
    <row r="425">
      <c r="A425" s="8">
        <v>42321.0</v>
      </c>
      <c r="B425" s="12">
        <v>-7.5E-4</v>
      </c>
      <c r="C425" s="12">
        <v>-1.3E-4</v>
      </c>
      <c r="D425" s="12">
        <v>0.002272</v>
      </c>
    </row>
    <row r="426">
      <c r="A426" s="8">
        <v>42324.0</v>
      </c>
      <c r="B426" s="12">
        <v>-6.900000000000001E-4</v>
      </c>
      <c r="C426" s="12">
        <v>-6.7E-5</v>
      </c>
      <c r="D426" s="12">
        <v>0.0023599999999999997</v>
      </c>
    </row>
    <row r="427">
      <c r="A427" s="8">
        <v>42325.0</v>
      </c>
      <c r="B427" s="12">
        <v>-9.299999999999999E-4</v>
      </c>
      <c r="C427" s="12">
        <v>-3.1E-4</v>
      </c>
      <c r="D427" s="12">
        <v>0.002045</v>
      </c>
    </row>
    <row r="428">
      <c r="A428" s="8">
        <v>42326.0</v>
      </c>
      <c r="B428" s="12">
        <v>-7.8E-4</v>
      </c>
      <c r="C428" s="12">
        <v>-2.23E-4</v>
      </c>
      <c r="D428" s="12">
        <v>0.002163</v>
      </c>
    </row>
    <row r="429">
      <c r="A429" s="8">
        <v>42327.0</v>
      </c>
      <c r="B429" s="12">
        <v>-8.4E-4</v>
      </c>
      <c r="C429" s="12">
        <v>-2.8000000000000003E-4</v>
      </c>
      <c r="D429" s="12">
        <v>0.002</v>
      </c>
    </row>
    <row r="430">
      <c r="A430" s="8">
        <v>42328.0</v>
      </c>
      <c r="B430" s="12">
        <v>-0.00108</v>
      </c>
      <c r="C430" s="12">
        <v>-5.44E-4</v>
      </c>
      <c r="D430" s="12">
        <v>0.001779</v>
      </c>
    </row>
    <row r="431">
      <c r="A431" s="8">
        <v>42331.0</v>
      </c>
      <c r="B431" s="12">
        <v>-0.0011799999999999998</v>
      </c>
      <c r="C431" s="12">
        <v>-7.000000000000001E-4</v>
      </c>
      <c r="D431" s="12">
        <v>0.001681</v>
      </c>
    </row>
    <row r="432">
      <c r="A432" s="8">
        <v>42332.0</v>
      </c>
      <c r="B432" s="12">
        <v>-9.5E-4</v>
      </c>
      <c r="C432" s="12">
        <v>-4.6600000000000005E-4</v>
      </c>
      <c r="D432" s="12">
        <v>0.0019270000000000001</v>
      </c>
    </row>
    <row r="433">
      <c r="A433" s="8">
        <v>42333.0</v>
      </c>
      <c r="B433" s="12">
        <v>-0.0011200000000000001</v>
      </c>
      <c r="C433" s="12">
        <v>-6.19E-4</v>
      </c>
      <c r="D433" s="12">
        <v>0.00167</v>
      </c>
    </row>
    <row r="434">
      <c r="A434" s="8">
        <v>42334.0</v>
      </c>
      <c r="B434" s="12">
        <v>-0.00121</v>
      </c>
      <c r="C434" s="12">
        <v>-7.099999999999999E-4</v>
      </c>
      <c r="D434" s="12">
        <v>0.0016619999999999998</v>
      </c>
    </row>
    <row r="435">
      <c r="A435" s="8">
        <v>42335.0</v>
      </c>
      <c r="B435" s="12">
        <v>-0.001165</v>
      </c>
      <c r="C435" s="12">
        <v>-7.000000000000001E-4</v>
      </c>
      <c r="D435" s="12">
        <v>0.00167</v>
      </c>
    </row>
    <row r="436">
      <c r="A436" s="8">
        <v>42338.0</v>
      </c>
      <c r="B436" s="12">
        <v>-0.0011899999999999999</v>
      </c>
      <c r="C436" s="12">
        <v>-6.35E-4</v>
      </c>
      <c r="D436" s="12">
        <v>0.001719</v>
      </c>
    </row>
    <row r="437">
      <c r="A437" s="8">
        <v>42339.0</v>
      </c>
      <c r="B437" s="12">
        <v>-0.00135</v>
      </c>
      <c r="C437" s="12">
        <v>-8.3E-4</v>
      </c>
      <c r="D437" s="12">
        <v>0.00147</v>
      </c>
    </row>
    <row r="438">
      <c r="A438" s="8">
        <v>42340.0</v>
      </c>
      <c r="B438" s="12">
        <v>-0.00133</v>
      </c>
      <c r="C438" s="12">
        <v>-9.170000000000001E-4</v>
      </c>
      <c r="D438" s="12">
        <v>0.001431</v>
      </c>
    </row>
    <row r="439">
      <c r="A439" s="8">
        <v>42341.0</v>
      </c>
      <c r="B439" s="12">
        <v>-1.4000000000000001E-4</v>
      </c>
      <c r="C439" s="12">
        <v>4.1E-4</v>
      </c>
      <c r="D439" s="12">
        <v>0.003346</v>
      </c>
    </row>
    <row r="440">
      <c r="A440" s="8">
        <v>42342.0</v>
      </c>
      <c r="B440" s="12">
        <v>-2.9E-4</v>
      </c>
      <c r="C440" s="12">
        <v>4.0800000000000005E-4</v>
      </c>
      <c r="D440" s="12">
        <v>0.003063</v>
      </c>
    </row>
    <row r="441">
      <c r="A441" s="8">
        <v>42345.0</v>
      </c>
      <c r="B441" s="12">
        <v>-4.3E-4</v>
      </c>
      <c r="C441" s="12">
        <v>2.11E-4</v>
      </c>
      <c r="D441" s="12">
        <v>0.002577</v>
      </c>
    </row>
    <row r="442">
      <c r="A442" s="8">
        <v>42346.0</v>
      </c>
      <c r="B442" s="12">
        <v>-4.7E-4</v>
      </c>
      <c r="C442" s="12">
        <v>2.0E-4</v>
      </c>
      <c r="D442" s="12">
        <v>0.00246</v>
      </c>
    </row>
    <row r="443">
      <c r="A443" s="8">
        <v>42347.0</v>
      </c>
      <c r="B443" s="12">
        <v>-5.2E-4</v>
      </c>
      <c r="C443" s="12">
        <v>1.6E-4</v>
      </c>
      <c r="D443" s="12">
        <v>0.0025080000000000002</v>
      </c>
    </row>
    <row r="444">
      <c r="A444" s="8">
        <v>42348.0</v>
      </c>
      <c r="B444" s="12">
        <v>-5.2E-4</v>
      </c>
      <c r="C444" s="12">
        <v>1.1599999999999999E-4</v>
      </c>
      <c r="D444" s="12">
        <v>0.00256</v>
      </c>
    </row>
    <row r="445">
      <c r="A445" s="8">
        <v>42349.0</v>
      </c>
      <c r="B445" s="12">
        <v>-7.3E-4</v>
      </c>
      <c r="C445" s="12">
        <v>-8.0E-5</v>
      </c>
      <c r="D445" s="12">
        <v>0.002244</v>
      </c>
    </row>
    <row r="446">
      <c r="A446" s="8">
        <v>42352.0</v>
      </c>
      <c r="B446" s="12">
        <v>-4.7E-4</v>
      </c>
      <c r="C446" s="12">
        <v>6.5E-5</v>
      </c>
      <c r="D446" s="12">
        <v>0.0025800000000000003</v>
      </c>
    </row>
    <row r="447">
      <c r="A447" s="8">
        <v>42353.0</v>
      </c>
      <c r="B447" s="12">
        <v>-2.9E-4</v>
      </c>
      <c r="C447" s="12">
        <v>3.17E-4</v>
      </c>
      <c r="D447" s="12">
        <v>0.002959</v>
      </c>
    </row>
    <row r="448">
      <c r="A448" s="8">
        <v>42354.0</v>
      </c>
      <c r="B448" s="12">
        <v>-4.1E-4</v>
      </c>
      <c r="C448" s="12">
        <v>4.16E-4</v>
      </c>
      <c r="D448" s="12">
        <v>0.0032379999999999996</v>
      </c>
    </row>
    <row r="449">
      <c r="A449" s="8">
        <v>42355.0</v>
      </c>
      <c r="B449" s="12">
        <v>-5.0E-4</v>
      </c>
      <c r="C449" s="12">
        <v>2.75E-4</v>
      </c>
      <c r="D449" s="12">
        <v>0.0028499999999999997</v>
      </c>
    </row>
    <row r="450">
      <c r="A450" s="8">
        <v>42356.0</v>
      </c>
      <c r="B450" s="12">
        <v>-5.4E-4</v>
      </c>
      <c r="C450" s="12">
        <v>1.6E-4</v>
      </c>
      <c r="D450" s="12">
        <v>0.00264</v>
      </c>
    </row>
    <row r="451">
      <c r="A451" s="8">
        <v>42359.0</v>
      </c>
      <c r="B451" s="12">
        <v>-4.3E-4</v>
      </c>
      <c r="C451" s="12">
        <v>2.97E-4</v>
      </c>
      <c r="D451" s="12">
        <v>0.002778</v>
      </c>
    </row>
    <row r="452">
      <c r="A452" s="8">
        <v>42360.0</v>
      </c>
      <c r="B452" s="12">
        <v>-2.9E-4</v>
      </c>
      <c r="C452" s="12">
        <v>5.45E-4</v>
      </c>
      <c r="D452" s="12">
        <v>0.003192</v>
      </c>
    </row>
    <row r="453">
      <c r="A453" s="8">
        <v>42361.0</v>
      </c>
      <c r="B453" s="12">
        <v>-2.6E-4</v>
      </c>
      <c r="C453" s="12">
        <v>6.33E-4</v>
      </c>
      <c r="D453" s="12">
        <v>0.0034300000000000003</v>
      </c>
    </row>
    <row r="454">
      <c r="A454" s="8">
        <v>42362.0</v>
      </c>
      <c r="B454" s="12">
        <v>-2.6E-4</v>
      </c>
      <c r="C454" s="12">
        <v>7.12E-4</v>
      </c>
      <c r="D454" s="12">
        <v>0.0033900000000000002</v>
      </c>
    </row>
    <row r="455">
      <c r="A455" s="8">
        <v>42363.0</v>
      </c>
      <c r="B455" s="13">
        <v>-2.6E-4</v>
      </c>
      <c r="C455" s="12">
        <v>6.6E-4</v>
      </c>
      <c r="D455" s="12">
        <v>0.0034449999999999997</v>
      </c>
    </row>
    <row r="456">
      <c r="A456" s="8">
        <v>42366.0</v>
      </c>
      <c r="B456" s="12">
        <v>-2.3E-4</v>
      </c>
      <c r="C456" s="12">
        <v>6.08E-4</v>
      </c>
      <c r="D456" s="12">
        <v>0.003155</v>
      </c>
    </row>
    <row r="457">
      <c r="A457" s="8">
        <v>42367.0</v>
      </c>
      <c r="B457" s="12">
        <v>-2.8000000000000003E-4</v>
      </c>
      <c r="C457" s="12">
        <v>6.320000000000001E-4</v>
      </c>
      <c r="D457" s="12">
        <v>0.0034200000000000003</v>
      </c>
    </row>
    <row r="458">
      <c r="A458" s="8">
        <v>42368.0</v>
      </c>
      <c r="B458" s="12">
        <v>-3.7E-4</v>
      </c>
      <c r="C458" s="12">
        <v>5.85E-4</v>
      </c>
      <c r="D458" s="12">
        <v>0.00331</v>
      </c>
    </row>
    <row r="459">
      <c r="A459" s="8">
        <v>42369.0</v>
      </c>
      <c r="B459" s="12">
        <v>-3.5000000000000005E-4</v>
      </c>
      <c r="C459" s="12">
        <v>6.25E-4</v>
      </c>
      <c r="D459" s="12">
        <v>0.0033179999999999998</v>
      </c>
    </row>
    <row r="460">
      <c r="A460" s="8">
        <v>42370.0</v>
      </c>
      <c r="B460" s="13">
        <v>-3.5000000000000005E-4</v>
      </c>
      <c r="C460" s="12">
        <v>6.35E-4</v>
      </c>
      <c r="D460" s="12">
        <v>0.00331</v>
      </c>
    </row>
    <row r="461">
      <c r="A461" s="8">
        <v>42373.0</v>
      </c>
      <c r="B461" s="12">
        <v>-4.2E-4</v>
      </c>
      <c r="C461" s="12">
        <v>4.04E-4</v>
      </c>
      <c r="D461" s="12">
        <v>0.00309</v>
      </c>
    </row>
    <row r="462">
      <c r="A462" s="8">
        <v>42374.0</v>
      </c>
      <c r="B462" s="12">
        <v>-7.099999999999999E-4</v>
      </c>
      <c r="C462" s="12">
        <v>1.4000000000000001E-4</v>
      </c>
      <c r="D462" s="12">
        <v>0.0026910000000000002</v>
      </c>
    </row>
    <row r="463">
      <c r="A463" s="8">
        <v>42375.0</v>
      </c>
      <c r="B463" s="12">
        <v>-7.9E-4</v>
      </c>
      <c r="C463" s="12">
        <v>-5.0E-5</v>
      </c>
      <c r="D463" s="12">
        <v>0.002395</v>
      </c>
    </row>
    <row r="464">
      <c r="A464" s="8">
        <v>42376.0</v>
      </c>
      <c r="B464" s="12">
        <v>-7.599999999999999E-4</v>
      </c>
      <c r="C464" s="12">
        <v>5.4999999999999995E-5</v>
      </c>
      <c r="D464" s="12">
        <v>0.00246</v>
      </c>
    </row>
    <row r="465">
      <c r="A465" s="8">
        <v>42377.0</v>
      </c>
      <c r="B465" s="12">
        <v>-7.599999999999999E-4</v>
      </c>
      <c r="C465" s="12">
        <v>-5.4999999999999995E-5</v>
      </c>
      <c r="D465" s="12">
        <v>0.002432</v>
      </c>
    </row>
    <row r="466">
      <c r="A466" s="8">
        <v>42380.0</v>
      </c>
      <c r="B466" s="12">
        <v>-7.000000000000001E-4</v>
      </c>
      <c r="C466" s="12">
        <v>-3.0E-5</v>
      </c>
      <c r="D466" s="12">
        <v>0.00254</v>
      </c>
    </row>
    <row r="467">
      <c r="A467" s="8">
        <v>42381.0</v>
      </c>
      <c r="B467" s="12">
        <v>-8.3E-4</v>
      </c>
      <c r="C467" s="12">
        <v>-8.5E-5</v>
      </c>
      <c r="D467" s="12">
        <v>0.00243</v>
      </c>
    </row>
    <row r="468">
      <c r="A468" s="8">
        <v>42382.0</v>
      </c>
      <c r="B468" s="12">
        <v>-8.35E-4</v>
      </c>
      <c r="C468" s="12">
        <v>-1.0999999999999999E-4</v>
      </c>
      <c r="D468" s="12">
        <v>0.002245</v>
      </c>
    </row>
    <row r="469">
      <c r="A469" s="8">
        <v>42383.0</v>
      </c>
      <c r="B469" s="12">
        <v>-7.9E-4</v>
      </c>
      <c r="C469" s="12">
        <v>-1.4000000000000001E-4</v>
      </c>
      <c r="D469" s="12">
        <v>0.002353</v>
      </c>
    </row>
    <row r="470">
      <c r="A470" s="8">
        <v>42384.0</v>
      </c>
      <c r="B470" s="12">
        <v>-8.6E-4</v>
      </c>
      <c r="C470" s="12">
        <v>-2.3E-4</v>
      </c>
      <c r="D470" s="12">
        <v>0.0022470000000000003</v>
      </c>
    </row>
    <row r="471">
      <c r="A471" s="8">
        <v>42387.0</v>
      </c>
      <c r="B471" s="12">
        <v>-8.100000000000001E-4</v>
      </c>
      <c r="C471" s="12">
        <v>-1.8800000000000002E-4</v>
      </c>
      <c r="D471" s="12">
        <v>0.00215</v>
      </c>
    </row>
    <row r="472">
      <c r="A472" s="8">
        <v>42388.0</v>
      </c>
      <c r="B472" s="12">
        <v>-8.799999999999999E-4</v>
      </c>
      <c r="C472" s="12">
        <v>-2.6E-4</v>
      </c>
      <c r="D472" s="12">
        <v>0.002077</v>
      </c>
    </row>
    <row r="473">
      <c r="A473" s="8">
        <v>42389.0</v>
      </c>
      <c r="B473" s="12">
        <v>-0.00101</v>
      </c>
      <c r="C473" s="12">
        <v>-4.3200000000000004E-4</v>
      </c>
      <c r="D473" s="12">
        <v>0.001905</v>
      </c>
    </row>
    <row r="474">
      <c r="A474" s="8">
        <v>42390.0</v>
      </c>
      <c r="B474" s="12">
        <v>-0.00145</v>
      </c>
      <c r="C474" s="12">
        <v>-9.2E-4</v>
      </c>
      <c r="D474" s="12">
        <v>0.00132</v>
      </c>
    </row>
    <row r="475">
      <c r="A475" s="8">
        <v>42391.0</v>
      </c>
      <c r="B475" s="12">
        <v>-0.0013800000000000002</v>
      </c>
      <c r="C475" s="12">
        <v>-8.2E-4</v>
      </c>
      <c r="D475" s="12">
        <v>0.00148</v>
      </c>
    </row>
    <row r="476">
      <c r="A476" s="8">
        <v>42394.0</v>
      </c>
      <c r="B476" s="12">
        <v>-0.00136</v>
      </c>
      <c r="C476" s="12">
        <v>-8.08E-4</v>
      </c>
      <c r="D476" s="12">
        <v>0.001433</v>
      </c>
    </row>
    <row r="477">
      <c r="A477" s="8">
        <v>42395.0</v>
      </c>
      <c r="B477" s="12">
        <v>-0.00145</v>
      </c>
      <c r="C477" s="12">
        <v>-8.799999999999999E-4</v>
      </c>
      <c r="D477" s="12">
        <v>0.001353</v>
      </c>
    </row>
    <row r="478">
      <c r="A478" s="8">
        <v>42396.0</v>
      </c>
      <c r="B478" s="12">
        <v>-0.001275</v>
      </c>
      <c r="C478" s="12">
        <v>-7.630000000000001E-4</v>
      </c>
      <c r="D478" s="12">
        <v>0.001253</v>
      </c>
    </row>
    <row r="479">
      <c r="A479" s="8">
        <v>42397.0</v>
      </c>
      <c r="B479" s="12">
        <v>-0.0013800000000000002</v>
      </c>
      <c r="C479" s="12">
        <v>-8.640000000000001E-4</v>
      </c>
      <c r="D479" s="12">
        <v>0.001226</v>
      </c>
    </row>
    <row r="480">
      <c r="A480" s="8">
        <v>42398.0</v>
      </c>
      <c r="B480" s="12">
        <v>-0.0017299999999999998</v>
      </c>
      <c r="C480" s="12">
        <v>-0.00121</v>
      </c>
      <c r="D480" s="12">
        <v>7.75E-4</v>
      </c>
    </row>
    <row r="481">
      <c r="A481" s="8">
        <v>42401.0</v>
      </c>
      <c r="B481" s="12">
        <v>-0.0017100000000000001</v>
      </c>
      <c r="C481" s="12">
        <v>-0.00116</v>
      </c>
      <c r="D481" s="12">
        <v>7.85E-4</v>
      </c>
    </row>
    <row r="482">
      <c r="A482" s="8">
        <v>42402.0</v>
      </c>
      <c r="B482" s="12">
        <v>-0.00184</v>
      </c>
      <c r="C482" s="12">
        <v>-0.001356</v>
      </c>
      <c r="D482" s="12">
        <v>5.4E-4</v>
      </c>
    </row>
    <row r="483">
      <c r="A483" s="8">
        <v>42403.0</v>
      </c>
      <c r="B483" s="12">
        <v>-0.00198</v>
      </c>
      <c r="C483" s="12">
        <v>-0.001545</v>
      </c>
      <c r="D483" s="12">
        <v>4.6600000000000005E-4</v>
      </c>
    </row>
    <row r="484">
      <c r="A484" s="8">
        <v>42404.0</v>
      </c>
      <c r="B484" s="12">
        <v>-0.00184</v>
      </c>
      <c r="C484" s="12">
        <v>-0.00135</v>
      </c>
      <c r="D484" s="12">
        <v>5.5E-4</v>
      </c>
    </row>
    <row r="485">
      <c r="A485" s="8">
        <v>42405.0</v>
      </c>
      <c r="B485" s="12">
        <v>-0.00196</v>
      </c>
      <c r="C485" s="12">
        <v>-0.0013650000000000001</v>
      </c>
      <c r="D485" s="12">
        <v>5.58E-4</v>
      </c>
    </row>
    <row r="486">
      <c r="A486" s="8">
        <v>42408.0</v>
      </c>
      <c r="B486" s="12">
        <v>-0.0016200000000000001</v>
      </c>
      <c r="C486" s="12">
        <v>-0.001305</v>
      </c>
      <c r="D486" s="12">
        <v>4.43E-4</v>
      </c>
    </row>
    <row r="487">
      <c r="A487" s="8">
        <v>42409.0</v>
      </c>
      <c r="B487" s="12">
        <v>-0.00164</v>
      </c>
      <c r="C487" s="12">
        <v>-0.001255</v>
      </c>
      <c r="D487" s="12">
        <v>5.949999999999999E-4</v>
      </c>
    </row>
    <row r="488">
      <c r="A488" s="8">
        <v>42410.0</v>
      </c>
      <c r="B488" s="12">
        <v>-0.00169</v>
      </c>
      <c r="C488" s="12">
        <v>-0.0013</v>
      </c>
      <c r="D488" s="12">
        <v>5.01E-4</v>
      </c>
    </row>
    <row r="489">
      <c r="A489" s="8">
        <v>42411.0</v>
      </c>
      <c r="B489" s="12">
        <v>-0.0017000000000000001</v>
      </c>
      <c r="C489" s="12">
        <v>-0.001341</v>
      </c>
      <c r="D489" s="12">
        <v>5.55E-4</v>
      </c>
    </row>
    <row r="490">
      <c r="A490" s="8">
        <v>42412.0</v>
      </c>
      <c r="B490" s="12">
        <v>-0.00145</v>
      </c>
      <c r="C490" s="12">
        <v>-0.00101</v>
      </c>
      <c r="D490" s="12">
        <v>8.749999999999999E-4</v>
      </c>
    </row>
    <row r="491">
      <c r="A491" s="8">
        <v>42415.0</v>
      </c>
      <c r="B491" s="12">
        <v>-0.00154</v>
      </c>
      <c r="C491" s="12">
        <v>-0.001105</v>
      </c>
      <c r="D491" s="12">
        <v>6.05E-4</v>
      </c>
    </row>
    <row r="492">
      <c r="A492" s="8">
        <v>42416.0</v>
      </c>
      <c r="B492" s="12">
        <v>-0.0016</v>
      </c>
      <c r="C492" s="12">
        <v>-0.0011200000000000001</v>
      </c>
      <c r="D492" s="12">
        <v>6.55E-4</v>
      </c>
    </row>
    <row r="493">
      <c r="A493" s="8">
        <v>42417.0</v>
      </c>
      <c r="B493" s="12">
        <v>-0.00155</v>
      </c>
      <c r="C493" s="12">
        <v>-0.0011</v>
      </c>
      <c r="D493" s="12">
        <v>6.65E-4</v>
      </c>
    </row>
    <row r="494">
      <c r="A494" s="8">
        <v>42418.0</v>
      </c>
      <c r="B494" s="12">
        <v>-0.0017499999999999998</v>
      </c>
      <c r="C494" s="12">
        <v>-0.001238</v>
      </c>
      <c r="D494" s="12">
        <v>3.7999999999999997E-4</v>
      </c>
    </row>
    <row r="495">
      <c r="A495" s="8">
        <v>42419.0</v>
      </c>
      <c r="B495" s="12">
        <v>-0.0017399999999999998</v>
      </c>
      <c r="C495" s="12">
        <v>-0.001224</v>
      </c>
      <c r="D495" s="12">
        <v>5.099999999999999E-4</v>
      </c>
    </row>
    <row r="496">
      <c r="A496" s="8">
        <v>42422.0</v>
      </c>
      <c r="B496" s="12">
        <v>-0.0017699999999999999</v>
      </c>
      <c r="C496" s="12">
        <v>-0.00135</v>
      </c>
      <c r="D496" s="12">
        <v>3.7E-4</v>
      </c>
    </row>
    <row r="497">
      <c r="A497" s="8">
        <v>42423.0</v>
      </c>
      <c r="B497" s="12">
        <v>-0.001763</v>
      </c>
      <c r="C497" s="12">
        <v>-0.00133</v>
      </c>
      <c r="D497" s="12">
        <v>3.15E-4</v>
      </c>
    </row>
    <row r="498">
      <c r="A498" s="8">
        <v>42424.0</v>
      </c>
      <c r="B498" s="12">
        <v>-0.001638</v>
      </c>
      <c r="C498" s="12">
        <v>-0.001243</v>
      </c>
      <c r="D498" s="12">
        <v>4.0500000000000003E-4</v>
      </c>
    </row>
    <row r="499">
      <c r="A499" s="8">
        <v>42425.0</v>
      </c>
      <c r="B499" s="12">
        <v>-0.00179</v>
      </c>
      <c r="C499" s="12">
        <v>-0.0014119999999999998</v>
      </c>
      <c r="D499" s="12">
        <v>1.72E-4</v>
      </c>
    </row>
    <row r="500">
      <c r="A500" s="8">
        <v>42426.0</v>
      </c>
      <c r="B500" s="12">
        <v>-0.0019</v>
      </c>
      <c r="C500" s="12">
        <v>-0.0015</v>
      </c>
      <c r="D500" s="12">
        <v>8.5E-5</v>
      </c>
    </row>
    <row r="501">
      <c r="A501" s="8">
        <v>42429.0</v>
      </c>
      <c r="B501" s="12">
        <v>-0.00216</v>
      </c>
      <c r="C501" s="12">
        <v>-0.0018459999999999998</v>
      </c>
      <c r="D501" s="12">
        <v>-3.25E-4</v>
      </c>
    </row>
    <row r="502">
      <c r="A502" s="8">
        <v>42430.0</v>
      </c>
      <c r="B502" s="12">
        <v>-0.0020499999999999997</v>
      </c>
      <c r="C502" s="12">
        <v>-0.0017519999999999999</v>
      </c>
      <c r="D502" s="12">
        <v>-1.65E-4</v>
      </c>
    </row>
    <row r="503">
      <c r="A503" s="8">
        <v>42431.0</v>
      </c>
      <c r="B503" s="12">
        <v>-0.00197</v>
      </c>
      <c r="C503" s="12">
        <v>-0.00165</v>
      </c>
      <c r="D503" s="12">
        <v>2.0E-5</v>
      </c>
    </row>
    <row r="504">
      <c r="A504" s="8">
        <v>42432.0</v>
      </c>
      <c r="B504" s="12">
        <v>-0.00222</v>
      </c>
      <c r="C504" s="12">
        <v>-0.00191</v>
      </c>
      <c r="D504" s="12">
        <v>-3.15E-4</v>
      </c>
    </row>
    <row r="505">
      <c r="A505" s="8">
        <v>42433.0</v>
      </c>
      <c r="B505" s="12">
        <v>-0.00183</v>
      </c>
      <c r="C505" s="12">
        <v>-0.001578</v>
      </c>
      <c r="D505" s="12">
        <v>8.0E-5</v>
      </c>
    </row>
    <row r="506">
      <c r="A506" s="8">
        <v>42436.0</v>
      </c>
      <c r="B506" s="12">
        <v>-0.00198</v>
      </c>
      <c r="C506" s="12">
        <v>-0.00158</v>
      </c>
      <c r="D506" s="12">
        <v>-3.0E-5</v>
      </c>
    </row>
    <row r="507">
      <c r="A507" s="8">
        <v>42437.0</v>
      </c>
      <c r="B507" s="12">
        <v>-0.002</v>
      </c>
      <c r="C507" s="12">
        <v>-0.0017100000000000001</v>
      </c>
      <c r="D507" s="12">
        <v>2.7000000000000002E-5</v>
      </c>
    </row>
    <row r="508">
      <c r="A508" s="8">
        <v>42438.0</v>
      </c>
      <c r="B508" s="12">
        <v>-0.0018</v>
      </c>
      <c r="C508" s="12">
        <v>-0.001447</v>
      </c>
      <c r="D508" s="12">
        <v>3.2E-4</v>
      </c>
    </row>
    <row r="509">
      <c r="A509" s="8">
        <v>42439.0</v>
      </c>
      <c r="B509" s="12">
        <v>-0.0013</v>
      </c>
      <c r="C509" s="12">
        <v>-8.849999999999999E-4</v>
      </c>
      <c r="D509" s="12">
        <v>7.000000000000001E-4</v>
      </c>
    </row>
    <row r="510">
      <c r="A510" s="8">
        <v>42440.0</v>
      </c>
      <c r="B510" s="12">
        <v>-0.0014299999999999998</v>
      </c>
      <c r="C510" s="12">
        <v>-0.001</v>
      </c>
      <c r="D510" s="12">
        <v>6.419999999999999E-4</v>
      </c>
    </row>
    <row r="511">
      <c r="A511" s="8">
        <v>42443.0</v>
      </c>
      <c r="B511" s="12">
        <v>-0.00134</v>
      </c>
      <c r="C511" s="12">
        <v>-8.66E-4</v>
      </c>
      <c r="D511" s="12">
        <v>8.91E-4</v>
      </c>
    </row>
    <row r="512">
      <c r="A512" s="8">
        <v>42444.0</v>
      </c>
      <c r="B512" s="12">
        <v>-0.00133</v>
      </c>
      <c r="C512" s="12">
        <v>-8.730000000000001E-4</v>
      </c>
      <c r="D512" s="12">
        <v>9.2E-4</v>
      </c>
    </row>
    <row r="513">
      <c r="A513" s="8">
        <v>42445.0</v>
      </c>
      <c r="B513" s="12">
        <v>-0.0014199999999999998</v>
      </c>
      <c r="C513" s="12">
        <v>-0.001047</v>
      </c>
      <c r="D513" s="12">
        <v>6.1E-4</v>
      </c>
    </row>
    <row r="514">
      <c r="A514" s="8">
        <v>42446.0</v>
      </c>
      <c r="B514" s="12">
        <v>-0.00146</v>
      </c>
      <c r="C514" s="12">
        <v>-0.001111</v>
      </c>
      <c r="D514" s="12">
        <v>4.3E-4</v>
      </c>
    </row>
    <row r="515">
      <c r="A515" s="8">
        <v>42447.0</v>
      </c>
      <c r="B515" s="12">
        <v>-0.0015199999999999999</v>
      </c>
      <c r="C515" s="12">
        <v>-0.00116</v>
      </c>
      <c r="D515" s="12">
        <v>4.02E-4</v>
      </c>
    </row>
    <row r="516">
      <c r="A516" s="8">
        <v>42450.0</v>
      </c>
      <c r="B516" s="12">
        <v>-0.00151</v>
      </c>
      <c r="C516" s="12">
        <v>-0.00114</v>
      </c>
      <c r="D516" s="12">
        <v>4.3499999999999995E-4</v>
      </c>
    </row>
    <row r="517">
      <c r="A517" s="8">
        <v>42451.0</v>
      </c>
      <c r="B517" s="12">
        <v>-0.00149</v>
      </c>
      <c r="C517" s="12">
        <v>-0.001103</v>
      </c>
      <c r="D517" s="12">
        <v>5.099999999999999E-4</v>
      </c>
    </row>
    <row r="518">
      <c r="A518" s="8">
        <v>42452.0</v>
      </c>
      <c r="B518" s="12">
        <v>-0.00151</v>
      </c>
      <c r="C518" s="12">
        <v>-0.001135</v>
      </c>
      <c r="D518" s="12">
        <v>4.3499999999999995E-4</v>
      </c>
    </row>
    <row r="519">
      <c r="A519" s="8">
        <v>42453.0</v>
      </c>
      <c r="B519" s="12">
        <v>-0.0014399999999999999</v>
      </c>
      <c r="C519" s="12">
        <v>-0.00109</v>
      </c>
      <c r="D519" s="12">
        <v>4.6499999999999997E-4</v>
      </c>
    </row>
    <row r="520">
      <c r="A520" s="8">
        <v>42454.0</v>
      </c>
      <c r="B520" s="12">
        <v>-0.001465</v>
      </c>
      <c r="C520" s="12">
        <v>-0.00108</v>
      </c>
      <c r="D520" s="12">
        <v>4.7E-4</v>
      </c>
    </row>
    <row r="521">
      <c r="A521" s="8">
        <v>42457.0</v>
      </c>
      <c r="B521" s="12">
        <v>-0.00145</v>
      </c>
      <c r="C521" s="12">
        <v>-0.0011200000000000001</v>
      </c>
      <c r="D521" s="12">
        <v>4.7E-4</v>
      </c>
    </row>
    <row r="522">
      <c r="A522" s="8">
        <v>42458.0</v>
      </c>
      <c r="B522" s="12">
        <v>-0.00156</v>
      </c>
      <c r="C522" s="12">
        <v>-0.001204</v>
      </c>
      <c r="D522" s="12">
        <v>1.65E-4</v>
      </c>
    </row>
    <row r="523">
      <c r="A523" s="8">
        <v>42459.0</v>
      </c>
      <c r="B523" s="12">
        <v>-0.0015199999999999999</v>
      </c>
      <c r="C523" s="12">
        <v>-0.00115</v>
      </c>
      <c r="D523" s="12">
        <v>2.3E-4</v>
      </c>
    </row>
    <row r="524">
      <c r="A524" s="8">
        <v>42460.0</v>
      </c>
      <c r="B524" s="12">
        <v>-0.00151</v>
      </c>
      <c r="C524" s="12">
        <v>-0.00115</v>
      </c>
      <c r="D524" s="12">
        <v>2.3E-4</v>
      </c>
    </row>
    <row r="525">
      <c r="A525" s="8">
        <v>42461.0</v>
      </c>
      <c r="B525" s="12">
        <v>-0.00148</v>
      </c>
      <c r="C525" s="12">
        <v>-0.00115</v>
      </c>
      <c r="D525" s="12">
        <v>2.1999999999999998E-4</v>
      </c>
    </row>
    <row r="526">
      <c r="A526" s="8">
        <v>42464.0</v>
      </c>
      <c r="B526" s="12">
        <v>-0.00145</v>
      </c>
      <c r="C526" s="12">
        <v>-0.0011</v>
      </c>
      <c r="D526" s="12">
        <v>2.3099999999999998E-4</v>
      </c>
    </row>
    <row r="527">
      <c r="A527" s="8">
        <v>42465.0</v>
      </c>
      <c r="B527" s="12">
        <v>-0.0015199999999999999</v>
      </c>
      <c r="C527" s="12">
        <v>-0.00121</v>
      </c>
      <c r="D527" s="12">
        <v>5.6E-5</v>
      </c>
    </row>
    <row r="528">
      <c r="A528" s="8">
        <v>42466.0</v>
      </c>
      <c r="B528" s="12">
        <v>-0.0015199999999999999</v>
      </c>
      <c r="C528" s="12">
        <v>-0.001225</v>
      </c>
      <c r="D528" s="12">
        <v>1.01E-4</v>
      </c>
    </row>
    <row r="529">
      <c r="A529" s="8">
        <v>42467.0</v>
      </c>
      <c r="B529" s="12">
        <v>-0.00161</v>
      </c>
      <c r="C529" s="12">
        <v>-0.00134</v>
      </c>
      <c r="D529" s="12">
        <v>-4.0E-5</v>
      </c>
    </row>
    <row r="530">
      <c r="A530" s="8">
        <v>42468.0</v>
      </c>
      <c r="B530" s="12">
        <v>-0.001613</v>
      </c>
      <c r="C530" s="12">
        <v>-0.00136</v>
      </c>
      <c r="D530" s="12">
        <v>-8.999999999999999E-5</v>
      </c>
    </row>
    <row r="531">
      <c r="A531" s="8">
        <v>42471.0</v>
      </c>
      <c r="B531" s="12">
        <v>-0.0016539999999999999</v>
      </c>
      <c r="C531" s="12">
        <v>-0.0013800000000000002</v>
      </c>
      <c r="D531" s="12">
        <v>-8.0E-5</v>
      </c>
    </row>
    <row r="532">
      <c r="A532" s="8">
        <v>42472.0</v>
      </c>
      <c r="B532" s="12">
        <v>-0.00161</v>
      </c>
      <c r="C532" s="12">
        <v>-0.001335</v>
      </c>
      <c r="D532" s="12">
        <v>1.7E-4</v>
      </c>
    </row>
    <row r="533">
      <c r="A533" s="8">
        <v>42473.0</v>
      </c>
      <c r="B533" s="12">
        <v>-0.00165</v>
      </c>
      <c r="C533" s="12">
        <v>-0.001348</v>
      </c>
      <c r="D533" s="12">
        <v>5.3E-5</v>
      </c>
    </row>
    <row r="534">
      <c r="A534" s="8">
        <v>42474.0</v>
      </c>
      <c r="B534" s="12">
        <v>-0.001559</v>
      </c>
      <c r="C534" s="12">
        <v>-0.0011690000000000001</v>
      </c>
      <c r="D534" s="12">
        <v>2.9E-4</v>
      </c>
    </row>
    <row r="535">
      <c r="A535" s="8">
        <v>42475.0</v>
      </c>
      <c r="B535" s="12">
        <v>-0.00161</v>
      </c>
      <c r="C535" s="12">
        <v>-0.001258</v>
      </c>
      <c r="D535" s="12">
        <v>6.0E-5</v>
      </c>
    </row>
    <row r="536">
      <c r="A536" s="8">
        <v>42478.0</v>
      </c>
      <c r="B536" s="12">
        <v>-0.00154</v>
      </c>
      <c r="C536" s="12">
        <v>-0.00125</v>
      </c>
      <c r="D536" s="12">
        <v>1.5E-4</v>
      </c>
    </row>
    <row r="537">
      <c r="A537" s="8">
        <v>42479.0</v>
      </c>
      <c r="B537" s="12">
        <v>-0.001534</v>
      </c>
      <c r="C537" s="12">
        <v>-0.00125</v>
      </c>
      <c r="D537" s="12">
        <v>1.7500000000000003E-4</v>
      </c>
    </row>
    <row r="538">
      <c r="A538" s="8">
        <v>42480.0</v>
      </c>
      <c r="B538" s="12">
        <v>-0.0015199999999999999</v>
      </c>
      <c r="C538" s="12">
        <v>-0.0012670000000000001</v>
      </c>
      <c r="D538" s="12">
        <v>2.35E-4</v>
      </c>
    </row>
    <row r="539">
      <c r="A539" s="8">
        <v>42481.0</v>
      </c>
      <c r="B539" s="12">
        <v>-0.0014299999999999998</v>
      </c>
      <c r="C539" s="12">
        <v>-0.0011</v>
      </c>
      <c r="D539" s="12">
        <v>5.03E-4</v>
      </c>
    </row>
    <row r="540">
      <c r="A540" s="8">
        <v>42482.0</v>
      </c>
      <c r="B540" s="12">
        <v>-0.00155</v>
      </c>
      <c r="C540" s="12">
        <v>-0.001248</v>
      </c>
      <c r="D540" s="12">
        <v>3.63E-4</v>
      </c>
    </row>
    <row r="541">
      <c r="A541" s="8">
        <v>42485.0</v>
      </c>
      <c r="B541" s="12">
        <v>-0.0015</v>
      </c>
      <c r="C541" s="12">
        <v>-0.00114</v>
      </c>
      <c r="D541" s="12">
        <v>5.49E-4</v>
      </c>
    </row>
    <row r="542">
      <c r="A542" s="8">
        <v>42486.0</v>
      </c>
      <c r="B542" s="12">
        <v>-0.00146</v>
      </c>
      <c r="C542" s="12">
        <v>-0.001061</v>
      </c>
      <c r="D542" s="12">
        <v>8.3E-4</v>
      </c>
    </row>
    <row r="543">
      <c r="A543" s="8">
        <v>42487.0</v>
      </c>
      <c r="B543" s="12">
        <v>-0.00149</v>
      </c>
      <c r="C543" s="12">
        <v>-0.00111</v>
      </c>
      <c r="D543" s="12">
        <v>6.39E-4</v>
      </c>
    </row>
    <row r="544">
      <c r="A544" s="8">
        <v>42488.0</v>
      </c>
      <c r="B544" s="12">
        <v>-0.00148</v>
      </c>
      <c r="C544" s="12">
        <v>-0.001114</v>
      </c>
      <c r="D544" s="12">
        <v>4.75E-4</v>
      </c>
    </row>
    <row r="545">
      <c r="A545" s="8">
        <v>42489.0</v>
      </c>
      <c r="B545" s="12">
        <v>-0.00134</v>
      </c>
      <c r="C545" s="12">
        <v>-9.1E-4</v>
      </c>
      <c r="D545" s="12">
        <v>7.3E-4</v>
      </c>
    </row>
    <row r="546">
      <c r="A546" s="8">
        <v>42492.0</v>
      </c>
      <c r="B546" s="12">
        <v>-0.00123</v>
      </c>
      <c r="C546" s="12">
        <v>-8.590000000000001E-4</v>
      </c>
      <c r="D546" s="12">
        <v>7.94E-4</v>
      </c>
    </row>
    <row r="547">
      <c r="A547" s="8">
        <v>42493.0</v>
      </c>
      <c r="B547" s="12">
        <v>-0.0014199999999999998</v>
      </c>
      <c r="C547" s="12">
        <v>-0.001097</v>
      </c>
      <c r="D547" s="12">
        <v>3.5200000000000005E-4</v>
      </c>
    </row>
    <row r="548">
      <c r="A548" s="8">
        <v>42494.0</v>
      </c>
      <c r="B548" s="12">
        <v>-0.00146</v>
      </c>
      <c r="C548" s="12">
        <v>-0.001028</v>
      </c>
      <c r="D548" s="12">
        <v>3.68E-4</v>
      </c>
    </row>
    <row r="549">
      <c r="A549" s="8">
        <v>42495.0</v>
      </c>
      <c r="B549" s="12">
        <v>-0.00158</v>
      </c>
      <c r="C549" s="12">
        <v>-0.00123</v>
      </c>
      <c r="D549" s="12">
        <v>6.4E-5</v>
      </c>
    </row>
    <row r="550">
      <c r="A550" s="8">
        <v>42496.0</v>
      </c>
      <c r="B550" s="12">
        <v>-0.00153</v>
      </c>
      <c r="C550" s="12">
        <v>-0.00128</v>
      </c>
      <c r="D550" s="12">
        <v>2.1E-4</v>
      </c>
    </row>
    <row r="551">
      <c r="A551" s="8">
        <v>42499.0</v>
      </c>
      <c r="B551" s="12">
        <v>-0.0016</v>
      </c>
      <c r="C551" s="12">
        <v>-0.00135</v>
      </c>
      <c r="D551" s="12">
        <v>-4.0E-5</v>
      </c>
    </row>
    <row r="552">
      <c r="A552" s="8">
        <v>42500.0</v>
      </c>
      <c r="B552" s="12">
        <v>-0.0016</v>
      </c>
      <c r="C552" s="12">
        <v>-0.001353</v>
      </c>
      <c r="D552" s="12">
        <v>-8.5E-5</v>
      </c>
    </row>
    <row r="553">
      <c r="A553" s="8">
        <v>42501.0</v>
      </c>
      <c r="B553" s="12">
        <v>-0.0016300000000000002</v>
      </c>
      <c r="C553" s="12">
        <v>-0.0013900000000000002</v>
      </c>
      <c r="D553" s="12">
        <v>-7.400000000000001E-5</v>
      </c>
    </row>
    <row r="554">
      <c r="A554" s="8">
        <v>42502.0</v>
      </c>
      <c r="B554" s="12">
        <v>-0.00156</v>
      </c>
      <c r="C554" s="12">
        <v>-0.00128</v>
      </c>
      <c r="D554" s="12">
        <v>9.7E-5</v>
      </c>
    </row>
    <row r="555">
      <c r="A555" s="8">
        <v>42503.0</v>
      </c>
      <c r="B555" s="12">
        <v>-0.00158</v>
      </c>
      <c r="C555" s="12">
        <v>-0.00127</v>
      </c>
      <c r="D555" s="12">
        <v>-3.0E-5</v>
      </c>
    </row>
    <row r="556">
      <c r="A556" s="8">
        <v>42506.0</v>
      </c>
      <c r="B556" s="12">
        <v>-0.0015199999999999999</v>
      </c>
      <c r="C556" s="12">
        <v>-0.0012339999999999999</v>
      </c>
      <c r="D556" s="12">
        <v>1.3E-4</v>
      </c>
    </row>
    <row r="557">
      <c r="A557" s="8">
        <v>42507.0</v>
      </c>
      <c r="B557" s="12">
        <v>-0.00148</v>
      </c>
      <c r="C557" s="12">
        <v>-0.001186</v>
      </c>
      <c r="D557" s="12">
        <v>1.3E-4</v>
      </c>
    </row>
    <row r="558">
      <c r="A558" s="8">
        <v>42508.0</v>
      </c>
      <c r="B558" s="12">
        <v>-0.00145</v>
      </c>
      <c r="C558" s="12">
        <v>-0.001095</v>
      </c>
      <c r="D558" s="12">
        <v>3.5499999999999996E-4</v>
      </c>
    </row>
    <row r="559">
      <c r="A559" s="8">
        <v>42509.0</v>
      </c>
      <c r="B559" s="12">
        <v>-0.00147</v>
      </c>
      <c r="C559" s="12">
        <v>-0.001161</v>
      </c>
      <c r="D559" s="12">
        <v>2.97E-4</v>
      </c>
    </row>
    <row r="560">
      <c r="A560" s="8">
        <v>42510.0</v>
      </c>
      <c r="B560" s="12">
        <v>-0.00148</v>
      </c>
      <c r="C560" s="12">
        <v>-0.00116</v>
      </c>
      <c r="D560" s="12">
        <v>2.48E-4</v>
      </c>
    </row>
    <row r="561">
      <c r="A561" s="8">
        <v>42513.0</v>
      </c>
      <c r="B561" s="12">
        <v>-0.00147</v>
      </c>
      <c r="C561" s="12">
        <v>-0.001077</v>
      </c>
      <c r="D561" s="12">
        <v>2.57E-4</v>
      </c>
    </row>
    <row r="562">
      <c r="A562" s="8">
        <v>42514.0</v>
      </c>
      <c r="B562" s="12">
        <v>-0.0015</v>
      </c>
      <c r="C562" s="12">
        <v>-0.00116</v>
      </c>
      <c r="D562" s="12">
        <v>2.6E-4</v>
      </c>
    </row>
    <row r="563">
      <c r="A563" s="8">
        <v>42515.0</v>
      </c>
      <c r="B563" s="12">
        <v>-0.00153</v>
      </c>
      <c r="C563" s="12">
        <v>-0.0011459999999999999</v>
      </c>
      <c r="D563" s="12">
        <v>1.69E-4</v>
      </c>
    </row>
    <row r="564">
      <c r="A564" s="8">
        <v>42516.0</v>
      </c>
      <c r="B564" s="12">
        <v>-0.0016200000000000001</v>
      </c>
      <c r="C564" s="12">
        <v>-0.00127</v>
      </c>
      <c r="D564" s="12">
        <v>5.0E-6</v>
      </c>
    </row>
    <row r="565">
      <c r="A565" s="8">
        <v>42517.0</v>
      </c>
      <c r="B565" s="12">
        <v>-0.0016</v>
      </c>
      <c r="C565" s="12">
        <v>-0.0012970000000000002</v>
      </c>
      <c r="D565" s="12">
        <v>1.0E-5</v>
      </c>
    </row>
    <row r="566">
      <c r="A566" s="8">
        <v>42520.0</v>
      </c>
      <c r="B566" s="12">
        <v>-0.00158</v>
      </c>
      <c r="C566" s="12">
        <v>-0.001278</v>
      </c>
      <c r="D566" s="12">
        <v>1.2E-4</v>
      </c>
    </row>
    <row r="567">
      <c r="A567" s="8">
        <v>42521.0</v>
      </c>
      <c r="B567" s="12">
        <v>-0.00161</v>
      </c>
      <c r="C567" s="12">
        <v>-0.0013</v>
      </c>
      <c r="D567" s="12">
        <v>6.2E-5</v>
      </c>
    </row>
    <row r="568">
      <c r="A568" s="8">
        <v>42522.0</v>
      </c>
      <c r="B568" s="12">
        <v>-0.00159</v>
      </c>
      <c r="C568" s="12">
        <v>-0.00133</v>
      </c>
      <c r="D568" s="12">
        <v>4.9E-5</v>
      </c>
    </row>
    <row r="569">
      <c r="A569" s="8">
        <v>42523.0</v>
      </c>
      <c r="B569" s="12">
        <v>-0.00157</v>
      </c>
      <c r="C569" s="12">
        <v>-0.00128</v>
      </c>
      <c r="D569" s="12">
        <v>-4.0E-6</v>
      </c>
    </row>
    <row r="570">
      <c r="A570" s="8">
        <v>42524.0</v>
      </c>
      <c r="B570" s="12">
        <v>-0.00169</v>
      </c>
      <c r="C570" s="12">
        <v>-0.0014399999999999999</v>
      </c>
      <c r="D570" s="12">
        <v>-2.38E-4</v>
      </c>
    </row>
    <row r="571">
      <c r="A571" s="8">
        <v>42527.0</v>
      </c>
      <c r="B571" s="12">
        <v>-0.0017000000000000001</v>
      </c>
      <c r="C571" s="12">
        <v>-0.0014089999999999999</v>
      </c>
      <c r="D571" s="12">
        <v>-8.2E-5</v>
      </c>
    </row>
    <row r="572">
      <c r="A572" s="8">
        <v>42528.0</v>
      </c>
      <c r="B572" s="12">
        <v>-0.00167</v>
      </c>
      <c r="C572" s="12">
        <v>-0.001437</v>
      </c>
      <c r="D572" s="12">
        <v>-1.79E-4</v>
      </c>
    </row>
    <row r="573">
      <c r="A573" s="8">
        <v>42529.0</v>
      </c>
      <c r="B573" s="12">
        <v>-0.0016</v>
      </c>
      <c r="C573" s="12">
        <v>-0.00136</v>
      </c>
      <c r="D573" s="12">
        <v>-1.0999999999999999E-4</v>
      </c>
    </row>
    <row r="574">
      <c r="A574" s="8">
        <v>42530.0</v>
      </c>
      <c r="B574" s="12">
        <v>-0.00161</v>
      </c>
      <c r="C574" s="12">
        <v>-0.0013800000000000002</v>
      </c>
      <c r="D574" s="12">
        <v>-2.0E-4</v>
      </c>
    </row>
    <row r="575">
      <c r="A575" s="8">
        <v>42531.0</v>
      </c>
      <c r="B575" s="12">
        <v>-0.00161</v>
      </c>
      <c r="C575" s="12">
        <v>-0.0013900000000000002</v>
      </c>
      <c r="D575" s="12">
        <v>-2.1999999999999998E-4</v>
      </c>
    </row>
    <row r="576">
      <c r="A576" s="8">
        <v>42534.0</v>
      </c>
      <c r="B576" s="12">
        <v>-0.00161</v>
      </c>
      <c r="C576" s="12">
        <v>-0.0013800000000000002</v>
      </c>
      <c r="D576" s="12">
        <v>-2.0400000000000003E-4</v>
      </c>
    </row>
    <row r="577">
      <c r="A577" s="8">
        <v>42535.0</v>
      </c>
      <c r="B577" s="12">
        <v>-0.00167</v>
      </c>
      <c r="C577" s="12">
        <v>-0.00149</v>
      </c>
      <c r="D577" s="12">
        <v>-3.04E-4</v>
      </c>
    </row>
    <row r="578">
      <c r="A578" s="8">
        <v>42536.0</v>
      </c>
      <c r="B578" s="12">
        <v>-0.00183</v>
      </c>
      <c r="C578" s="12">
        <v>-0.001585</v>
      </c>
      <c r="D578" s="12">
        <v>-4.8E-4</v>
      </c>
    </row>
    <row r="579">
      <c r="A579" s="8">
        <v>42537.0</v>
      </c>
      <c r="B579" s="12">
        <v>-0.0018</v>
      </c>
      <c r="C579" s="12">
        <v>-0.0016339999999999998</v>
      </c>
      <c r="D579" s="12">
        <v>-4.75E-4</v>
      </c>
    </row>
    <row r="580">
      <c r="A580" s="8">
        <v>42538.0</v>
      </c>
      <c r="B580" s="12">
        <v>-0.0019500000000000001</v>
      </c>
      <c r="C580" s="12">
        <v>-0.00181</v>
      </c>
      <c r="D580" s="12">
        <v>-6.31E-4</v>
      </c>
    </row>
    <row r="581">
      <c r="A581" s="8">
        <v>42541.0</v>
      </c>
      <c r="B581" s="12">
        <v>-0.00187</v>
      </c>
      <c r="C581" s="12">
        <v>-0.00169</v>
      </c>
      <c r="D581" s="12">
        <v>-5.3E-4</v>
      </c>
    </row>
    <row r="582">
      <c r="A582" s="8">
        <v>42542.0</v>
      </c>
      <c r="B582" s="12">
        <v>-0.00188</v>
      </c>
      <c r="C582" s="12">
        <v>-0.00167</v>
      </c>
      <c r="D582" s="12">
        <v>-4.0E-4</v>
      </c>
    </row>
    <row r="583">
      <c r="A583" s="8">
        <v>42543.0</v>
      </c>
      <c r="B583" s="12">
        <v>-0.0018599999999999999</v>
      </c>
      <c r="C583" s="12">
        <v>-0.00161</v>
      </c>
      <c r="D583" s="12">
        <v>-3.9E-4</v>
      </c>
    </row>
    <row r="584">
      <c r="A584" s="8">
        <v>42544.0</v>
      </c>
      <c r="B584" s="12">
        <v>-0.0016200000000000001</v>
      </c>
      <c r="C584" s="12">
        <v>-0.00153</v>
      </c>
      <c r="D584" s="12">
        <v>-1.42E-4</v>
      </c>
    </row>
    <row r="585">
      <c r="A585" s="8">
        <v>42545.0</v>
      </c>
      <c r="B585" s="12">
        <v>-0.0019</v>
      </c>
      <c r="C585" s="12">
        <v>-0.0019</v>
      </c>
      <c r="D585" s="12">
        <v>-4.8E-4</v>
      </c>
    </row>
    <row r="586">
      <c r="A586" s="8">
        <v>42548.0</v>
      </c>
      <c r="B586" s="12">
        <v>-0.00194</v>
      </c>
      <c r="C586" s="12">
        <v>-0.001982</v>
      </c>
      <c r="D586" s="12">
        <v>-8.82E-4</v>
      </c>
    </row>
    <row r="587">
      <c r="A587" s="8">
        <v>42549.0</v>
      </c>
      <c r="B587" s="12">
        <v>-0.0020399999999999997</v>
      </c>
      <c r="C587" s="12">
        <v>-0.0020499999999999997</v>
      </c>
      <c r="D587" s="12">
        <v>-9.59E-4</v>
      </c>
    </row>
    <row r="588">
      <c r="A588" s="8">
        <v>42550.0</v>
      </c>
      <c r="B588" s="12">
        <v>-0.00203</v>
      </c>
      <c r="C588" s="12">
        <v>-0.0020599999999999998</v>
      </c>
      <c r="D588" s="12">
        <v>-9.02E-4</v>
      </c>
    </row>
    <row r="589">
      <c r="A589" s="8">
        <v>42551.0</v>
      </c>
      <c r="B589" s="12">
        <v>-0.00201</v>
      </c>
      <c r="C589" s="12">
        <v>-0.0020169999999999997</v>
      </c>
      <c r="D589" s="12">
        <v>-7.7E-4</v>
      </c>
    </row>
    <row r="590">
      <c r="A590" s="8">
        <v>42552.0</v>
      </c>
      <c r="B590" s="12">
        <v>-0.00223</v>
      </c>
      <c r="C590" s="12">
        <v>-0.0022389999999999997</v>
      </c>
      <c r="D590" s="12">
        <v>-0.00121</v>
      </c>
    </row>
    <row r="591">
      <c r="A591" s="8">
        <v>42555.0</v>
      </c>
      <c r="B591" s="12">
        <v>-0.0023499999999999997</v>
      </c>
      <c r="C591" s="12">
        <v>-0.0023380000000000002</v>
      </c>
      <c r="D591" s="12">
        <v>-0.001455</v>
      </c>
    </row>
    <row r="592">
      <c r="A592" s="8">
        <v>42556.0</v>
      </c>
      <c r="B592" s="12">
        <v>-0.00241</v>
      </c>
      <c r="C592" s="12">
        <v>-0.0023699999999999997</v>
      </c>
      <c r="D592" s="12">
        <v>-0.001648</v>
      </c>
    </row>
    <row r="593">
      <c r="A593" s="8">
        <v>42557.0</v>
      </c>
      <c r="B593" s="12">
        <v>-0.0023799999999999997</v>
      </c>
      <c r="C593" s="12">
        <v>-0.002381</v>
      </c>
      <c r="D593" s="12">
        <v>-0.0016259999999999998</v>
      </c>
    </row>
    <row r="594">
      <c r="A594" s="8">
        <v>42558.0</v>
      </c>
      <c r="B594" s="12">
        <v>-0.0023899999999999998</v>
      </c>
      <c r="C594" s="12">
        <v>-0.002383</v>
      </c>
      <c r="D594" s="12">
        <v>-0.00165</v>
      </c>
    </row>
    <row r="595">
      <c r="A595" s="8">
        <v>42559.0</v>
      </c>
      <c r="B595" s="12">
        <v>-0.0025800000000000003</v>
      </c>
      <c r="C595" s="12">
        <v>-0.002506</v>
      </c>
      <c r="D595" s="12">
        <v>-0.00183</v>
      </c>
    </row>
    <row r="596">
      <c r="A596" s="8">
        <v>42562.0</v>
      </c>
      <c r="B596" s="12">
        <v>-0.00246</v>
      </c>
      <c r="C596" s="12">
        <v>-0.00247</v>
      </c>
      <c r="D596" s="12">
        <v>-0.001675</v>
      </c>
    </row>
    <row r="597">
      <c r="A597" s="8">
        <v>42563.0</v>
      </c>
      <c r="B597" s="12">
        <v>-0.00223</v>
      </c>
      <c r="C597" s="12">
        <v>-0.002263</v>
      </c>
      <c r="D597" s="12">
        <v>-0.0014050000000000002</v>
      </c>
    </row>
    <row r="598">
      <c r="A598" s="8">
        <v>42564.0</v>
      </c>
      <c r="B598" s="12">
        <v>-0.0024</v>
      </c>
      <c r="C598" s="12">
        <v>-0.002374</v>
      </c>
      <c r="D598" s="12">
        <v>-0.00157</v>
      </c>
    </row>
    <row r="599">
      <c r="A599" s="8">
        <v>42565.0</v>
      </c>
      <c r="B599" s="12">
        <v>-0.00231</v>
      </c>
      <c r="C599" s="12">
        <v>-0.00226</v>
      </c>
      <c r="D599" s="12">
        <v>-0.0014349999999999999</v>
      </c>
    </row>
    <row r="600">
      <c r="A600" s="8">
        <v>42566.0</v>
      </c>
      <c r="B600" s="12">
        <v>-0.00218</v>
      </c>
      <c r="C600" s="12">
        <v>-0.00216</v>
      </c>
      <c r="D600" s="12">
        <v>-0.001206</v>
      </c>
    </row>
    <row r="601">
      <c r="A601" s="8">
        <v>42569.0</v>
      </c>
      <c r="B601" s="12">
        <v>-0.00234</v>
      </c>
      <c r="C601" s="12">
        <v>-0.00226</v>
      </c>
      <c r="D601" s="12">
        <v>-0.0014099999999999998</v>
      </c>
    </row>
    <row r="602">
      <c r="A602" s="8">
        <v>42570.0</v>
      </c>
      <c r="B602" s="12">
        <v>-0.00231</v>
      </c>
      <c r="C602" s="12">
        <v>-0.00221</v>
      </c>
      <c r="D602" s="12">
        <v>-0.001344</v>
      </c>
    </row>
    <row r="603">
      <c r="A603" s="8">
        <v>42571.0</v>
      </c>
      <c r="B603" s="12">
        <v>-0.00222</v>
      </c>
      <c r="C603" s="12">
        <v>-0.00216</v>
      </c>
      <c r="D603" s="12">
        <v>-0.001266</v>
      </c>
    </row>
    <row r="604">
      <c r="A604" s="8">
        <v>42572.0</v>
      </c>
      <c r="B604" s="12">
        <v>-0.00221</v>
      </c>
      <c r="C604" s="12">
        <v>-0.00211</v>
      </c>
      <c r="D604" s="12">
        <v>-0.001235</v>
      </c>
    </row>
    <row r="605">
      <c r="A605" s="8">
        <v>42573.0</v>
      </c>
      <c r="B605" s="12">
        <v>-0.00214</v>
      </c>
      <c r="C605" s="12">
        <v>-0.0020499999999999997</v>
      </c>
      <c r="D605" s="12">
        <v>-0.001115</v>
      </c>
    </row>
    <row r="606">
      <c r="A606" s="8">
        <v>42576.0</v>
      </c>
      <c r="B606" s="12">
        <v>-0.0021</v>
      </c>
      <c r="C606" s="12">
        <v>-0.002061</v>
      </c>
      <c r="D606" s="12">
        <v>-0.00116</v>
      </c>
    </row>
    <row r="607">
      <c r="A607" s="8">
        <v>42577.0</v>
      </c>
      <c r="B607" s="12">
        <v>-0.0021</v>
      </c>
      <c r="C607" s="12">
        <v>-0.00208</v>
      </c>
      <c r="D607" s="12">
        <v>-0.0012</v>
      </c>
    </row>
    <row r="608">
      <c r="A608" s="8">
        <v>42578.0</v>
      </c>
      <c r="B608" s="12">
        <v>-0.00217</v>
      </c>
      <c r="C608" s="12">
        <v>-0.0022040000000000002</v>
      </c>
      <c r="D608" s="12">
        <v>-0.001459</v>
      </c>
    </row>
    <row r="609">
      <c r="A609" s="8">
        <v>42579.0</v>
      </c>
      <c r="B609" s="12">
        <v>-0.00216</v>
      </c>
      <c r="C609" s="12">
        <v>-0.0021809999999999998</v>
      </c>
      <c r="D609" s="12">
        <v>-0.0013830000000000001</v>
      </c>
    </row>
    <row r="610">
      <c r="A610" s="8">
        <v>42580.0</v>
      </c>
      <c r="B610" s="12">
        <v>-0.002174</v>
      </c>
      <c r="C610" s="12">
        <v>-0.002173</v>
      </c>
      <c r="D610" s="12">
        <v>-0.0015199999999999999</v>
      </c>
    </row>
    <row r="611">
      <c r="A611" s="8">
        <v>42583.0</v>
      </c>
      <c r="B611" s="12">
        <v>-0.00215</v>
      </c>
      <c r="C611" s="12">
        <v>-0.0021260000000000003</v>
      </c>
      <c r="D611" s="12">
        <v>-0.0014000000000000002</v>
      </c>
    </row>
    <row r="612">
      <c r="A612" s="8">
        <v>42584.0</v>
      </c>
      <c r="B612" s="12">
        <v>-0.00202</v>
      </c>
      <c r="C612" s="12">
        <v>-0.0019500000000000001</v>
      </c>
      <c r="D612" s="12">
        <v>-0.001105</v>
      </c>
    </row>
    <row r="613">
      <c r="A613" s="8">
        <v>42585.0</v>
      </c>
      <c r="B613" s="12">
        <v>-0.00201</v>
      </c>
      <c r="C613" s="12">
        <v>-0.001973</v>
      </c>
      <c r="D613" s="12">
        <v>-0.00121</v>
      </c>
    </row>
    <row r="614">
      <c r="A614" s="8">
        <v>42586.0</v>
      </c>
      <c r="B614" s="12">
        <v>-0.00218</v>
      </c>
      <c r="C614" s="12">
        <v>-0.0021609999999999997</v>
      </c>
      <c r="D614" s="12">
        <v>-0.0014399999999999999</v>
      </c>
    </row>
    <row r="615">
      <c r="A615" s="8">
        <v>42587.0</v>
      </c>
      <c r="B615" s="12">
        <v>-0.00214</v>
      </c>
      <c r="C615" s="12">
        <v>-0.002089</v>
      </c>
      <c r="D615" s="12">
        <v>-0.001283</v>
      </c>
    </row>
    <row r="616">
      <c r="A616" s="8">
        <v>42590.0</v>
      </c>
      <c r="B616" s="12">
        <v>-0.00215</v>
      </c>
      <c r="C616" s="12">
        <v>-0.00214</v>
      </c>
      <c r="D616" s="12">
        <v>-0.001343</v>
      </c>
    </row>
    <row r="617">
      <c r="A617" s="8">
        <v>42591.0</v>
      </c>
      <c r="B617" s="12">
        <v>-0.00223</v>
      </c>
      <c r="C617" s="12">
        <v>-0.002188</v>
      </c>
      <c r="D617" s="12">
        <v>-0.001465</v>
      </c>
    </row>
    <row r="618">
      <c r="A618" s="8">
        <v>42592.0</v>
      </c>
      <c r="B618" s="12">
        <v>-0.00234</v>
      </c>
      <c r="C618" s="12">
        <v>-0.00233</v>
      </c>
      <c r="D618" s="12">
        <v>-0.0017000000000000001</v>
      </c>
    </row>
    <row r="619">
      <c r="A619" s="8">
        <v>42593.0</v>
      </c>
      <c r="B619" s="12">
        <v>-0.00212</v>
      </c>
      <c r="C619" s="12">
        <v>-0.002225</v>
      </c>
      <c r="D619" s="12">
        <v>-0.00134</v>
      </c>
    </row>
    <row r="620">
      <c r="A620" s="8">
        <v>42594.0</v>
      </c>
      <c r="B620" s="12">
        <v>-0.0022</v>
      </c>
      <c r="C620" s="12">
        <v>-0.002235</v>
      </c>
      <c r="D620" s="12">
        <v>-0.00151</v>
      </c>
    </row>
    <row r="621">
      <c r="A621" s="8">
        <v>42597.0</v>
      </c>
      <c r="B621" s="12">
        <v>-0.00216</v>
      </c>
      <c r="C621" s="12">
        <v>-0.002121</v>
      </c>
      <c r="D621" s="12">
        <v>-0.00135</v>
      </c>
    </row>
    <row r="622">
      <c r="A622" s="8">
        <v>42598.0</v>
      </c>
      <c r="B622" s="12">
        <v>-0.00211</v>
      </c>
      <c r="C622" s="12">
        <v>-0.002065</v>
      </c>
      <c r="D622" s="12">
        <v>-0.00127</v>
      </c>
    </row>
    <row r="623">
      <c r="A623" s="8">
        <v>42599.0</v>
      </c>
      <c r="B623" s="12">
        <v>-0.0021</v>
      </c>
      <c r="C623" s="12">
        <v>-0.00207</v>
      </c>
      <c r="D623" s="12">
        <v>-0.0012950000000000001</v>
      </c>
    </row>
    <row r="624">
      <c r="A624" s="8">
        <v>42600.0</v>
      </c>
      <c r="B624" s="12">
        <v>-0.00215</v>
      </c>
      <c r="C624" s="12">
        <v>-0.002144</v>
      </c>
      <c r="D624" s="12">
        <v>-0.0013900000000000002</v>
      </c>
    </row>
    <row r="625">
      <c r="A625" s="8">
        <v>42601.0</v>
      </c>
      <c r="B625" s="12">
        <v>-0.00201</v>
      </c>
      <c r="C625" s="12">
        <v>-0.001987</v>
      </c>
      <c r="D625" s="12">
        <v>-0.0011740000000000001</v>
      </c>
    </row>
    <row r="626">
      <c r="A626" s="8">
        <v>42604.0</v>
      </c>
      <c r="B626" s="12">
        <v>-0.002061</v>
      </c>
      <c r="C626" s="12">
        <v>-0.00199</v>
      </c>
      <c r="D626" s="12">
        <v>-0.001348</v>
      </c>
    </row>
    <row r="627">
      <c r="A627" s="8">
        <v>42605.0</v>
      </c>
      <c r="B627" s="12">
        <v>-0.002075</v>
      </c>
      <c r="C627" s="12">
        <v>-0.002023</v>
      </c>
      <c r="D627" s="12">
        <v>-0.0013109999999999999</v>
      </c>
    </row>
    <row r="628">
      <c r="A628" s="8">
        <v>42606.0</v>
      </c>
      <c r="B628" s="12">
        <v>-0.002</v>
      </c>
      <c r="C628" s="12">
        <v>-0.00191</v>
      </c>
      <c r="D628" s="12">
        <v>-0.00125</v>
      </c>
    </row>
    <row r="629">
      <c r="A629" s="8">
        <v>42607.0</v>
      </c>
      <c r="B629" s="12">
        <v>-0.00193</v>
      </c>
      <c r="C629" s="12">
        <v>-0.00187</v>
      </c>
      <c r="D629" s="12">
        <v>-0.0011799999999999998</v>
      </c>
    </row>
    <row r="630">
      <c r="A630" s="8">
        <v>42608.0</v>
      </c>
      <c r="B630" s="12">
        <v>-0.00193</v>
      </c>
      <c r="C630" s="12">
        <v>-0.00164</v>
      </c>
      <c r="D630" s="12">
        <v>-0.001131</v>
      </c>
    </row>
    <row r="631">
      <c r="A631" s="8">
        <v>42611.0</v>
      </c>
      <c r="B631" s="12">
        <v>-0.0020399999999999997</v>
      </c>
      <c r="C631" s="12">
        <v>-0.0019</v>
      </c>
      <c r="D631" s="12">
        <v>-0.00127</v>
      </c>
    </row>
    <row r="632">
      <c r="A632" s="8">
        <v>42612.0</v>
      </c>
      <c r="B632" s="12">
        <v>-0.00207</v>
      </c>
      <c r="C632" s="12">
        <v>-0.0019450000000000001</v>
      </c>
      <c r="D632" s="12">
        <v>-0.0012850000000000001</v>
      </c>
    </row>
    <row r="633">
      <c r="A633" s="8">
        <v>42613.0</v>
      </c>
      <c r="B633" s="12">
        <v>-0.0021</v>
      </c>
      <c r="C633" s="12">
        <v>-0.0019500000000000001</v>
      </c>
      <c r="D633" s="12">
        <v>-0.00123</v>
      </c>
    </row>
    <row r="634">
      <c r="A634" s="8">
        <v>42614.0</v>
      </c>
      <c r="B634" s="12">
        <v>-0.00216</v>
      </c>
      <c r="C634" s="12">
        <v>-0.002019</v>
      </c>
      <c r="D634" s="12">
        <v>-0.00125</v>
      </c>
    </row>
    <row r="635">
      <c r="A635" s="8">
        <v>42615.0</v>
      </c>
      <c r="B635" s="12">
        <v>-0.00223</v>
      </c>
      <c r="C635" s="12">
        <v>-0.00199</v>
      </c>
      <c r="D635" s="12">
        <v>-0.0011749999999999998</v>
      </c>
    </row>
    <row r="636">
      <c r="A636" s="8">
        <v>42618.0</v>
      </c>
      <c r="B636" s="12">
        <v>-0.0022</v>
      </c>
      <c r="C636" s="12">
        <v>-0.002078</v>
      </c>
      <c r="D636" s="12">
        <v>-0.0013</v>
      </c>
    </row>
    <row r="637">
      <c r="A637" s="8">
        <v>42619.0</v>
      </c>
      <c r="B637" s="12">
        <v>-0.00244</v>
      </c>
      <c r="C637" s="12">
        <v>-0.00233</v>
      </c>
      <c r="D637" s="12">
        <v>-0.0017000000000000001</v>
      </c>
    </row>
    <row r="638">
      <c r="A638" s="8">
        <v>42620.0</v>
      </c>
      <c r="B638" s="12">
        <v>-0.0024</v>
      </c>
      <c r="C638" s="12">
        <v>-0.0023569999999999997</v>
      </c>
      <c r="D638" s="12">
        <v>-0.00172</v>
      </c>
    </row>
    <row r="639">
      <c r="A639" s="8">
        <v>42621.0</v>
      </c>
      <c r="B639" s="12">
        <v>-0.00222</v>
      </c>
      <c r="C639" s="12">
        <v>-0.0021279999999999997</v>
      </c>
      <c r="D639" s="12">
        <v>-0.00136</v>
      </c>
    </row>
    <row r="640">
      <c r="A640" s="8">
        <v>42622.0</v>
      </c>
      <c r="B640" s="12">
        <v>-0.0021</v>
      </c>
      <c r="C640" s="12">
        <v>-0.002035</v>
      </c>
      <c r="D640" s="12">
        <v>-0.001113</v>
      </c>
    </row>
    <row r="641">
      <c r="A641" s="8">
        <v>42625.0</v>
      </c>
      <c r="B641" s="12">
        <v>-0.00215</v>
      </c>
      <c r="C641" s="12">
        <v>-0.001973</v>
      </c>
      <c r="D641" s="12">
        <v>-0.00101</v>
      </c>
    </row>
    <row r="642">
      <c r="A642" s="8">
        <v>42626.0</v>
      </c>
      <c r="B642" s="12">
        <v>-0.00213</v>
      </c>
      <c r="C642" s="12">
        <v>-0.00192</v>
      </c>
      <c r="D642" s="12">
        <v>-8.500000000000001E-4</v>
      </c>
    </row>
    <row r="643">
      <c r="A643" s="8">
        <v>42627.0</v>
      </c>
      <c r="B643" s="12">
        <v>-0.0023</v>
      </c>
      <c r="C643" s="12">
        <v>-0.002075</v>
      </c>
      <c r="D643" s="12">
        <v>-0.00113</v>
      </c>
    </row>
    <row r="644">
      <c r="A644" s="8">
        <v>42628.0</v>
      </c>
      <c r="B644" s="12">
        <v>-0.00221</v>
      </c>
      <c r="C644" s="12">
        <v>-0.002023</v>
      </c>
      <c r="D644" s="12">
        <v>-0.001</v>
      </c>
    </row>
    <row r="645">
      <c r="A645" s="8">
        <v>42629.0</v>
      </c>
      <c r="B645" s="12">
        <v>-0.00229</v>
      </c>
      <c r="C645" s="12">
        <v>-0.0021479999999999997</v>
      </c>
      <c r="D645" s="12">
        <v>-0.00116</v>
      </c>
    </row>
    <row r="646">
      <c r="A646" s="8">
        <v>42632.0</v>
      </c>
      <c r="B646" s="12">
        <v>-0.0022500000000000003</v>
      </c>
      <c r="C646" s="12">
        <v>-0.002058</v>
      </c>
      <c r="D646" s="12">
        <v>-0.001035</v>
      </c>
    </row>
    <row r="647">
      <c r="A647" s="8">
        <v>42633.0</v>
      </c>
      <c r="B647" s="12">
        <v>-0.00229</v>
      </c>
      <c r="C647" s="12">
        <v>-0.002167</v>
      </c>
      <c r="D647" s="12">
        <v>-0.001204</v>
      </c>
    </row>
    <row r="648">
      <c r="A648" s="8">
        <v>42634.0</v>
      </c>
      <c r="B648" s="12">
        <v>-0.0022500000000000003</v>
      </c>
      <c r="C648" s="12">
        <v>-0.00209</v>
      </c>
      <c r="D648" s="12">
        <v>-0.0011</v>
      </c>
    </row>
    <row r="649">
      <c r="A649" s="8">
        <v>42635.0</v>
      </c>
      <c r="B649" s="12">
        <v>-0.00232</v>
      </c>
      <c r="C649" s="12">
        <v>-0.00229</v>
      </c>
      <c r="D649" s="12">
        <v>-0.0014910000000000001</v>
      </c>
    </row>
    <row r="650">
      <c r="A650" s="8">
        <v>42636.0</v>
      </c>
      <c r="B650" s="12">
        <v>-0.00233</v>
      </c>
      <c r="C650" s="12">
        <v>-0.0022500000000000003</v>
      </c>
      <c r="D650" s="12">
        <v>-0.00149</v>
      </c>
    </row>
    <row r="651">
      <c r="A651" s="8">
        <v>42639.0</v>
      </c>
      <c r="B651" s="12">
        <v>-0.0023699999999999997</v>
      </c>
      <c r="C651" s="12">
        <v>-0.002308</v>
      </c>
      <c r="D651" s="12">
        <v>-0.0016200000000000001</v>
      </c>
    </row>
    <row r="652">
      <c r="A652" s="8">
        <v>42640.0</v>
      </c>
      <c r="B652" s="12">
        <v>-0.00233</v>
      </c>
      <c r="C652" s="12">
        <v>-0.00231</v>
      </c>
      <c r="D652" s="12">
        <v>-0.00161</v>
      </c>
    </row>
    <row r="653">
      <c r="A653" s="8">
        <v>42641.0</v>
      </c>
      <c r="B653" s="12">
        <v>-0.00234</v>
      </c>
      <c r="C653" s="12">
        <v>-0.0023</v>
      </c>
      <c r="D653" s="12">
        <v>-0.0016</v>
      </c>
    </row>
    <row r="654">
      <c r="A654" s="8">
        <v>42642.0</v>
      </c>
      <c r="B654" s="12">
        <v>-0.00234</v>
      </c>
      <c r="C654" s="12">
        <v>-0.00228</v>
      </c>
      <c r="D654" s="12">
        <v>-0.00165</v>
      </c>
    </row>
    <row r="655">
      <c r="A655" s="8">
        <v>42643.0</v>
      </c>
      <c r="B655" s="12">
        <v>-0.00222</v>
      </c>
      <c r="C655" s="12">
        <v>-0.00217</v>
      </c>
      <c r="D655" s="12">
        <v>-0.0014000000000000002</v>
      </c>
    </row>
    <row r="656">
      <c r="A656" s="8">
        <v>42646.0</v>
      </c>
      <c r="B656" s="12">
        <v>-0.00216</v>
      </c>
      <c r="C656" s="12">
        <v>-0.00211</v>
      </c>
      <c r="D656" s="12">
        <v>-0.00135</v>
      </c>
    </row>
    <row r="657">
      <c r="A657" s="8">
        <v>42647.0</v>
      </c>
      <c r="B657" s="12">
        <v>-0.00209</v>
      </c>
      <c r="C657" s="12">
        <v>-0.0020399999999999997</v>
      </c>
      <c r="D657" s="12">
        <v>-0.00123</v>
      </c>
    </row>
    <row r="658">
      <c r="A658" s="8">
        <v>42648.0</v>
      </c>
      <c r="B658" s="12">
        <v>-0.00215</v>
      </c>
      <c r="C658" s="12">
        <v>-0.00198</v>
      </c>
      <c r="D658" s="12">
        <v>-0.00105</v>
      </c>
    </row>
    <row r="659">
      <c r="A659" s="8">
        <v>42649.0</v>
      </c>
      <c r="B659" s="12">
        <v>-0.0021</v>
      </c>
      <c r="C659" s="12">
        <v>-0.001968</v>
      </c>
      <c r="D659" s="12">
        <v>-9.7E-4</v>
      </c>
    </row>
    <row r="660">
      <c r="A660" s="8">
        <v>42650.0</v>
      </c>
      <c r="B660" s="12">
        <v>-0.0020499999999999997</v>
      </c>
      <c r="C660" s="12">
        <v>-0.001877</v>
      </c>
      <c r="D660" s="12">
        <v>-8.3E-4</v>
      </c>
    </row>
    <row r="661">
      <c r="A661" s="8">
        <v>42653.0</v>
      </c>
      <c r="B661" s="12">
        <v>-0.00198</v>
      </c>
      <c r="C661" s="12">
        <v>-0.0017699999999999999</v>
      </c>
      <c r="D661" s="12">
        <v>-6.25E-4</v>
      </c>
    </row>
    <row r="662">
      <c r="A662" s="8">
        <v>42654.0</v>
      </c>
      <c r="B662" s="12">
        <v>-0.00203</v>
      </c>
      <c r="C662" s="12">
        <v>-0.001791</v>
      </c>
      <c r="D662" s="12">
        <v>-6.8E-4</v>
      </c>
    </row>
    <row r="663">
      <c r="A663" s="8">
        <v>42655.0</v>
      </c>
      <c r="B663" s="12">
        <v>-0.002</v>
      </c>
      <c r="C663" s="12">
        <v>-0.0017399999999999998</v>
      </c>
      <c r="D663" s="12">
        <v>-7.000000000000001E-4</v>
      </c>
    </row>
    <row r="664">
      <c r="A664" s="8">
        <v>42656.0</v>
      </c>
      <c r="B664" s="12">
        <v>-0.00197</v>
      </c>
      <c r="C664" s="12">
        <v>-0.00178</v>
      </c>
      <c r="D664" s="12">
        <v>-6.8E-4</v>
      </c>
    </row>
    <row r="665">
      <c r="A665" s="8">
        <v>42657.0</v>
      </c>
      <c r="B665" s="12">
        <v>-0.00191</v>
      </c>
      <c r="C665" s="12">
        <v>-0.0016270000000000002</v>
      </c>
      <c r="D665" s="12">
        <v>-5.2E-4</v>
      </c>
    </row>
    <row r="666">
      <c r="A666" s="8">
        <v>42660.0</v>
      </c>
      <c r="B666" s="12">
        <v>-0.0019500000000000001</v>
      </c>
      <c r="C666" s="12">
        <v>-0.001668</v>
      </c>
      <c r="D666" s="12">
        <v>-6.38E-4</v>
      </c>
    </row>
    <row r="667">
      <c r="A667" s="8">
        <v>42661.0</v>
      </c>
      <c r="B667" s="12">
        <v>-0.002</v>
      </c>
      <c r="C667" s="12">
        <v>-0.0017410000000000001</v>
      </c>
      <c r="D667" s="12">
        <v>-7.099999999999999E-4</v>
      </c>
    </row>
    <row r="668">
      <c r="A668" s="8">
        <v>42662.0</v>
      </c>
      <c r="B668" s="12">
        <v>-0.00197</v>
      </c>
      <c r="C668" s="12">
        <v>-0.001724</v>
      </c>
      <c r="D668" s="12">
        <v>-6.66E-4</v>
      </c>
    </row>
    <row r="669">
      <c r="A669" s="8">
        <v>42663.0</v>
      </c>
      <c r="B669" s="12">
        <v>-0.00196</v>
      </c>
      <c r="C669" s="12">
        <v>-0.0017460000000000002</v>
      </c>
      <c r="D669" s="12">
        <v>-7.099999999999999E-4</v>
      </c>
    </row>
    <row r="670">
      <c r="A670" s="8">
        <v>42664.0</v>
      </c>
      <c r="B670" s="12">
        <v>-0.00193</v>
      </c>
      <c r="C670" s="12">
        <v>-0.001664</v>
      </c>
      <c r="D670" s="12">
        <v>-6.429999999999999E-4</v>
      </c>
    </row>
    <row r="671">
      <c r="A671" s="8">
        <v>42667.0</v>
      </c>
      <c r="B671" s="12">
        <v>-0.00188</v>
      </c>
      <c r="C671" s="12">
        <v>-0.001603</v>
      </c>
      <c r="D671" s="12">
        <v>-5.56E-4</v>
      </c>
    </row>
    <row r="672">
      <c r="A672" s="8">
        <v>42668.0</v>
      </c>
      <c r="B672" s="12">
        <v>-0.00183</v>
      </c>
      <c r="C672" s="12">
        <v>-0.0015229999999999998</v>
      </c>
      <c r="D672" s="12">
        <v>-4.5E-4</v>
      </c>
    </row>
    <row r="673">
      <c r="A673" s="8">
        <v>42669.0</v>
      </c>
      <c r="B673" s="12">
        <v>-0.00178</v>
      </c>
      <c r="C673" s="12">
        <v>-0.0013980000000000002</v>
      </c>
      <c r="D673" s="12">
        <v>-1.8999999999999998E-4</v>
      </c>
    </row>
    <row r="674">
      <c r="A674" s="8">
        <v>42670.0</v>
      </c>
      <c r="B674" s="12">
        <v>-0.00167</v>
      </c>
      <c r="C674" s="12">
        <v>-0.0012439999999999999</v>
      </c>
      <c r="D674" s="12">
        <v>1.0999999999999999E-4</v>
      </c>
    </row>
    <row r="675">
      <c r="A675" s="8">
        <v>42671.0</v>
      </c>
      <c r="B675" s="12">
        <v>-0.00161</v>
      </c>
      <c r="C675" s="12">
        <v>-0.001173</v>
      </c>
      <c r="D675" s="12">
        <v>1.4000000000000001E-4</v>
      </c>
    </row>
    <row r="676">
      <c r="A676" s="8">
        <v>42674.0</v>
      </c>
      <c r="B676" s="12">
        <v>-0.0016</v>
      </c>
      <c r="C676" s="12">
        <v>-0.001165</v>
      </c>
      <c r="D676" s="12">
        <v>1.14E-4</v>
      </c>
    </row>
    <row r="677">
      <c r="A677" s="8">
        <v>42675.0</v>
      </c>
      <c r="B677" s="12">
        <v>-0.0016</v>
      </c>
      <c r="C677" s="12">
        <v>-0.00109</v>
      </c>
      <c r="D677" s="12">
        <v>1.55E-4</v>
      </c>
    </row>
    <row r="678">
      <c r="A678" s="8">
        <v>42676.0</v>
      </c>
      <c r="B678" s="12">
        <v>-0.00161</v>
      </c>
      <c r="C678" s="12">
        <v>-0.001199</v>
      </c>
      <c r="D678" s="12">
        <v>8.5E-5</v>
      </c>
    </row>
    <row r="679">
      <c r="A679" s="8">
        <v>42677.0</v>
      </c>
      <c r="B679" s="12">
        <v>-0.00151</v>
      </c>
      <c r="C679" s="12">
        <v>-0.001055</v>
      </c>
      <c r="D679" s="12">
        <v>3.1E-4</v>
      </c>
    </row>
    <row r="680">
      <c r="A680" s="8">
        <v>42678.0</v>
      </c>
      <c r="B680" s="12">
        <v>-0.00155</v>
      </c>
      <c r="C680" s="12">
        <v>-0.001137</v>
      </c>
      <c r="D680" s="12">
        <v>1.73E-4</v>
      </c>
    </row>
    <row r="681">
      <c r="A681" s="8">
        <v>42681.0</v>
      </c>
      <c r="B681" s="12">
        <v>-0.0015199999999999999</v>
      </c>
      <c r="C681" s="12">
        <v>-0.001042</v>
      </c>
      <c r="D681" s="12">
        <v>3.05E-4</v>
      </c>
    </row>
    <row r="682">
      <c r="A682" s="8">
        <v>42682.0</v>
      </c>
      <c r="B682" s="12">
        <v>-0.0014199999999999998</v>
      </c>
      <c r="C682" s="12">
        <v>-0.001007</v>
      </c>
      <c r="D682" s="12">
        <v>4.15E-4</v>
      </c>
    </row>
    <row r="683">
      <c r="A683" s="8">
        <v>42683.0</v>
      </c>
      <c r="B683" s="12">
        <v>-0.00128</v>
      </c>
      <c r="C683" s="12">
        <v>-9.37E-4</v>
      </c>
      <c r="D683" s="12">
        <v>8.2E-4</v>
      </c>
    </row>
    <row r="684">
      <c r="A684" s="8">
        <v>42684.0</v>
      </c>
      <c r="B684" s="12">
        <v>-0.00136</v>
      </c>
      <c r="C684" s="12">
        <v>-7.099999999999999E-4</v>
      </c>
      <c r="D684" s="12">
        <v>0.0010299999999999999</v>
      </c>
    </row>
    <row r="685">
      <c r="A685" s="8">
        <v>42685.0</v>
      </c>
      <c r="B685" s="12">
        <v>-0.00122</v>
      </c>
      <c r="C685" s="12">
        <v>-4.93E-4</v>
      </c>
      <c r="D685" s="12">
        <v>0.0013700000000000001</v>
      </c>
    </row>
    <row r="686">
      <c r="A686" s="8">
        <v>42688.0</v>
      </c>
      <c r="B686" s="12">
        <v>-0.00122</v>
      </c>
      <c r="C686" s="12">
        <v>-4.3E-4</v>
      </c>
      <c r="D686" s="12">
        <v>0.00145</v>
      </c>
    </row>
    <row r="687">
      <c r="A687" s="8">
        <v>42689.0</v>
      </c>
      <c r="B687" s="12">
        <v>-0.00126</v>
      </c>
      <c r="C687" s="12">
        <v>-4.75E-4</v>
      </c>
      <c r="D687" s="12">
        <v>0.0014199999999999998</v>
      </c>
    </row>
    <row r="688">
      <c r="A688" s="8">
        <v>42690.0</v>
      </c>
      <c r="B688" s="12">
        <v>-0.00132</v>
      </c>
      <c r="C688" s="12">
        <v>-4.89E-4</v>
      </c>
      <c r="D688" s="12">
        <v>0.0013900000000000002</v>
      </c>
    </row>
    <row r="689">
      <c r="A689" s="8">
        <v>42691.0</v>
      </c>
      <c r="B689" s="12">
        <v>-0.00132</v>
      </c>
      <c r="C689" s="12">
        <v>-5.920000000000001E-4</v>
      </c>
      <c r="D689" s="12">
        <v>0.00134</v>
      </c>
    </row>
    <row r="690">
      <c r="A690" s="8">
        <v>42692.0</v>
      </c>
      <c r="B690" s="12">
        <v>-0.0014000000000000002</v>
      </c>
      <c r="C690" s="12">
        <v>-6.7E-4</v>
      </c>
      <c r="D690" s="12">
        <v>0.00124</v>
      </c>
    </row>
    <row r="691">
      <c r="A691" s="8">
        <v>42695.0</v>
      </c>
      <c r="B691" s="12">
        <v>-0.00145</v>
      </c>
      <c r="C691" s="12">
        <v>-6.900000000000001E-4</v>
      </c>
      <c r="D691" s="12">
        <v>0.0011749999999999998</v>
      </c>
    </row>
    <row r="692">
      <c r="A692" s="8">
        <v>42696.0</v>
      </c>
      <c r="B692" s="12">
        <v>-0.0014299999999999998</v>
      </c>
      <c r="C692" s="12">
        <v>-7.93E-4</v>
      </c>
      <c r="D692" s="12">
        <v>9.6E-4</v>
      </c>
    </row>
    <row r="693">
      <c r="A693" s="8">
        <v>42697.0</v>
      </c>
      <c r="B693" s="12">
        <v>-0.00146</v>
      </c>
      <c r="C693" s="12">
        <v>-8.24E-4</v>
      </c>
      <c r="D693" s="12">
        <v>9.7E-4</v>
      </c>
    </row>
    <row r="694">
      <c r="A694" s="8">
        <v>42698.0</v>
      </c>
      <c r="B694" s="12">
        <v>-0.00153</v>
      </c>
      <c r="C694" s="12">
        <v>-9.2E-4</v>
      </c>
      <c r="D694" s="12">
        <v>8.3E-4</v>
      </c>
    </row>
    <row r="695">
      <c r="A695" s="8">
        <v>42699.0</v>
      </c>
      <c r="B695" s="12">
        <v>-0.00154</v>
      </c>
      <c r="C695" s="12">
        <v>-9.0E-4</v>
      </c>
      <c r="D695" s="12">
        <v>9.0E-4</v>
      </c>
    </row>
    <row r="696">
      <c r="A696" s="8">
        <v>42702.0</v>
      </c>
      <c r="B696" s="12">
        <v>-0.0016200000000000001</v>
      </c>
      <c r="C696" s="12">
        <v>-0.00106</v>
      </c>
      <c r="D696" s="12">
        <v>6.950000000000001E-4</v>
      </c>
    </row>
    <row r="697">
      <c r="A697" s="8">
        <v>42703.0</v>
      </c>
      <c r="B697" s="12">
        <v>-0.0017299999999999998</v>
      </c>
      <c r="C697" s="12">
        <v>-0.00109</v>
      </c>
      <c r="D697" s="12">
        <v>4.9E-4</v>
      </c>
    </row>
    <row r="698">
      <c r="A698" s="8">
        <v>42704.0</v>
      </c>
      <c r="B698" s="12">
        <v>-0.00158</v>
      </c>
      <c r="C698" s="12">
        <v>-9.98E-4</v>
      </c>
      <c r="D698" s="12">
        <v>8.699999999999999E-4</v>
      </c>
    </row>
    <row r="699">
      <c r="A699" s="8">
        <v>42705.0</v>
      </c>
      <c r="B699" s="12">
        <v>-0.0014399999999999999</v>
      </c>
      <c r="C699" s="12">
        <v>-7.599999999999999E-4</v>
      </c>
      <c r="D699" s="12">
        <v>0.0013900000000000002</v>
      </c>
    </row>
    <row r="700">
      <c r="A700" s="8">
        <v>42706.0</v>
      </c>
      <c r="B700" s="12">
        <v>-0.00157</v>
      </c>
      <c r="C700" s="12">
        <v>-8.93E-4</v>
      </c>
      <c r="D700" s="12">
        <v>9.5E-4</v>
      </c>
    </row>
    <row r="701">
      <c r="A701" s="8">
        <v>42709.0</v>
      </c>
      <c r="B701" s="12">
        <v>-0.00154</v>
      </c>
      <c r="C701" s="12">
        <v>-7.920000000000001E-4</v>
      </c>
      <c r="D701" s="12">
        <v>0.00111</v>
      </c>
    </row>
    <row r="702">
      <c r="A702" s="8">
        <v>42710.0</v>
      </c>
      <c r="B702" s="12">
        <v>-0.001429</v>
      </c>
      <c r="C702" s="12">
        <v>-7.000000000000001E-4</v>
      </c>
      <c r="D702" s="12">
        <v>0.00155</v>
      </c>
    </row>
    <row r="703">
      <c r="A703" s="8">
        <v>42711.0</v>
      </c>
      <c r="B703" s="12">
        <v>-0.001493</v>
      </c>
      <c r="C703" s="12">
        <v>-7.199999999999999E-4</v>
      </c>
      <c r="D703" s="12">
        <v>0.00146</v>
      </c>
    </row>
    <row r="704">
      <c r="A704" s="8">
        <v>42712.0</v>
      </c>
      <c r="B704" s="12">
        <v>-0.00161</v>
      </c>
      <c r="C704" s="12">
        <v>-8.699999999999999E-4</v>
      </c>
      <c r="D704" s="12">
        <v>0.00135</v>
      </c>
    </row>
    <row r="705">
      <c r="A705" s="8">
        <v>42713.0</v>
      </c>
      <c r="B705" s="12">
        <v>-0.00165</v>
      </c>
      <c r="C705" s="12">
        <v>-9.9E-4</v>
      </c>
      <c r="D705" s="12">
        <v>0.0012</v>
      </c>
    </row>
    <row r="706">
      <c r="A706" s="8">
        <v>42716.0</v>
      </c>
      <c r="B706" s="12">
        <v>-0.0016</v>
      </c>
      <c r="C706" s="12">
        <v>-8.100000000000001E-4</v>
      </c>
      <c r="D706" s="12">
        <v>0.0015199999999999999</v>
      </c>
    </row>
    <row r="707">
      <c r="A707" s="8">
        <v>42717.0</v>
      </c>
      <c r="B707" s="12">
        <v>-0.0016200000000000001</v>
      </c>
      <c r="C707" s="12">
        <v>-9.0E-4</v>
      </c>
      <c r="D707" s="12">
        <v>0.00131</v>
      </c>
    </row>
    <row r="708">
      <c r="A708" s="8">
        <v>42718.0</v>
      </c>
      <c r="B708" s="12">
        <v>-0.00167</v>
      </c>
      <c r="C708" s="12">
        <v>-0.0010199999999999999</v>
      </c>
      <c r="D708" s="12">
        <v>0.00104</v>
      </c>
    </row>
    <row r="709">
      <c r="A709" s="8">
        <v>42719.0</v>
      </c>
      <c r="B709" s="12">
        <v>-0.00164</v>
      </c>
      <c r="C709" s="12">
        <v>-9.47E-4</v>
      </c>
      <c r="D709" s="12">
        <v>0.00125</v>
      </c>
    </row>
    <row r="710">
      <c r="A710" s="8">
        <v>42720.0</v>
      </c>
      <c r="B710" s="12">
        <v>-0.00159</v>
      </c>
      <c r="C710" s="12">
        <v>-9.180000000000001E-4</v>
      </c>
      <c r="D710" s="12">
        <v>0.00122</v>
      </c>
    </row>
    <row r="711">
      <c r="A711" s="8">
        <v>42723.0</v>
      </c>
      <c r="B711" s="12">
        <v>-0.00157</v>
      </c>
      <c r="C711" s="12">
        <v>-0.001027</v>
      </c>
      <c r="D711" s="12">
        <v>9.4E-4</v>
      </c>
    </row>
    <row r="712">
      <c r="A712" s="8">
        <v>42724.0</v>
      </c>
      <c r="B712" s="12">
        <v>-0.0015840000000000001</v>
      </c>
      <c r="C712" s="12">
        <v>-9.54E-4</v>
      </c>
      <c r="D712" s="12">
        <v>0.0011</v>
      </c>
    </row>
    <row r="713">
      <c r="A713" s="8">
        <v>42725.0</v>
      </c>
      <c r="B713" s="12">
        <v>-0.00153</v>
      </c>
      <c r="C713" s="12">
        <v>-9.220000000000001E-4</v>
      </c>
      <c r="D713" s="12">
        <v>0.0010299999999999999</v>
      </c>
    </row>
    <row r="714">
      <c r="A714" s="8">
        <v>42726.0</v>
      </c>
      <c r="B714" s="12">
        <v>-0.00145</v>
      </c>
      <c r="C714" s="12">
        <v>-8.0E-4</v>
      </c>
      <c r="D714" s="12">
        <v>0.0012</v>
      </c>
    </row>
    <row r="715">
      <c r="A715" s="8">
        <v>42727.0</v>
      </c>
      <c r="B715" s="12">
        <v>-0.0014299999999999998</v>
      </c>
      <c r="C715" s="12">
        <v>-8.0E-4</v>
      </c>
      <c r="D715" s="12">
        <v>0.00108</v>
      </c>
    </row>
    <row r="716">
      <c r="A716" s="8">
        <v>42730.0</v>
      </c>
      <c r="B716" s="12">
        <v>-0.00145</v>
      </c>
      <c r="C716" s="12">
        <v>-8.07E-4</v>
      </c>
      <c r="D716" s="13">
        <v>0.00108</v>
      </c>
    </row>
    <row r="717">
      <c r="A717" s="8">
        <v>42731.0</v>
      </c>
      <c r="B717" s="12">
        <v>-0.0015</v>
      </c>
      <c r="C717" s="12">
        <v>-9.220000000000001E-4</v>
      </c>
      <c r="D717" s="12">
        <v>8.0E-4</v>
      </c>
    </row>
    <row r="718">
      <c r="A718" s="8">
        <v>42732.0</v>
      </c>
      <c r="B718" s="12">
        <v>-0.00151</v>
      </c>
      <c r="C718" s="12">
        <v>-9.299999999999999E-4</v>
      </c>
      <c r="D718" s="12">
        <v>9.5E-4</v>
      </c>
    </row>
    <row r="719">
      <c r="A719" s="8">
        <v>42733.0</v>
      </c>
      <c r="B719" s="12">
        <v>-0.0016</v>
      </c>
      <c r="C719" s="12">
        <v>-0.0010299999999999999</v>
      </c>
      <c r="D719" s="12">
        <v>7.8E-4</v>
      </c>
    </row>
    <row r="720">
      <c r="A720" s="8">
        <v>42734.0</v>
      </c>
      <c r="B720" s="12">
        <v>-0.001605</v>
      </c>
      <c r="C720" s="12">
        <v>-0.001</v>
      </c>
      <c r="D720" s="12">
        <v>7.7E-4</v>
      </c>
    </row>
    <row r="721">
      <c r="A721" s="8">
        <v>42737.0</v>
      </c>
      <c r="B721" s="12">
        <v>-0.0018</v>
      </c>
      <c r="C721" s="12">
        <v>-0.001215</v>
      </c>
      <c r="D721" s="12">
        <v>6.6E-4</v>
      </c>
    </row>
    <row r="722">
      <c r="A722" s="8">
        <v>42738.0</v>
      </c>
      <c r="B722" s="12">
        <v>-0.001633</v>
      </c>
      <c r="C722" s="12">
        <v>-0.0010040000000000001</v>
      </c>
      <c r="D722" s="12">
        <v>8.6E-4</v>
      </c>
    </row>
    <row r="723">
      <c r="A723" s="8">
        <v>42739.0</v>
      </c>
      <c r="B723" s="12">
        <v>-0.0016309999999999999</v>
      </c>
      <c r="C723" s="12">
        <v>-9.57E-4</v>
      </c>
      <c r="D723" s="12">
        <v>9.7E-4</v>
      </c>
    </row>
    <row r="724">
      <c r="A724" s="8">
        <v>42740.0</v>
      </c>
      <c r="B724" s="12">
        <v>-0.0016589999999999999</v>
      </c>
      <c r="C724" s="12">
        <v>-0.001003</v>
      </c>
      <c r="D724" s="12">
        <v>9.7E-4</v>
      </c>
    </row>
    <row r="725">
      <c r="A725" s="8">
        <v>42741.0</v>
      </c>
      <c r="B725" s="12">
        <v>-0.00159</v>
      </c>
      <c r="C725" s="12">
        <v>-8.02E-4</v>
      </c>
      <c r="D725" s="12">
        <v>0.0012</v>
      </c>
    </row>
    <row r="726">
      <c r="A726" s="8">
        <v>42744.0</v>
      </c>
      <c r="B726" s="12">
        <v>-0.00166</v>
      </c>
      <c r="C726" s="12">
        <v>-9.46E-4</v>
      </c>
      <c r="D726" s="12">
        <v>0.0011</v>
      </c>
    </row>
    <row r="727">
      <c r="A727" s="8">
        <v>42745.0</v>
      </c>
      <c r="B727" s="12">
        <v>-0.0017000000000000001</v>
      </c>
      <c r="C727" s="12">
        <v>-9.68E-4</v>
      </c>
      <c r="D727" s="12">
        <v>0.00108</v>
      </c>
    </row>
    <row r="728">
      <c r="A728" s="8">
        <v>42746.0</v>
      </c>
      <c r="B728" s="12">
        <v>-0.00184</v>
      </c>
      <c r="C728" s="12">
        <v>-0.00114</v>
      </c>
      <c r="D728" s="12">
        <v>8.100000000000001E-4</v>
      </c>
    </row>
    <row r="729">
      <c r="A729" s="8">
        <v>42747.0</v>
      </c>
      <c r="B729" s="12">
        <v>-0.00181</v>
      </c>
      <c r="C729" s="12">
        <v>-0.001138</v>
      </c>
      <c r="D729" s="12">
        <v>7.7E-4</v>
      </c>
    </row>
    <row r="730">
      <c r="A730" s="8">
        <v>42748.0</v>
      </c>
      <c r="B730" s="12">
        <v>-0.0017599999999999998</v>
      </c>
      <c r="C730" s="12">
        <v>-0.001119</v>
      </c>
      <c r="D730" s="12">
        <v>8.6E-4</v>
      </c>
    </row>
    <row r="731">
      <c r="A731" s="8">
        <v>42751.0</v>
      </c>
      <c r="B731" s="12">
        <v>-0.00185</v>
      </c>
      <c r="C731" s="12">
        <v>-0.001172</v>
      </c>
      <c r="D731" s="12">
        <v>7.95E-4</v>
      </c>
    </row>
    <row r="732">
      <c r="A732" s="8">
        <v>42752.0</v>
      </c>
      <c r="B732" s="12">
        <v>-0.00181</v>
      </c>
      <c r="C732" s="12">
        <v>-0.00114</v>
      </c>
      <c r="D732" s="12">
        <v>8.4E-4</v>
      </c>
    </row>
    <row r="733">
      <c r="A733" s="8">
        <v>42753.0</v>
      </c>
      <c r="B733" s="12">
        <v>-0.0017599999999999998</v>
      </c>
      <c r="C733" s="12">
        <v>-0.001</v>
      </c>
      <c r="D733" s="12">
        <v>0.0011</v>
      </c>
    </row>
    <row r="734">
      <c r="A734" s="8">
        <v>42754.0</v>
      </c>
      <c r="B734" s="12">
        <v>-0.00169</v>
      </c>
      <c r="C734" s="12">
        <v>-8.98E-4</v>
      </c>
      <c r="D734" s="12">
        <v>0.00132</v>
      </c>
    </row>
    <row r="735">
      <c r="A735" s="8">
        <v>42755.0</v>
      </c>
      <c r="B735" s="12">
        <v>-0.00158</v>
      </c>
      <c r="C735" s="12">
        <v>-7.019999999999999E-4</v>
      </c>
      <c r="D735" s="12">
        <v>0.00154</v>
      </c>
    </row>
    <row r="736">
      <c r="A736" s="8">
        <v>42758.0</v>
      </c>
      <c r="B736" s="12">
        <v>-0.0017000000000000001</v>
      </c>
      <c r="C736" s="12">
        <v>-9.2E-4</v>
      </c>
      <c r="D736" s="12">
        <v>0.0011949999999999999</v>
      </c>
    </row>
    <row r="737">
      <c r="A737" s="8">
        <v>42759.0</v>
      </c>
      <c r="B737" s="12">
        <v>-0.00165</v>
      </c>
      <c r="C737" s="12">
        <v>-8.0E-4</v>
      </c>
      <c r="D737" s="12">
        <v>0.0014399999999999999</v>
      </c>
    </row>
    <row r="738">
      <c r="A738" s="8">
        <v>42760.0</v>
      </c>
      <c r="B738" s="12">
        <v>-0.0015199999999999999</v>
      </c>
      <c r="C738" s="12">
        <v>-5.86E-4</v>
      </c>
      <c r="D738" s="12">
        <v>0.001865</v>
      </c>
    </row>
    <row r="739">
      <c r="A739" s="8">
        <v>42761.0</v>
      </c>
      <c r="B739" s="12">
        <v>-0.00147</v>
      </c>
      <c r="C739" s="12">
        <v>-4.8300000000000003E-4</v>
      </c>
      <c r="D739" s="12">
        <v>0.00201</v>
      </c>
    </row>
    <row r="740">
      <c r="A740" s="8">
        <v>42762.0</v>
      </c>
      <c r="B740" s="12">
        <v>-0.0014299999999999998</v>
      </c>
      <c r="C740" s="12">
        <v>-4.6699999999999997E-4</v>
      </c>
      <c r="D740" s="12">
        <v>0.00198</v>
      </c>
    </row>
    <row r="741">
      <c r="A741" s="8">
        <v>42765.0</v>
      </c>
      <c r="B741" s="12">
        <v>-0.0015</v>
      </c>
      <c r="C741" s="12">
        <v>-5.08E-4</v>
      </c>
      <c r="D741" s="12">
        <v>0.001938</v>
      </c>
    </row>
    <row r="742">
      <c r="A742" s="8">
        <v>42766.0</v>
      </c>
      <c r="B742" s="12">
        <v>-0.00155</v>
      </c>
      <c r="C742" s="12">
        <v>-5.5E-4</v>
      </c>
      <c r="D742" s="12">
        <v>0.00188</v>
      </c>
    </row>
    <row r="743">
      <c r="A743" s="8">
        <v>42767.0</v>
      </c>
      <c r="B743" s="12">
        <v>-0.001447</v>
      </c>
      <c r="C743" s="12">
        <v>-4.6E-4</v>
      </c>
      <c r="D743" s="12">
        <v>0.002</v>
      </c>
    </row>
    <row r="744">
      <c r="A744" s="8">
        <v>42768.0</v>
      </c>
      <c r="B744" s="12">
        <v>-0.0015010000000000002</v>
      </c>
      <c r="C744" s="12">
        <v>-5.86E-4</v>
      </c>
      <c r="D744" s="12">
        <v>0.0017699999999999999</v>
      </c>
    </row>
    <row r="745">
      <c r="A745" s="8">
        <v>42769.0</v>
      </c>
      <c r="B745" s="12">
        <v>-0.00153</v>
      </c>
      <c r="C745" s="12">
        <v>-6.510000000000001E-4</v>
      </c>
      <c r="D745" s="12">
        <v>0.0017100000000000001</v>
      </c>
    </row>
    <row r="746">
      <c r="A746" s="8">
        <v>42772.0</v>
      </c>
      <c r="B746" s="12">
        <v>-0.00153</v>
      </c>
      <c r="C746" s="12">
        <v>-7.36E-4</v>
      </c>
      <c r="D746" s="12">
        <v>0.00145</v>
      </c>
    </row>
    <row r="747">
      <c r="A747" s="8">
        <v>42773.0</v>
      </c>
      <c r="B747" s="12">
        <v>-0.0014399999999999999</v>
      </c>
      <c r="C747" s="12">
        <v>-6.410000000000001E-4</v>
      </c>
      <c r="D747" s="12">
        <v>0.00155</v>
      </c>
    </row>
    <row r="748">
      <c r="A748" s="8">
        <v>42774.0</v>
      </c>
      <c r="B748" s="12">
        <v>-0.001537</v>
      </c>
      <c r="C748" s="12">
        <v>-8.32E-4</v>
      </c>
      <c r="D748" s="12">
        <v>0.0012</v>
      </c>
    </row>
    <row r="749">
      <c r="A749" s="8">
        <v>42775.0</v>
      </c>
      <c r="B749" s="12">
        <v>-0.0014399999999999999</v>
      </c>
      <c r="C749" s="12">
        <v>-6.75E-4</v>
      </c>
      <c r="D749" s="12">
        <v>0.0013800000000000002</v>
      </c>
    </row>
    <row r="750">
      <c r="A750" s="8">
        <v>42776.0</v>
      </c>
      <c r="B750" s="12">
        <v>-0.0014299999999999998</v>
      </c>
      <c r="C750" s="12">
        <v>-6.35E-4</v>
      </c>
      <c r="D750" s="12">
        <v>0.0014199999999999998</v>
      </c>
    </row>
    <row r="751">
      <c r="A751" s="8">
        <v>42779.0</v>
      </c>
      <c r="B751" s="12">
        <v>-0.0013800000000000002</v>
      </c>
      <c r="C751" s="12">
        <v>-5.83E-4</v>
      </c>
      <c r="D751" s="12">
        <v>0.00157</v>
      </c>
    </row>
    <row r="752">
      <c r="A752" s="8">
        <v>42780.0</v>
      </c>
      <c r="B752" s="12">
        <v>-0.00134</v>
      </c>
      <c r="C752" s="12">
        <v>-4.95E-4</v>
      </c>
      <c r="D752" s="12">
        <v>0.00172</v>
      </c>
    </row>
    <row r="753">
      <c r="A753" s="8">
        <v>42781.0</v>
      </c>
      <c r="B753" s="12">
        <v>-0.00135</v>
      </c>
      <c r="C753" s="12">
        <v>-5.11E-4</v>
      </c>
      <c r="D753" s="12">
        <v>0.00165</v>
      </c>
    </row>
    <row r="754">
      <c r="A754" s="8">
        <v>42782.0</v>
      </c>
      <c r="B754" s="12">
        <v>-0.0013900000000000002</v>
      </c>
      <c r="C754" s="12">
        <v>-5.7E-4</v>
      </c>
      <c r="D754" s="12">
        <v>0.00149</v>
      </c>
    </row>
    <row r="755">
      <c r="A755" s="8">
        <v>42783.0</v>
      </c>
      <c r="B755" s="12">
        <v>-0.00149</v>
      </c>
      <c r="C755" s="12">
        <v>-7.520000000000001E-4</v>
      </c>
      <c r="D755" s="12">
        <v>0.00134</v>
      </c>
    </row>
    <row r="756">
      <c r="A756" s="8">
        <v>42786.0</v>
      </c>
      <c r="B756" s="12">
        <v>-0.001465</v>
      </c>
      <c r="C756" s="12">
        <v>-7.199999999999999E-4</v>
      </c>
      <c r="D756" s="12">
        <v>0.00134</v>
      </c>
    </row>
    <row r="757">
      <c r="A757" s="8">
        <v>42787.0</v>
      </c>
      <c r="B757" s="12">
        <v>-0.00149</v>
      </c>
      <c r="C757" s="12">
        <v>-7.37E-4</v>
      </c>
      <c r="D757" s="12">
        <v>0.00135</v>
      </c>
    </row>
    <row r="758">
      <c r="A758" s="8">
        <v>42788.0</v>
      </c>
      <c r="B758" s="12">
        <v>-0.00146</v>
      </c>
      <c r="C758" s="12">
        <v>-6.8E-4</v>
      </c>
      <c r="D758" s="12">
        <v>0.0013</v>
      </c>
    </row>
    <row r="759">
      <c r="A759" s="8">
        <v>42789.0</v>
      </c>
      <c r="B759" s="12">
        <v>-0.00157</v>
      </c>
      <c r="C759" s="12">
        <v>-9.19E-4</v>
      </c>
      <c r="D759" s="12">
        <v>0.00106</v>
      </c>
    </row>
    <row r="760">
      <c r="A760" s="8">
        <v>42790.0</v>
      </c>
      <c r="B760" s="12">
        <v>-0.0016300000000000002</v>
      </c>
      <c r="C760" s="12">
        <v>-9.91E-4</v>
      </c>
      <c r="D760" s="12">
        <v>9.4E-4</v>
      </c>
    </row>
    <row r="761">
      <c r="A761" s="8">
        <v>42793.0</v>
      </c>
      <c r="B761" s="12">
        <v>-0.0016200000000000001</v>
      </c>
      <c r="C761" s="12">
        <v>-9.67E-4</v>
      </c>
      <c r="D761" s="12">
        <v>9.6E-4</v>
      </c>
    </row>
    <row r="762">
      <c r="A762" s="8">
        <v>42794.0</v>
      </c>
      <c r="B762" s="12">
        <v>-0.00167</v>
      </c>
      <c r="C762" s="12">
        <v>-0.0010299999999999999</v>
      </c>
      <c r="D762" s="12">
        <v>7.8E-4</v>
      </c>
    </row>
    <row r="763">
      <c r="A763" s="8">
        <v>42795.0</v>
      </c>
      <c r="B763" s="12">
        <v>-0.0016300000000000002</v>
      </c>
      <c r="C763" s="12">
        <v>-9.25E-4</v>
      </c>
      <c r="D763" s="12">
        <v>0.00101</v>
      </c>
    </row>
    <row r="764">
      <c r="A764" s="8">
        <v>42796.0</v>
      </c>
      <c r="B764" s="12">
        <v>-0.0015</v>
      </c>
      <c r="C764" s="12">
        <v>-6.87E-4</v>
      </c>
      <c r="D764" s="12">
        <v>0.0014000000000000002</v>
      </c>
    </row>
    <row r="765">
      <c r="A765" s="8">
        <v>42797.0</v>
      </c>
      <c r="B765" s="12">
        <v>-0.00123</v>
      </c>
      <c r="C765" s="12">
        <v>-3.2099999999999994E-4</v>
      </c>
      <c r="D765" s="12">
        <v>0.0019</v>
      </c>
    </row>
    <row r="766">
      <c r="A766" s="8">
        <v>42800.0</v>
      </c>
      <c r="B766" s="12">
        <v>-0.0011899999999999999</v>
      </c>
      <c r="C766" s="12">
        <v>-2.7E-4</v>
      </c>
      <c r="D766" s="12">
        <v>0.001885</v>
      </c>
    </row>
    <row r="767">
      <c r="A767" s="8">
        <v>42801.0</v>
      </c>
      <c r="B767" s="12">
        <v>-0.0012900000000000001</v>
      </c>
      <c r="C767" s="12">
        <v>-4.1E-4</v>
      </c>
      <c r="D767" s="12">
        <v>0.0017280000000000002</v>
      </c>
    </row>
    <row r="768">
      <c r="A768" s="8">
        <v>42802.0</v>
      </c>
      <c r="B768" s="12">
        <v>-0.00121</v>
      </c>
      <c r="C768" s="12">
        <v>-2.97E-4</v>
      </c>
      <c r="D768" s="12">
        <v>0.00198</v>
      </c>
    </row>
    <row r="769">
      <c r="A769" s="8">
        <v>42803.0</v>
      </c>
      <c r="B769" s="12">
        <v>-0.001</v>
      </c>
      <c r="C769" s="12">
        <v>9.1E-5</v>
      </c>
      <c r="D769" s="12">
        <v>0.00262</v>
      </c>
    </row>
    <row r="770">
      <c r="A770" s="8">
        <v>42804.0</v>
      </c>
      <c r="B770" s="12">
        <v>-8.2E-4</v>
      </c>
      <c r="C770" s="12">
        <v>4.8E-4</v>
      </c>
      <c r="D770" s="12">
        <v>0.0032</v>
      </c>
    </row>
    <row r="771">
      <c r="A771" s="8">
        <v>42807.0</v>
      </c>
      <c r="B771" s="12">
        <v>-9.299999999999999E-4</v>
      </c>
      <c r="C771" s="12">
        <v>2.46E-4</v>
      </c>
      <c r="D771" s="12">
        <v>0.00301</v>
      </c>
    </row>
    <row r="772">
      <c r="A772" s="8">
        <v>42808.0</v>
      </c>
      <c r="B772" s="12">
        <v>-0.0010299999999999999</v>
      </c>
      <c r="C772" s="12">
        <v>1.4800000000000002E-4</v>
      </c>
      <c r="D772" s="12">
        <v>0.0027300000000000002</v>
      </c>
    </row>
    <row r="773">
      <c r="A773" s="8">
        <v>42809.0</v>
      </c>
      <c r="B773" s="12">
        <v>-0.00107</v>
      </c>
      <c r="C773" s="12">
        <v>2.2000000000000003E-5</v>
      </c>
      <c r="D773" s="12">
        <v>0.00253</v>
      </c>
    </row>
    <row r="774">
      <c r="A774" s="8">
        <v>42810.0</v>
      </c>
      <c r="B774" s="12">
        <v>-0.00105</v>
      </c>
      <c r="C774" s="12">
        <v>7.900000000000001E-5</v>
      </c>
      <c r="D774" s="12">
        <v>0.00271</v>
      </c>
    </row>
    <row r="775">
      <c r="A775" s="8">
        <v>42811.0</v>
      </c>
      <c r="B775" s="12">
        <v>-9.57E-4</v>
      </c>
      <c r="C775" s="12">
        <v>1.7600000000000002E-4</v>
      </c>
      <c r="D775" s="12">
        <v>0.00264</v>
      </c>
    </row>
    <row r="776">
      <c r="A776" s="8">
        <v>42814.0</v>
      </c>
      <c r="B776" s="12">
        <v>-9.0E-4</v>
      </c>
      <c r="C776" s="12">
        <v>2.48E-4</v>
      </c>
      <c r="D776" s="12">
        <v>0.0027400000000000002</v>
      </c>
    </row>
    <row r="777">
      <c r="A777" s="8">
        <v>42815.0</v>
      </c>
      <c r="B777" s="12">
        <v>-8.2E-4</v>
      </c>
      <c r="C777" s="12">
        <v>2.9600000000000004E-4</v>
      </c>
      <c r="D777" s="12">
        <v>0.0028699999999999997</v>
      </c>
    </row>
    <row r="778">
      <c r="A778" s="8">
        <v>42816.0</v>
      </c>
      <c r="B778" s="12">
        <v>-9.4E-4</v>
      </c>
      <c r="C778" s="12">
        <v>1.7999999999999998E-4</v>
      </c>
      <c r="D778" s="12">
        <v>0.00261</v>
      </c>
    </row>
    <row r="779">
      <c r="A779" s="8">
        <v>42817.0</v>
      </c>
      <c r="B779" s="12">
        <v>-8.799999999999999E-4</v>
      </c>
      <c r="C779" s="12">
        <v>2.4400000000000002E-4</v>
      </c>
      <c r="D779" s="12">
        <v>0.00272</v>
      </c>
    </row>
    <row r="780">
      <c r="A780" s="8">
        <v>42818.0</v>
      </c>
      <c r="B780" s="12">
        <v>-9.299999999999999E-4</v>
      </c>
      <c r="C780" s="12">
        <v>2.3099999999999998E-4</v>
      </c>
      <c r="D780" s="12">
        <v>0.00271</v>
      </c>
    </row>
    <row r="781">
      <c r="A781" s="8">
        <v>42821.0</v>
      </c>
      <c r="B781" s="12">
        <v>-0.001</v>
      </c>
      <c r="C781" s="12">
        <v>1.04E-4</v>
      </c>
      <c r="D781" s="12">
        <v>0.00251</v>
      </c>
    </row>
    <row r="782">
      <c r="A782" s="8">
        <v>42822.0</v>
      </c>
      <c r="B782" s="12">
        <v>-0.0011</v>
      </c>
      <c r="C782" s="12">
        <v>-7.2E-5</v>
      </c>
      <c r="D782" s="12">
        <v>0.00241</v>
      </c>
    </row>
    <row r="783">
      <c r="A783" s="8">
        <v>42823.0</v>
      </c>
      <c r="B783" s="12">
        <v>-0.00125</v>
      </c>
      <c r="C783" s="12">
        <v>-2.6E-4</v>
      </c>
      <c r="D783" s="12">
        <v>0.001996</v>
      </c>
    </row>
    <row r="784">
      <c r="A784" s="8">
        <v>42824.0</v>
      </c>
      <c r="B784" s="12">
        <v>-0.00134</v>
      </c>
      <c r="C784" s="12">
        <v>-4.1E-4</v>
      </c>
      <c r="D784" s="12">
        <v>0.00185</v>
      </c>
    </row>
    <row r="785">
      <c r="A785" s="8">
        <v>42825.0</v>
      </c>
      <c r="B785" s="12">
        <v>-0.00135</v>
      </c>
      <c r="C785" s="12">
        <v>-3.5000000000000005E-4</v>
      </c>
      <c r="D785" s="12">
        <v>0.001835</v>
      </c>
    </row>
    <row r="786">
      <c r="A786" s="8">
        <v>42828.0</v>
      </c>
      <c r="B786" s="12">
        <v>-0.0015</v>
      </c>
      <c r="C786" s="12">
        <v>-6.13E-4</v>
      </c>
      <c r="D786" s="12">
        <v>0.00159</v>
      </c>
    </row>
    <row r="787">
      <c r="A787" s="8">
        <v>42829.0</v>
      </c>
      <c r="B787" s="12">
        <v>-0.00151</v>
      </c>
      <c r="C787" s="12">
        <v>-6.64E-4</v>
      </c>
      <c r="D787" s="12">
        <v>0.00155</v>
      </c>
    </row>
    <row r="788">
      <c r="A788" s="8">
        <v>42830.0</v>
      </c>
      <c r="B788" s="12">
        <v>-0.00155</v>
      </c>
      <c r="C788" s="12">
        <v>-6.4E-4</v>
      </c>
      <c r="D788" s="12">
        <v>0.00151</v>
      </c>
    </row>
    <row r="789">
      <c r="A789" s="8">
        <v>42831.0</v>
      </c>
      <c r="B789" s="12">
        <v>-0.00149</v>
      </c>
      <c r="C789" s="12">
        <v>-5.7E-4</v>
      </c>
      <c r="D789" s="12">
        <v>0.00156</v>
      </c>
    </row>
    <row r="790">
      <c r="A790" s="8">
        <v>42832.0</v>
      </c>
      <c r="B790" s="12">
        <v>-0.00153</v>
      </c>
      <c r="C790" s="12">
        <v>-6.7E-4</v>
      </c>
      <c r="D790" s="12">
        <v>0.00149</v>
      </c>
    </row>
    <row r="791">
      <c r="A791" s="8">
        <v>42835.0</v>
      </c>
      <c r="B791" s="12">
        <v>-0.00161</v>
      </c>
      <c r="C791" s="12">
        <v>-7.599999999999999E-4</v>
      </c>
      <c r="D791" s="12">
        <v>0.0013</v>
      </c>
    </row>
    <row r="792">
      <c r="A792" s="8">
        <v>42836.0</v>
      </c>
      <c r="B792" s="12">
        <v>-0.0016200000000000001</v>
      </c>
      <c r="C792" s="12">
        <v>-8.2E-4</v>
      </c>
      <c r="D792" s="12">
        <v>0.00135</v>
      </c>
    </row>
    <row r="793">
      <c r="A793" s="8">
        <v>42837.0</v>
      </c>
      <c r="B793" s="12">
        <v>-0.00154</v>
      </c>
      <c r="C793" s="12">
        <v>-7.66E-4</v>
      </c>
      <c r="D793" s="12">
        <v>0.00134</v>
      </c>
    </row>
    <row r="794">
      <c r="A794" s="8">
        <v>42838.0</v>
      </c>
      <c r="B794" s="12">
        <v>-0.00159</v>
      </c>
      <c r="C794" s="12">
        <v>-8.4E-4</v>
      </c>
      <c r="D794" s="12">
        <v>0.00116</v>
      </c>
    </row>
    <row r="795">
      <c r="A795" s="8">
        <v>42839.0</v>
      </c>
      <c r="B795" s="13">
        <v>-0.00159</v>
      </c>
      <c r="C795" s="13">
        <v>-8.4E-4</v>
      </c>
      <c r="D795" s="12">
        <v>0.00123</v>
      </c>
    </row>
    <row r="796">
      <c r="A796" s="8">
        <v>42842.0</v>
      </c>
      <c r="B796" s="12">
        <v>-0.00158</v>
      </c>
      <c r="C796" s="12">
        <v>-8.42E-4</v>
      </c>
      <c r="D796" s="12">
        <v>0.00116</v>
      </c>
    </row>
    <row r="797">
      <c r="A797" s="8">
        <v>42843.0</v>
      </c>
      <c r="B797" s="12">
        <v>-0.00161</v>
      </c>
      <c r="C797" s="12">
        <v>-8.9E-4</v>
      </c>
      <c r="D797" s="12">
        <v>0.00107</v>
      </c>
    </row>
    <row r="798">
      <c r="A798" s="8">
        <v>42844.0</v>
      </c>
      <c r="B798" s="12">
        <v>-0.0016</v>
      </c>
      <c r="C798" s="12">
        <v>-8.100000000000001E-4</v>
      </c>
      <c r="D798" s="12">
        <v>0.00124</v>
      </c>
    </row>
    <row r="799">
      <c r="A799" s="8">
        <v>42845.0</v>
      </c>
      <c r="B799" s="12">
        <v>-0.00146</v>
      </c>
      <c r="C799" s="12">
        <v>-6.5E-4</v>
      </c>
      <c r="D799" s="12">
        <v>0.00154</v>
      </c>
    </row>
    <row r="800">
      <c r="A800" s="8">
        <v>42846.0</v>
      </c>
      <c r="B800" s="12">
        <v>-0.0014399999999999999</v>
      </c>
      <c r="C800" s="12">
        <v>-5.0E-4</v>
      </c>
      <c r="D800" s="12">
        <v>0.0017599999999999998</v>
      </c>
    </row>
    <row r="801">
      <c r="A801" s="8">
        <v>42849.0</v>
      </c>
      <c r="B801" s="12">
        <v>-0.0014099999999999998</v>
      </c>
      <c r="C801" s="12">
        <v>-3.63E-4</v>
      </c>
      <c r="D801" s="12">
        <v>0.00196</v>
      </c>
    </row>
    <row r="802">
      <c r="A802" s="8">
        <v>42850.0</v>
      </c>
      <c r="B802" s="12">
        <v>-0.00127</v>
      </c>
      <c r="C802" s="12">
        <v>-1.4000000000000001E-4</v>
      </c>
      <c r="D802" s="12">
        <v>0.002347</v>
      </c>
    </row>
    <row r="803">
      <c r="A803" s="8">
        <v>42851.0</v>
      </c>
      <c r="B803" s="12">
        <v>-0.0013800000000000002</v>
      </c>
      <c r="C803" s="12">
        <v>-2.07E-4</v>
      </c>
      <c r="D803" s="12">
        <v>0.00223</v>
      </c>
    </row>
    <row r="804">
      <c r="A804" s="8">
        <v>42852.0</v>
      </c>
      <c r="B804" s="12">
        <v>-0.00151</v>
      </c>
      <c r="C804" s="12">
        <v>-5.3E-4</v>
      </c>
      <c r="D804" s="12">
        <v>0.00183</v>
      </c>
    </row>
    <row r="805">
      <c r="A805" s="8">
        <v>42853.0</v>
      </c>
      <c r="B805" s="12">
        <v>-0.0014099999999999998</v>
      </c>
      <c r="C805" s="12">
        <v>-3.5999999999999997E-4</v>
      </c>
      <c r="D805" s="12">
        <v>0.00192</v>
      </c>
    </row>
    <row r="806">
      <c r="A806" s="8">
        <v>42856.0</v>
      </c>
      <c r="B806" s="12">
        <v>-0.00145</v>
      </c>
      <c r="C806" s="12">
        <v>-4.31E-4</v>
      </c>
      <c r="D806" s="12">
        <v>0.0019</v>
      </c>
    </row>
    <row r="807">
      <c r="A807" s="8">
        <v>42857.0</v>
      </c>
      <c r="B807" s="12">
        <v>-0.0015199999999999999</v>
      </c>
      <c r="C807" s="12">
        <v>-4.8300000000000003E-4</v>
      </c>
      <c r="D807" s="12">
        <v>0.00202</v>
      </c>
    </row>
    <row r="808">
      <c r="A808" s="8">
        <v>42858.0</v>
      </c>
      <c r="B808" s="12">
        <v>-0.00158</v>
      </c>
      <c r="C808" s="12">
        <v>-4.8E-4</v>
      </c>
      <c r="D808" s="12">
        <v>0.00198</v>
      </c>
    </row>
    <row r="809">
      <c r="A809" s="8">
        <v>42859.0</v>
      </c>
      <c r="B809" s="12">
        <v>-0.0012900000000000001</v>
      </c>
      <c r="C809" s="12">
        <v>-2.0E-4</v>
      </c>
      <c r="D809" s="12">
        <v>0.00229</v>
      </c>
    </row>
    <row r="810">
      <c r="A810" s="8">
        <v>42860.0</v>
      </c>
      <c r="B810" s="12">
        <v>-0.00131</v>
      </c>
      <c r="C810" s="12">
        <v>-8.999999999999999E-5</v>
      </c>
      <c r="D810" s="12">
        <v>0.002455</v>
      </c>
    </row>
    <row r="811">
      <c r="A811" s="8">
        <v>42863.0</v>
      </c>
      <c r="B811" s="12">
        <v>-0.00124</v>
      </c>
      <c r="C811" s="12">
        <v>-6.5E-5</v>
      </c>
      <c r="D811" s="12">
        <v>0.00242</v>
      </c>
    </row>
    <row r="812">
      <c r="A812" s="8">
        <v>42864.0</v>
      </c>
      <c r="B812" s="12">
        <v>-0.00128</v>
      </c>
      <c r="C812" s="12">
        <v>-1.4000000000000001E-4</v>
      </c>
      <c r="D812" s="12">
        <v>0.002375</v>
      </c>
    </row>
    <row r="813">
      <c r="A813" s="8">
        <v>42865.0</v>
      </c>
      <c r="B813" s="12">
        <v>-0.0012900000000000001</v>
      </c>
      <c r="C813" s="12">
        <v>-1.4000000000000001E-4</v>
      </c>
      <c r="D813" s="12">
        <v>0.0023499999999999997</v>
      </c>
    </row>
    <row r="814">
      <c r="A814" s="8">
        <v>42866.0</v>
      </c>
      <c r="B814" s="12">
        <v>-0.00134</v>
      </c>
      <c r="C814" s="12">
        <v>-2.0E-4</v>
      </c>
      <c r="D814" s="12">
        <v>0.00226</v>
      </c>
    </row>
    <row r="815">
      <c r="A815" s="8">
        <v>42867.0</v>
      </c>
      <c r="B815" s="12">
        <v>-0.00145</v>
      </c>
      <c r="C815" s="12">
        <v>-3.9E-4</v>
      </c>
      <c r="D815" s="12">
        <v>0.00209</v>
      </c>
    </row>
    <row r="816">
      <c r="A816" s="8">
        <v>42870.0</v>
      </c>
      <c r="B816" s="12">
        <v>-0.00145</v>
      </c>
      <c r="C816" s="12">
        <v>-3.93E-4</v>
      </c>
      <c r="D816" s="12">
        <v>0.00211</v>
      </c>
    </row>
    <row r="817">
      <c r="A817" s="8">
        <v>42871.0</v>
      </c>
      <c r="B817" s="12">
        <v>-0.00136</v>
      </c>
      <c r="C817" s="12">
        <v>-3.1600000000000004E-4</v>
      </c>
      <c r="D817" s="12">
        <v>0.00227</v>
      </c>
    </row>
    <row r="818">
      <c r="A818" s="8">
        <v>42872.0</v>
      </c>
      <c r="B818" s="12">
        <v>-0.00154</v>
      </c>
      <c r="C818" s="12">
        <v>-5.55E-4</v>
      </c>
      <c r="D818" s="12">
        <v>0.001805</v>
      </c>
    </row>
    <row r="819">
      <c r="A819" s="8">
        <v>42873.0</v>
      </c>
      <c r="B819" s="12">
        <v>-0.00153</v>
      </c>
      <c r="C819" s="12">
        <v>-4.6E-4</v>
      </c>
      <c r="D819" s="12">
        <v>0.0018</v>
      </c>
    </row>
    <row r="820">
      <c r="A820" s="8">
        <v>42874.0</v>
      </c>
      <c r="B820" s="12">
        <v>-0.0014000000000000002</v>
      </c>
      <c r="C820" s="12">
        <v>-3.5999999999999997E-4</v>
      </c>
      <c r="D820" s="12">
        <v>0.00199</v>
      </c>
    </row>
    <row r="821">
      <c r="A821" s="8">
        <v>42877.0</v>
      </c>
      <c r="B821" s="12">
        <v>-0.00133</v>
      </c>
      <c r="C821" s="12">
        <v>-2.47E-4</v>
      </c>
      <c r="D821" s="12">
        <v>0.00218</v>
      </c>
    </row>
    <row r="822">
      <c r="A822" s="8">
        <v>42878.0</v>
      </c>
      <c r="B822" s="12">
        <v>-0.001313</v>
      </c>
      <c r="C822" s="12">
        <v>-2.49E-4</v>
      </c>
      <c r="D822" s="12">
        <v>0.00222</v>
      </c>
    </row>
    <row r="823">
      <c r="A823" s="8">
        <v>42879.0</v>
      </c>
      <c r="B823" s="12">
        <v>-0.0013900000000000002</v>
      </c>
      <c r="C823" s="12">
        <v>-2.8000000000000003E-4</v>
      </c>
      <c r="D823" s="12">
        <v>0.0022</v>
      </c>
    </row>
    <row r="824">
      <c r="A824" s="8">
        <v>42880.0</v>
      </c>
      <c r="B824" s="12">
        <v>-0.001456</v>
      </c>
      <c r="C824" s="12">
        <v>-3.87E-4</v>
      </c>
      <c r="D824" s="12">
        <v>0.002035</v>
      </c>
    </row>
    <row r="825">
      <c r="A825" s="8">
        <v>42881.0</v>
      </c>
      <c r="B825" s="12">
        <v>-0.001562</v>
      </c>
      <c r="C825" s="12">
        <v>-5.16E-4</v>
      </c>
      <c r="D825" s="12">
        <v>0.001835</v>
      </c>
    </row>
    <row r="826">
      <c r="A826" s="8">
        <v>42884.0</v>
      </c>
      <c r="B826" s="12">
        <v>-0.001605</v>
      </c>
      <c r="C826" s="12">
        <v>-6.64E-4</v>
      </c>
      <c r="D826" s="12">
        <v>0.0017100000000000001</v>
      </c>
    </row>
    <row r="827">
      <c r="A827" s="8">
        <v>42885.0</v>
      </c>
      <c r="B827" s="12">
        <v>-0.0016320000000000002</v>
      </c>
      <c r="C827" s="12">
        <v>-7.099999999999999E-4</v>
      </c>
      <c r="D827" s="12">
        <v>0.001648</v>
      </c>
    </row>
    <row r="828">
      <c r="A828" s="8">
        <v>42886.0</v>
      </c>
      <c r="B828" s="12">
        <v>-0.0016200000000000001</v>
      </c>
      <c r="C828" s="12">
        <v>-7.49E-4</v>
      </c>
      <c r="D828" s="12">
        <v>0.001643</v>
      </c>
    </row>
    <row r="829">
      <c r="A829" s="8">
        <v>42887.0</v>
      </c>
      <c r="B829" s="12">
        <v>-0.0016170000000000002</v>
      </c>
      <c r="C829" s="12">
        <v>-6.900000000000001E-4</v>
      </c>
      <c r="D829" s="12">
        <v>0.0017349999999999998</v>
      </c>
    </row>
    <row r="830">
      <c r="A830" s="8">
        <v>42888.0</v>
      </c>
      <c r="B830" s="12">
        <v>-0.0016300000000000002</v>
      </c>
      <c r="C830" s="12">
        <v>-6.900000000000001E-4</v>
      </c>
      <c r="D830" s="12">
        <v>0.00161</v>
      </c>
    </row>
    <row r="831">
      <c r="A831" s="8">
        <v>42891.0</v>
      </c>
      <c r="B831" s="12">
        <v>-0.001595</v>
      </c>
      <c r="C831" s="12">
        <v>-6.65E-4</v>
      </c>
      <c r="D831" s="12">
        <v>0.001645</v>
      </c>
    </row>
    <row r="832">
      <c r="A832" s="8">
        <v>42892.0</v>
      </c>
      <c r="B832" s="12">
        <v>-0.0016020000000000001</v>
      </c>
      <c r="C832" s="12">
        <v>-7.65E-4</v>
      </c>
      <c r="D832" s="12">
        <v>0.0015199999999999999</v>
      </c>
    </row>
    <row r="833">
      <c r="A833" s="8">
        <v>42893.0</v>
      </c>
      <c r="B833" s="12">
        <v>-0.0016950000000000001</v>
      </c>
      <c r="C833" s="12">
        <v>-7.96E-4</v>
      </c>
      <c r="D833" s="12">
        <v>0.0014960000000000002</v>
      </c>
    </row>
    <row r="834">
      <c r="A834" s="8">
        <v>42894.0</v>
      </c>
      <c r="B834" s="12">
        <v>-0.0017410000000000001</v>
      </c>
      <c r="C834" s="12">
        <v>-8.77E-4</v>
      </c>
      <c r="D834" s="12">
        <v>0.00147</v>
      </c>
    </row>
    <row r="835">
      <c r="A835" s="8">
        <v>42895.0</v>
      </c>
      <c r="B835" s="12">
        <v>-0.001825</v>
      </c>
      <c r="C835" s="12">
        <v>-9.0E-4</v>
      </c>
      <c r="D835" s="12">
        <v>0.0014199999999999998</v>
      </c>
    </row>
    <row r="836">
      <c r="A836" s="8">
        <v>42898.0</v>
      </c>
      <c r="B836" s="12">
        <v>-0.001865</v>
      </c>
      <c r="C836" s="12">
        <v>-0.001015</v>
      </c>
      <c r="D836" s="12">
        <v>0.0012909999999999998</v>
      </c>
    </row>
    <row r="837">
      <c r="A837" s="8">
        <v>42899.0</v>
      </c>
      <c r="B837" s="12">
        <v>-0.001838</v>
      </c>
      <c r="C837" s="12">
        <v>-9.72E-4</v>
      </c>
      <c r="D837" s="12">
        <v>0.0014299999999999998</v>
      </c>
    </row>
    <row r="838">
      <c r="A838" s="8">
        <v>42900.0</v>
      </c>
      <c r="B838" s="12">
        <v>-0.00196</v>
      </c>
      <c r="C838" s="12">
        <v>-0.00104</v>
      </c>
      <c r="D838" s="12">
        <v>0.0011200000000000001</v>
      </c>
    </row>
    <row r="839">
      <c r="A839" s="8">
        <v>42901.0</v>
      </c>
      <c r="B839" s="12">
        <v>-0.001835</v>
      </c>
      <c r="C839" s="12">
        <v>-8.92E-4</v>
      </c>
      <c r="D839" s="12">
        <v>0.001477</v>
      </c>
    </row>
    <row r="840">
      <c r="A840" s="8">
        <v>42902.0</v>
      </c>
      <c r="B840" s="12">
        <v>-0.001845</v>
      </c>
      <c r="C840" s="12">
        <v>-9.87E-4</v>
      </c>
      <c r="D840" s="12">
        <v>0.0013880000000000001</v>
      </c>
    </row>
    <row r="841">
      <c r="A841" s="8">
        <v>42905.0</v>
      </c>
      <c r="B841" s="12">
        <v>-0.001837</v>
      </c>
      <c r="C841" s="12">
        <v>-9.0E-4</v>
      </c>
      <c r="D841" s="12">
        <v>0.00145</v>
      </c>
    </row>
    <row r="842">
      <c r="A842" s="8">
        <v>42906.0</v>
      </c>
      <c r="B842" s="12">
        <v>-0.00193</v>
      </c>
      <c r="C842" s="12">
        <v>-0.001032</v>
      </c>
      <c r="D842" s="12">
        <v>0.001275</v>
      </c>
    </row>
    <row r="843">
      <c r="A843" s="8">
        <v>42907.0</v>
      </c>
      <c r="B843" s="12">
        <v>-0.0018599999999999999</v>
      </c>
      <c r="C843" s="12">
        <v>-9.4E-4</v>
      </c>
      <c r="D843" s="12">
        <v>0.0013900000000000002</v>
      </c>
    </row>
    <row r="844">
      <c r="A844" s="8">
        <v>42908.0</v>
      </c>
      <c r="B844" s="12">
        <v>-0.001875</v>
      </c>
      <c r="C844" s="12">
        <v>-9.7E-4</v>
      </c>
      <c r="D844" s="12">
        <v>0.00127</v>
      </c>
    </row>
    <row r="845">
      <c r="A845" s="8">
        <v>42909.0</v>
      </c>
      <c r="B845" s="12">
        <v>-0.001845</v>
      </c>
      <c r="C845" s="12">
        <v>-8.24E-4</v>
      </c>
      <c r="D845" s="12">
        <v>0.001371</v>
      </c>
    </row>
    <row r="846">
      <c r="A846" s="8">
        <v>42912.0</v>
      </c>
      <c r="B846" s="12">
        <v>-0.0018</v>
      </c>
      <c r="C846" s="12">
        <v>-8.4E-4</v>
      </c>
      <c r="D846" s="12">
        <v>0.0014010000000000001</v>
      </c>
    </row>
    <row r="847">
      <c r="A847" s="8">
        <v>42913.0</v>
      </c>
      <c r="B847" s="12">
        <v>-0.00146</v>
      </c>
      <c r="C847" s="12">
        <v>-3.88E-4</v>
      </c>
      <c r="D847" s="12">
        <v>0.0022400000000000002</v>
      </c>
    </row>
    <row r="848">
      <c r="A848" s="8">
        <v>42914.0</v>
      </c>
      <c r="B848" s="12">
        <v>-0.001565</v>
      </c>
      <c r="C848" s="12">
        <v>-3.4700000000000003E-4</v>
      </c>
      <c r="D848" s="12">
        <v>0.002123</v>
      </c>
    </row>
    <row r="849">
      <c r="A849" s="8">
        <v>42915.0</v>
      </c>
      <c r="B849" s="12">
        <v>-0.0013900000000000002</v>
      </c>
      <c r="C849" s="12">
        <v>-1.4099999999999998E-4</v>
      </c>
      <c r="D849" s="12">
        <v>0.002585</v>
      </c>
    </row>
    <row r="850">
      <c r="A850" s="8">
        <v>42916.0</v>
      </c>
      <c r="B850" s="12">
        <v>-0.001255</v>
      </c>
      <c r="C850" s="12">
        <v>1.8E-5</v>
      </c>
      <c r="D850" s="12">
        <v>0.002755</v>
      </c>
    </row>
    <row r="851">
      <c r="A851" s="8">
        <v>42919.0</v>
      </c>
      <c r="B851" s="12">
        <v>-0.00127</v>
      </c>
      <c r="C851" s="12">
        <v>1.9E-5</v>
      </c>
      <c r="D851" s="12">
        <v>0.00272</v>
      </c>
    </row>
    <row r="852">
      <c r="A852" s="8">
        <v>42920.0</v>
      </c>
      <c r="B852" s="12">
        <v>-0.001355</v>
      </c>
      <c r="C852" s="12">
        <v>-8.0E-5</v>
      </c>
      <c r="D852" s="12">
        <v>0.0027400000000000002</v>
      </c>
    </row>
    <row r="853">
      <c r="A853" s="8">
        <v>42921.0</v>
      </c>
      <c r="B853" s="12">
        <v>-0.00135</v>
      </c>
      <c r="C853" s="12">
        <v>-8.2E-5</v>
      </c>
      <c r="D853" s="12">
        <v>0.002735</v>
      </c>
    </row>
    <row r="854">
      <c r="A854" s="8">
        <v>42922.0</v>
      </c>
      <c r="B854" s="12">
        <v>-0.0011899999999999999</v>
      </c>
      <c r="C854" s="12">
        <v>2.35E-4</v>
      </c>
      <c r="D854" s="12">
        <v>0.00329</v>
      </c>
    </row>
    <row r="855">
      <c r="A855" s="8">
        <v>42923.0</v>
      </c>
      <c r="B855" s="12">
        <v>-0.0011949999999999999</v>
      </c>
      <c r="C855" s="12">
        <v>2.28E-4</v>
      </c>
      <c r="D855" s="12">
        <v>0.003295</v>
      </c>
    </row>
    <row r="856">
      <c r="A856" s="8">
        <v>42926.0</v>
      </c>
      <c r="B856" s="12">
        <v>-0.001215</v>
      </c>
      <c r="C856" s="12">
        <v>1.34E-4</v>
      </c>
      <c r="D856" s="12">
        <v>0.003165</v>
      </c>
    </row>
    <row r="857">
      <c r="A857" s="8">
        <v>42927.0</v>
      </c>
      <c r="B857" s="12">
        <v>-0.0011849999999999999</v>
      </c>
      <c r="C857" s="12">
        <v>1.5900000000000002E-4</v>
      </c>
      <c r="D857" s="12">
        <v>0.00315</v>
      </c>
    </row>
    <row r="858">
      <c r="A858" s="8">
        <v>42928.0</v>
      </c>
      <c r="B858" s="12">
        <v>-0.0012590000000000001</v>
      </c>
      <c r="C858" s="12">
        <v>9.400000000000001E-5</v>
      </c>
      <c r="D858" s="12">
        <v>0.003043</v>
      </c>
    </row>
    <row r="859">
      <c r="A859" s="8">
        <v>42929.0</v>
      </c>
      <c r="B859" s="12">
        <v>-0.00125</v>
      </c>
      <c r="C859" s="12">
        <v>7.0E-6</v>
      </c>
      <c r="D859" s="12">
        <v>0.00309</v>
      </c>
    </row>
    <row r="860">
      <c r="A860" s="8">
        <v>42930.0</v>
      </c>
      <c r="B860" s="12">
        <v>-0.0012339999999999999</v>
      </c>
      <c r="C860" s="12">
        <v>1.7999999999999998E-4</v>
      </c>
      <c r="D860" s="12">
        <v>0.003195</v>
      </c>
    </row>
    <row r="861">
      <c r="A861" s="8">
        <v>42933.0</v>
      </c>
      <c r="B861" s="12">
        <v>-0.0013</v>
      </c>
      <c r="C861" s="12">
        <v>2.1E-5</v>
      </c>
      <c r="D861" s="12">
        <v>0.003095</v>
      </c>
    </row>
    <row r="862">
      <c r="A862" s="8">
        <v>42934.0</v>
      </c>
      <c r="B862" s="12">
        <v>-0.0013650000000000001</v>
      </c>
      <c r="C862" s="12">
        <v>-5.4000000000000005E-5</v>
      </c>
      <c r="D862" s="12">
        <v>0.002977</v>
      </c>
    </row>
    <row r="863">
      <c r="A863" s="8">
        <v>42935.0</v>
      </c>
      <c r="B863" s="12">
        <v>-0.00146</v>
      </c>
      <c r="C863" s="12">
        <v>-1.38E-4</v>
      </c>
      <c r="D863" s="12">
        <v>0.002784</v>
      </c>
    </row>
    <row r="864">
      <c r="A864" s="8">
        <v>42936.0</v>
      </c>
      <c r="B864" s="12">
        <v>-0.001505</v>
      </c>
      <c r="C864" s="12">
        <v>-1.6E-4</v>
      </c>
      <c r="D864" s="12">
        <v>0.002751</v>
      </c>
    </row>
    <row r="865">
      <c r="A865" s="8">
        <v>42937.0</v>
      </c>
      <c r="B865" s="12">
        <v>-0.001585</v>
      </c>
      <c r="C865" s="12">
        <v>-3.4E-4</v>
      </c>
      <c r="D865" s="12">
        <v>0.0025009999999999998</v>
      </c>
    </row>
    <row r="866">
      <c r="A866" s="8">
        <v>42940.0</v>
      </c>
      <c r="B866" s="12">
        <v>-0.0016</v>
      </c>
      <c r="C866" s="12">
        <v>-3.7999999999999997E-4</v>
      </c>
      <c r="D866" s="12">
        <v>0.0025169999999999997</v>
      </c>
    </row>
    <row r="867">
      <c r="A867" s="8">
        <v>42941.0</v>
      </c>
      <c r="B867" s="12">
        <v>-0.00154</v>
      </c>
      <c r="C867" s="12">
        <v>-2.89E-4</v>
      </c>
      <c r="D867" s="12">
        <v>0.002775</v>
      </c>
    </row>
    <row r="868">
      <c r="A868" s="8">
        <v>42942.0</v>
      </c>
      <c r="B868" s="12">
        <v>-0.001565</v>
      </c>
      <c r="C868" s="12">
        <v>-3.25E-4</v>
      </c>
      <c r="D868" s="12">
        <v>0.0027600000000000003</v>
      </c>
    </row>
    <row r="869">
      <c r="A869" s="8">
        <v>42943.0</v>
      </c>
      <c r="B869" s="12">
        <v>-0.00158</v>
      </c>
      <c r="C869" s="12">
        <v>-3.1E-4</v>
      </c>
      <c r="D869" s="12">
        <v>0.00266</v>
      </c>
    </row>
    <row r="870">
      <c r="A870" s="8">
        <v>42944.0</v>
      </c>
      <c r="B870" s="12">
        <v>-0.001545</v>
      </c>
      <c r="C870" s="12">
        <v>-2.6E-4</v>
      </c>
      <c r="D870" s="12">
        <v>0.00271</v>
      </c>
    </row>
    <row r="871">
      <c r="A871" s="8">
        <v>42947.0</v>
      </c>
      <c r="B871" s="12">
        <v>-0.00153</v>
      </c>
      <c r="C871" s="12">
        <v>-2.1799999999999999E-4</v>
      </c>
      <c r="D871" s="12">
        <v>0.0028000000000000004</v>
      </c>
    </row>
    <row r="872">
      <c r="A872" s="8">
        <v>42948.0</v>
      </c>
      <c r="B872" s="12">
        <v>-0.0016200000000000001</v>
      </c>
      <c r="C872" s="12">
        <v>-4.2E-4</v>
      </c>
      <c r="D872" s="12">
        <v>0.00245</v>
      </c>
    </row>
    <row r="873">
      <c r="A873" s="8">
        <v>42949.0</v>
      </c>
      <c r="B873" s="12">
        <v>-0.0016300000000000002</v>
      </c>
      <c r="C873" s="12">
        <v>-3.78E-4</v>
      </c>
      <c r="D873" s="12">
        <v>0.002401</v>
      </c>
    </row>
    <row r="874">
      <c r="A874" s="8">
        <v>42950.0</v>
      </c>
      <c r="B874" s="12">
        <v>-0.0016300000000000002</v>
      </c>
      <c r="C874" s="12">
        <v>-4.87E-4</v>
      </c>
      <c r="D874" s="12">
        <v>0.00233</v>
      </c>
    </row>
    <row r="875">
      <c r="A875" s="8">
        <v>42951.0</v>
      </c>
      <c r="B875" s="12">
        <v>-0.00159</v>
      </c>
      <c r="C875" s="12">
        <v>-4.1E-4</v>
      </c>
      <c r="D875" s="12">
        <v>0.002375</v>
      </c>
    </row>
    <row r="876">
      <c r="A876" s="8">
        <v>42954.0</v>
      </c>
      <c r="B876" s="12">
        <v>-0.00159</v>
      </c>
      <c r="C876" s="12">
        <v>-4.26E-4</v>
      </c>
      <c r="D876" s="12">
        <v>0.00234</v>
      </c>
    </row>
    <row r="877">
      <c r="A877" s="8">
        <v>42955.0</v>
      </c>
      <c r="B877" s="12">
        <v>-0.001547</v>
      </c>
      <c r="C877" s="12">
        <v>-4.3200000000000004E-4</v>
      </c>
      <c r="D877" s="12">
        <v>0.0023799999999999997</v>
      </c>
    </row>
    <row r="878">
      <c r="A878" s="8">
        <v>42956.0</v>
      </c>
      <c r="B878" s="12">
        <v>-0.00164</v>
      </c>
      <c r="C878" s="12">
        <v>-4.71E-4</v>
      </c>
      <c r="D878" s="12">
        <v>0.002163</v>
      </c>
    </row>
    <row r="879">
      <c r="A879" s="8">
        <v>42957.0</v>
      </c>
      <c r="B879" s="12">
        <v>-0.001696</v>
      </c>
      <c r="C879" s="12">
        <v>-6.900000000000001E-4</v>
      </c>
      <c r="D879" s="12">
        <v>0.002052</v>
      </c>
    </row>
    <row r="880">
      <c r="A880" s="8">
        <v>42958.0</v>
      </c>
      <c r="B880" s="12">
        <v>-0.0017749999999999999</v>
      </c>
      <c r="C880" s="12">
        <v>-7.040000000000001E-4</v>
      </c>
      <c r="D880" s="12">
        <v>0.001905</v>
      </c>
    </row>
    <row r="881">
      <c r="A881" s="8">
        <v>42961.0</v>
      </c>
      <c r="B881" s="12">
        <v>-0.0017699999999999999</v>
      </c>
      <c r="C881" s="12">
        <v>-6.450000000000001E-4</v>
      </c>
      <c r="D881" s="12">
        <v>0.00203</v>
      </c>
    </row>
    <row r="882">
      <c r="A882" s="8">
        <v>42962.0</v>
      </c>
      <c r="B882" s="12">
        <v>-0.0017050000000000001</v>
      </c>
      <c r="C882" s="12">
        <v>-5.46E-4</v>
      </c>
      <c r="D882" s="12">
        <v>0.00218</v>
      </c>
    </row>
    <row r="883">
      <c r="A883" s="8">
        <v>42963.0</v>
      </c>
      <c r="B883" s="12">
        <v>-0.001685</v>
      </c>
      <c r="C883" s="12">
        <v>-6.510000000000001E-4</v>
      </c>
      <c r="D883" s="12">
        <v>0.00221</v>
      </c>
    </row>
    <row r="884">
      <c r="A884" s="8">
        <v>42964.0</v>
      </c>
      <c r="B884" s="12">
        <v>-0.00172</v>
      </c>
      <c r="C884" s="12">
        <v>-6.66E-4</v>
      </c>
      <c r="D884" s="12">
        <v>0.002053</v>
      </c>
    </row>
    <row r="885">
      <c r="A885" s="8">
        <v>42965.0</v>
      </c>
      <c r="B885" s="12">
        <v>-0.0017100000000000001</v>
      </c>
      <c r="C885" s="12">
        <v>-6.3E-4</v>
      </c>
      <c r="D885" s="12">
        <v>0.002087</v>
      </c>
    </row>
    <row r="886">
      <c r="A886" s="8">
        <v>42968.0</v>
      </c>
      <c r="B886" s="12">
        <v>-0.0017699999999999999</v>
      </c>
      <c r="C886" s="12">
        <v>-7.099999999999999E-4</v>
      </c>
      <c r="D886" s="12">
        <v>0.00192</v>
      </c>
    </row>
    <row r="887">
      <c r="A887" s="8">
        <v>42969.0</v>
      </c>
      <c r="B887" s="12">
        <v>-0.00179</v>
      </c>
      <c r="C887" s="12">
        <v>-7.3E-4</v>
      </c>
      <c r="D887" s="12">
        <v>0.001911</v>
      </c>
    </row>
    <row r="888">
      <c r="A888" s="8">
        <v>42970.0</v>
      </c>
      <c r="B888" s="12">
        <v>-0.001785</v>
      </c>
      <c r="C888" s="12">
        <v>-7.75E-4</v>
      </c>
      <c r="D888" s="12">
        <v>0.001772</v>
      </c>
    </row>
    <row r="889">
      <c r="A889" s="8">
        <v>42971.0</v>
      </c>
      <c r="B889" s="12">
        <v>-0.00179</v>
      </c>
      <c r="C889" s="12">
        <v>-7.45E-4</v>
      </c>
      <c r="D889" s="12">
        <v>0.001825</v>
      </c>
    </row>
    <row r="890">
      <c r="A890" s="8">
        <v>42972.0</v>
      </c>
      <c r="B890" s="12">
        <v>-0.00178</v>
      </c>
      <c r="C890" s="12">
        <v>-6.58E-4</v>
      </c>
      <c r="D890" s="12">
        <v>0.0018</v>
      </c>
    </row>
    <row r="891">
      <c r="A891" s="8">
        <v>42975.0</v>
      </c>
      <c r="B891" s="12">
        <v>-0.00181</v>
      </c>
      <c r="C891" s="12">
        <v>-7.030000000000001E-4</v>
      </c>
      <c r="D891" s="12">
        <v>0.0017399999999999998</v>
      </c>
    </row>
    <row r="892">
      <c r="A892" s="8">
        <v>42976.0</v>
      </c>
      <c r="B892" s="12">
        <v>-0.00187</v>
      </c>
      <c r="C892" s="12">
        <v>-8.6E-4</v>
      </c>
      <c r="D892" s="12">
        <v>0.00153</v>
      </c>
    </row>
    <row r="893">
      <c r="A893" s="8">
        <v>42977.0</v>
      </c>
      <c r="B893" s="12">
        <v>-0.0018599999999999999</v>
      </c>
      <c r="C893" s="12">
        <v>-8.6E-4</v>
      </c>
      <c r="D893" s="12">
        <v>0.001603</v>
      </c>
    </row>
    <row r="894">
      <c r="A894" s="8">
        <v>42978.0</v>
      </c>
      <c r="B894" s="12">
        <v>-0.001885</v>
      </c>
      <c r="C894" s="12">
        <v>-9.080000000000001E-4</v>
      </c>
      <c r="D894" s="12">
        <v>0.00161</v>
      </c>
    </row>
    <row r="895">
      <c r="A895" s="8">
        <v>42979.0</v>
      </c>
      <c r="B895" s="12">
        <v>-0.00188</v>
      </c>
      <c r="C895" s="12">
        <v>-8.799999999999999E-4</v>
      </c>
      <c r="D895" s="12">
        <v>0.0016200000000000001</v>
      </c>
    </row>
    <row r="896">
      <c r="A896" s="8">
        <v>42982.0</v>
      </c>
      <c r="B896" s="12">
        <v>-0.00191</v>
      </c>
      <c r="C896" s="12">
        <v>-9.299999999999999E-4</v>
      </c>
      <c r="D896" s="12">
        <v>0.00151</v>
      </c>
    </row>
    <row r="897">
      <c r="A897" s="8">
        <v>42983.0</v>
      </c>
      <c r="B897" s="12">
        <v>-0.002055</v>
      </c>
      <c r="C897" s="12">
        <v>-0.001186</v>
      </c>
      <c r="D897" s="12">
        <v>0.001315</v>
      </c>
    </row>
    <row r="898">
      <c r="A898" s="8">
        <v>42984.0</v>
      </c>
      <c r="B898" s="12">
        <v>-0.00193</v>
      </c>
      <c r="C898" s="12">
        <v>-8.9E-4</v>
      </c>
      <c r="D898" s="12">
        <v>0.0014810000000000001</v>
      </c>
    </row>
    <row r="899">
      <c r="A899" s="8">
        <v>42985.0</v>
      </c>
      <c r="B899" s="12">
        <v>-0.00203</v>
      </c>
      <c r="C899" s="12">
        <v>-0.001152</v>
      </c>
      <c r="D899" s="12">
        <v>0.00136</v>
      </c>
    </row>
    <row r="900">
      <c r="A900" s="8">
        <v>42986.0</v>
      </c>
      <c r="B900" s="12">
        <v>-0.001975</v>
      </c>
      <c r="C900" s="12">
        <v>-0.00106</v>
      </c>
      <c r="D900" s="12">
        <v>0.0014299999999999998</v>
      </c>
    </row>
    <row r="901">
      <c r="A901" s="8">
        <v>42989.0</v>
      </c>
      <c r="B901" s="12">
        <v>-0.00199</v>
      </c>
      <c r="C901" s="12">
        <v>-9.96E-4</v>
      </c>
      <c r="D901" s="12">
        <v>0.001532</v>
      </c>
    </row>
    <row r="902">
      <c r="A902" s="8">
        <v>42990.0</v>
      </c>
      <c r="B902" s="12">
        <v>-0.001895</v>
      </c>
      <c r="C902" s="12">
        <v>-8.4E-4</v>
      </c>
      <c r="D902" s="12">
        <v>0.001862</v>
      </c>
    </row>
    <row r="903">
      <c r="A903" s="8">
        <v>42991.0</v>
      </c>
      <c r="B903" s="12">
        <v>-0.00188</v>
      </c>
      <c r="C903" s="12">
        <v>-8.719999999999999E-4</v>
      </c>
      <c r="D903" s="12">
        <v>0.0018410000000000002</v>
      </c>
    </row>
    <row r="904">
      <c r="A904" s="8">
        <v>42992.0</v>
      </c>
      <c r="B904" s="12">
        <v>-0.0018210000000000001</v>
      </c>
      <c r="C904" s="12">
        <v>-6.96E-4</v>
      </c>
      <c r="D904" s="12">
        <v>0.002011</v>
      </c>
    </row>
    <row r="905">
      <c r="A905" s="8">
        <v>42993.0</v>
      </c>
      <c r="B905" s="12">
        <v>-0.0017499999999999998</v>
      </c>
      <c r="C905" s="12">
        <v>-5.65E-4</v>
      </c>
      <c r="D905" s="12">
        <v>0.0022</v>
      </c>
    </row>
    <row r="906">
      <c r="A906" s="8">
        <v>42996.0</v>
      </c>
      <c r="B906" s="12">
        <v>-0.001725</v>
      </c>
      <c r="C906" s="12">
        <v>-5.2E-4</v>
      </c>
      <c r="D906" s="12">
        <v>0.0023350000000000003</v>
      </c>
    </row>
    <row r="907">
      <c r="A907" s="8">
        <v>42997.0</v>
      </c>
      <c r="B907" s="12">
        <v>-0.0017399999999999998</v>
      </c>
      <c r="C907" s="12">
        <v>-5.600000000000001E-4</v>
      </c>
      <c r="D907" s="12">
        <v>0.002241</v>
      </c>
    </row>
    <row r="908">
      <c r="A908" s="8">
        <v>42998.0</v>
      </c>
      <c r="B908" s="12">
        <v>-0.0017499999999999998</v>
      </c>
      <c r="C908" s="12">
        <v>-6.429999999999999E-4</v>
      </c>
      <c r="D908" s="12">
        <v>0.00221</v>
      </c>
    </row>
    <row r="909">
      <c r="A909" s="8">
        <v>42999.0</v>
      </c>
      <c r="B909" s="12">
        <v>-0.001711</v>
      </c>
      <c r="C909" s="12">
        <v>-5.03E-4</v>
      </c>
      <c r="D909" s="12">
        <v>0.0023899999999999998</v>
      </c>
    </row>
    <row r="910">
      <c r="A910" s="8">
        <v>43000.0</v>
      </c>
      <c r="B910" s="12">
        <v>-0.00169</v>
      </c>
      <c r="C910" s="12">
        <v>-3.8199999999999996E-4</v>
      </c>
      <c r="D910" s="12">
        <v>0.0024</v>
      </c>
    </row>
    <row r="911">
      <c r="A911" s="8">
        <v>43003.0</v>
      </c>
      <c r="B911" s="12">
        <v>-0.001785</v>
      </c>
      <c r="C911" s="12">
        <v>-6.4E-4</v>
      </c>
      <c r="D911" s="12">
        <v>0.0021</v>
      </c>
    </row>
    <row r="912">
      <c r="A912" s="8">
        <v>43004.0</v>
      </c>
      <c r="B912" s="12">
        <v>-0.0017399999999999998</v>
      </c>
      <c r="C912" s="12">
        <v>-6.0E-4</v>
      </c>
      <c r="D912" s="12">
        <v>0.00217</v>
      </c>
    </row>
    <row r="913">
      <c r="A913" s="8">
        <v>43005.0</v>
      </c>
      <c r="B913" s="12">
        <v>-0.00167</v>
      </c>
      <c r="C913" s="12">
        <v>-4.5400000000000003E-4</v>
      </c>
      <c r="D913" s="12">
        <v>0.0024679999999999997</v>
      </c>
    </row>
    <row r="914">
      <c r="A914" s="8">
        <v>43006.0</v>
      </c>
      <c r="B914" s="12">
        <v>-0.00166</v>
      </c>
      <c r="C914" s="12">
        <v>-4.49E-4</v>
      </c>
      <c r="D914" s="12">
        <v>0.00249</v>
      </c>
    </row>
    <row r="915">
      <c r="A915" s="8">
        <v>43007.0</v>
      </c>
      <c r="B915" s="12">
        <v>-0.001655</v>
      </c>
      <c r="C915" s="12">
        <v>-4.3499999999999995E-4</v>
      </c>
      <c r="D915" s="12">
        <v>0.002493</v>
      </c>
    </row>
    <row r="916">
      <c r="A916" s="8">
        <v>43010.0</v>
      </c>
      <c r="B916" s="12">
        <v>-0.001682</v>
      </c>
      <c r="C916" s="12">
        <v>-4.3999999999999996E-4</v>
      </c>
      <c r="D916" s="12">
        <v>0.00244</v>
      </c>
    </row>
    <row r="917">
      <c r="A917" s="8">
        <v>43011.0</v>
      </c>
      <c r="B917" s="12">
        <v>-0.0016950000000000001</v>
      </c>
      <c r="C917" s="12">
        <v>-4.6E-4</v>
      </c>
      <c r="D917" s="12">
        <v>0.002444</v>
      </c>
    </row>
    <row r="918">
      <c r="A918" s="8">
        <v>43012.0</v>
      </c>
      <c r="B918" s="12">
        <v>-0.0016950000000000001</v>
      </c>
      <c r="C918" s="12">
        <v>-4.6E-4</v>
      </c>
      <c r="D918" s="12">
        <v>0.002411</v>
      </c>
    </row>
    <row r="919">
      <c r="A919" s="8">
        <v>43013.0</v>
      </c>
      <c r="B919" s="12">
        <v>-0.001686</v>
      </c>
      <c r="C919" s="12">
        <v>-4.46E-4</v>
      </c>
      <c r="D919" s="12">
        <v>0.0023899999999999998</v>
      </c>
    </row>
    <row r="920">
      <c r="A920" s="8">
        <v>43014.0</v>
      </c>
      <c r="B920" s="12">
        <v>-0.00165</v>
      </c>
      <c r="C920" s="12">
        <v>-3.5000000000000005E-4</v>
      </c>
      <c r="D920" s="12">
        <v>0.0025009999999999998</v>
      </c>
    </row>
    <row r="921">
      <c r="A921" s="8">
        <v>43017.0</v>
      </c>
      <c r="B921" s="12">
        <v>-0.0017360000000000001</v>
      </c>
      <c r="C921" s="12">
        <v>-4.6E-4</v>
      </c>
      <c r="D921" s="12">
        <v>0.0024</v>
      </c>
    </row>
    <row r="922">
      <c r="A922" s="8">
        <v>43018.0</v>
      </c>
      <c r="B922" s="12">
        <v>-0.0017299999999999998</v>
      </c>
      <c r="C922" s="12">
        <v>-5.42E-4</v>
      </c>
      <c r="D922" s="12">
        <v>0.0023699999999999997</v>
      </c>
    </row>
    <row r="923">
      <c r="A923" s="8">
        <v>43019.0</v>
      </c>
      <c r="B923" s="12">
        <v>-0.00168</v>
      </c>
      <c r="C923" s="12">
        <v>-4.0E-4</v>
      </c>
      <c r="D923" s="12">
        <v>0.002545</v>
      </c>
    </row>
    <row r="924">
      <c r="A924" s="8">
        <v>43020.0</v>
      </c>
      <c r="B924" s="12">
        <v>-0.00172</v>
      </c>
      <c r="C924" s="12">
        <v>-5.05E-4</v>
      </c>
      <c r="D924" s="12">
        <v>0.002375</v>
      </c>
    </row>
    <row r="925">
      <c r="A925" s="8">
        <v>43021.0</v>
      </c>
      <c r="B925" s="12">
        <v>-0.00182</v>
      </c>
      <c r="C925" s="12">
        <v>-6.55E-4</v>
      </c>
      <c r="D925" s="12">
        <v>0.00216</v>
      </c>
    </row>
    <row r="926">
      <c r="A926" s="8">
        <v>43024.0</v>
      </c>
      <c r="B926" s="12">
        <v>-0.0019</v>
      </c>
      <c r="C926" s="12">
        <v>-7.000000000000001E-4</v>
      </c>
      <c r="D926" s="12">
        <v>0.001955</v>
      </c>
    </row>
    <row r="927">
      <c r="A927" s="8">
        <v>43025.0</v>
      </c>
      <c r="B927" s="12">
        <v>-0.00188</v>
      </c>
      <c r="C927" s="12">
        <v>-7.5E-4</v>
      </c>
      <c r="D927" s="12">
        <v>0.0019320000000000001</v>
      </c>
    </row>
    <row r="928">
      <c r="A928" s="8">
        <v>43026.0</v>
      </c>
      <c r="B928" s="12">
        <v>-0.0018599999999999999</v>
      </c>
      <c r="C928" s="12">
        <v>-6.7E-4</v>
      </c>
      <c r="D928" s="12">
        <v>0.002131</v>
      </c>
    </row>
    <row r="929">
      <c r="A929" s="8">
        <v>43027.0</v>
      </c>
      <c r="B929" s="12">
        <v>-0.00187</v>
      </c>
      <c r="C929" s="12">
        <v>-6.6E-4</v>
      </c>
      <c r="D929" s="12">
        <v>0.002141</v>
      </c>
    </row>
    <row r="930">
      <c r="A930" s="8">
        <v>43028.0</v>
      </c>
      <c r="B930" s="12">
        <v>-0.0018</v>
      </c>
      <c r="C930" s="12">
        <v>-4.9E-4</v>
      </c>
      <c r="D930" s="12">
        <v>0.002431</v>
      </c>
    </row>
    <row r="931">
      <c r="A931" s="8">
        <v>43031.0</v>
      </c>
      <c r="B931" s="12">
        <v>-0.001845</v>
      </c>
      <c r="C931" s="12">
        <v>-6.16E-4</v>
      </c>
      <c r="D931" s="12">
        <v>0.0023</v>
      </c>
    </row>
    <row r="932">
      <c r="A932" s="8">
        <v>43032.0</v>
      </c>
      <c r="B932" s="12">
        <v>-0.0017699999999999999</v>
      </c>
      <c r="C932" s="12">
        <v>-4.6399999999999995E-4</v>
      </c>
      <c r="D932" s="12">
        <v>0.002545</v>
      </c>
    </row>
    <row r="933">
      <c r="A933" s="8">
        <v>43033.0</v>
      </c>
      <c r="B933" s="12">
        <v>-0.0017399999999999998</v>
      </c>
      <c r="C933" s="12">
        <v>-3.97E-4</v>
      </c>
      <c r="D933" s="12">
        <v>0.002645</v>
      </c>
    </row>
    <row r="934">
      <c r="A934" s="8">
        <v>43034.0</v>
      </c>
      <c r="B934" s="12">
        <v>-0.001915</v>
      </c>
      <c r="C934" s="12">
        <v>-6.7E-4</v>
      </c>
      <c r="D934" s="12">
        <v>0.002221</v>
      </c>
    </row>
    <row r="935">
      <c r="A935" s="8">
        <v>43035.0</v>
      </c>
      <c r="B935" s="12">
        <v>-0.001965</v>
      </c>
      <c r="C935" s="12">
        <v>-7.7E-4</v>
      </c>
      <c r="D935" s="12">
        <v>0.002067</v>
      </c>
    </row>
    <row r="936">
      <c r="A936" s="8">
        <v>43038.0</v>
      </c>
      <c r="B936" s="12">
        <v>-0.0019850000000000002</v>
      </c>
      <c r="C936" s="12">
        <v>-8.219999999999999E-4</v>
      </c>
      <c r="D936" s="12">
        <v>0.00197</v>
      </c>
    </row>
    <row r="937">
      <c r="A937" s="8">
        <v>43039.0</v>
      </c>
      <c r="B937" s="12">
        <v>-0.001975</v>
      </c>
      <c r="C937" s="12">
        <v>-8.41E-4</v>
      </c>
      <c r="D937" s="12">
        <v>0.001946</v>
      </c>
    </row>
    <row r="938">
      <c r="A938" s="8">
        <v>43040.0</v>
      </c>
      <c r="B938" s="12">
        <v>-0.001967</v>
      </c>
      <c r="C938" s="12">
        <v>-7.74E-4</v>
      </c>
      <c r="D938" s="12">
        <v>0.0020150000000000003</v>
      </c>
    </row>
    <row r="939">
      <c r="A939" s="8">
        <v>43041.0</v>
      </c>
      <c r="B939" s="12">
        <v>-0.00199</v>
      </c>
      <c r="C939" s="12">
        <v>-8.210000000000001E-4</v>
      </c>
      <c r="D939" s="12">
        <v>0.001984</v>
      </c>
    </row>
    <row r="940">
      <c r="A940" s="8">
        <v>43042.0</v>
      </c>
      <c r="B940" s="12">
        <v>-0.00199</v>
      </c>
      <c r="C940" s="12">
        <v>-8.309999999999999E-4</v>
      </c>
      <c r="D940" s="12">
        <v>0.00197</v>
      </c>
    </row>
    <row r="941">
      <c r="A941" s="8">
        <v>43045.0</v>
      </c>
      <c r="B941" s="12">
        <v>-0.0020499999999999997</v>
      </c>
      <c r="C941" s="12">
        <v>-8.28E-4</v>
      </c>
      <c r="D941" s="12">
        <v>0.001795</v>
      </c>
    </row>
    <row r="942">
      <c r="A942" s="8">
        <v>43046.0</v>
      </c>
      <c r="B942" s="12">
        <v>-0.002045</v>
      </c>
      <c r="C942" s="12">
        <v>-9.15E-4</v>
      </c>
      <c r="D942" s="12">
        <v>0.0017649999999999999</v>
      </c>
    </row>
    <row r="943">
      <c r="A943" s="8">
        <v>43047.0</v>
      </c>
      <c r="B943" s="12">
        <v>-0.0020499999999999997</v>
      </c>
      <c r="C943" s="12">
        <v>-9.299999999999999E-4</v>
      </c>
      <c r="D943" s="12">
        <v>0.001795</v>
      </c>
    </row>
    <row r="944">
      <c r="A944" s="8">
        <v>43048.0</v>
      </c>
      <c r="B944" s="12">
        <v>-0.00201</v>
      </c>
      <c r="C944" s="12">
        <v>-8.41E-4</v>
      </c>
      <c r="D944" s="12">
        <v>0.001943</v>
      </c>
    </row>
    <row r="945">
      <c r="A945" s="8">
        <v>43049.0</v>
      </c>
      <c r="B945" s="12">
        <v>-0.00198</v>
      </c>
      <c r="C945" s="12">
        <v>-7.5E-4</v>
      </c>
      <c r="D945" s="12">
        <v>0.002169</v>
      </c>
    </row>
    <row r="946">
      <c r="A946" s="8">
        <v>43052.0</v>
      </c>
      <c r="B946" s="12">
        <v>-0.00196</v>
      </c>
      <c r="C946" s="12">
        <v>-7.099999999999999E-4</v>
      </c>
      <c r="D946" s="12">
        <v>0.002211</v>
      </c>
    </row>
    <row r="947">
      <c r="A947" s="8">
        <v>43053.0</v>
      </c>
      <c r="B947" s="12">
        <v>-0.001965</v>
      </c>
      <c r="C947" s="12">
        <v>-7.599999999999999E-4</v>
      </c>
      <c r="D947" s="12">
        <v>0.00208</v>
      </c>
    </row>
    <row r="948">
      <c r="A948" s="8">
        <v>43054.0</v>
      </c>
      <c r="B948" s="12">
        <v>-0.0019450000000000001</v>
      </c>
      <c r="C948" s="12">
        <v>-8.169999999999999E-4</v>
      </c>
      <c r="D948" s="12">
        <v>0.0019950000000000002</v>
      </c>
    </row>
    <row r="949">
      <c r="A949" s="8">
        <v>43055.0</v>
      </c>
      <c r="B949" s="12">
        <v>-0.00194</v>
      </c>
      <c r="C949" s="12">
        <v>-7.39E-4</v>
      </c>
      <c r="D949" s="12">
        <v>0.00203</v>
      </c>
    </row>
    <row r="950">
      <c r="A950" s="8">
        <v>43056.0</v>
      </c>
      <c r="B950" s="12">
        <v>-0.001948</v>
      </c>
      <c r="C950" s="12">
        <v>-8.110000000000001E-4</v>
      </c>
      <c r="D950" s="12">
        <v>0.00199</v>
      </c>
    </row>
    <row r="951">
      <c r="A951" s="8">
        <v>43059.0</v>
      </c>
      <c r="B951" s="12">
        <v>-0.001915</v>
      </c>
      <c r="C951" s="12">
        <v>-7.199999999999999E-4</v>
      </c>
      <c r="D951" s="12">
        <v>0.0020250000000000003</v>
      </c>
    </row>
    <row r="952">
      <c r="A952" s="8">
        <v>43060.0</v>
      </c>
      <c r="B952" s="12">
        <v>-0.001935</v>
      </c>
      <c r="C952" s="12">
        <v>-7.5E-4</v>
      </c>
      <c r="D952" s="12">
        <v>0.001953</v>
      </c>
    </row>
    <row r="953">
      <c r="A953" s="8">
        <v>43061.0</v>
      </c>
      <c r="B953" s="12">
        <v>-0.001875</v>
      </c>
      <c r="C953" s="12">
        <v>-7.16E-4</v>
      </c>
      <c r="D953" s="12">
        <v>0.002035</v>
      </c>
    </row>
    <row r="954">
      <c r="A954" s="8">
        <v>43062.0</v>
      </c>
      <c r="B954" s="12">
        <v>-0.001867</v>
      </c>
      <c r="C954" s="12">
        <v>-6.5E-4</v>
      </c>
      <c r="D954" s="12">
        <v>0.0020599999999999998</v>
      </c>
    </row>
    <row r="955">
      <c r="A955" s="8">
        <v>43063.0</v>
      </c>
      <c r="B955" s="12">
        <v>-0.00184</v>
      </c>
      <c r="C955" s="12">
        <v>-5.83E-4</v>
      </c>
      <c r="D955" s="12">
        <v>0.002155</v>
      </c>
    </row>
    <row r="956">
      <c r="A956" s="8">
        <v>43066.0</v>
      </c>
      <c r="B956" s="12">
        <v>-0.00187</v>
      </c>
      <c r="C956" s="12">
        <v>-6.140000000000001E-4</v>
      </c>
      <c r="D956" s="12">
        <v>0.0019950000000000002</v>
      </c>
    </row>
    <row r="957">
      <c r="A957" s="8">
        <v>43067.0</v>
      </c>
      <c r="B957" s="12">
        <v>-0.0018549999999999999</v>
      </c>
      <c r="C957" s="12">
        <v>-6.92E-4</v>
      </c>
      <c r="D957" s="12">
        <v>0.002055</v>
      </c>
    </row>
    <row r="958">
      <c r="A958" s="8">
        <v>43068.0</v>
      </c>
      <c r="B958" s="12">
        <v>-0.001805</v>
      </c>
      <c r="C958" s="12">
        <v>-5.0E-4</v>
      </c>
      <c r="D958" s="12">
        <v>0.002305</v>
      </c>
    </row>
    <row r="959">
      <c r="A959" s="8">
        <v>43069.0</v>
      </c>
      <c r="B959" s="12">
        <v>-0.001805</v>
      </c>
      <c r="C959" s="12">
        <v>-4.5E-4</v>
      </c>
      <c r="D959" s="12">
        <v>0.002235</v>
      </c>
    </row>
    <row r="960">
      <c r="A960" s="8">
        <v>43070.0</v>
      </c>
      <c r="B960" s="12">
        <v>-0.00187</v>
      </c>
      <c r="C960" s="12">
        <v>-6.73E-4</v>
      </c>
      <c r="D960" s="12">
        <v>0.0020050000000000003</v>
      </c>
    </row>
    <row r="961">
      <c r="A961" s="8">
        <v>43073.0</v>
      </c>
      <c r="B961" s="12">
        <v>-0.001865</v>
      </c>
      <c r="C961" s="12">
        <v>-6.2E-4</v>
      </c>
      <c r="D961" s="12">
        <v>0.002081</v>
      </c>
    </row>
    <row r="962">
      <c r="A962" s="8">
        <v>43074.0</v>
      </c>
      <c r="B962" s="12">
        <v>-0.001915</v>
      </c>
      <c r="C962" s="12">
        <v>-7.81E-4</v>
      </c>
      <c r="D962" s="12">
        <v>0.001915</v>
      </c>
    </row>
    <row r="963">
      <c r="A963" s="8">
        <v>43075.0</v>
      </c>
      <c r="B963" s="12">
        <v>-0.0019420000000000001</v>
      </c>
      <c r="C963" s="12">
        <v>-7.51E-4</v>
      </c>
      <c r="D963" s="12">
        <v>0.001875</v>
      </c>
    </row>
    <row r="964">
      <c r="A964" s="8">
        <v>43076.0</v>
      </c>
      <c r="B964" s="12">
        <v>-0.0019320000000000001</v>
      </c>
      <c r="C964" s="12">
        <v>-7.56E-4</v>
      </c>
      <c r="D964" s="12">
        <v>0.001925</v>
      </c>
    </row>
    <row r="965">
      <c r="A965" s="8">
        <v>43077.0</v>
      </c>
      <c r="B965" s="12">
        <v>-0.00191</v>
      </c>
      <c r="C965" s="12">
        <v>-7.589999999999999E-4</v>
      </c>
      <c r="D965" s="12">
        <v>0.002075</v>
      </c>
    </row>
    <row r="966">
      <c r="A966" s="8">
        <v>43080.0</v>
      </c>
      <c r="B966" s="12">
        <v>-0.00191</v>
      </c>
      <c r="C966" s="12">
        <v>-6.83E-4</v>
      </c>
      <c r="D966" s="12">
        <v>0.00202</v>
      </c>
    </row>
    <row r="967">
      <c r="A967" s="8">
        <v>43081.0</v>
      </c>
      <c r="B967" s="12">
        <v>-0.0018599999999999999</v>
      </c>
      <c r="C967" s="12">
        <v>-6.73E-4</v>
      </c>
      <c r="D967" s="12">
        <v>0.00214</v>
      </c>
    </row>
    <row r="968">
      <c r="A968" s="8">
        <v>43082.0</v>
      </c>
      <c r="B968" s="12">
        <v>-0.001899</v>
      </c>
      <c r="C968" s="12">
        <v>-6.81E-4</v>
      </c>
      <c r="D968" s="12">
        <v>0.00209</v>
      </c>
    </row>
    <row r="969">
      <c r="A969" s="8">
        <v>43083.0</v>
      </c>
      <c r="B969" s="12">
        <v>-0.00189</v>
      </c>
      <c r="C969" s="12">
        <v>-6.2E-4</v>
      </c>
      <c r="D969" s="12">
        <v>0.002075</v>
      </c>
    </row>
    <row r="970">
      <c r="A970" s="8">
        <v>43084.0</v>
      </c>
      <c r="B970" s="12">
        <v>-0.00189</v>
      </c>
      <c r="C970" s="12">
        <v>-6.25E-4</v>
      </c>
      <c r="D970" s="12">
        <v>0.002087</v>
      </c>
    </row>
    <row r="971">
      <c r="A971" s="8">
        <v>43087.0</v>
      </c>
      <c r="B971" s="12">
        <v>-0.00187</v>
      </c>
      <c r="C971" s="12">
        <v>-5.5E-4</v>
      </c>
      <c r="D971" s="12">
        <v>0.002155</v>
      </c>
    </row>
    <row r="972">
      <c r="A972" s="8">
        <v>43088.0</v>
      </c>
      <c r="B972" s="12">
        <v>-0.0017699999999999999</v>
      </c>
      <c r="C972" s="12">
        <v>-3.9E-4</v>
      </c>
      <c r="D972" s="12">
        <v>0.00256</v>
      </c>
    </row>
    <row r="973">
      <c r="A973" s="8">
        <v>43089.0</v>
      </c>
      <c r="B973" s="12">
        <v>-0.001675</v>
      </c>
      <c r="C973" s="12">
        <v>-1.79E-4</v>
      </c>
      <c r="D973" s="12">
        <v>0.002767</v>
      </c>
    </row>
    <row r="974">
      <c r="A974" s="8">
        <v>43090.0</v>
      </c>
      <c r="B974" s="12">
        <v>-0.0016150000000000001</v>
      </c>
      <c r="C974" s="12">
        <v>-9.3E-5</v>
      </c>
      <c r="D974" s="12">
        <v>0.002985</v>
      </c>
    </row>
    <row r="975">
      <c r="A975" s="8">
        <v>43091.0</v>
      </c>
      <c r="B975" s="12">
        <v>-0.00155</v>
      </c>
      <c r="C975" s="12">
        <v>6.0E-5</v>
      </c>
      <c r="D975" s="12">
        <v>0.003075</v>
      </c>
    </row>
    <row r="976">
      <c r="A976" s="8">
        <v>43094.0</v>
      </c>
      <c r="B976" s="13">
        <v>-0.00155</v>
      </c>
      <c r="C976" s="12">
        <v>4.4999999999999996E-5</v>
      </c>
      <c r="D976" s="13">
        <v>0.003075</v>
      </c>
    </row>
    <row r="977">
      <c r="A977" s="8">
        <v>43095.0</v>
      </c>
      <c r="B977" s="13">
        <v>-0.00155</v>
      </c>
      <c r="C977" s="12">
        <v>3.3E-5</v>
      </c>
      <c r="D977" s="13">
        <v>0.003075</v>
      </c>
    </row>
    <row r="978">
      <c r="A978" s="8">
        <v>43096.0</v>
      </c>
      <c r="B978" s="12">
        <v>-0.001585</v>
      </c>
      <c r="C978" s="12">
        <v>-4.4999999999999996E-5</v>
      </c>
      <c r="D978" s="12">
        <v>0.0029649999999999998</v>
      </c>
    </row>
    <row r="979">
      <c r="A979" s="8">
        <v>43097.0</v>
      </c>
      <c r="B979" s="12">
        <v>-0.00153</v>
      </c>
      <c r="C979" s="12">
        <v>7.000000000000001E-5</v>
      </c>
      <c r="D979" s="12">
        <v>0.00313</v>
      </c>
    </row>
    <row r="980">
      <c r="A980" s="8">
        <v>43098.0</v>
      </c>
      <c r="B980" s="12">
        <v>-0.001498</v>
      </c>
      <c r="C980" s="12">
        <v>1.3E-4</v>
      </c>
      <c r="D980" s="12">
        <v>0.00316</v>
      </c>
    </row>
    <row r="981">
      <c r="A981" s="8">
        <v>43101.0</v>
      </c>
      <c r="B981" s="13">
        <v>-0.001498</v>
      </c>
      <c r="C981" s="12">
        <v>1.2E-4</v>
      </c>
      <c r="D981" s="13">
        <v>0.00316</v>
      </c>
    </row>
    <row r="982">
      <c r="A982" s="8">
        <v>43102.0</v>
      </c>
      <c r="B982" s="12">
        <v>-0.001503</v>
      </c>
      <c r="C982" s="12">
        <v>6.0E-5</v>
      </c>
      <c r="D982" s="12">
        <v>0.003185</v>
      </c>
    </row>
    <row r="983">
      <c r="A983" s="8">
        <v>43103.0</v>
      </c>
      <c r="B983" s="12">
        <v>-0.0015179999999999998</v>
      </c>
      <c r="C983" s="12">
        <v>2.0E-5</v>
      </c>
      <c r="D983" s="12">
        <v>0.0029749999999999998</v>
      </c>
    </row>
    <row r="984">
      <c r="A984" s="8">
        <v>43104.0</v>
      </c>
      <c r="B984" s="12">
        <v>-0.0015</v>
      </c>
      <c r="C984" s="12">
        <v>3.0E-5</v>
      </c>
      <c r="D984" s="12">
        <v>0.003015</v>
      </c>
    </row>
    <row r="985">
      <c r="A985" s="8">
        <v>43105.0</v>
      </c>
      <c r="B985" s="12">
        <v>-0.001503</v>
      </c>
      <c r="C985" s="12">
        <v>-2.9999999999999997E-6</v>
      </c>
      <c r="D985" s="12">
        <v>0.0030399999999999997</v>
      </c>
    </row>
    <row r="986">
      <c r="A986" s="8">
        <v>43108.0</v>
      </c>
      <c r="B986" s="12">
        <v>-0.001559</v>
      </c>
      <c r="C986" s="12">
        <v>-1.01E-4</v>
      </c>
      <c r="D986" s="12">
        <v>0.00294</v>
      </c>
    </row>
    <row r="987">
      <c r="A987" s="8">
        <v>43109.0</v>
      </c>
      <c r="B987" s="12">
        <v>-0.0015149999999999999</v>
      </c>
      <c r="C987" s="12">
        <v>2.0E-5</v>
      </c>
      <c r="D987" s="12">
        <v>0.00309</v>
      </c>
    </row>
    <row r="988">
      <c r="A988" s="8">
        <v>43110.0</v>
      </c>
      <c r="B988" s="12">
        <v>-0.00149</v>
      </c>
      <c r="C988" s="12">
        <v>1.25E-4</v>
      </c>
      <c r="D988" s="12">
        <v>0.003235</v>
      </c>
    </row>
    <row r="989">
      <c r="A989" s="8">
        <v>43111.0</v>
      </c>
      <c r="B989" s="12">
        <v>-0.0012950000000000001</v>
      </c>
      <c r="C989" s="12">
        <v>4.3999999999999996E-4</v>
      </c>
      <c r="D989" s="12">
        <v>0.0037</v>
      </c>
    </row>
    <row r="990">
      <c r="A990" s="8">
        <v>43112.0</v>
      </c>
      <c r="B990" s="12">
        <v>-0.00126</v>
      </c>
      <c r="C990" s="12">
        <v>5.35E-4</v>
      </c>
      <c r="D990" s="12">
        <v>0.0038050000000000002</v>
      </c>
    </row>
    <row r="991">
      <c r="A991" s="8">
        <v>43115.0</v>
      </c>
      <c r="B991" s="12">
        <v>-0.00124</v>
      </c>
      <c r="C991" s="12">
        <v>5.899999999999999E-4</v>
      </c>
      <c r="D991" s="12">
        <v>0.003895</v>
      </c>
    </row>
    <row r="992">
      <c r="A992" s="8">
        <v>43116.0</v>
      </c>
      <c r="B992" s="12">
        <v>-0.00124</v>
      </c>
      <c r="C992" s="12">
        <v>4.6499999999999997E-4</v>
      </c>
      <c r="D992" s="12">
        <v>0.0038150000000000002</v>
      </c>
    </row>
    <row r="993">
      <c r="A993" s="8">
        <v>43117.0</v>
      </c>
      <c r="B993" s="12">
        <v>-0.001315</v>
      </c>
      <c r="C993" s="12">
        <v>4.6E-4</v>
      </c>
      <c r="D993" s="12">
        <v>0.00368</v>
      </c>
    </row>
    <row r="994">
      <c r="A994" s="8">
        <v>43118.0</v>
      </c>
      <c r="B994" s="12">
        <v>-0.001325</v>
      </c>
      <c r="C994" s="12">
        <v>4.6E-4</v>
      </c>
      <c r="D994" s="12">
        <v>0.0037830000000000003</v>
      </c>
    </row>
    <row r="995">
      <c r="A995" s="8">
        <v>43119.0</v>
      </c>
      <c r="B995" s="12">
        <v>-0.0013800000000000002</v>
      </c>
      <c r="C995" s="12">
        <v>3.95E-4</v>
      </c>
      <c r="D995" s="12">
        <v>0.00375</v>
      </c>
    </row>
    <row r="996">
      <c r="A996" s="8">
        <v>43122.0</v>
      </c>
      <c r="B996" s="12">
        <v>-0.001374</v>
      </c>
      <c r="C996" s="12">
        <v>4.2E-4</v>
      </c>
      <c r="D996" s="12">
        <v>0.003785</v>
      </c>
    </row>
    <row r="997">
      <c r="A997" s="8">
        <v>43123.0</v>
      </c>
      <c r="B997" s="12">
        <v>-0.001348</v>
      </c>
      <c r="C997" s="12">
        <v>4.1E-4</v>
      </c>
      <c r="D997" s="12">
        <v>0.0037930000000000004</v>
      </c>
    </row>
    <row r="998">
      <c r="A998" s="8">
        <v>43124.0</v>
      </c>
      <c r="B998" s="12">
        <v>-0.001345</v>
      </c>
      <c r="C998" s="12">
        <v>4.5E-4</v>
      </c>
      <c r="D998" s="12">
        <v>0.003898</v>
      </c>
    </row>
    <row r="999">
      <c r="A999" s="8">
        <v>43125.0</v>
      </c>
      <c r="B999" s="12">
        <v>-0.001288</v>
      </c>
      <c r="C999" s="12">
        <v>5.75E-4</v>
      </c>
      <c r="D999" s="12">
        <v>0.0042699999999999995</v>
      </c>
    </row>
    <row r="1000">
      <c r="A1000" s="8">
        <v>43126.0</v>
      </c>
      <c r="B1000" s="12">
        <v>-0.001229</v>
      </c>
      <c r="C1000" s="12">
        <v>7.91E-4</v>
      </c>
      <c r="D1000" s="12">
        <v>0.004535</v>
      </c>
    </row>
    <row r="1001">
      <c r="A1001" s="8">
        <v>43129.0</v>
      </c>
      <c r="B1001" s="12">
        <v>-0.001201</v>
      </c>
      <c r="C1001" s="12">
        <v>9.0E-4</v>
      </c>
      <c r="D1001" s="12">
        <v>0.00481</v>
      </c>
    </row>
    <row r="1002">
      <c r="A1002" s="8">
        <v>43130.0</v>
      </c>
      <c r="B1002" s="12">
        <v>-0.001209</v>
      </c>
      <c r="C1002" s="12">
        <v>7.95E-4</v>
      </c>
      <c r="D1002" s="12">
        <v>0.004733</v>
      </c>
    </row>
    <row r="1003">
      <c r="A1003" s="8">
        <v>43131.0</v>
      </c>
      <c r="B1003" s="12">
        <v>-0.00126</v>
      </c>
      <c r="C1003" s="12">
        <v>8.309999999999999E-4</v>
      </c>
      <c r="D1003" s="12">
        <v>0.004745</v>
      </c>
    </row>
    <row r="1004">
      <c r="A1004" s="8">
        <v>43132.0</v>
      </c>
      <c r="B1004" s="12">
        <v>-0.0012900000000000001</v>
      </c>
      <c r="C1004" s="12">
        <v>7.340000000000001E-4</v>
      </c>
      <c r="D1004" s="12">
        <v>0.004795</v>
      </c>
    </row>
    <row r="1005">
      <c r="A1005" s="8">
        <v>43133.0</v>
      </c>
      <c r="B1005" s="12">
        <v>-0.0012360000000000001</v>
      </c>
      <c r="C1005" s="12">
        <v>8.849999999999999E-4</v>
      </c>
      <c r="D1005" s="12">
        <v>0.004933</v>
      </c>
    </row>
    <row r="1006">
      <c r="A1006" s="8">
        <v>43136.0</v>
      </c>
      <c r="B1006" s="12">
        <v>-0.00131</v>
      </c>
      <c r="C1006" s="12">
        <v>7.9E-4</v>
      </c>
      <c r="D1006" s="12">
        <v>0.00471</v>
      </c>
    </row>
    <row r="1007">
      <c r="A1007" s="8">
        <v>43137.0</v>
      </c>
      <c r="B1007" s="12">
        <v>-0.001348</v>
      </c>
      <c r="C1007" s="12">
        <v>6.8E-4</v>
      </c>
      <c r="D1007" s="12">
        <v>0.00456</v>
      </c>
    </row>
    <row r="1008">
      <c r="A1008" s="8">
        <v>43138.0</v>
      </c>
      <c r="B1008" s="12">
        <v>-0.001265</v>
      </c>
      <c r="C1008" s="12">
        <v>8.3E-4</v>
      </c>
      <c r="D1008" s="12">
        <v>0.004755</v>
      </c>
    </row>
    <row r="1009">
      <c r="A1009" s="8">
        <v>43139.0</v>
      </c>
      <c r="B1009" s="12">
        <v>-0.001273</v>
      </c>
      <c r="C1009" s="12">
        <v>7.9E-4</v>
      </c>
      <c r="D1009" s="12">
        <v>0.004797</v>
      </c>
    </row>
    <row r="1010">
      <c r="A1010" s="8">
        <v>43140.0</v>
      </c>
      <c r="B1010" s="12">
        <v>-0.00131</v>
      </c>
      <c r="C1010" s="12">
        <v>7.65E-4</v>
      </c>
      <c r="D1010" s="12">
        <v>0.004775</v>
      </c>
    </row>
    <row r="1011">
      <c r="A1011" s="8">
        <v>43143.0</v>
      </c>
      <c r="B1011" s="12">
        <v>-0.00132</v>
      </c>
      <c r="C1011" s="12">
        <v>7.85E-4</v>
      </c>
      <c r="D1011" s="12">
        <v>0.004975</v>
      </c>
    </row>
    <row r="1012">
      <c r="A1012" s="8">
        <v>43144.0</v>
      </c>
      <c r="B1012" s="12">
        <v>-0.0013189999999999999</v>
      </c>
      <c r="C1012" s="12">
        <v>7.3E-4</v>
      </c>
      <c r="D1012" s="12">
        <v>0.00487</v>
      </c>
    </row>
    <row r="1013">
      <c r="A1013" s="8">
        <v>43145.0</v>
      </c>
      <c r="B1013" s="12">
        <v>-0.001261</v>
      </c>
      <c r="C1013" s="12">
        <v>8.160000000000001E-4</v>
      </c>
      <c r="D1013" s="12">
        <v>0.004965</v>
      </c>
    </row>
    <row r="1014">
      <c r="A1014" s="8">
        <v>43146.0</v>
      </c>
      <c r="B1014" s="12">
        <v>-0.00121</v>
      </c>
      <c r="C1014" s="12">
        <v>8.88E-4</v>
      </c>
      <c r="D1014" s="12">
        <v>0.005094</v>
      </c>
    </row>
    <row r="1015">
      <c r="A1015" s="8">
        <v>43147.0</v>
      </c>
      <c r="B1015" s="12">
        <v>-0.001245</v>
      </c>
      <c r="C1015" s="12">
        <v>7.729999999999999E-4</v>
      </c>
      <c r="D1015" s="12">
        <v>0.0047799999999999995</v>
      </c>
    </row>
    <row r="1016">
      <c r="A1016" s="8">
        <v>43150.0</v>
      </c>
      <c r="B1016" s="12">
        <v>-0.0011949999999999999</v>
      </c>
      <c r="C1016" s="12">
        <v>8.799999999999999E-4</v>
      </c>
      <c r="D1016" s="12">
        <v>0.004925</v>
      </c>
    </row>
    <row r="1017">
      <c r="A1017" s="8">
        <v>43151.0</v>
      </c>
      <c r="B1017" s="12">
        <v>-0.001192</v>
      </c>
      <c r="C1017" s="12">
        <v>8.799999999999999E-4</v>
      </c>
      <c r="D1017" s="12">
        <v>0.004895</v>
      </c>
    </row>
    <row r="1018">
      <c r="A1018" s="8">
        <v>43152.0</v>
      </c>
      <c r="B1018" s="12">
        <v>-0.0012</v>
      </c>
      <c r="C1018" s="12">
        <v>8.680000000000001E-4</v>
      </c>
      <c r="D1018" s="12">
        <v>0.004835</v>
      </c>
    </row>
    <row r="1019">
      <c r="A1019" s="8">
        <v>43153.0</v>
      </c>
      <c r="B1019" s="12">
        <v>-0.001137</v>
      </c>
      <c r="C1019" s="12">
        <v>8.88E-4</v>
      </c>
      <c r="D1019" s="12">
        <v>0.00487</v>
      </c>
    </row>
    <row r="1020">
      <c r="A1020" s="8">
        <v>43154.0</v>
      </c>
      <c r="B1020" s="12">
        <v>-0.0011799999999999998</v>
      </c>
      <c r="C1020" s="12">
        <v>7.7E-4</v>
      </c>
      <c r="D1020" s="12">
        <v>0.004598</v>
      </c>
    </row>
    <row r="1021">
      <c r="A1021" s="8">
        <v>43157.0</v>
      </c>
      <c r="B1021" s="12">
        <v>-0.00115</v>
      </c>
      <c r="C1021" s="12">
        <v>8.4E-4</v>
      </c>
      <c r="D1021" s="12">
        <v>0.00464</v>
      </c>
    </row>
    <row r="1022">
      <c r="A1022" s="8">
        <v>43158.0</v>
      </c>
      <c r="B1022" s="12">
        <v>-0.00116</v>
      </c>
      <c r="C1022" s="12">
        <v>8.500000000000001E-4</v>
      </c>
      <c r="D1022" s="12">
        <v>0.004745</v>
      </c>
    </row>
    <row r="1023">
      <c r="A1023" s="8">
        <v>43159.0</v>
      </c>
      <c r="B1023" s="12">
        <v>-0.001212</v>
      </c>
      <c r="C1023" s="12">
        <v>7.85E-4</v>
      </c>
      <c r="D1023" s="12">
        <v>0.004545</v>
      </c>
    </row>
    <row r="1024">
      <c r="A1024" s="8">
        <v>43160.0</v>
      </c>
      <c r="B1024" s="12">
        <v>-0.001258</v>
      </c>
      <c r="C1024" s="12">
        <v>7.23E-4</v>
      </c>
      <c r="D1024" s="12">
        <v>0.004545</v>
      </c>
    </row>
    <row r="1025">
      <c r="A1025" s="8">
        <v>43161.0</v>
      </c>
      <c r="B1025" s="12">
        <v>-0.0012339999999999999</v>
      </c>
      <c r="C1025" s="12">
        <v>7.27E-4</v>
      </c>
      <c r="D1025" s="12">
        <v>0.004535</v>
      </c>
    </row>
    <row r="1026">
      <c r="A1026" s="8">
        <v>43164.0</v>
      </c>
      <c r="B1026" s="12">
        <v>-0.00123</v>
      </c>
      <c r="C1026" s="12">
        <v>7.4E-4</v>
      </c>
      <c r="D1026" s="12">
        <v>0.0045650000000000005</v>
      </c>
    </row>
    <row r="1027">
      <c r="A1027" s="8">
        <v>43165.0</v>
      </c>
      <c r="B1027" s="12">
        <v>-0.001212</v>
      </c>
      <c r="C1027" s="12">
        <v>8.100000000000001E-4</v>
      </c>
      <c r="D1027" s="12">
        <v>0.004747</v>
      </c>
    </row>
    <row r="1028">
      <c r="A1028" s="8">
        <v>43166.0</v>
      </c>
      <c r="B1028" s="12">
        <v>-0.00124</v>
      </c>
      <c r="C1028" s="12">
        <v>7.85E-4</v>
      </c>
      <c r="D1028" s="12">
        <v>0.004575</v>
      </c>
    </row>
    <row r="1029">
      <c r="A1029" s="8">
        <v>43167.0</v>
      </c>
      <c r="B1029" s="12">
        <v>-0.00127</v>
      </c>
      <c r="C1029" s="12">
        <v>7.25E-4</v>
      </c>
      <c r="D1029" s="12">
        <v>0.0045000000000000005</v>
      </c>
    </row>
    <row r="1030">
      <c r="A1030" s="8">
        <v>43168.0</v>
      </c>
      <c r="B1030" s="12">
        <v>-0.001251</v>
      </c>
      <c r="C1030" s="12">
        <v>8.03E-4</v>
      </c>
      <c r="D1030" s="12">
        <v>0.004545</v>
      </c>
    </row>
    <row r="1031">
      <c r="A1031" s="8">
        <v>43171.0</v>
      </c>
      <c r="B1031" s="12">
        <v>-0.001305</v>
      </c>
      <c r="C1031" s="12">
        <v>6.86E-4</v>
      </c>
      <c r="D1031" s="12">
        <v>0.004435</v>
      </c>
    </row>
    <row r="1032">
      <c r="A1032" s="8">
        <v>43172.0</v>
      </c>
      <c r="B1032" s="12">
        <v>-0.00134</v>
      </c>
      <c r="C1032" s="12">
        <v>6.25E-4</v>
      </c>
      <c r="D1032" s="12">
        <v>0.0044</v>
      </c>
    </row>
    <row r="1033">
      <c r="A1033" s="8">
        <v>43173.0</v>
      </c>
      <c r="B1033" s="12">
        <v>-0.0014099999999999998</v>
      </c>
      <c r="C1033" s="12">
        <v>4.8E-4</v>
      </c>
      <c r="D1033" s="12">
        <v>0.004206</v>
      </c>
    </row>
    <row r="1034">
      <c r="A1034" s="8">
        <v>43174.0</v>
      </c>
      <c r="B1034" s="12">
        <v>-0.001467</v>
      </c>
      <c r="C1034" s="12">
        <v>4.0E-4</v>
      </c>
      <c r="D1034" s="12">
        <v>0.004075</v>
      </c>
    </row>
    <row r="1035">
      <c r="A1035" s="8">
        <v>43175.0</v>
      </c>
      <c r="B1035" s="12">
        <v>-0.0015210000000000002</v>
      </c>
      <c r="C1035" s="12">
        <v>3.8199999999999996E-4</v>
      </c>
      <c r="D1035" s="12">
        <v>0.004025</v>
      </c>
    </row>
    <row r="1036">
      <c r="A1036" s="8">
        <v>43178.0</v>
      </c>
      <c r="B1036" s="12">
        <v>-0.001475</v>
      </c>
      <c r="C1036" s="12">
        <v>4.28E-4</v>
      </c>
      <c r="D1036" s="12">
        <v>0.004115</v>
      </c>
    </row>
    <row r="1037">
      <c r="A1037" s="8">
        <v>43179.0</v>
      </c>
      <c r="B1037" s="12">
        <v>-0.00147</v>
      </c>
      <c r="C1037" s="12">
        <v>4.55E-4</v>
      </c>
      <c r="D1037" s="12">
        <v>0.004196</v>
      </c>
    </row>
    <row r="1038">
      <c r="A1038" s="8">
        <v>43180.0</v>
      </c>
      <c r="B1038" s="12">
        <v>-0.0014680000000000001</v>
      </c>
      <c r="C1038" s="12">
        <v>5.099999999999999E-4</v>
      </c>
      <c r="D1038" s="12">
        <v>0.004295</v>
      </c>
    </row>
    <row r="1039">
      <c r="A1039" s="8">
        <v>43181.0</v>
      </c>
      <c r="B1039" s="12">
        <v>-0.001553</v>
      </c>
      <c r="C1039" s="12">
        <v>3.05E-4</v>
      </c>
      <c r="D1039" s="12">
        <v>0.003952</v>
      </c>
    </row>
    <row r="1040">
      <c r="A1040" s="8">
        <v>43182.0</v>
      </c>
      <c r="B1040" s="12">
        <v>-0.00154</v>
      </c>
      <c r="C1040" s="12">
        <v>3.35E-4</v>
      </c>
      <c r="D1040" s="12">
        <v>0.0040100000000000005</v>
      </c>
    </row>
    <row r="1041">
      <c r="A1041" s="8">
        <v>43185.0</v>
      </c>
      <c r="B1041" s="12">
        <v>-0.00155</v>
      </c>
      <c r="C1041" s="12">
        <v>3.1099999999999997E-4</v>
      </c>
      <c r="D1041" s="12">
        <v>0.004015</v>
      </c>
    </row>
    <row r="1042">
      <c r="A1042" s="8">
        <v>43186.0</v>
      </c>
      <c r="B1042" s="12">
        <v>-0.0015890000000000001</v>
      </c>
      <c r="C1042" s="12">
        <v>2.1E-4</v>
      </c>
      <c r="D1042" s="12">
        <v>0.003747</v>
      </c>
    </row>
    <row r="1043">
      <c r="A1043" s="8">
        <v>43187.0</v>
      </c>
      <c r="B1043" s="12">
        <v>-0.00158</v>
      </c>
      <c r="C1043" s="12">
        <v>1.93E-4</v>
      </c>
      <c r="D1043" s="12">
        <v>0.0037430000000000002</v>
      </c>
    </row>
    <row r="1044">
      <c r="A1044" s="8">
        <v>43188.0</v>
      </c>
      <c r="B1044" s="12">
        <v>-0.00157</v>
      </c>
      <c r="C1044" s="12">
        <v>1.72E-4</v>
      </c>
      <c r="D1044" s="12">
        <v>0.0036420000000000003</v>
      </c>
    </row>
    <row r="1045">
      <c r="A1045" s="8">
        <v>43192.0</v>
      </c>
      <c r="B1045" s="13">
        <v>-0.00157</v>
      </c>
      <c r="C1045" s="12">
        <v>1.7500000000000003E-4</v>
      </c>
      <c r="D1045" s="13">
        <v>0.0036420000000000003</v>
      </c>
    </row>
    <row r="1046">
      <c r="A1046" s="8">
        <v>43193.0</v>
      </c>
      <c r="B1046" s="12">
        <v>-0.001547</v>
      </c>
      <c r="C1046" s="12">
        <v>2.1E-4</v>
      </c>
      <c r="D1046" s="12">
        <v>0.0036320000000000002</v>
      </c>
    </row>
    <row r="1047">
      <c r="A1047" s="8">
        <v>43194.0</v>
      </c>
      <c r="B1047" s="12">
        <v>-0.00155</v>
      </c>
      <c r="C1047" s="12">
        <v>1.89E-4</v>
      </c>
      <c r="D1047" s="12">
        <v>0.0036049999999999997</v>
      </c>
    </row>
    <row r="1048">
      <c r="A1048" s="8">
        <v>43195.0</v>
      </c>
      <c r="B1048" s="12">
        <v>-0.0015</v>
      </c>
      <c r="C1048" s="12">
        <v>2.9499999999999996E-4</v>
      </c>
      <c r="D1048" s="12">
        <v>0.00378</v>
      </c>
    </row>
    <row r="1049">
      <c r="A1049" s="8">
        <v>43196.0</v>
      </c>
      <c r="B1049" s="12">
        <v>-0.001505</v>
      </c>
      <c r="C1049" s="12">
        <v>2.25E-4</v>
      </c>
      <c r="D1049" s="12">
        <v>0.00363</v>
      </c>
    </row>
    <row r="1050">
      <c r="A1050" s="8">
        <v>43199.0</v>
      </c>
      <c r="B1050" s="12">
        <v>-0.001489</v>
      </c>
      <c r="C1050" s="12">
        <v>2.7E-4</v>
      </c>
      <c r="D1050" s="12">
        <v>0.003649</v>
      </c>
    </row>
    <row r="1051">
      <c r="A1051" s="8">
        <v>43200.0</v>
      </c>
      <c r="B1051" s="12">
        <v>-0.0014299999999999998</v>
      </c>
      <c r="C1051" s="12">
        <v>3.44E-4</v>
      </c>
      <c r="D1051" s="12">
        <v>0.003685</v>
      </c>
    </row>
    <row r="1052">
      <c r="A1052" s="8">
        <v>43201.0</v>
      </c>
      <c r="B1052" s="12">
        <v>-0.0014099999999999998</v>
      </c>
      <c r="C1052" s="12">
        <v>3.05E-4</v>
      </c>
      <c r="D1052" s="12">
        <v>0.003675</v>
      </c>
    </row>
    <row r="1053">
      <c r="A1053" s="8">
        <v>43202.0</v>
      </c>
      <c r="B1053" s="12">
        <v>-0.001433</v>
      </c>
      <c r="C1053" s="12">
        <v>3.1099999999999997E-4</v>
      </c>
      <c r="D1053" s="12">
        <v>0.003727</v>
      </c>
    </row>
    <row r="1054">
      <c r="A1054" s="8">
        <v>43203.0</v>
      </c>
      <c r="B1054" s="12">
        <v>-0.001459</v>
      </c>
      <c r="C1054" s="12">
        <v>3.14E-4</v>
      </c>
      <c r="D1054" s="12">
        <v>0.003675</v>
      </c>
    </row>
    <row r="1055">
      <c r="A1055" s="8">
        <v>43206.0</v>
      </c>
      <c r="B1055" s="12">
        <v>-0.0014349999999999999</v>
      </c>
      <c r="C1055" s="12">
        <v>3.12E-4</v>
      </c>
      <c r="D1055" s="12">
        <v>0.003758</v>
      </c>
    </row>
    <row r="1056">
      <c r="A1056" s="8">
        <v>43207.0</v>
      </c>
      <c r="B1056" s="12">
        <v>-0.001474</v>
      </c>
      <c r="C1056" s="12">
        <v>2.35E-4</v>
      </c>
      <c r="D1056" s="12">
        <v>0.00362</v>
      </c>
    </row>
    <row r="1057">
      <c r="A1057" s="8">
        <v>43208.0</v>
      </c>
      <c r="B1057" s="12">
        <v>-0.001473</v>
      </c>
      <c r="C1057" s="12">
        <v>2.81E-4</v>
      </c>
      <c r="D1057" s="12">
        <v>0.003715</v>
      </c>
    </row>
    <row r="1058">
      <c r="A1058" s="8">
        <v>43209.0</v>
      </c>
      <c r="B1058" s="12">
        <v>-0.0014219999999999999</v>
      </c>
      <c r="C1058" s="12">
        <v>4.33E-4</v>
      </c>
      <c r="D1058" s="12">
        <v>0.004135</v>
      </c>
    </row>
    <row r="1059">
      <c r="A1059" s="8">
        <v>43210.0</v>
      </c>
      <c r="B1059" s="12">
        <v>-0.0014199999999999998</v>
      </c>
      <c r="C1059" s="12">
        <v>4.52E-4</v>
      </c>
      <c r="D1059" s="12">
        <v>0.004085</v>
      </c>
    </row>
    <row r="1060">
      <c r="A1060" s="8">
        <v>43213.0</v>
      </c>
      <c r="B1060" s="12">
        <v>-0.001325</v>
      </c>
      <c r="C1060" s="12">
        <v>5.65E-4</v>
      </c>
      <c r="D1060" s="12">
        <v>0.00424</v>
      </c>
    </row>
    <row r="1061">
      <c r="A1061" s="8">
        <v>43214.0</v>
      </c>
      <c r="B1061" s="12">
        <v>-0.0013109999999999999</v>
      </c>
      <c r="C1061" s="12">
        <v>5.8E-4</v>
      </c>
      <c r="D1061" s="12">
        <v>0.004192</v>
      </c>
    </row>
    <row r="1062">
      <c r="A1062" s="8">
        <v>43215.0</v>
      </c>
      <c r="B1062" s="12">
        <v>-0.001288</v>
      </c>
      <c r="C1062" s="12">
        <v>6.3E-4</v>
      </c>
      <c r="D1062" s="12">
        <v>0.004365</v>
      </c>
    </row>
    <row r="1063">
      <c r="A1063" s="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2" width="2.13"/>
    <col customWidth="1" min="7" max="7" width="2.13"/>
    <col customWidth="1" min="11" max="11" width="2.13"/>
    <col customWidth="1" min="18" max="18" width="2.13"/>
    <col customWidth="1" min="19" max="19" width="16.5"/>
    <col customWidth="1" min="20" max="20" width="15.25"/>
    <col customWidth="1" min="22" max="22" width="2.13"/>
    <col customWidth="1" min="23" max="23" width="15.88"/>
    <col customWidth="1" min="25" max="25" width="2.13"/>
    <col customWidth="1" min="26" max="26" width="17.38"/>
    <col customWidth="1" min="28" max="28" width="2.13"/>
    <col customWidth="1" min="29" max="29" width="15.75"/>
  </cols>
  <sheetData>
    <row r="1">
      <c r="A1" s="1" t="s">
        <v>0</v>
      </c>
      <c r="B1" s="14"/>
      <c r="C1" s="1" t="s">
        <v>8</v>
      </c>
      <c r="D1" s="1" t="s">
        <v>9</v>
      </c>
      <c r="E1" s="1" t="s">
        <v>10</v>
      </c>
      <c r="F1" s="1" t="s">
        <v>11</v>
      </c>
      <c r="G1" s="14"/>
      <c r="H1" s="1" t="s">
        <v>12</v>
      </c>
      <c r="I1" s="1" t="s">
        <v>13</v>
      </c>
      <c r="J1" s="1" t="s">
        <v>14</v>
      </c>
      <c r="K1" s="14"/>
      <c r="L1" s="1" t="s">
        <v>1</v>
      </c>
      <c r="M1" s="1" t="s">
        <v>2</v>
      </c>
      <c r="N1" s="1" t="s">
        <v>3</v>
      </c>
      <c r="O1" s="1" t="s">
        <v>4</v>
      </c>
      <c r="P1" s="1" t="s">
        <v>5</v>
      </c>
      <c r="Q1" s="1" t="s">
        <v>6</v>
      </c>
      <c r="R1" s="14"/>
      <c r="S1" s="1" t="s">
        <v>15</v>
      </c>
      <c r="T1" s="1" t="s">
        <v>16</v>
      </c>
      <c r="U1" s="1" t="s">
        <v>17</v>
      </c>
      <c r="V1" s="14"/>
      <c r="W1" s="15" t="s">
        <v>18</v>
      </c>
      <c r="X1" s="1" t="s">
        <v>19</v>
      </c>
      <c r="Y1" s="14"/>
      <c r="Z1" s="1" t="s">
        <v>20</v>
      </c>
      <c r="AA1" s="1" t="s">
        <v>21</v>
      </c>
      <c r="AB1" s="14"/>
      <c r="AC1" s="1" t="s">
        <v>22</v>
      </c>
    </row>
    <row r="2">
      <c r="A2" s="8">
        <v>41723.0</v>
      </c>
      <c r="B2" s="14"/>
      <c r="C2" s="9" t="str">
        <f t="array" ref="C2">IFERROR(
  INDEX(
    IR!$B$2:$E2026,                
    MATCH($A2, IR!$A$2:$A2026, 0), 
    MATCH(C$1, IR!$B$1:$E$1, 0) ), "")
</f>
        <v/>
      </c>
      <c r="D2" s="9" t="str">
        <f t="array" ref="D2">IFERROR(
  INDEX(
    IR!$B$2:$E2026,                
    MATCH($A2, IR!$A$2:$A2026, 0), 
    MATCH(D$1, IR!$B$1:$E$1, 0) ), "")
</f>
        <v/>
      </c>
      <c r="E2" s="9" t="str">
        <f t="array" ref="E2">IFERROR(
  INDEX(
    IR!$B$2:$E2026,                
    MATCH($A2, IR!$A$2:$A2026, 0), 
    MATCH(E$1, IR!$B$1:$E$1, 0) ), "")
</f>
        <v/>
      </c>
      <c r="F2" s="9" t="str">
        <f t="array" ref="F2">IFERROR(
  INDEX(
    IR!$B$2:$E2026,                
    MATCH($A2, IR!$A$2:$A2026, 0), 
    MATCH(F$1, IR!$B$1:$E$1, 0) ), "")
</f>
        <v/>
      </c>
      <c r="G2" s="14"/>
      <c r="H2" s="9" t="str">
        <f t="array" ref="H2">IFERROR(
  INDEX(
    SR!$B$2:$D2026,            
    MATCH($A2, SR!$A$2:$A2026, 0),  
    MATCH(H$1, SR!$B$1:$D$1, 0) ), "")
</f>
        <v/>
      </c>
      <c r="I2" s="9" t="str">
        <f t="array" ref="I2">IFERROR(
  INDEX(
    SR!$B$2:$D2026,            
    MATCH($A2, SR!$A$2:$A2026, 0),  
    MATCH(I$1, SR!$B$1:$D$1, 0) ), "")
</f>
        <v/>
      </c>
      <c r="J2" s="9" t="str">
        <f t="array" ref="J2">IFERROR(
  INDEX(
    SR!$B$2:$D2026,            
    MATCH($A2, SR!$A$2:$A2026, 0),  
    MATCH(J$1, SR!$B$1:$D$1, 0) ), "")
</f>
        <v/>
      </c>
      <c r="K2" s="14"/>
      <c r="L2" s="9">
        <v>122.35</v>
      </c>
      <c r="M2" s="9">
        <v>24.1</v>
      </c>
      <c r="N2" s="9">
        <v>112.25</v>
      </c>
      <c r="O2" s="9">
        <v>118.28</v>
      </c>
      <c r="P2" s="9">
        <v>124.74</v>
      </c>
      <c r="Q2" s="9">
        <v>1344.8619</v>
      </c>
      <c r="R2" s="14"/>
      <c r="S2" s="16"/>
      <c r="T2" s="16"/>
      <c r="U2" s="16">
        <f t="shared" ref="U2:U25" si="1">U3/T3</f>
        <v>99.25001731</v>
      </c>
      <c r="V2" s="17"/>
      <c r="W2" s="12"/>
      <c r="Y2" s="14"/>
      <c r="AB2" s="14"/>
    </row>
    <row r="3">
      <c r="A3" s="8">
        <v>41724.0</v>
      </c>
      <c r="B3" s="14"/>
      <c r="C3" s="9" t="str">
        <f t="array" ref="C3">IFERROR(
  INDEX(
    IR!$B$2:$E2026,                
    MATCH($A3, IR!$A$2:$A2026, 0), 
    MATCH(C$1, IR!$B$1:$E$1, 0) ), "")
</f>
        <v/>
      </c>
      <c r="D3" s="9" t="str">
        <f t="array" ref="D3">IFERROR(
  INDEX(
    IR!$B$2:$E2026,                
    MATCH($A3, IR!$A$2:$A2026, 0), 
    MATCH(D$1, IR!$B$1:$E$1, 0) ), "")
</f>
        <v/>
      </c>
      <c r="E3" s="9" t="str">
        <f t="array" ref="E3">IFERROR(
  INDEX(
    IR!$B$2:$E2026,                
    MATCH($A3, IR!$A$2:$A2026, 0), 
    MATCH(E$1, IR!$B$1:$E$1, 0) ), "")
</f>
        <v/>
      </c>
      <c r="F3" s="9" t="str">
        <f t="array" ref="F3">IFERROR(
  INDEX(
    IR!$B$2:$E2026,                
    MATCH($A3, IR!$A$2:$A2026, 0), 
    MATCH(F$1, IR!$B$1:$E$1, 0) ), "")
</f>
        <v/>
      </c>
      <c r="G3" s="14"/>
      <c r="H3" s="9" t="str">
        <f t="array" ref="H3">IFERROR(
  INDEX(
    SR!$B$2:$D2026,            
    MATCH($A3, SR!$A$2:$A2026, 0),  
    MATCH(H$1, SR!$B$1:$D$1, 0) ), "")
</f>
        <v/>
      </c>
      <c r="I3" s="9" t="str">
        <f t="array" ref="I3">IFERROR(
  INDEX(
    SR!$B$2:$D2026,            
    MATCH($A3, SR!$A$2:$A2026, 0),  
    MATCH(I$1, SR!$B$1:$D$1, 0) ), "")
</f>
        <v/>
      </c>
      <c r="J3" s="9" t="str">
        <f t="array" ref="J3">IFERROR(
  INDEX(
    SR!$B$2:$D2026,            
    MATCH($A3, SR!$A$2:$A2026, 0),  
    MATCH(J$1, SR!$B$1:$D$1, 0) ), "")
</f>
        <v/>
      </c>
      <c r="K3" s="14"/>
      <c r="L3" s="9">
        <v>122.84</v>
      </c>
      <c r="M3" s="9">
        <v>24.11</v>
      </c>
      <c r="N3" s="9">
        <v>112.32</v>
      </c>
      <c r="O3" s="9">
        <v>118.72</v>
      </c>
      <c r="P3" s="9">
        <v>124.85</v>
      </c>
      <c r="Q3" s="9">
        <v>1348.3263</v>
      </c>
      <c r="R3" s="14"/>
      <c r="S3" s="12">
        <f t="shared" ref="S3:S1025" si="2">((L3-L2)/L2)*0.1666+((M3-M2)/M2)*0.1666+((N3-N2)/N2)*0.1666+((O3-O2)/O2)*0.1666+((P3-P2)/P2)*0.1666+((Q3-Q2)/Q2)*0.1667</f>
        <v>0.002036325684</v>
      </c>
      <c r="T3" s="12">
        <f t="shared" ref="T3:T1025" si="3">1+S3</f>
        <v>1.002036326</v>
      </c>
      <c r="U3" s="16">
        <f t="shared" si="1"/>
        <v>99.45212267</v>
      </c>
      <c r="V3" s="17"/>
      <c r="W3" s="12"/>
      <c r="Y3" s="14"/>
      <c r="AB3" s="14"/>
    </row>
    <row r="4">
      <c r="A4" s="8">
        <v>41725.0</v>
      </c>
      <c r="B4" s="14"/>
      <c r="C4" s="9" t="str">
        <f t="array" ref="C4">IFERROR(
  INDEX(
    IR!$B$2:$E2026,                
    MATCH($A4, IR!$A$2:$A2026, 0), 
    MATCH(C$1, IR!$B$1:$E$1, 0) ), "")
</f>
        <v/>
      </c>
      <c r="D4" s="9" t="str">
        <f t="array" ref="D4">IFERROR(
  INDEX(
    IR!$B$2:$E2026,                
    MATCH($A4, IR!$A$2:$A2026, 0), 
    MATCH(D$1, IR!$B$1:$E$1, 0) ), "")
</f>
        <v/>
      </c>
      <c r="E4" s="9" t="str">
        <f t="array" ref="E4">IFERROR(
  INDEX(
    IR!$B$2:$E2026,                
    MATCH($A4, IR!$A$2:$A2026, 0), 
    MATCH(E$1, IR!$B$1:$E$1, 0) ), "")
</f>
        <v/>
      </c>
      <c r="F4" s="9" t="str">
        <f t="array" ref="F4">IFERROR(
  INDEX(
    IR!$B$2:$E2026,                
    MATCH($A4, IR!$A$2:$A2026, 0), 
    MATCH(F$1, IR!$B$1:$E$1, 0) ), "")
</f>
        <v/>
      </c>
      <c r="G4" s="14"/>
      <c r="H4" s="9" t="str">
        <f t="array" ref="H4">IFERROR(
  INDEX(
    SR!$B$2:$D2026,            
    MATCH($A4, SR!$A$2:$A2026, 0),  
    MATCH(H$1, SR!$B$1:$D$1, 0) ), "")
</f>
        <v/>
      </c>
      <c r="I4" s="9" t="str">
        <f t="array" ref="I4">IFERROR(
  INDEX(
    SR!$B$2:$D2026,            
    MATCH($A4, SR!$A$2:$A2026, 0),  
    MATCH(I$1, SR!$B$1:$D$1, 0) ), "")
</f>
        <v/>
      </c>
      <c r="J4" s="9" t="str">
        <f t="array" ref="J4">IFERROR(
  INDEX(
    SR!$B$2:$D2026,            
    MATCH($A4, SR!$A$2:$A2026, 0),  
    MATCH(J$1, SR!$B$1:$D$1, 0) ), "")
</f>
        <v/>
      </c>
      <c r="K4" s="14"/>
      <c r="L4" s="9">
        <v>122.98</v>
      </c>
      <c r="M4" s="9">
        <v>24.14</v>
      </c>
      <c r="N4" s="9">
        <v>112.34</v>
      </c>
      <c r="O4" s="9">
        <v>119.09</v>
      </c>
      <c r="P4" s="9">
        <v>124.82</v>
      </c>
      <c r="Q4" s="9">
        <v>1346.6311</v>
      </c>
      <c r="R4" s="14"/>
      <c r="S4" s="12">
        <f t="shared" si="2"/>
        <v>0.0006964421359</v>
      </c>
      <c r="T4" s="12">
        <f t="shared" si="3"/>
        <v>1.000696442</v>
      </c>
      <c r="U4" s="16">
        <f t="shared" si="1"/>
        <v>99.52138531</v>
      </c>
      <c r="V4" s="17"/>
      <c r="W4" s="12"/>
      <c r="Y4" s="14"/>
      <c r="AB4" s="14"/>
    </row>
    <row r="5">
      <c r="A5" s="8">
        <v>41726.0</v>
      </c>
      <c r="B5" s="14"/>
      <c r="C5" s="9" t="str">
        <f t="array" ref="C5">IFERROR(
  INDEX(
    IR!$B$2:$E2026,                
    MATCH($A5, IR!$A$2:$A2026, 0), 
    MATCH(C$1, IR!$B$1:$E$1, 0) ), "")
</f>
        <v/>
      </c>
      <c r="D5" s="9" t="str">
        <f t="array" ref="D5">IFERROR(
  INDEX(
    IR!$B$2:$E2026,                
    MATCH($A5, IR!$A$2:$A2026, 0), 
    MATCH(D$1, IR!$B$1:$E$1, 0) ), "")
</f>
        <v/>
      </c>
      <c r="E5" s="9" t="str">
        <f t="array" ref="E5">IFERROR(
  INDEX(
    IR!$B$2:$E2026,                
    MATCH($A5, IR!$A$2:$A2026, 0), 
    MATCH(E$1, IR!$B$1:$E$1, 0) ), "")
</f>
        <v/>
      </c>
      <c r="F5" s="9" t="str">
        <f t="array" ref="F5">IFERROR(
  INDEX(
    IR!$B$2:$E2026,                
    MATCH($A5, IR!$A$2:$A2026, 0), 
    MATCH(F$1, IR!$B$1:$E$1, 0) ), "")
</f>
        <v/>
      </c>
      <c r="G5" s="14"/>
      <c r="H5" s="9" t="str">
        <f t="array" ref="H5">IFERROR(
  INDEX(
    SR!$B$2:$D2026,            
    MATCH($A5, SR!$A$2:$A2026, 0),  
    MATCH(H$1, SR!$B$1:$D$1, 0) ), "")
</f>
        <v/>
      </c>
      <c r="I5" s="9" t="str">
        <f t="array" ref="I5">IFERROR(
  INDEX(
    SR!$B$2:$D2026,            
    MATCH($A5, SR!$A$2:$A2026, 0),  
    MATCH(I$1, SR!$B$1:$D$1, 0) ), "")
</f>
        <v/>
      </c>
      <c r="J5" s="9" t="str">
        <f t="array" ref="J5">IFERROR(
  INDEX(
    SR!$B$2:$D2026,            
    MATCH($A5, SR!$A$2:$A2026, 0),  
    MATCH(J$1, SR!$B$1:$D$1, 0) ), "")
</f>
        <v/>
      </c>
      <c r="K5" s="14"/>
      <c r="L5" s="9">
        <v>123.54</v>
      </c>
      <c r="M5" s="9">
        <v>24.13</v>
      </c>
      <c r="N5" s="9">
        <v>112.39</v>
      </c>
      <c r="O5" s="9">
        <v>119.25</v>
      </c>
      <c r="P5" s="9">
        <v>124.95</v>
      </c>
      <c r="Q5" s="9">
        <v>1345.476</v>
      </c>
      <c r="R5" s="14"/>
      <c r="S5" s="12">
        <f t="shared" si="2"/>
        <v>0.001018117524</v>
      </c>
      <c r="T5" s="12">
        <f t="shared" si="3"/>
        <v>1.001018118</v>
      </c>
      <c r="U5" s="16">
        <f t="shared" si="1"/>
        <v>99.62270978</v>
      </c>
      <c r="V5" s="17"/>
      <c r="W5" s="12"/>
      <c r="Y5" s="14"/>
      <c r="AB5" s="14"/>
    </row>
    <row r="6">
      <c r="A6" s="8">
        <v>41729.0</v>
      </c>
      <c r="B6" s="14"/>
      <c r="C6" s="9" t="str">
        <f t="array" ref="C6">IFERROR(
  INDEX(
    IR!$B$2:$E2026,                
    MATCH($A6, IR!$A$2:$A2026, 0), 
    MATCH(C$1, IR!$B$1:$E$1, 0) ), "")
</f>
        <v/>
      </c>
      <c r="D6" s="9" t="str">
        <f t="array" ref="D6">IFERROR(
  INDEX(
    IR!$B$2:$E2026,                
    MATCH($A6, IR!$A$2:$A2026, 0), 
    MATCH(D$1, IR!$B$1:$E$1, 0) ), "")
</f>
        <v/>
      </c>
      <c r="E6" s="9" t="str">
        <f t="array" ref="E6">IFERROR(
  INDEX(
    IR!$B$2:$E2026,                
    MATCH($A6, IR!$A$2:$A2026, 0), 
    MATCH(E$1, IR!$B$1:$E$1, 0) ), "")
</f>
        <v/>
      </c>
      <c r="F6" s="9" t="str">
        <f t="array" ref="F6">IFERROR(
  INDEX(
    IR!$B$2:$E2026,                
    MATCH($A6, IR!$A$2:$A2026, 0), 
    MATCH(F$1, IR!$B$1:$E$1, 0) ), "")
</f>
        <v/>
      </c>
      <c r="G6" s="14"/>
      <c r="H6" s="9" t="str">
        <f t="array" ref="H6">IFERROR(
  INDEX(
    SR!$B$2:$D2026,            
    MATCH($A6, SR!$A$2:$A2026, 0),  
    MATCH(H$1, SR!$B$1:$D$1, 0) ), "")
</f>
        <v/>
      </c>
      <c r="I6" s="9" t="str">
        <f t="array" ref="I6">IFERROR(
  INDEX(
    SR!$B$2:$D2026,            
    MATCH($A6, SR!$A$2:$A2026, 0),  
    MATCH(I$1, SR!$B$1:$D$1, 0) ), "")
</f>
        <v/>
      </c>
      <c r="J6" s="9" t="str">
        <f t="array" ref="J6">IFERROR(
  INDEX(
    SR!$B$2:$D2026,            
    MATCH($A6, SR!$A$2:$A2026, 0),  
    MATCH(J$1, SR!$B$1:$D$1, 0) ), "")
</f>
        <v/>
      </c>
      <c r="K6" s="14"/>
      <c r="L6" s="9">
        <v>123.6</v>
      </c>
      <c r="M6" s="9">
        <v>24.13</v>
      </c>
      <c r="N6" s="9">
        <v>112.44</v>
      </c>
      <c r="O6" s="9">
        <v>119.32</v>
      </c>
      <c r="P6" s="9">
        <v>125.07</v>
      </c>
      <c r="Q6" s="9">
        <v>1350.203</v>
      </c>
      <c r="R6" s="14"/>
      <c r="S6" s="12">
        <f t="shared" si="2"/>
        <v>0.0009984841014</v>
      </c>
      <c r="T6" s="12">
        <f t="shared" si="3"/>
        <v>1.000998484</v>
      </c>
      <c r="U6" s="16">
        <f t="shared" si="1"/>
        <v>99.72218147</v>
      </c>
      <c r="V6" s="17"/>
      <c r="W6" s="12"/>
      <c r="Y6" s="14"/>
      <c r="AB6" s="14"/>
    </row>
    <row r="7">
      <c r="A7" s="8">
        <v>41730.0</v>
      </c>
      <c r="B7" s="14"/>
      <c r="C7" s="9">
        <f t="array" ref="C7">IFERROR(
  INDEX(
    IR!$B$2:$E2026,                
    MATCH($A7, IR!$A$2:$A2026, 0), 
    MATCH(C$1, IR!$B$1:$E$1, 0) ), "")
</f>
        <v>0.00235</v>
      </c>
      <c r="D7" s="9">
        <f t="array" ref="D7">IFERROR(
  INDEX(
    IR!$B$2:$E2026,                
    MATCH($A7, IR!$A$2:$A2026, 0), 
    MATCH(D$1, IR!$B$1:$E$1, 0) ), "")
</f>
        <v>0.00313</v>
      </c>
      <c r="E7" s="9">
        <f t="array" ref="E7">IFERROR(
  INDEX(
    IR!$B$2:$E2026,                
    MATCH($A7, IR!$A$2:$A2026, 0), 
    MATCH(E$1, IR!$B$1:$E$1, 0) ), "")
</f>
        <v>0.00418</v>
      </c>
      <c r="F7" s="9">
        <f t="array" ref="F7">IFERROR(
  INDEX(
    IR!$B$2:$E2026,                
    MATCH($A7, IR!$A$2:$A2026, 0), 
    MATCH(F$1, IR!$B$1:$E$1, 0) ), "")
</f>
        <v>0.00591</v>
      </c>
      <c r="G7" s="14"/>
      <c r="H7" s="9">
        <f t="array" ref="H7">IFERROR(
  INDEX(
    SR!$B$2:$D2026,            
    MATCH($A7, SR!$A$2:$A2026, 0),  
    MATCH(H$1, SR!$B$1:$D$1, 0) ), "")
</f>
        <v>0.004925</v>
      </c>
      <c r="I7" s="9">
        <f t="array" ref="I7">IFERROR(
  INDEX(
    SR!$B$2:$D2026,            
    MATCH($A7, SR!$A$2:$A2026, 0),  
    MATCH(I$1, SR!$B$1:$D$1, 0) ), "")
</f>
        <v>0.006282</v>
      </c>
      <c r="J7" s="9">
        <f t="array" ref="J7">IFERROR(
  INDEX(
    SR!$B$2:$D2026,            
    MATCH($A7, SR!$A$2:$A2026, 0),  
    MATCH(J$1, SR!$B$1:$D$1, 0) ), "")
</f>
        <v>0.009895</v>
      </c>
      <c r="K7" s="14"/>
      <c r="L7" s="9">
        <v>123.97</v>
      </c>
      <c r="M7" s="9">
        <v>24.13</v>
      </c>
      <c r="N7" s="9">
        <v>112.5</v>
      </c>
      <c r="O7" s="9">
        <v>119.16</v>
      </c>
      <c r="P7" s="9">
        <v>125.17</v>
      </c>
      <c r="Q7" s="9">
        <v>1355.4878</v>
      </c>
      <c r="R7" s="14"/>
      <c r="S7" s="12">
        <f t="shared" si="2"/>
        <v>0.001149905393</v>
      </c>
      <c r="T7" s="12">
        <f t="shared" si="3"/>
        <v>1.001149905</v>
      </c>
      <c r="U7" s="16">
        <f t="shared" si="1"/>
        <v>99.83685255</v>
      </c>
      <c r="V7" s="17"/>
      <c r="W7" s="12"/>
      <c r="Y7" s="14"/>
      <c r="AB7" s="14"/>
    </row>
    <row r="8">
      <c r="A8" s="8">
        <v>41731.0</v>
      </c>
      <c r="B8" s="14"/>
      <c r="C8" s="9">
        <f t="array" ref="C8">IFERROR(
  INDEX(
    IR!$B$2:$E2026,                
    MATCH($A8, IR!$A$2:$A2026, 0), 
    MATCH(C$1, IR!$B$1:$E$1, 0) ), "")
</f>
        <v>0.00242</v>
      </c>
      <c r="D8" s="9">
        <f t="array" ref="D8">IFERROR(
  INDEX(
    IR!$B$2:$E2026,                
    MATCH($A8, IR!$A$2:$A2026, 0), 
    MATCH(D$1, IR!$B$1:$E$1, 0) ), "")
</f>
        <v>0.00319</v>
      </c>
      <c r="E8" s="9">
        <f t="array" ref="E8">IFERROR(
  INDEX(
    IR!$B$2:$E2026,                
    MATCH($A8, IR!$A$2:$A2026, 0), 
    MATCH(E$1, IR!$B$1:$E$1, 0) ), "")
</f>
        <v>0.00423</v>
      </c>
      <c r="F8" s="9">
        <f t="array" ref="F8">IFERROR(
  INDEX(
    IR!$B$2:$E2026,                
    MATCH($A8, IR!$A$2:$A2026, 0), 
    MATCH(F$1, IR!$B$1:$E$1, 0) ), "")
</f>
        <v>0.00599</v>
      </c>
      <c r="G8" s="14"/>
      <c r="H8" s="9">
        <f t="array" ref="H8">IFERROR(
  INDEX(
    SR!$B$2:$D2026,            
    MATCH($A8, SR!$A$2:$A2026, 0),  
    MATCH(H$1, SR!$B$1:$D$1, 0) ), "")
</f>
        <v>0.00497</v>
      </c>
      <c r="I8" s="9">
        <f t="array" ref="I8">IFERROR(
  INDEX(
    SR!$B$2:$D2026,            
    MATCH($A8, SR!$A$2:$A2026, 0),  
    MATCH(I$1, SR!$B$1:$D$1, 0) ), "")
</f>
        <v>0.00642</v>
      </c>
      <c r="J8" s="9">
        <f t="array" ref="J8">IFERROR(
  INDEX(
    SR!$B$2:$D2026,            
    MATCH($A8, SR!$A$2:$A2026, 0),  
    MATCH(J$1, SR!$B$1:$D$1, 0) ), "")
</f>
        <v>0.01012</v>
      </c>
      <c r="K8" s="14"/>
      <c r="L8" s="9">
        <v>124.29</v>
      </c>
      <c r="M8" s="9">
        <v>24.13</v>
      </c>
      <c r="N8" s="9">
        <v>112.57</v>
      </c>
      <c r="O8" s="9">
        <v>119.13</v>
      </c>
      <c r="P8" s="9">
        <v>125.04</v>
      </c>
      <c r="Q8" s="9">
        <v>1363.3962</v>
      </c>
      <c r="R8" s="14"/>
      <c r="S8" s="12">
        <f t="shared" si="2"/>
        <v>0.001291316806</v>
      </c>
      <c r="T8" s="12">
        <f t="shared" si="3"/>
        <v>1.001291317</v>
      </c>
      <c r="U8" s="16">
        <f t="shared" si="1"/>
        <v>99.96577355</v>
      </c>
      <c r="V8" s="17"/>
      <c r="W8" s="12"/>
      <c r="Y8" s="14"/>
      <c r="AB8" s="14"/>
    </row>
    <row r="9">
      <c r="A9" s="8">
        <v>41732.0</v>
      </c>
      <c r="B9" s="14"/>
      <c r="C9" s="9">
        <f t="array" ref="C9">IFERROR(
  INDEX(
    IR!$B$2:$E2026,                
    MATCH($A9, IR!$A$2:$A2026, 0), 
    MATCH(C$1, IR!$B$1:$E$1, 0) ), "")
</f>
        <v>0.0024</v>
      </c>
      <c r="D9" s="9">
        <f t="array" ref="D9">IFERROR(
  INDEX(
    IR!$B$2:$E2026,                
    MATCH($A9, IR!$A$2:$A2026, 0), 
    MATCH(D$1, IR!$B$1:$E$1, 0) ), "")
</f>
        <v>0.00319</v>
      </c>
      <c r="E9" s="9">
        <f t="array" ref="E9">IFERROR(
  INDEX(
    IR!$B$2:$E2026,                
    MATCH($A9, IR!$A$2:$A2026, 0), 
    MATCH(E$1, IR!$B$1:$E$1, 0) ), "")
</f>
        <v>0.00423</v>
      </c>
      <c r="F9" s="9">
        <f t="array" ref="F9">IFERROR(
  INDEX(
    IR!$B$2:$E2026,                
    MATCH($A9, IR!$A$2:$A2026, 0), 
    MATCH(F$1, IR!$B$1:$E$1, 0) ), "")
</f>
        <v>0.006</v>
      </c>
      <c r="G9" s="14"/>
      <c r="H9" s="9">
        <f t="array" ref="H9">IFERROR(
  INDEX(
    SR!$B$2:$D2026,            
    MATCH($A9, SR!$A$2:$A2026, 0),  
    MATCH(H$1, SR!$B$1:$D$1, 0) ), "")
</f>
        <v>0.00489</v>
      </c>
      <c r="I9" s="9">
        <f t="array" ref="I9">IFERROR(
  INDEX(
    SR!$B$2:$D2026,            
    MATCH($A9, SR!$A$2:$A2026, 0),  
    MATCH(I$1, SR!$B$1:$D$1, 0) ), "")
</f>
        <v>0.006245</v>
      </c>
      <c r="J9" s="9">
        <f t="array" ref="J9">IFERROR(
  INDEX(
    SR!$B$2:$D2026,            
    MATCH($A9, SR!$A$2:$A2026, 0),  
    MATCH(J$1, SR!$B$1:$D$1, 0) ), "")
</f>
        <v>0.009961</v>
      </c>
      <c r="K9" s="14"/>
      <c r="L9" s="9">
        <v>124.57</v>
      </c>
      <c r="M9" s="9">
        <v>24.14</v>
      </c>
      <c r="N9" s="9">
        <v>112.62</v>
      </c>
      <c r="O9" s="9">
        <v>118.98</v>
      </c>
      <c r="P9" s="9">
        <v>125.15</v>
      </c>
      <c r="Q9" s="9">
        <v>1365.8854</v>
      </c>
      <c r="R9" s="14"/>
      <c r="S9" s="12">
        <f t="shared" si="2"/>
        <v>0.0007594971468</v>
      </c>
      <c r="T9" s="12">
        <f t="shared" si="3"/>
        <v>1.000759497</v>
      </c>
      <c r="U9" s="16">
        <f t="shared" si="1"/>
        <v>100.0416973</v>
      </c>
      <c r="V9" s="17"/>
      <c r="W9" s="12"/>
      <c r="Y9" s="14"/>
      <c r="AB9" s="14"/>
    </row>
    <row r="10">
      <c r="A10" s="8">
        <v>41733.0</v>
      </c>
      <c r="B10" s="14"/>
      <c r="C10" s="9" t="str">
        <f t="array" ref="C10">IFERROR(
  INDEX(
    IR!$B$2:$E2026,                
    MATCH($A10, IR!$A$2:$A2026, 0), 
    MATCH(C$1, IR!$B$1:$E$1, 0) ), "")
</f>
        <v/>
      </c>
      <c r="D10" s="9">
        <f t="array" ref="D10">IFERROR(
  INDEX(
    IR!$B$2:$E2026,                
    MATCH($A10, IR!$A$2:$A2026, 0), 
    MATCH(D$1, IR!$B$1:$E$1, 0) ), "")
</f>
        <v>0.00325</v>
      </c>
      <c r="E10" s="9">
        <f t="array" ref="E10">IFERROR(
  INDEX(
    IR!$B$2:$E2026,                
    MATCH($A10, IR!$A$2:$A2026, 0), 
    MATCH(E$1, IR!$B$1:$E$1, 0) ), "")
</f>
        <v>0.00427</v>
      </c>
      <c r="F10" s="9">
        <f t="array" ref="F10">IFERROR(
  INDEX(
    IR!$B$2:$E2026,                
    MATCH($A10, IR!$A$2:$A2026, 0), 
    MATCH(F$1, IR!$B$1:$E$1, 0) ), "")
</f>
        <v>0.00603</v>
      </c>
      <c r="G10" s="14"/>
      <c r="H10" s="9">
        <f t="array" ref="H10">IFERROR(
  INDEX(
    SR!$B$2:$D2026,            
    MATCH($A10, SR!$A$2:$A2026, 0),  
    MATCH(H$1, SR!$B$1:$D$1, 0) ), "")
</f>
        <v>0.00466</v>
      </c>
      <c r="I10" s="9">
        <f t="array" ref="I10">IFERROR(
  INDEX(
    SR!$B$2:$D2026,            
    MATCH($A10, SR!$A$2:$A2026, 0),  
    MATCH(I$1, SR!$B$1:$D$1, 0) ), "")
</f>
        <v>0.00587</v>
      </c>
      <c r="J10" s="9">
        <f t="array" ref="J10">IFERROR(
  INDEX(
    SR!$B$2:$D2026,            
    MATCH($A10, SR!$A$2:$A2026, 0),  
    MATCH(J$1, SR!$B$1:$D$1, 0) ), "")
</f>
        <v>0.009361</v>
      </c>
      <c r="K10" s="14"/>
      <c r="L10" s="9">
        <v>124.8</v>
      </c>
      <c r="M10" s="9">
        <v>24.17</v>
      </c>
      <c r="N10" s="9">
        <v>112.67</v>
      </c>
      <c r="O10" s="9">
        <v>119.09</v>
      </c>
      <c r="P10" s="9">
        <v>125.14</v>
      </c>
      <c r="Q10" s="9">
        <v>1362.6572</v>
      </c>
      <c r="R10" s="14"/>
      <c r="S10" s="12">
        <f t="shared" si="2"/>
        <v>0.0003353369245</v>
      </c>
      <c r="T10" s="12">
        <f t="shared" si="3"/>
        <v>1.000335337</v>
      </c>
      <c r="U10" s="16">
        <f t="shared" si="1"/>
        <v>100.0752449</v>
      </c>
      <c r="V10" s="17"/>
      <c r="W10" s="12"/>
      <c r="Y10" s="14"/>
      <c r="AB10" s="14"/>
    </row>
    <row r="11">
      <c r="A11" s="8">
        <v>41736.0</v>
      </c>
      <c r="B11" s="14"/>
      <c r="C11" s="9">
        <f t="array" ref="C11">IFERROR(
  INDEX(
    IR!$B$2:$E2026,                
    MATCH($A11, IR!$A$2:$A2026, 0), 
    MATCH(C$1, IR!$B$1:$E$1, 0) ), "")
</f>
        <v>0.00252</v>
      </c>
      <c r="D11" s="9">
        <f t="array" ref="D11">IFERROR(
  INDEX(
    IR!$B$2:$E2026,                
    MATCH($A11, IR!$A$2:$A2026, 0), 
    MATCH(D$1, IR!$B$1:$E$1, 0) ), "")
</f>
        <v>0.00327</v>
      </c>
      <c r="E11" s="9">
        <f t="array" ref="E11">IFERROR(
  INDEX(
    IR!$B$2:$E2026,                
    MATCH($A11, IR!$A$2:$A2026, 0), 
    MATCH(E$1, IR!$B$1:$E$1, 0) ), "")
</f>
        <v>0.00427</v>
      </c>
      <c r="F11" s="9">
        <f t="array" ref="F11">IFERROR(
  INDEX(
    IR!$B$2:$E2026,                
    MATCH($A11, IR!$A$2:$A2026, 0), 
    MATCH(F$1, IR!$B$1:$E$1, 0) ), "")
</f>
        <v>0.006</v>
      </c>
      <c r="G11" s="14"/>
      <c r="H11" s="9">
        <f t="array" ref="H11">IFERROR(
  INDEX(
    SR!$B$2:$D2026,            
    MATCH($A11, SR!$A$2:$A2026, 0),  
    MATCH(H$1, SR!$B$1:$D$1, 0) ), "")
</f>
        <v>0.00474</v>
      </c>
      <c r="I11" s="9">
        <f t="array" ref="I11">IFERROR(
  INDEX(
    SR!$B$2:$D2026,            
    MATCH($A11, SR!$A$2:$A2026, 0),  
    MATCH(I$1, SR!$B$1:$D$1, 0) ), "")
</f>
        <v>0.005893</v>
      </c>
      <c r="J11" s="9">
        <f t="array" ref="J11">IFERROR(
  INDEX(
    SR!$B$2:$D2026,            
    MATCH($A11, SR!$A$2:$A2026, 0),  
    MATCH(J$1, SR!$B$1:$D$1, 0) ), "")
</f>
        <v>0.009365</v>
      </c>
      <c r="K11" s="14"/>
      <c r="L11" s="9">
        <v>124.45</v>
      </c>
      <c r="M11" s="9">
        <v>24.16</v>
      </c>
      <c r="N11" s="9">
        <v>112.65</v>
      </c>
      <c r="O11" s="9">
        <v>119.78</v>
      </c>
      <c r="P11" s="9">
        <v>125.21</v>
      </c>
      <c r="Q11" s="9">
        <v>1358.4637</v>
      </c>
      <c r="R11" s="14"/>
      <c r="S11" s="12">
        <f t="shared" si="2"/>
        <v>-0.00002027725309</v>
      </c>
      <c r="T11" s="12">
        <f t="shared" si="3"/>
        <v>0.9999797227</v>
      </c>
      <c r="U11" s="16">
        <f t="shared" si="1"/>
        <v>100.0732157</v>
      </c>
      <c r="V11" s="17"/>
      <c r="W11" s="12"/>
      <c r="Y11" s="14"/>
      <c r="AB11" s="14"/>
    </row>
    <row r="12">
      <c r="A12" s="8">
        <v>41737.0</v>
      </c>
      <c r="B12" s="14"/>
      <c r="C12" s="9">
        <f t="array" ref="C12">IFERROR(
  INDEX(
    IR!$B$2:$E2026,                
    MATCH($A12, IR!$A$2:$A2026, 0), 
    MATCH(C$1, IR!$B$1:$E$1, 0) ), "")
</f>
        <v>0.00251</v>
      </c>
      <c r="D12" s="9">
        <f t="array" ref="D12">IFERROR(
  INDEX(
    IR!$B$2:$E2026,                
    MATCH($A12, IR!$A$2:$A2026, 0), 
    MATCH(D$1, IR!$B$1:$E$1, 0) ), "")
</f>
        <v>0.00327</v>
      </c>
      <c r="E12" s="9">
        <f t="array" ref="E12">IFERROR(
  INDEX(
    IR!$B$2:$E2026,                
    MATCH($A12, IR!$A$2:$A2026, 0), 
    MATCH(E$1, IR!$B$1:$E$1, 0) ), "")
</f>
        <v>0.00426</v>
      </c>
      <c r="F12" s="9">
        <f t="array" ref="F12">IFERROR(
  INDEX(
    IR!$B$2:$E2026,                
    MATCH($A12, IR!$A$2:$A2026, 0), 
    MATCH(F$1, IR!$B$1:$E$1, 0) ), "")
</f>
        <v>0.00599</v>
      </c>
      <c r="G12" s="14"/>
      <c r="H12" s="9">
        <f t="array" ref="H12">IFERROR(
  INDEX(
    SR!$B$2:$D2026,            
    MATCH($A12, SR!$A$2:$A2026, 0),  
    MATCH(H$1, SR!$B$1:$D$1, 0) ), "")
</f>
        <v>0.00475</v>
      </c>
      <c r="I12" s="9">
        <f t="array" ref="I12">IFERROR(
  INDEX(
    SR!$B$2:$D2026,            
    MATCH($A12, SR!$A$2:$A2026, 0),  
    MATCH(I$1, SR!$B$1:$D$1, 0) ), "")
</f>
        <v>0.005998</v>
      </c>
      <c r="J12" s="9">
        <f t="array" ref="J12">IFERROR(
  INDEX(
    SR!$B$2:$D2026,            
    MATCH($A12, SR!$A$2:$A2026, 0),  
    MATCH(J$1, SR!$B$1:$D$1, 0) ), "")
</f>
        <v>0.00952</v>
      </c>
      <c r="K12" s="14"/>
      <c r="L12" s="9">
        <v>124.13</v>
      </c>
      <c r="M12" s="9">
        <v>24.15</v>
      </c>
      <c r="N12" s="9">
        <v>112.64</v>
      </c>
      <c r="O12" s="9">
        <v>119.11</v>
      </c>
      <c r="P12" s="9">
        <v>124.9</v>
      </c>
      <c r="Q12" s="9">
        <v>1349.2852</v>
      </c>
      <c r="R12" s="14"/>
      <c r="S12" s="12">
        <f t="shared" si="2"/>
        <v>-0.002982807303</v>
      </c>
      <c r="T12" s="12">
        <f t="shared" si="3"/>
        <v>0.9970171927</v>
      </c>
      <c r="U12" s="16">
        <f t="shared" si="1"/>
        <v>99.77471658</v>
      </c>
      <c r="V12" s="17"/>
      <c r="W12" s="12"/>
      <c r="Y12" s="14"/>
      <c r="AB12" s="14"/>
    </row>
    <row r="13">
      <c r="A13" s="8">
        <v>41738.0</v>
      </c>
      <c r="B13" s="14"/>
      <c r="C13" s="9">
        <f t="array" ref="C13">IFERROR(
  INDEX(
    IR!$B$2:$E2026,                
    MATCH($A13, IR!$A$2:$A2026, 0), 
    MATCH(C$1, IR!$B$1:$E$1, 0) ), "")
</f>
        <v>0.00251</v>
      </c>
      <c r="D13" s="9">
        <f t="array" ref="D13">IFERROR(
  INDEX(
    IR!$B$2:$E2026,                
    MATCH($A13, IR!$A$2:$A2026, 0), 
    MATCH(D$1, IR!$B$1:$E$1, 0) ), "")
</f>
        <v>0.00327</v>
      </c>
      <c r="E13" s="9">
        <f t="array" ref="E13">IFERROR(
  INDEX(
    IR!$B$2:$E2026,                
    MATCH($A13, IR!$A$2:$A2026, 0), 
    MATCH(E$1, IR!$B$1:$E$1, 0) ), "")
</f>
        <v>0.00427</v>
      </c>
      <c r="F13" s="9">
        <f t="array" ref="F13">IFERROR(
  INDEX(
    IR!$B$2:$E2026,                
    MATCH($A13, IR!$A$2:$A2026, 0), 
    MATCH(F$1, IR!$B$1:$E$1, 0) ), "")
</f>
        <v>0.00599</v>
      </c>
      <c r="G13" s="14"/>
      <c r="H13" s="9">
        <f t="array" ref="H13">IFERROR(
  INDEX(
    SR!$B$2:$D2026,            
    MATCH($A13, SR!$A$2:$A2026, 0),  
    MATCH(H$1, SR!$B$1:$D$1, 0) ), "")
</f>
        <v>0.0048</v>
      </c>
      <c r="I13" s="9">
        <f t="array" ref="I13">IFERROR(
  INDEX(
    SR!$B$2:$D2026,            
    MATCH($A13, SR!$A$2:$A2026, 0),  
    MATCH(I$1, SR!$B$1:$D$1, 0) ), "")
</f>
        <v>0.005975</v>
      </c>
      <c r="J13" s="9">
        <f t="array" ref="J13">IFERROR(
  INDEX(
    SR!$B$2:$D2026,            
    MATCH($A13, SR!$A$2:$A2026, 0),  
    MATCH(J$1, SR!$B$1:$D$1, 0) ), "")
</f>
        <v>0.00982</v>
      </c>
      <c r="K13" s="14"/>
      <c r="L13" s="9">
        <v>124.32</v>
      </c>
      <c r="M13" s="9">
        <v>24.15</v>
      </c>
      <c r="N13" s="9">
        <v>112.58</v>
      </c>
      <c r="O13" s="9">
        <v>118.8</v>
      </c>
      <c r="P13" s="9">
        <v>124.93</v>
      </c>
      <c r="Q13" s="9">
        <v>1350.5424</v>
      </c>
      <c r="R13" s="14"/>
      <c r="S13" s="12">
        <f t="shared" si="2"/>
        <v>-0.00007199607202</v>
      </c>
      <c r="T13" s="12">
        <f t="shared" si="3"/>
        <v>0.9999280039</v>
      </c>
      <c r="U13" s="16">
        <f t="shared" si="1"/>
        <v>99.76753319</v>
      </c>
      <c r="V13" s="17"/>
      <c r="W13" s="12"/>
      <c r="Y13" s="14"/>
      <c r="AB13" s="14"/>
    </row>
    <row r="14">
      <c r="A14" s="8">
        <v>41739.0</v>
      </c>
      <c r="B14" s="14"/>
      <c r="C14" s="9">
        <f t="array" ref="C14">IFERROR(
  INDEX(
    IR!$B$2:$E2026,                
    MATCH($A14, IR!$A$2:$A2026, 0), 
    MATCH(C$1, IR!$B$1:$E$1, 0) ), "")
</f>
        <v>0.00251</v>
      </c>
      <c r="D14" s="9">
        <f t="array" ref="D14">IFERROR(
  INDEX(
    IR!$B$2:$E2026,                
    MATCH($A14, IR!$A$2:$A2026, 0), 
    MATCH(D$1, IR!$B$1:$E$1, 0) ), "")
</f>
        <v>0.00327</v>
      </c>
      <c r="E14" s="9">
        <f t="array" ref="E14">IFERROR(
  INDEX(
    IR!$B$2:$E2026,                
    MATCH($A14, IR!$A$2:$A2026, 0), 
    MATCH(E$1, IR!$B$1:$E$1, 0) ), "")
</f>
        <v>0.00426</v>
      </c>
      <c r="F14" s="9">
        <f t="array" ref="F14">IFERROR(
  INDEX(
    IR!$B$2:$E2026,                
    MATCH($A14, IR!$A$2:$A2026, 0), 
    MATCH(F$1, IR!$B$1:$E$1, 0) ), "")
</f>
        <v>0.00599</v>
      </c>
      <c r="G14" s="14"/>
      <c r="H14" s="9">
        <f t="array" ref="H14">IFERROR(
  INDEX(
    SR!$B$2:$D2026,            
    MATCH($A14, SR!$A$2:$A2026, 0),  
    MATCH(H$1, SR!$B$1:$D$1, 0) ), "")
</f>
        <v>0.0046</v>
      </c>
      <c r="I14" s="9">
        <f t="array" ref="I14">IFERROR(
  INDEX(
    SR!$B$2:$D2026,            
    MATCH($A14, SR!$A$2:$A2026, 0),  
    MATCH(I$1, SR!$B$1:$D$1, 0) ), "")
</f>
        <v>0.005878</v>
      </c>
      <c r="J14" s="9">
        <f t="array" ref="J14">IFERROR(
  INDEX(
    SR!$B$2:$D2026,            
    MATCH($A14, SR!$A$2:$A2026, 0),  
    MATCH(J$1, SR!$B$1:$D$1, 0) ), "")
</f>
        <v>0.009429</v>
      </c>
      <c r="K14" s="14"/>
      <c r="L14" s="9">
        <v>124.19</v>
      </c>
      <c r="M14" s="9">
        <v>24.14</v>
      </c>
      <c r="N14" s="9">
        <v>112.56</v>
      </c>
      <c r="O14" s="9">
        <v>118.73</v>
      </c>
      <c r="P14" s="9">
        <v>125.06</v>
      </c>
      <c r="Q14" s="9">
        <v>1354.7371</v>
      </c>
      <c r="R14" s="14"/>
      <c r="S14" s="12">
        <f t="shared" si="2"/>
        <v>0.0003201618949</v>
      </c>
      <c r="T14" s="12">
        <f t="shared" si="3"/>
        <v>1.000320162</v>
      </c>
      <c r="U14" s="16">
        <f t="shared" si="1"/>
        <v>99.79947495</v>
      </c>
      <c r="V14" s="17"/>
      <c r="W14" s="12"/>
      <c r="Y14" s="14"/>
      <c r="AB14" s="14"/>
    </row>
    <row r="15">
      <c r="A15" s="8">
        <v>41740.0</v>
      </c>
      <c r="B15" s="14"/>
      <c r="C15" s="9">
        <f t="array" ref="C15">IFERROR(
  INDEX(
    IR!$B$2:$E2026,                
    MATCH($A15, IR!$A$2:$A2026, 0), 
    MATCH(C$1, IR!$B$1:$E$1, 0) ), "")
</f>
        <v>0.00253</v>
      </c>
      <c r="D15" s="9">
        <f t="array" ref="D15">IFERROR(
  INDEX(
    IR!$B$2:$E2026,                
    MATCH($A15, IR!$A$2:$A2026, 0), 
    MATCH(D$1, IR!$B$1:$E$1, 0) ), "")
</f>
        <v>0.00328</v>
      </c>
      <c r="E15" s="9">
        <f t="array" ref="E15">IFERROR(
  INDEX(
    IR!$B$2:$E2026,                
    MATCH($A15, IR!$A$2:$A2026, 0), 
    MATCH(E$1, IR!$B$1:$E$1, 0) ), "")
</f>
        <v>0.00428</v>
      </c>
      <c r="F15" s="9">
        <f t="array" ref="F15">IFERROR(
  INDEX(
    IR!$B$2:$E2026,                
    MATCH($A15, IR!$A$2:$A2026, 0), 
    MATCH(F$1, IR!$B$1:$E$1, 0) ), "")
</f>
        <v>0.00601</v>
      </c>
      <c r="G15" s="14"/>
      <c r="H15" s="9">
        <f t="array" ref="H15">IFERROR(
  INDEX(
    SR!$B$2:$D2026,            
    MATCH($A15, SR!$A$2:$A2026, 0),  
    MATCH(H$1, SR!$B$1:$D$1, 0) ), "")
</f>
        <v>0.004675</v>
      </c>
      <c r="I15" s="9">
        <f t="array" ref="I15">IFERROR(
  INDEX(
    SR!$B$2:$D2026,            
    MATCH($A15, SR!$A$2:$A2026, 0),  
    MATCH(I$1, SR!$B$1:$D$1, 0) ), "")
</f>
        <v>0.005868</v>
      </c>
      <c r="J15" s="9">
        <f t="array" ref="J15">IFERROR(
  INDEX(
    SR!$B$2:$D2026,            
    MATCH($A15, SR!$A$2:$A2026, 0),  
    MATCH(J$1, SR!$B$1:$D$1, 0) ), "")
</f>
        <v>0.009248</v>
      </c>
      <c r="K15" s="14"/>
      <c r="L15" s="9">
        <v>123.78</v>
      </c>
      <c r="M15" s="9">
        <v>24.14</v>
      </c>
      <c r="N15" s="9">
        <v>112.55</v>
      </c>
      <c r="O15" s="9">
        <v>119.01</v>
      </c>
      <c r="P15" s="9">
        <v>124.89</v>
      </c>
      <c r="Q15" s="9">
        <v>1346.1964</v>
      </c>
      <c r="R15" s="14"/>
      <c r="S15" s="12">
        <f t="shared" si="2"/>
        <v>-0.001449319547</v>
      </c>
      <c r="T15" s="12">
        <f t="shared" si="3"/>
        <v>0.9985506805</v>
      </c>
      <c r="U15" s="16">
        <f t="shared" si="1"/>
        <v>99.65483362</v>
      </c>
      <c r="V15" s="17"/>
      <c r="W15" s="12"/>
      <c r="Y15" s="14"/>
      <c r="AB15" s="14"/>
    </row>
    <row r="16">
      <c r="A16" s="8">
        <v>41743.0</v>
      </c>
      <c r="B16" s="14"/>
      <c r="C16" s="9">
        <f t="array" ref="C16">IFERROR(
  INDEX(
    IR!$B$2:$E2026,                
    MATCH($A16, IR!$A$2:$A2026, 0), 
    MATCH(C$1, IR!$B$1:$E$1, 0) ), "")
</f>
        <v>0.00252</v>
      </c>
      <c r="D16" s="9">
        <f t="array" ref="D16">IFERROR(
  INDEX(
    IR!$B$2:$E2026,                
    MATCH($A16, IR!$A$2:$A2026, 0), 
    MATCH(D$1, IR!$B$1:$E$1, 0) ), "")
</f>
        <v>0.00328</v>
      </c>
      <c r="E16" s="9">
        <f t="array" ref="E16">IFERROR(
  INDEX(
    IR!$B$2:$E2026,                
    MATCH($A16, IR!$A$2:$A2026, 0), 
    MATCH(E$1, IR!$B$1:$E$1, 0) ), "")
</f>
        <v>0.00427</v>
      </c>
      <c r="F16" s="9">
        <f t="array" ref="F16">IFERROR(
  INDEX(
    IR!$B$2:$E2026,                
    MATCH($A16, IR!$A$2:$A2026, 0), 
    MATCH(F$1, IR!$B$1:$E$1, 0) ), "")
</f>
        <v>0.00599</v>
      </c>
      <c r="G16" s="14"/>
      <c r="H16" s="9">
        <f t="array" ref="H16">IFERROR(
  INDEX(
    SR!$B$2:$D2026,            
    MATCH($A16, SR!$A$2:$A2026, 0),  
    MATCH(H$1, SR!$B$1:$D$1, 0) ), "")
</f>
        <v>0.00458</v>
      </c>
      <c r="I16" s="9">
        <f t="array" ref="I16">IFERROR(
  INDEX(
    SR!$B$2:$D2026,            
    MATCH($A16, SR!$A$2:$A2026, 0),  
    MATCH(I$1, SR!$B$1:$D$1, 0) ), "")
</f>
        <v>0.005798</v>
      </c>
      <c r="J16" s="9">
        <f t="array" ref="J16">IFERROR(
  INDEX(
    SR!$B$2:$D2026,            
    MATCH($A16, SR!$A$2:$A2026, 0),  
    MATCH(J$1, SR!$B$1:$D$1, 0) ), "")
</f>
        <v>0.00933</v>
      </c>
      <c r="K16" s="14"/>
      <c r="L16" s="9">
        <v>123.62</v>
      </c>
      <c r="M16" s="9">
        <v>24.16</v>
      </c>
      <c r="N16" s="9">
        <v>112.56</v>
      </c>
      <c r="O16" s="9">
        <v>118.44</v>
      </c>
      <c r="P16" s="9">
        <v>124.51</v>
      </c>
      <c r="Q16" s="9">
        <v>1338.6179</v>
      </c>
      <c r="R16" s="14"/>
      <c r="S16" s="12">
        <f t="shared" si="2"/>
        <v>-0.002305810831</v>
      </c>
      <c r="T16" s="12">
        <f t="shared" si="3"/>
        <v>0.9976941892</v>
      </c>
      <c r="U16" s="16">
        <f t="shared" si="1"/>
        <v>99.42504843</v>
      </c>
      <c r="V16" s="17"/>
      <c r="W16" s="12"/>
      <c r="Y16" s="14"/>
      <c r="AB16" s="14"/>
    </row>
    <row r="17">
      <c r="A17" s="8">
        <v>41744.0</v>
      </c>
      <c r="B17" s="14"/>
      <c r="C17" s="9">
        <f t="array" ref="C17">IFERROR(
  INDEX(
    IR!$B$2:$E2026,                
    MATCH($A17, IR!$A$2:$A2026, 0), 
    MATCH(C$1, IR!$B$1:$E$1, 0) ), "")
</f>
        <v>0.00251</v>
      </c>
      <c r="D17" s="9">
        <f t="array" ref="D17">IFERROR(
  INDEX(
    IR!$B$2:$E2026,                
    MATCH($A17, IR!$A$2:$A2026, 0), 
    MATCH(D$1, IR!$B$1:$E$1, 0) ), "")
</f>
        <v>0.00327</v>
      </c>
      <c r="E17" s="9">
        <f t="array" ref="E17">IFERROR(
  INDEX(
    IR!$B$2:$E2026,                
    MATCH($A17, IR!$A$2:$A2026, 0), 
    MATCH(E$1, IR!$B$1:$E$1, 0) ), "")
</f>
        <v>0.00426</v>
      </c>
      <c r="F17" s="9">
        <f t="array" ref="F17">IFERROR(
  INDEX(
    IR!$B$2:$E2026,                
    MATCH($A17, IR!$A$2:$A2026, 0), 
    MATCH(F$1, IR!$B$1:$E$1, 0) ), "")
</f>
        <v>0.00598</v>
      </c>
      <c r="G17" s="14"/>
      <c r="H17" s="9">
        <f t="array" ref="H17">IFERROR(
  INDEX(
    SR!$B$2:$D2026,            
    MATCH($A17, SR!$A$2:$A2026, 0),  
    MATCH(H$1, SR!$B$1:$D$1, 0) ), "")
</f>
        <v>0.0044</v>
      </c>
      <c r="I17" s="9">
        <f t="array" ref="I17">IFERROR(
  INDEX(
    SR!$B$2:$D2026,            
    MATCH($A17, SR!$A$2:$A2026, 0),  
    MATCH(I$1, SR!$B$1:$D$1, 0) ), "")
</f>
        <v>0.005548</v>
      </c>
      <c r="J17" s="9">
        <f t="array" ref="J17">IFERROR(
  INDEX(
    SR!$B$2:$D2026,            
    MATCH($A17, SR!$A$2:$A2026, 0),  
    MATCH(J$1, SR!$B$1:$D$1, 0) ), "")
</f>
        <v>0.008945</v>
      </c>
      <c r="K17" s="14"/>
      <c r="L17" s="9">
        <v>123.31</v>
      </c>
      <c r="M17" s="9">
        <v>24.15</v>
      </c>
      <c r="N17" s="9">
        <v>112.52</v>
      </c>
      <c r="O17" s="9">
        <v>118.43</v>
      </c>
      <c r="P17" s="9">
        <v>124.79</v>
      </c>
      <c r="Q17" s="9">
        <v>1338.9128</v>
      </c>
      <c r="R17" s="14"/>
      <c r="S17" s="12">
        <f t="shared" si="2"/>
        <v>-0.0001486304653</v>
      </c>
      <c r="T17" s="12">
        <f t="shared" si="3"/>
        <v>0.9998513695</v>
      </c>
      <c r="U17" s="16">
        <f t="shared" si="1"/>
        <v>99.41027084</v>
      </c>
      <c r="V17" s="17"/>
      <c r="W17" s="12"/>
      <c r="Y17" s="14"/>
      <c r="AB17" s="14"/>
    </row>
    <row r="18">
      <c r="A18" s="8">
        <v>41745.0</v>
      </c>
      <c r="B18" s="14"/>
      <c r="C18" s="9">
        <f t="array" ref="C18">IFERROR(
  INDEX(
    IR!$B$2:$E2026,                
    MATCH($A18, IR!$A$2:$A2026, 0), 
    MATCH(C$1, IR!$B$1:$E$1, 0) ), "")
</f>
        <v>0.00248</v>
      </c>
      <c r="D18" s="9">
        <f t="array" ref="D18">IFERROR(
  INDEX(
    IR!$B$2:$E2026,                
    MATCH($A18, IR!$A$2:$A2026, 0), 
    MATCH(D$1, IR!$B$1:$E$1, 0) ), "")
</f>
        <v>0.00327</v>
      </c>
      <c r="E18" s="9">
        <f t="array" ref="E18">IFERROR(
  INDEX(
    IR!$B$2:$E2026,                
    MATCH($A18, IR!$A$2:$A2026, 0), 
    MATCH(E$1, IR!$B$1:$E$1, 0) ), "")
</f>
        <v>0.00427</v>
      </c>
      <c r="F18" s="9">
        <f t="array" ref="F18">IFERROR(
  INDEX(
    IR!$B$2:$E2026,                
    MATCH($A18, IR!$A$2:$A2026, 0), 
    MATCH(F$1, IR!$B$1:$E$1, 0) ), "")
</f>
        <v>0.00598</v>
      </c>
      <c r="G18" s="14"/>
      <c r="H18" s="9">
        <f t="array" ref="H18">IFERROR(
  INDEX(
    SR!$B$2:$D2026,            
    MATCH($A18, SR!$A$2:$A2026, 0),  
    MATCH(H$1, SR!$B$1:$D$1, 0) ), "")
</f>
        <v>0.004473</v>
      </c>
      <c r="I18" s="9">
        <f t="array" ref="I18">IFERROR(
  INDEX(
    SR!$B$2:$D2026,            
    MATCH($A18, SR!$A$2:$A2026, 0),  
    MATCH(I$1, SR!$B$1:$D$1, 0) ), "")
</f>
        <v>0.005592</v>
      </c>
      <c r="J18" s="9">
        <f t="array" ref="J18">IFERROR(
  INDEX(
    SR!$B$2:$D2026,            
    MATCH($A18, SR!$A$2:$A2026, 0),  
    MATCH(J$1, SR!$B$1:$D$1, 0) ), "")
</f>
        <v>0.00902</v>
      </c>
      <c r="K18" s="14"/>
      <c r="L18" s="9">
        <v>123.69</v>
      </c>
      <c r="M18" s="9">
        <v>24.16</v>
      </c>
      <c r="N18" s="9">
        <v>112.57</v>
      </c>
      <c r="O18" s="9">
        <v>118.17</v>
      </c>
      <c r="P18" s="9">
        <v>124.75</v>
      </c>
      <c r="Q18" s="9">
        <v>1338.6974</v>
      </c>
      <c r="R18" s="14"/>
      <c r="S18" s="12">
        <f t="shared" si="2"/>
        <v>0.0002104502318</v>
      </c>
      <c r="T18" s="12">
        <f t="shared" si="3"/>
        <v>1.00021045</v>
      </c>
      <c r="U18" s="16">
        <f t="shared" si="1"/>
        <v>99.43119175</v>
      </c>
      <c r="V18" s="17"/>
      <c r="W18" s="12"/>
      <c r="Y18" s="14"/>
      <c r="AB18" s="14"/>
    </row>
    <row r="19">
      <c r="A19" s="8">
        <v>41746.0</v>
      </c>
      <c r="B19" s="14"/>
      <c r="C19" s="9">
        <f t="array" ref="C19">IFERROR(
  INDEX(
    IR!$B$2:$E2026,                
    MATCH($A19, IR!$A$2:$A2026, 0), 
    MATCH(C$1, IR!$B$1:$E$1, 0) ), "")
</f>
        <v>0.00246</v>
      </c>
      <c r="D19" s="9">
        <f t="array" ref="D19">IFERROR(
  INDEX(
    IR!$B$2:$E2026,                
    MATCH($A19, IR!$A$2:$A2026, 0), 
    MATCH(D$1, IR!$B$1:$E$1, 0) ), "")
</f>
        <v>0.00328</v>
      </c>
      <c r="E19" s="9">
        <f t="array" ref="E19">IFERROR(
  INDEX(
    IR!$B$2:$E2026,                
    MATCH($A19, IR!$A$2:$A2026, 0), 
    MATCH(E$1, IR!$B$1:$E$1, 0) ), "")
</f>
        <v>0.00426</v>
      </c>
      <c r="F19" s="9">
        <f t="array" ref="F19">IFERROR(
  INDEX(
    IR!$B$2:$E2026,                
    MATCH($A19, IR!$A$2:$A2026, 0), 
    MATCH(F$1, IR!$B$1:$E$1, 0) ), "")
</f>
        <v>0.00599</v>
      </c>
      <c r="G19" s="14"/>
      <c r="H19" s="9">
        <f t="array" ref="H19">IFERROR(
  INDEX(
    SR!$B$2:$D2026,            
    MATCH($A19, SR!$A$2:$A2026, 0),  
    MATCH(H$1, SR!$B$1:$D$1, 0) ), "")
</f>
        <v>0.00473</v>
      </c>
      <c r="I19" s="9">
        <f t="array" ref="I19">IFERROR(
  INDEX(
    SR!$B$2:$D2026,            
    MATCH($A19, SR!$A$2:$A2026, 0),  
    MATCH(I$1, SR!$B$1:$D$1, 0) ), "")
</f>
        <v>0.00584</v>
      </c>
      <c r="J19" s="9">
        <f t="array" ref="J19">IFERROR(
  INDEX(
    SR!$B$2:$D2026,            
    MATCH($A19, SR!$A$2:$A2026, 0),  
    MATCH(J$1, SR!$B$1:$D$1, 0) ), "")
</f>
        <v>0.009525</v>
      </c>
      <c r="K19" s="14"/>
      <c r="L19" s="9">
        <v>123.9</v>
      </c>
      <c r="M19" s="9">
        <v>24.15</v>
      </c>
      <c r="N19" s="9">
        <v>112.62</v>
      </c>
      <c r="O19" s="9">
        <v>118.76</v>
      </c>
      <c r="P19" s="9">
        <v>125.07</v>
      </c>
      <c r="Q19" s="9">
        <v>1345.9034</v>
      </c>
      <c r="R19" s="14"/>
      <c r="S19" s="12">
        <f t="shared" si="2"/>
        <v>0.002444366269</v>
      </c>
      <c r="T19" s="12">
        <f t="shared" si="3"/>
        <v>1.002444366</v>
      </c>
      <c r="U19" s="16">
        <f t="shared" si="1"/>
        <v>99.674238</v>
      </c>
      <c r="V19" s="17"/>
      <c r="W19" s="12"/>
      <c r="Y19" s="14"/>
      <c r="AB19" s="14"/>
    </row>
    <row r="20">
      <c r="A20" s="8">
        <v>41751.0</v>
      </c>
      <c r="B20" s="14"/>
      <c r="C20" s="9">
        <f t="array" ref="C20">IFERROR(
  INDEX(
    IR!$B$2:$E2026,                
    MATCH($A20, IR!$A$2:$A2026, 0), 
    MATCH(C$1, IR!$B$1:$E$1, 0) ), "")
</f>
        <v>0.00248</v>
      </c>
      <c r="D20" s="9">
        <f t="array" ref="D20">IFERROR(
  INDEX(
    IR!$B$2:$E2026,                
    MATCH($A20, IR!$A$2:$A2026, 0), 
    MATCH(D$1, IR!$B$1:$E$1, 0) ), "")
</f>
        <v>0.00329</v>
      </c>
      <c r="E20" s="9">
        <f t="array" ref="E20">IFERROR(
  INDEX(
    IR!$B$2:$E2026,                
    MATCH($A20, IR!$A$2:$A2026, 0), 
    MATCH(E$1, IR!$B$1:$E$1, 0) ), "")
</f>
        <v>0.00429</v>
      </c>
      <c r="F20" s="9">
        <f t="array" ref="F20">IFERROR(
  INDEX(
    IR!$B$2:$E2026,                
    MATCH($A20, IR!$A$2:$A2026, 0), 
    MATCH(F$1, IR!$B$1:$E$1, 0) ), "")
</f>
        <v>0.00603</v>
      </c>
      <c r="G20" s="14"/>
      <c r="H20" s="9">
        <f t="array" ref="H20">IFERROR(
  INDEX(
    SR!$B$2:$D2026,            
    MATCH($A20, SR!$A$2:$A2026, 0),  
    MATCH(H$1, SR!$B$1:$D$1, 0) ), "")
</f>
        <v>0.00471</v>
      </c>
      <c r="I20" s="9">
        <f t="array" ref="I20">IFERROR(
  INDEX(
    SR!$B$2:$D2026,            
    MATCH($A20, SR!$A$2:$A2026, 0),  
    MATCH(I$1, SR!$B$1:$D$1, 0) ), "")
</f>
        <v>0.00597</v>
      </c>
      <c r="J20" s="9">
        <f t="array" ref="J20">IFERROR(
  INDEX(
    SR!$B$2:$D2026,            
    MATCH($A20, SR!$A$2:$A2026, 0),  
    MATCH(J$1, SR!$B$1:$D$1, 0) ), "")
</f>
        <v>0.0095</v>
      </c>
      <c r="K20" s="14"/>
      <c r="L20" s="9">
        <v>124.39</v>
      </c>
      <c r="M20" s="9">
        <v>24.16</v>
      </c>
      <c r="N20" s="9">
        <v>112.71</v>
      </c>
      <c r="O20" s="9">
        <v>118.98</v>
      </c>
      <c r="P20" s="9">
        <v>125.05</v>
      </c>
      <c r="Q20" s="9">
        <v>1351.2213</v>
      </c>
      <c r="R20" s="14"/>
      <c r="S20" s="12">
        <f t="shared" si="2"/>
        <v>0.00180163579</v>
      </c>
      <c r="T20" s="12">
        <f t="shared" si="3"/>
        <v>1.001801636</v>
      </c>
      <c r="U20" s="16">
        <f t="shared" si="1"/>
        <v>99.85381468</v>
      </c>
      <c r="V20" s="17"/>
      <c r="W20" s="12"/>
      <c r="Y20" s="14"/>
      <c r="AB20" s="14"/>
    </row>
    <row r="21">
      <c r="A21" s="8">
        <v>41752.0</v>
      </c>
      <c r="B21" s="14"/>
      <c r="C21" s="9">
        <f t="array" ref="C21">IFERROR(
  INDEX(
    IR!$B$2:$E2026,                
    MATCH($A21, IR!$A$2:$A2026, 0), 
    MATCH(C$1, IR!$B$1:$E$1, 0) ), "")
</f>
        <v>0.00253</v>
      </c>
      <c r="D21" s="9">
        <f t="array" ref="D21">IFERROR(
  INDEX(
    IR!$B$2:$E2026,                
    MATCH($A21, IR!$A$2:$A2026, 0), 
    MATCH(D$1, IR!$B$1:$E$1, 0) ), "")
</f>
        <v>0.00332</v>
      </c>
      <c r="E21" s="9">
        <f t="array" ref="E21">IFERROR(
  INDEX(
    IR!$B$2:$E2026,                
    MATCH($A21, IR!$A$2:$A2026, 0), 
    MATCH(E$1, IR!$B$1:$E$1, 0) ), "")
</f>
        <v>0.00432</v>
      </c>
      <c r="F21" s="9">
        <f t="array" ref="F21">IFERROR(
  INDEX(
    IR!$B$2:$E2026,                
    MATCH($A21, IR!$A$2:$A2026, 0), 
    MATCH(F$1, IR!$B$1:$E$1, 0) ), "")
</f>
        <v>0.00606</v>
      </c>
      <c r="G21" s="14"/>
      <c r="H21" s="9">
        <f t="array" ref="H21">IFERROR(
  INDEX(
    SR!$B$2:$D2026,            
    MATCH($A21, SR!$A$2:$A2026, 0),  
    MATCH(H$1, SR!$B$1:$D$1, 0) ), "")
</f>
        <v>0.0048</v>
      </c>
      <c r="I21" s="9">
        <f t="array" ref="I21">IFERROR(
  INDEX(
    SR!$B$2:$D2026,            
    MATCH($A21, SR!$A$2:$A2026, 0),  
    MATCH(I$1, SR!$B$1:$D$1, 0) ), "")
</f>
        <v>0.00603</v>
      </c>
      <c r="J21" s="9">
        <f t="array" ref="J21">IFERROR(
  INDEX(
    SR!$B$2:$D2026,            
    MATCH($A21, SR!$A$2:$A2026, 0),  
    MATCH(J$1, SR!$B$1:$D$1, 0) ), "")
</f>
        <v>0.00963</v>
      </c>
      <c r="K21" s="14"/>
      <c r="L21" s="9">
        <v>124.3</v>
      </c>
      <c r="M21" s="9">
        <v>24.14</v>
      </c>
      <c r="N21" s="9">
        <v>112.68</v>
      </c>
      <c r="O21" s="9">
        <v>119.6</v>
      </c>
      <c r="P21" s="9">
        <v>125.35</v>
      </c>
      <c r="Q21" s="9">
        <v>1357.9768</v>
      </c>
      <c r="R21" s="14"/>
      <c r="S21" s="12">
        <f t="shared" si="2"/>
        <v>0.001798453176</v>
      </c>
      <c r="T21" s="12">
        <f t="shared" si="3"/>
        <v>1.001798453</v>
      </c>
      <c r="U21" s="16">
        <f t="shared" si="1"/>
        <v>100.0333971</v>
      </c>
      <c r="V21" s="17"/>
      <c r="W21" s="12"/>
      <c r="Y21" s="14"/>
      <c r="AB21" s="14"/>
    </row>
    <row r="22">
      <c r="A22" s="8">
        <v>41753.0</v>
      </c>
      <c r="B22" s="14"/>
      <c r="C22" s="9">
        <f t="array" ref="C22">IFERROR(
  INDEX(
    IR!$B$2:$E2026,                
    MATCH($A22, IR!$A$2:$A2026, 0), 
    MATCH(C$1, IR!$B$1:$E$1, 0) ), "")
</f>
        <v>0.00261</v>
      </c>
      <c r="D22" s="9">
        <f t="array" ref="D22">IFERROR(
  INDEX(
    IR!$B$2:$E2026,                
    MATCH($A22, IR!$A$2:$A2026, 0), 
    MATCH(D$1, IR!$B$1:$E$1, 0) ), "")
</f>
        <v>0.00337</v>
      </c>
      <c r="E22" s="9">
        <f t="array" ref="E22">IFERROR(
  INDEX(
    IR!$B$2:$E2026,                
    MATCH($A22, IR!$A$2:$A2026, 0), 
    MATCH(E$1, IR!$B$1:$E$1, 0) ), "")
</f>
        <v>0.00437</v>
      </c>
      <c r="F22" s="9">
        <f t="array" ref="F22">IFERROR(
  INDEX(
    IR!$B$2:$E2026,                
    MATCH($A22, IR!$A$2:$A2026, 0), 
    MATCH(F$1, IR!$B$1:$E$1, 0) ), "")
</f>
        <v>0.00611</v>
      </c>
      <c r="G22" s="14"/>
      <c r="H22" s="9">
        <f t="array" ref="H22">IFERROR(
  INDEX(
    SR!$B$2:$D2026,            
    MATCH($A22, SR!$A$2:$A2026, 0),  
    MATCH(H$1, SR!$B$1:$D$1, 0) ), "")
</f>
        <v>0.00486</v>
      </c>
      <c r="I22" s="9">
        <f t="array" ref="I22">IFERROR(
  INDEX(
    SR!$B$2:$D2026,            
    MATCH($A22, SR!$A$2:$A2026, 0),  
    MATCH(I$1, SR!$B$1:$D$1, 0) ), "")
</f>
        <v>0.00614</v>
      </c>
      <c r="J22" s="9">
        <f t="array" ref="J22">IFERROR(
  INDEX(
    SR!$B$2:$D2026,            
    MATCH($A22, SR!$A$2:$A2026, 0),  
    MATCH(J$1, SR!$B$1:$D$1, 0) ), "")
</f>
        <v>0.00972</v>
      </c>
      <c r="K22" s="14"/>
      <c r="L22" s="9">
        <v>124.31</v>
      </c>
      <c r="M22" s="9">
        <v>24.15</v>
      </c>
      <c r="N22" s="9">
        <v>112.67</v>
      </c>
      <c r="O22" s="9">
        <v>119.48</v>
      </c>
      <c r="P22" s="9">
        <v>125.23</v>
      </c>
      <c r="Q22" s="9">
        <v>1356.5453</v>
      </c>
      <c r="R22" s="14"/>
      <c r="S22" s="12">
        <f t="shared" si="2"/>
        <v>-0.0004347401359</v>
      </c>
      <c r="T22" s="12">
        <f t="shared" si="3"/>
        <v>0.9995652599</v>
      </c>
      <c r="U22" s="16">
        <f t="shared" si="1"/>
        <v>99.98990855</v>
      </c>
      <c r="V22" s="17"/>
      <c r="W22" s="12"/>
      <c r="Y22" s="14"/>
      <c r="AB22" s="14"/>
    </row>
    <row r="23">
      <c r="A23" s="8">
        <v>41754.0</v>
      </c>
      <c r="B23" s="14"/>
      <c r="C23" s="9">
        <f t="array" ref="C23">IFERROR(
  INDEX(
    IR!$B$2:$E2026,                
    MATCH($A23, IR!$A$2:$A2026, 0), 
    MATCH(C$1, IR!$B$1:$E$1, 0) ), "")
</f>
        <v>0.00269</v>
      </c>
      <c r="D23" s="9">
        <f t="array" ref="D23">IFERROR(
  INDEX(
    IR!$B$2:$E2026,                
    MATCH($A23, IR!$A$2:$A2026, 0), 
    MATCH(D$1, IR!$B$1:$E$1, 0) ), "")
</f>
        <v>0.00344</v>
      </c>
      <c r="E23" s="9">
        <f t="array" ref="E23">IFERROR(
  INDEX(
    IR!$B$2:$E2026,                
    MATCH($A23, IR!$A$2:$A2026, 0), 
    MATCH(E$1, IR!$B$1:$E$1, 0) ), "")
</f>
        <v>0.00443</v>
      </c>
      <c r="F23" s="9">
        <f t="array" ref="F23">IFERROR(
  INDEX(
    IR!$B$2:$E2026,                
    MATCH($A23, IR!$A$2:$A2026, 0), 
    MATCH(F$1, IR!$B$1:$E$1, 0) ), "")
</f>
        <v>0.00619</v>
      </c>
      <c r="G23" s="14"/>
      <c r="H23" s="9">
        <f t="array" ref="H23">IFERROR(
  INDEX(
    SR!$B$2:$D2026,            
    MATCH($A23, SR!$A$2:$A2026, 0),  
    MATCH(H$1, SR!$B$1:$D$1, 0) ), "")
</f>
        <v>0.004795</v>
      </c>
      <c r="I23" s="9">
        <f t="array" ref="I23">IFERROR(
  INDEX(
    SR!$B$2:$D2026,            
    MATCH($A23, SR!$A$2:$A2026, 0),  
    MATCH(I$1, SR!$B$1:$D$1, 0) ), "")
</f>
        <v>0.006031</v>
      </c>
      <c r="J23" s="9">
        <f t="array" ref="J23">IFERROR(
  INDEX(
    SR!$B$2:$D2026,            
    MATCH($A23, SR!$A$2:$A2026, 0),  
    MATCH(J$1, SR!$B$1:$D$1, 0) ), "")
</f>
        <v>0.009545</v>
      </c>
      <c r="K23" s="14"/>
      <c r="L23" s="9">
        <v>124.03</v>
      </c>
      <c r="M23" s="9">
        <v>24.15</v>
      </c>
      <c r="N23" s="9">
        <v>112.57</v>
      </c>
      <c r="O23" s="9">
        <v>119.37</v>
      </c>
      <c r="P23" s="9">
        <v>125.36</v>
      </c>
      <c r="Q23" s="9">
        <v>1357.1112</v>
      </c>
      <c r="R23" s="14"/>
      <c r="S23" s="12">
        <f t="shared" si="2"/>
        <v>-0.0004340153871</v>
      </c>
      <c r="T23" s="12">
        <f t="shared" si="3"/>
        <v>0.9995659846</v>
      </c>
      <c r="U23" s="16">
        <f t="shared" si="1"/>
        <v>99.9465114</v>
      </c>
      <c r="V23" s="17"/>
      <c r="W23" s="12"/>
      <c r="Y23" s="14"/>
      <c r="AB23" s="14"/>
    </row>
    <row r="24">
      <c r="A24" s="8">
        <v>41757.0</v>
      </c>
      <c r="B24" s="14"/>
      <c r="C24" s="9">
        <f t="array" ref="C24">IFERROR(
  INDEX(
    IR!$B$2:$E2026,                
    MATCH($A24, IR!$A$2:$A2026, 0), 
    MATCH(C$1, IR!$B$1:$E$1, 0) ), "")
</f>
        <v>0.00269</v>
      </c>
      <c r="D24" s="9">
        <f t="array" ref="D24">IFERROR(
  INDEX(
    IR!$B$2:$E2026,                
    MATCH($A24, IR!$A$2:$A2026, 0), 
    MATCH(D$1, IR!$B$1:$E$1, 0) ), "")
</f>
        <v>0.00345</v>
      </c>
      <c r="E24" s="9">
        <f t="array" ref="E24">IFERROR(
  INDEX(
    IR!$B$2:$E2026,                
    MATCH($A24, IR!$A$2:$A2026, 0), 
    MATCH(E$1, IR!$B$1:$E$1, 0) ), "")
</f>
        <v>0.00444</v>
      </c>
      <c r="F24" s="9">
        <f t="array" ref="F24">IFERROR(
  INDEX(
    IR!$B$2:$E2026,                
    MATCH($A24, IR!$A$2:$A2026, 0), 
    MATCH(F$1, IR!$B$1:$E$1, 0) ), "")
</f>
        <v>0.0062</v>
      </c>
      <c r="G24" s="14"/>
      <c r="H24" s="9">
        <f t="array" ref="H24">IFERROR(
  INDEX(
    SR!$B$2:$D2026,            
    MATCH($A24, SR!$A$2:$A2026, 0),  
    MATCH(H$1, SR!$B$1:$D$1, 0) ), "")
</f>
        <v>0.00482</v>
      </c>
      <c r="I24" s="9">
        <f t="array" ref="I24">IFERROR(
  INDEX(
    SR!$B$2:$D2026,            
    MATCH($A24, SR!$A$2:$A2026, 0),  
    MATCH(I$1, SR!$B$1:$D$1, 0) ), "")
</f>
        <v>0.006097</v>
      </c>
      <c r="J24" s="9">
        <f t="array" ref="J24">IFERROR(
  INDEX(
    SR!$B$2:$D2026,            
    MATCH($A24, SR!$A$2:$A2026, 0),  
    MATCH(J$1, SR!$B$1:$D$1, 0) ), "")
</f>
        <v>0.009584</v>
      </c>
      <c r="K24" s="14"/>
      <c r="L24" s="9">
        <v>123.87</v>
      </c>
      <c r="M24" s="9">
        <v>24.15</v>
      </c>
      <c r="N24" s="9">
        <v>112.58</v>
      </c>
      <c r="O24" s="9">
        <v>119.2</v>
      </c>
      <c r="P24" s="9">
        <v>125.2</v>
      </c>
      <c r="Q24" s="9">
        <v>1348.2083</v>
      </c>
      <c r="R24" s="14"/>
      <c r="S24" s="12">
        <f t="shared" si="2"/>
        <v>-0.001743596743</v>
      </c>
      <c r="T24" s="12">
        <f t="shared" si="3"/>
        <v>0.9982564033</v>
      </c>
      <c r="U24" s="16">
        <f t="shared" si="1"/>
        <v>99.77224498</v>
      </c>
      <c r="V24" s="17"/>
      <c r="W24" s="12">
        <f t="array" ref="W24">SQRT(252/20) *  SQRT( SUMSQ( LN(U3:U22 / U2:U21) )  - (1/20) * ( SUM( LN(U3:U22 / U2:U21) ) ^ 2 ) )</f>
        <v>0.02150983573</v>
      </c>
      <c r="X24" s="9">
        <f t="shared" ref="X24:X1025" si="4">MIN(1.5, 0.06/W24)</f>
        <v>1.5</v>
      </c>
      <c r="Y24" s="14"/>
      <c r="AB24" s="14"/>
    </row>
    <row r="25">
      <c r="A25" s="8">
        <v>41758.0</v>
      </c>
      <c r="B25" s="14"/>
      <c r="C25" s="9">
        <f t="array" ref="C25">IFERROR(
  INDEX(
    IR!$B$2:$E2026,                
    MATCH($A25, IR!$A$2:$A2026, 0), 
    MATCH(C$1, IR!$B$1:$E$1, 0) ), "")
</f>
        <v>0.00269</v>
      </c>
      <c r="D25" s="9">
        <f t="array" ref="D25">IFERROR(
  INDEX(
    IR!$B$2:$E2026,                
    MATCH($A25, IR!$A$2:$A2026, 0), 
    MATCH(D$1, IR!$B$1:$E$1, 0) ), "")
</f>
        <v>0.00347</v>
      </c>
      <c r="E25" s="9">
        <f t="array" ref="E25">IFERROR(
  INDEX(
    IR!$B$2:$E2026,                
    MATCH($A25, IR!$A$2:$A2026, 0), 
    MATCH(E$1, IR!$B$1:$E$1, 0) ), "")
</f>
        <v>0.00444</v>
      </c>
      <c r="F25" s="9">
        <f t="array" ref="F25">IFERROR(
  INDEX(
    IR!$B$2:$E2026,                
    MATCH($A25, IR!$A$2:$A2026, 0), 
    MATCH(F$1, IR!$B$1:$E$1, 0) ), "")
</f>
        <v>0.00621</v>
      </c>
      <c r="G25" s="14"/>
      <c r="H25" s="9">
        <f t="array" ref="H25">IFERROR(
  INDEX(
    SR!$B$2:$D2026,            
    MATCH($A25, SR!$A$2:$A2026, 0),  
    MATCH(H$1, SR!$B$1:$D$1, 0) ), "")
</f>
        <v>0.00455</v>
      </c>
      <c r="I25" s="9">
        <f t="array" ref="I25">IFERROR(
  INDEX(
    SR!$B$2:$D2026,            
    MATCH($A25, SR!$A$2:$A2026, 0),  
    MATCH(I$1, SR!$B$1:$D$1, 0) ), "")
</f>
        <v>0.00583</v>
      </c>
      <c r="J25" s="9">
        <f t="array" ref="J25">IFERROR(
  INDEX(
    SR!$B$2:$D2026,            
    MATCH($A25, SR!$A$2:$A2026, 0),  
    MATCH(J$1, SR!$B$1:$D$1, 0) ), "")
</f>
        <v>0.00937</v>
      </c>
      <c r="K25" s="14"/>
      <c r="L25" s="9">
        <v>124.27</v>
      </c>
      <c r="M25" s="9">
        <v>24.16</v>
      </c>
      <c r="N25" s="9">
        <v>112.64</v>
      </c>
      <c r="O25" s="9">
        <v>119.15</v>
      </c>
      <c r="P25" s="9">
        <v>125.27</v>
      </c>
      <c r="Q25" s="9">
        <v>1344.6801</v>
      </c>
      <c r="R25" s="14"/>
      <c r="S25" s="12">
        <f t="shared" si="2"/>
        <v>0.0002827771424</v>
      </c>
      <c r="T25" s="12">
        <f t="shared" si="3"/>
        <v>1.000282777</v>
      </c>
      <c r="U25" s="16">
        <f t="shared" si="1"/>
        <v>99.80045829</v>
      </c>
      <c r="V25" s="17"/>
      <c r="W25" s="12">
        <f t="array" ref="W25">SQRT(252/20) *  SQRT( SUMSQ( LN(U4:U23 / U3:U22) )  - (1/20) * ( SUM( LN(U4:U23 / U3:U22) ) ^ 2 ) )</f>
        <v>0.02078863476</v>
      </c>
      <c r="X25" s="9">
        <f t="shared" si="4"/>
        <v>1.5</v>
      </c>
      <c r="Y25" s="14"/>
      <c r="AB25" s="14"/>
    </row>
    <row r="26">
      <c r="A26" s="18">
        <v>41759.0</v>
      </c>
      <c r="B26" s="19"/>
      <c r="C26" s="19">
        <f t="array" ref="C26">IFERROR(
  INDEX(
    IR!$B$2:$E2026,                
    MATCH($A26, IR!$A$2:$A2026, 0), 
    MATCH(C$1, IR!$B$1:$E$1, 0) ), "")
</f>
        <v>0.00261</v>
      </c>
      <c r="D26" s="19">
        <f t="array" ref="D26">IFERROR(
  INDEX(
    IR!$B$2:$E2026,                
    MATCH($A26, IR!$A$2:$A2026, 0), 
    MATCH(D$1, IR!$B$1:$E$1, 0) ), "")
</f>
        <v>0.00339</v>
      </c>
      <c r="E26" s="19">
        <f t="array" ref="E26">IFERROR(
  INDEX(
    IR!$B$2:$E2026,                
    MATCH($A26, IR!$A$2:$A2026, 0), 
    MATCH(E$1, IR!$B$1:$E$1, 0) ), "")
</f>
        <v>0.00438</v>
      </c>
      <c r="F26" s="19">
        <f t="array" ref="F26">IFERROR(
  INDEX(
    IR!$B$2:$E2026,                
    MATCH($A26, IR!$A$2:$A2026, 0), 
    MATCH(F$1, IR!$B$1:$E$1, 0) ), "")
</f>
        <v>0.00614</v>
      </c>
      <c r="G26" s="19"/>
      <c r="H26" s="19">
        <f t="array" ref="H26">IFERROR(
  INDEX(
    SR!$B$2:$D2026,            
    MATCH($A26, SR!$A$2:$A2026, 0),  
    MATCH(H$1, SR!$B$1:$D$1, 0) ), "")
</f>
        <v>0.00448</v>
      </c>
      <c r="I26" s="19">
        <f t="array" ref="I26">IFERROR(
  INDEX(
    SR!$B$2:$D2026,            
    MATCH($A26, SR!$A$2:$A2026, 0),  
    MATCH(I$1, SR!$B$1:$D$1, 0) ), "")
</f>
        <v>0.0057</v>
      </c>
      <c r="J26" s="19">
        <f t="array" ref="J26">IFERROR(
  INDEX(
    SR!$B$2:$D2026,            
    MATCH($A26, SR!$A$2:$A2026, 0),  
    MATCH(J$1, SR!$B$1:$D$1, 0) ), "")
</f>
        <v>0.009156</v>
      </c>
      <c r="K26" s="19"/>
      <c r="L26" s="19">
        <v>124.25</v>
      </c>
      <c r="M26" s="19">
        <v>24.15</v>
      </c>
      <c r="N26" s="19">
        <v>112.65</v>
      </c>
      <c r="O26" s="19">
        <v>119.87</v>
      </c>
      <c r="P26" s="19">
        <v>125.59</v>
      </c>
      <c r="Q26" s="19">
        <v>1349.9078</v>
      </c>
      <c r="R26" s="19"/>
      <c r="S26" s="20">
        <f t="shared" si="2"/>
        <v>0.001999406709</v>
      </c>
      <c r="T26" s="20">
        <f t="shared" si="3"/>
        <v>1.001999407</v>
      </c>
      <c r="U26" s="21">
        <v>100.0</v>
      </c>
      <c r="V26" s="22"/>
      <c r="W26" s="20">
        <f t="array" ref="W26">SQRT(252/20) *  SQRT( SUMSQ( LN(U5:U24 / U4:U23) )  - (1/20) * ( SUM( LN(U5:U24 / U4:U23) ) ^ 2 ) )</f>
        <v>0.02181585416</v>
      </c>
      <c r="X26" s="19">
        <f t="shared" si="4"/>
        <v>1.5</v>
      </c>
      <c r="Y26" s="19"/>
      <c r="Z26" s="20">
        <f t="shared" ref="Z26:Z1025" si="5">1+X25*((U26/U25)-1)+(1-X25)*C25*((A26-A25)/360)</f>
        <v>1.002995374</v>
      </c>
      <c r="AA26" s="21">
        <v>100.0</v>
      </c>
      <c r="AB26" s="19"/>
      <c r="AC26" s="19">
        <f t="shared" ref="AC26:AC1025" si="6">ROUNDUP( 1000*MAX(0, (AA26/100)*(1-0.011)^(4) -1), 2)</f>
        <v>0</v>
      </c>
    </row>
    <row r="27">
      <c r="A27" s="8">
        <v>41761.0</v>
      </c>
      <c r="B27" s="14"/>
      <c r="C27" s="9">
        <f t="array" ref="C27">IFERROR(
  INDEX(
    IR!$B$2:$E2026,                
    MATCH($A27, IR!$A$2:$A2026, 0), 
    MATCH(C$1, IR!$B$1:$E$1, 0) ), "")
</f>
        <v>0.00258</v>
      </c>
      <c r="D27" s="9">
        <f t="array" ref="D27">IFERROR(
  INDEX(
    IR!$B$2:$E2026,                
    MATCH($A27, IR!$A$2:$A2026, 0), 
    MATCH(D$1, IR!$B$1:$E$1, 0) ), "")
</f>
        <v>0.00336</v>
      </c>
      <c r="E27" s="9">
        <f t="array" ref="E27">IFERROR(
  INDEX(
    IR!$B$2:$E2026,                
    MATCH($A27, IR!$A$2:$A2026, 0), 
    MATCH(E$1, IR!$B$1:$E$1, 0) ), "")
</f>
        <v>0.00437</v>
      </c>
      <c r="F27" s="9">
        <f t="array" ref="F27">IFERROR(
  INDEX(
    IR!$B$2:$E2026,                
    MATCH($A27, IR!$A$2:$A2026, 0), 
    MATCH(F$1, IR!$B$1:$E$1, 0) ), "")
</f>
        <v>0.00612</v>
      </c>
      <c r="G27" s="14"/>
      <c r="H27" s="9">
        <f t="array" ref="H27">IFERROR(
  INDEX(
    SR!$B$2:$D2026,            
    MATCH($A27, SR!$A$2:$A2026, 0),  
    MATCH(H$1, SR!$B$1:$D$1, 0) ), "")
</f>
        <v>0.004355</v>
      </c>
      <c r="I27" s="9">
        <f t="array" ref="I27">IFERROR(
  INDEX(
    SR!$B$2:$D2026,            
    MATCH($A27, SR!$A$2:$A2026, 0),  
    MATCH(I$1, SR!$B$1:$D$1, 0) ), "")
</f>
        <v>0.00554</v>
      </c>
      <c r="J27" s="9">
        <f t="array" ref="J27">IFERROR(
  INDEX(
    SR!$B$2:$D2026,            
    MATCH($A27, SR!$A$2:$A2026, 0),  
    MATCH(J$1, SR!$B$1:$D$1, 0) ), "")
</f>
        <v>0.008976</v>
      </c>
      <c r="K27" s="14"/>
      <c r="L27" s="9">
        <v>124.25</v>
      </c>
      <c r="M27" s="9">
        <v>24.15</v>
      </c>
      <c r="N27" s="9">
        <v>112.66</v>
      </c>
      <c r="O27" s="9">
        <v>120.23</v>
      </c>
      <c r="P27" s="9">
        <v>125.59</v>
      </c>
      <c r="Q27" s="9">
        <v>1353.2495</v>
      </c>
      <c r="R27" s="14"/>
      <c r="S27" s="12">
        <f t="shared" si="2"/>
        <v>0.0009277974574</v>
      </c>
      <c r="T27" s="12">
        <f t="shared" si="3"/>
        <v>1.000927797</v>
      </c>
      <c r="U27" s="16">
        <f t="shared" ref="U27:U1025" si="7">U26*T27</f>
        <v>100.0927797</v>
      </c>
      <c r="V27" s="17"/>
      <c r="W27" s="12">
        <f t="array" ref="W27">SQRT(252/20) *  SQRT( SUMSQ( LN(U6:U25 / U5:U24) )  - (1/20) * ( SUM( LN(U6:U25 / U5:U24) ) ^ 2 ) )</f>
        <v>0.02158430273</v>
      </c>
      <c r="X27" s="9">
        <f t="shared" si="4"/>
        <v>1.5</v>
      </c>
      <c r="Y27" s="14"/>
      <c r="Z27" s="12">
        <f t="shared" si="5"/>
        <v>1.001384446</v>
      </c>
      <c r="AA27" s="16">
        <f t="shared" ref="AA27:AA1025" si="8">AA26*Z27</f>
        <v>100.1384446</v>
      </c>
      <c r="AB27" s="14"/>
      <c r="AC27" s="9">
        <f t="shared" si="6"/>
        <v>0</v>
      </c>
    </row>
    <row r="28">
      <c r="A28" s="8">
        <v>41764.0</v>
      </c>
      <c r="B28" s="14"/>
      <c r="C28" s="9">
        <f t="array" ref="C28">IFERROR(
  INDEX(
    IR!$B$2:$E2026,                
    MATCH($A28, IR!$A$2:$A2026, 0), 
    MATCH(C$1, IR!$B$1:$E$1, 0) ), "")
</f>
        <v>0.00258</v>
      </c>
      <c r="D28" s="9">
        <f t="array" ref="D28">IFERROR(
  INDEX(
    IR!$B$2:$E2026,                
    MATCH($A28, IR!$A$2:$A2026, 0), 
    MATCH(D$1, IR!$B$1:$E$1, 0) ), "")
</f>
        <v>0.00336</v>
      </c>
      <c r="E28" s="9">
        <f t="array" ref="E28">IFERROR(
  INDEX(
    IR!$B$2:$E2026,                
    MATCH($A28, IR!$A$2:$A2026, 0), 
    MATCH(E$1, IR!$B$1:$E$1, 0) ), "")
</f>
        <v>0.00437</v>
      </c>
      <c r="F28" s="9">
        <f t="array" ref="F28">IFERROR(
  INDEX(
    IR!$B$2:$E2026,                
    MATCH($A28, IR!$A$2:$A2026, 0), 
    MATCH(F$1, IR!$B$1:$E$1, 0) ), "")
</f>
        <v>0.00613</v>
      </c>
      <c r="G28" s="14"/>
      <c r="H28" s="9">
        <f t="array" ref="H28">IFERROR(
  INDEX(
    SR!$B$2:$D2026,            
    MATCH($A28, SR!$A$2:$A2026, 0),  
    MATCH(H$1, SR!$B$1:$D$1, 0) ), "")
</f>
        <v>0.004465</v>
      </c>
      <c r="I28" s="9">
        <f t="array" ref="I28">IFERROR(
  INDEX(
    SR!$B$2:$D2026,            
    MATCH($A28, SR!$A$2:$A2026, 0),  
    MATCH(I$1, SR!$B$1:$D$1, 0) ), "")
</f>
        <v>0.005599</v>
      </c>
      <c r="J28" s="9">
        <f t="array" ref="J28">IFERROR(
  INDEX(
    SR!$B$2:$D2026,            
    MATCH($A28, SR!$A$2:$A2026, 0),  
    MATCH(J$1, SR!$B$1:$D$1, 0) ), "")
</f>
        <v>0.00907</v>
      </c>
      <c r="K28" s="14"/>
      <c r="L28" s="9">
        <v>124.26</v>
      </c>
      <c r="M28" s="9">
        <v>24.15</v>
      </c>
      <c r="N28" s="9">
        <v>112.67</v>
      </c>
      <c r="O28" s="9">
        <v>120.14</v>
      </c>
      <c r="P28" s="9">
        <v>125.74</v>
      </c>
      <c r="Q28" s="9">
        <v>1354.604</v>
      </c>
      <c r="R28" s="14"/>
      <c r="S28" s="12">
        <f t="shared" si="2"/>
        <v>0.0002693201907</v>
      </c>
      <c r="T28" s="12">
        <f t="shared" si="3"/>
        <v>1.00026932</v>
      </c>
      <c r="U28" s="16">
        <f t="shared" si="7"/>
        <v>100.1197368</v>
      </c>
      <c r="V28" s="17"/>
      <c r="W28" s="12">
        <f t="array" ref="W28">SQRT(252/20) *  SQRT( SUMSQ( LN(U7:U26 / U6:U25) )  - (1/20) * ( SUM( LN(U7:U26 / U6:U25) ) ^ 2 ) )</f>
        <v>0.02237695938</v>
      </c>
      <c r="X28" s="9">
        <f t="shared" si="4"/>
        <v>1.5</v>
      </c>
      <c r="Y28" s="14"/>
      <c r="Z28" s="12">
        <f t="shared" si="5"/>
        <v>1.00039323</v>
      </c>
      <c r="AA28" s="16">
        <f t="shared" si="8"/>
        <v>100.1778221</v>
      </c>
      <c r="AB28" s="14"/>
      <c r="AC28" s="9">
        <f t="shared" si="6"/>
        <v>0</v>
      </c>
    </row>
    <row r="29">
      <c r="A29" s="8">
        <v>41765.0</v>
      </c>
      <c r="B29" s="14"/>
      <c r="C29" s="9">
        <f t="array" ref="C29">IFERROR(
  INDEX(
    IR!$B$2:$E2026,                
    MATCH($A29, IR!$A$2:$A2026, 0), 
    MATCH(C$1, IR!$B$1:$E$1, 0) ), "")
</f>
        <v>0.00257</v>
      </c>
      <c r="D29" s="9">
        <f t="array" ref="D29">IFERROR(
  INDEX(
    IR!$B$2:$E2026,                
    MATCH($A29, IR!$A$2:$A2026, 0), 
    MATCH(D$1, IR!$B$1:$E$1, 0) ), "")
</f>
        <v>0.00337</v>
      </c>
      <c r="E29" s="9">
        <f t="array" ref="E29">IFERROR(
  INDEX(
    IR!$B$2:$E2026,                
    MATCH($A29, IR!$A$2:$A2026, 0), 
    MATCH(E$1, IR!$B$1:$E$1, 0) ), "")
</f>
        <v>0.00438</v>
      </c>
      <c r="F29" s="9">
        <f t="array" ref="F29">IFERROR(
  INDEX(
    IR!$B$2:$E2026,                
    MATCH($A29, IR!$A$2:$A2026, 0), 
    MATCH(F$1, IR!$B$1:$E$1, 0) ), "")
</f>
        <v>0.00613</v>
      </c>
      <c r="G29" s="14"/>
      <c r="H29" s="9">
        <f t="array" ref="H29">IFERROR(
  INDEX(
    SR!$B$2:$D2026,            
    MATCH($A29, SR!$A$2:$A2026, 0),  
    MATCH(H$1, SR!$B$1:$D$1, 0) ), "")
</f>
        <v>0.00459</v>
      </c>
      <c r="I29" s="9">
        <f t="array" ref="I29">IFERROR(
  INDEX(
    SR!$B$2:$D2026,            
    MATCH($A29, SR!$A$2:$A2026, 0),  
    MATCH(I$1, SR!$B$1:$D$1, 0) ), "")
</f>
        <v>0.00579</v>
      </c>
      <c r="J29" s="9">
        <f t="array" ref="J29">IFERROR(
  INDEX(
    SR!$B$2:$D2026,            
    MATCH($A29, SR!$A$2:$A2026, 0),  
    MATCH(J$1, SR!$B$1:$D$1, 0) ), "")
</f>
        <v>0.009245</v>
      </c>
      <c r="K29" s="14"/>
      <c r="L29" s="9">
        <v>124.18</v>
      </c>
      <c r="M29" s="9">
        <v>24.16</v>
      </c>
      <c r="N29" s="9">
        <v>112.68</v>
      </c>
      <c r="O29" s="9">
        <v>119.99</v>
      </c>
      <c r="P29" s="9">
        <v>125.66</v>
      </c>
      <c r="Q29" s="9">
        <v>1354.6078</v>
      </c>
      <c r="R29" s="14"/>
      <c r="S29" s="12">
        <f t="shared" si="2"/>
        <v>-0.0003370231118</v>
      </c>
      <c r="T29" s="12">
        <f t="shared" si="3"/>
        <v>0.9996629769</v>
      </c>
      <c r="U29" s="16">
        <f t="shared" si="7"/>
        <v>100.0859941</v>
      </c>
      <c r="V29" s="17"/>
      <c r="W29" s="12">
        <f t="array" ref="W29">SQRT(252/20) *  SQRT( SUMSQ( LN(U8:U27 / U7:U26) )  - (1/20) * ( SUM( LN(U8:U27 / U7:U26) ) ^ 2 ) )</f>
        <v>0.02226363783</v>
      </c>
      <c r="X29" s="9">
        <f t="shared" si="4"/>
        <v>1.5</v>
      </c>
      <c r="Y29" s="14"/>
      <c r="Z29" s="12">
        <f t="shared" si="5"/>
        <v>0.999490882</v>
      </c>
      <c r="AA29" s="16">
        <f t="shared" si="8"/>
        <v>100.1268198</v>
      </c>
      <c r="AB29" s="14"/>
      <c r="AC29" s="9">
        <f t="shared" si="6"/>
        <v>0</v>
      </c>
    </row>
    <row r="30">
      <c r="A30" s="8">
        <v>41766.0</v>
      </c>
      <c r="B30" s="14"/>
      <c r="C30" s="9">
        <f t="array" ref="C30">IFERROR(
  INDEX(
    IR!$B$2:$E2026,                
    MATCH($A30, IR!$A$2:$A2026, 0), 
    MATCH(C$1, IR!$B$1:$E$1, 0) ), "")
</f>
        <v>0.00262</v>
      </c>
      <c r="D30" s="9">
        <f t="array" ref="D30">IFERROR(
  INDEX(
    IR!$B$2:$E2026,                
    MATCH($A30, IR!$A$2:$A2026, 0), 
    MATCH(D$1, IR!$B$1:$E$1, 0) ), "")
</f>
        <v>0.00338</v>
      </c>
      <c r="E30" s="9">
        <f t="array" ref="E30">IFERROR(
  INDEX(
    IR!$B$2:$E2026,                
    MATCH($A30, IR!$A$2:$A2026, 0), 
    MATCH(E$1, IR!$B$1:$E$1, 0) ), "")
</f>
        <v>0.00437</v>
      </c>
      <c r="F30" s="9">
        <f t="array" ref="F30">IFERROR(
  INDEX(
    IR!$B$2:$E2026,                
    MATCH($A30, IR!$A$2:$A2026, 0), 
    MATCH(F$1, IR!$B$1:$E$1, 0) ), "")
</f>
        <v>0.00614</v>
      </c>
      <c r="G30" s="14"/>
      <c r="H30" s="9">
        <f t="array" ref="H30">IFERROR(
  INDEX(
    SR!$B$2:$D2026,            
    MATCH($A30, SR!$A$2:$A2026, 0),  
    MATCH(H$1, SR!$B$1:$D$1, 0) ), "")
</f>
        <v>0.00461</v>
      </c>
      <c r="I30" s="9">
        <f t="array" ref="I30">IFERROR(
  INDEX(
    SR!$B$2:$D2026,            
    MATCH($A30, SR!$A$2:$A2026, 0),  
    MATCH(I$1, SR!$B$1:$D$1, 0) ), "")
</f>
        <v>0.00586</v>
      </c>
      <c r="J30" s="9">
        <f t="array" ref="J30">IFERROR(
  INDEX(
    SR!$B$2:$D2026,            
    MATCH($A30, SR!$A$2:$A2026, 0),  
    MATCH(J$1, SR!$B$1:$D$1, 0) ), "")
</f>
        <v>0.009358</v>
      </c>
      <c r="K30" s="14"/>
      <c r="L30" s="9">
        <v>124.27</v>
      </c>
      <c r="M30" s="9">
        <v>24.16</v>
      </c>
      <c r="N30" s="9">
        <v>112.67</v>
      </c>
      <c r="O30" s="9">
        <v>119.66</v>
      </c>
      <c r="P30" s="9">
        <v>125.45</v>
      </c>
      <c r="Q30" s="9">
        <v>1350.6503</v>
      </c>
      <c r="R30" s="14"/>
      <c r="S30" s="12">
        <f t="shared" si="2"/>
        <v>-0.001117662975</v>
      </c>
      <c r="T30" s="12">
        <f t="shared" si="3"/>
        <v>0.998882337</v>
      </c>
      <c r="U30" s="16">
        <f t="shared" si="7"/>
        <v>99.97413168</v>
      </c>
      <c r="V30" s="17"/>
      <c r="W30" s="12">
        <f t="array" ref="W30">SQRT(252/20) *  SQRT( SUMSQ( LN(U9:U28 / U8:U27) )  - (1/20) * ( SUM( LN(U9:U28 / U8:U27) ) ^ 2 ) )</f>
        <v>0.02186863201</v>
      </c>
      <c r="X30" s="9">
        <f t="shared" si="4"/>
        <v>1.5</v>
      </c>
      <c r="Y30" s="14"/>
      <c r="Z30" s="12">
        <f t="shared" si="5"/>
        <v>0.9983199361</v>
      </c>
      <c r="AA30" s="16">
        <f t="shared" si="8"/>
        <v>99.9586003</v>
      </c>
      <c r="AB30" s="14"/>
      <c r="AC30" s="9">
        <f t="shared" si="6"/>
        <v>0</v>
      </c>
    </row>
    <row r="31">
      <c r="A31" s="8">
        <v>41767.0</v>
      </c>
      <c r="B31" s="14"/>
      <c r="C31" s="9">
        <f t="array" ref="C31">IFERROR(
  INDEX(
    IR!$B$2:$E2026,                
    MATCH($A31, IR!$A$2:$A2026, 0), 
    MATCH(C$1, IR!$B$1:$E$1, 0) ), "")
</f>
        <v>0.00262</v>
      </c>
      <c r="D31" s="9">
        <f t="array" ref="D31">IFERROR(
  INDEX(
    IR!$B$2:$E2026,                
    MATCH($A31, IR!$A$2:$A2026, 0), 
    MATCH(D$1, IR!$B$1:$E$1, 0) ), "")
</f>
        <v>0.00338</v>
      </c>
      <c r="E31" s="9">
        <f t="array" ref="E31">IFERROR(
  INDEX(
    IR!$B$2:$E2026,                
    MATCH($A31, IR!$A$2:$A2026, 0), 
    MATCH(E$1, IR!$B$1:$E$1, 0) ), "")
</f>
        <v>0.00438</v>
      </c>
      <c r="F31" s="9">
        <f t="array" ref="F31">IFERROR(
  INDEX(
    IR!$B$2:$E2026,                
    MATCH($A31, IR!$A$2:$A2026, 0), 
    MATCH(F$1, IR!$B$1:$E$1, 0) ), "")
</f>
        <v>0.00617</v>
      </c>
      <c r="G31" s="14"/>
      <c r="H31" s="9">
        <f t="array" ref="H31">IFERROR(
  INDEX(
    SR!$B$2:$D2026,            
    MATCH($A31, SR!$A$2:$A2026, 0),  
    MATCH(H$1, SR!$B$1:$D$1, 0) ), "")
</f>
        <v>0.00432</v>
      </c>
      <c r="I31" s="9">
        <f t="array" ref="I31">IFERROR(
  INDEX(
    SR!$B$2:$D2026,            
    MATCH($A31, SR!$A$2:$A2026, 0),  
    MATCH(I$1, SR!$B$1:$D$1, 0) ), "")
</f>
        <v>0.005415</v>
      </c>
      <c r="J31" s="9">
        <f t="array" ref="J31">IFERROR(
  INDEX(
    SR!$B$2:$D2026,            
    MATCH($A31, SR!$A$2:$A2026, 0),  
    MATCH(J$1, SR!$B$1:$D$1, 0) ), "")
</f>
        <v>0.00891</v>
      </c>
      <c r="K31" s="14"/>
      <c r="L31" s="23">
        <v>124.27</v>
      </c>
      <c r="M31" s="9">
        <v>24.19</v>
      </c>
      <c r="N31" s="9">
        <v>112.73</v>
      </c>
      <c r="O31" s="9">
        <v>119.74</v>
      </c>
      <c r="P31" s="9">
        <v>125.63</v>
      </c>
      <c r="Q31" s="9">
        <v>1351.6692</v>
      </c>
      <c r="R31" s="14"/>
      <c r="S31" s="12">
        <f t="shared" si="2"/>
        <v>0.0007717705279</v>
      </c>
      <c r="T31" s="12">
        <f t="shared" si="3"/>
        <v>1.000771771</v>
      </c>
      <c r="U31" s="16">
        <f t="shared" si="7"/>
        <v>100.0512888</v>
      </c>
      <c r="V31" s="17"/>
      <c r="W31" s="12">
        <f t="array" ref="W31">SQRT(252/20) *  SQRT( SUMSQ( LN(U10:U29 / U9:U28) )  - (1/20) * ( SUM( LN(U10:U29 / U9:U28) ) ^ 2 ) )</f>
        <v>0.02176636751</v>
      </c>
      <c r="X31" s="9">
        <f t="shared" si="4"/>
        <v>1.5</v>
      </c>
      <c r="Y31" s="14"/>
      <c r="Z31" s="12">
        <f t="shared" si="5"/>
        <v>1.001154017</v>
      </c>
      <c r="AA31" s="16">
        <f t="shared" si="8"/>
        <v>100.0739542</v>
      </c>
      <c r="AB31" s="14"/>
      <c r="AC31" s="9">
        <f t="shared" si="6"/>
        <v>0</v>
      </c>
    </row>
    <row r="32">
      <c r="A32" s="8">
        <v>41768.0</v>
      </c>
      <c r="B32" s="14"/>
      <c r="C32" s="9">
        <f t="array" ref="C32">IFERROR(
  INDEX(
    IR!$B$2:$E2026,                
    MATCH($A32, IR!$A$2:$A2026, 0), 
    MATCH(C$1, IR!$B$1:$E$1, 0) ), "")
</f>
        <v>0.00266</v>
      </c>
      <c r="D32" s="9">
        <f t="array" ref="D32">IFERROR(
  INDEX(
    IR!$B$2:$E2026,                
    MATCH($A32, IR!$A$2:$A2026, 0), 
    MATCH(D$1, IR!$B$1:$E$1, 0) ), "")
</f>
        <v>0.00336</v>
      </c>
      <c r="E32" s="9">
        <f t="array" ref="E32">IFERROR(
  INDEX(
    IR!$B$2:$E2026,                
    MATCH($A32, IR!$A$2:$A2026, 0), 
    MATCH(E$1, IR!$B$1:$E$1, 0) ), "")
</f>
        <v>0.00431</v>
      </c>
      <c r="F32" s="9">
        <f t="array" ref="F32">IFERROR(
  INDEX(
    IR!$B$2:$E2026,                
    MATCH($A32, IR!$A$2:$A2026, 0), 
    MATCH(F$1, IR!$B$1:$E$1, 0) ), "")
</f>
        <v>0.00606</v>
      </c>
      <c r="G32" s="14"/>
      <c r="H32" s="9">
        <f t="array" ref="H32">IFERROR(
  INDEX(
    SR!$B$2:$D2026,            
    MATCH($A32, SR!$A$2:$A2026, 0),  
    MATCH(H$1, SR!$B$1:$D$1, 0) ), "")
</f>
        <v>0.004395</v>
      </c>
      <c r="I32" s="9">
        <f t="array" ref="I32">IFERROR(
  INDEX(
    SR!$B$2:$D2026,            
    MATCH($A32, SR!$A$2:$A2026, 0),  
    MATCH(I$1, SR!$B$1:$D$1, 0) ), "")
</f>
        <v>0.00547</v>
      </c>
      <c r="J32" s="9">
        <f t="array" ref="J32">IFERROR(
  INDEX(
    SR!$B$2:$D2026,            
    MATCH($A32, SR!$A$2:$A2026, 0),  
    MATCH(J$1, SR!$B$1:$D$1, 0) ), "")
</f>
        <v>0.0089</v>
      </c>
      <c r="K32" s="14"/>
      <c r="L32" s="9">
        <v>124.53</v>
      </c>
      <c r="M32" s="9">
        <v>24.21</v>
      </c>
      <c r="N32" s="9">
        <v>112.79</v>
      </c>
      <c r="O32" s="9">
        <v>120.54</v>
      </c>
      <c r="P32" s="9">
        <v>126.02</v>
      </c>
      <c r="Q32" s="9">
        <v>1353.9108</v>
      </c>
      <c r="R32" s="14"/>
      <c r="S32" s="12">
        <f t="shared" si="2"/>
        <v>0.002481696519</v>
      </c>
      <c r="T32" s="12">
        <f t="shared" si="3"/>
        <v>1.002481697</v>
      </c>
      <c r="U32" s="16">
        <f t="shared" si="7"/>
        <v>100.2995857</v>
      </c>
      <c r="V32" s="17"/>
      <c r="W32" s="12">
        <f t="array" ref="W32">SQRT(252/20) *  SQRT( SUMSQ( LN(U11:U30 / U10:U29) )  - (1/20) * ( SUM( LN(U11:U30 / U10:U29) ) ^ 2 ) )</f>
        <v>0.02208155749</v>
      </c>
      <c r="X32" s="9">
        <f t="shared" si="4"/>
        <v>1.5</v>
      </c>
      <c r="Y32" s="14"/>
      <c r="Z32" s="12">
        <f t="shared" si="5"/>
        <v>1.003718906</v>
      </c>
      <c r="AA32" s="16">
        <f t="shared" si="8"/>
        <v>100.4461198</v>
      </c>
      <c r="AB32" s="14"/>
      <c r="AC32" s="9">
        <f t="shared" si="6"/>
        <v>0</v>
      </c>
    </row>
    <row r="33">
      <c r="A33" s="8">
        <v>41771.0</v>
      </c>
      <c r="B33" s="14"/>
      <c r="C33" s="9">
        <f t="array" ref="C33">IFERROR(
  INDEX(
    IR!$B$2:$E2026,                
    MATCH($A33, IR!$A$2:$A2026, 0), 
    MATCH(C$1, IR!$B$1:$E$1, 0) ), "")
</f>
        <v>0.00267</v>
      </c>
      <c r="D33" s="9">
        <f t="array" ref="D33">IFERROR(
  INDEX(
    IR!$B$2:$E2026,                
    MATCH($A33, IR!$A$2:$A2026, 0), 
    MATCH(D$1, IR!$B$1:$E$1, 0) ), "")
</f>
        <v>0.00335</v>
      </c>
      <c r="E33" s="9">
        <f t="array" ref="E33">IFERROR(
  INDEX(
    IR!$B$2:$E2026,                
    MATCH($A33, IR!$A$2:$A2026, 0), 
    MATCH(E$1, IR!$B$1:$E$1, 0) ), "")
</f>
        <v>0.0043</v>
      </c>
      <c r="F33" s="9">
        <f t="array" ref="F33">IFERROR(
  INDEX(
    IR!$B$2:$E2026,                
    MATCH($A33, IR!$A$2:$A2026, 0), 
    MATCH(F$1, IR!$B$1:$E$1, 0) ), "")
</f>
        <v>0.00607</v>
      </c>
      <c r="G33" s="14"/>
      <c r="H33" s="9">
        <f t="array" ref="H33">IFERROR(
  INDEX(
    SR!$B$2:$D2026,            
    MATCH($A33, SR!$A$2:$A2026, 0),  
    MATCH(H$1, SR!$B$1:$D$1, 0) ), "")
</f>
        <v>0.00436</v>
      </c>
      <c r="I33" s="9">
        <f t="array" ref="I33">IFERROR(
  INDEX(
    SR!$B$2:$D2026,            
    MATCH($A33, SR!$A$2:$A2026, 0),  
    MATCH(I$1, SR!$B$1:$D$1, 0) ), "")
</f>
        <v>0.005452</v>
      </c>
      <c r="J33" s="9">
        <f t="array" ref="J33">IFERROR(
  INDEX(
    SR!$B$2:$D2026,            
    MATCH($A33, SR!$A$2:$A2026, 0),  
    MATCH(J$1, SR!$B$1:$D$1, 0) ), "")
</f>
        <v>0.008859</v>
      </c>
      <c r="K33" s="14"/>
      <c r="L33" s="9">
        <v>124.83</v>
      </c>
      <c r="M33" s="9">
        <v>24.21</v>
      </c>
      <c r="N33" s="9">
        <v>112.84</v>
      </c>
      <c r="O33" s="9">
        <v>120.41</v>
      </c>
      <c r="P33" s="9">
        <v>126.13</v>
      </c>
      <c r="Q33" s="9">
        <v>1352.7116</v>
      </c>
      <c r="R33" s="14"/>
      <c r="S33" s="12">
        <f t="shared" si="2"/>
        <v>0.0002932984392</v>
      </c>
      <c r="T33" s="12">
        <f t="shared" si="3"/>
        <v>1.000293298</v>
      </c>
      <c r="U33" s="16">
        <f t="shared" si="7"/>
        <v>100.3290034</v>
      </c>
      <c r="V33" s="17"/>
      <c r="W33" s="12">
        <f t="array" ref="W33">SQRT(252/20) *  SQRT( SUMSQ( LN(U12:U31 / U11:U30) )  - (1/20) * ( SUM( LN(U12:U31 / U11:U30) ) ^ 2 ) )</f>
        <v>0.02226438148</v>
      </c>
      <c r="X33" s="9">
        <f t="shared" si="4"/>
        <v>1.5</v>
      </c>
      <c r="Y33" s="14"/>
      <c r="Z33" s="12">
        <f t="shared" si="5"/>
        <v>1.000428864</v>
      </c>
      <c r="AA33" s="16">
        <f t="shared" si="8"/>
        <v>100.4891976</v>
      </c>
      <c r="AB33" s="14"/>
      <c r="AC33" s="9">
        <f t="shared" si="6"/>
        <v>0</v>
      </c>
    </row>
    <row r="34">
      <c r="A34" s="8">
        <v>41772.0</v>
      </c>
      <c r="B34" s="14"/>
      <c r="C34" s="9">
        <f t="array" ref="C34">IFERROR(
  INDEX(
    IR!$B$2:$E2026,                
    MATCH($A34, IR!$A$2:$A2026, 0), 
    MATCH(C$1, IR!$B$1:$E$1, 0) ), "")
</f>
        <v>0.00268</v>
      </c>
      <c r="D34" s="9">
        <f t="array" ref="D34">IFERROR(
  INDEX(
    IR!$B$2:$E2026,                
    MATCH($A34, IR!$A$2:$A2026, 0), 
    MATCH(D$1, IR!$B$1:$E$1, 0) ), "")
</f>
        <v>0.00335</v>
      </c>
      <c r="E34" s="9">
        <f t="array" ref="E34">IFERROR(
  INDEX(
    IR!$B$2:$E2026,                
    MATCH($A34, IR!$A$2:$A2026, 0), 
    MATCH(E$1, IR!$B$1:$E$1, 0) ), "")
</f>
        <v>0.00429</v>
      </c>
      <c r="F34" s="9">
        <f t="array" ref="F34">IFERROR(
  INDEX(
    IR!$B$2:$E2026,                
    MATCH($A34, IR!$A$2:$A2026, 0), 
    MATCH(F$1, IR!$B$1:$E$1, 0) ), "")
</f>
        <v>0.00605</v>
      </c>
      <c r="G34" s="14"/>
      <c r="H34" s="9">
        <f t="array" ref="H34">IFERROR(
  INDEX(
    SR!$B$2:$D2026,            
    MATCH($A34, SR!$A$2:$A2026, 0),  
    MATCH(H$1, SR!$B$1:$D$1, 0) ), "")
</f>
        <v>0.00415</v>
      </c>
      <c r="I34" s="9">
        <f t="array" ref="I34">IFERROR(
  INDEX(
    SR!$B$2:$D2026,            
    MATCH($A34, SR!$A$2:$A2026, 0),  
    MATCH(I$1, SR!$B$1:$D$1, 0) ), "")
</f>
        <v>0.005086</v>
      </c>
      <c r="J34" s="9">
        <f t="array" ref="J34">IFERROR(
  INDEX(
    SR!$B$2:$D2026,            
    MATCH($A34, SR!$A$2:$A2026, 0),  
    MATCH(J$1, SR!$B$1:$D$1, 0) ), "")
</f>
        <v>0.008357</v>
      </c>
      <c r="K34" s="14"/>
      <c r="L34" s="9">
        <v>124.96</v>
      </c>
      <c r="M34" s="9">
        <v>24.23</v>
      </c>
      <c r="N34" s="9">
        <v>112.91</v>
      </c>
      <c r="O34" s="9">
        <v>120.86</v>
      </c>
      <c r="P34" s="9">
        <v>126.39</v>
      </c>
      <c r="Q34" s="9">
        <v>1360.2299</v>
      </c>
      <c r="R34" s="14"/>
      <c r="S34" s="12">
        <f t="shared" si="2"/>
        <v>0.002307034914</v>
      </c>
      <c r="T34" s="12">
        <f t="shared" si="3"/>
        <v>1.002307035</v>
      </c>
      <c r="U34" s="16">
        <f t="shared" si="7"/>
        <v>100.5604659</v>
      </c>
      <c r="V34" s="17"/>
      <c r="W34" s="12">
        <f t="array" ref="W34">SQRT(252/20) *  SQRT( SUMSQ( LN(U13:U32 / U12:U31) )  - (1/20) * ( SUM( LN(U13:U32 / U12:U31) ) ^ 2 ) )</f>
        <v>0.02105610894</v>
      </c>
      <c r="X34" s="9">
        <f t="shared" si="4"/>
        <v>1.5</v>
      </c>
      <c r="Y34" s="14"/>
      <c r="Z34" s="12">
        <f t="shared" si="5"/>
        <v>1.003456844</v>
      </c>
      <c r="AA34" s="16">
        <f t="shared" si="8"/>
        <v>100.8365731</v>
      </c>
      <c r="AB34" s="14"/>
      <c r="AC34" s="9">
        <f t="shared" si="6"/>
        <v>0</v>
      </c>
    </row>
    <row r="35">
      <c r="A35" s="8">
        <v>41773.0</v>
      </c>
      <c r="B35" s="14"/>
      <c r="C35" s="9">
        <f t="array" ref="C35">IFERROR(
  INDEX(
    IR!$B$2:$E2026,                
    MATCH($A35, IR!$A$2:$A2026, 0), 
    MATCH(C$1, IR!$B$1:$E$1, 0) ), "")
</f>
        <v>0.00263</v>
      </c>
      <c r="D35" s="9">
        <f t="array" ref="D35">IFERROR(
  INDEX(
    IR!$B$2:$E2026,                
    MATCH($A35, IR!$A$2:$A2026, 0), 
    MATCH(D$1, IR!$B$1:$E$1, 0) ), "")
</f>
        <v>0.00328</v>
      </c>
      <c r="E35" s="9">
        <f t="array" ref="E35">IFERROR(
  INDEX(
    IR!$B$2:$E2026,                
    MATCH($A35, IR!$A$2:$A2026, 0), 
    MATCH(E$1, IR!$B$1:$E$1, 0) ), "")
</f>
        <v>0.00421</v>
      </c>
      <c r="F35" s="9">
        <f t="array" ref="F35">IFERROR(
  INDEX(
    IR!$B$2:$E2026,                
    MATCH($A35, IR!$A$2:$A2026, 0), 
    MATCH(F$1, IR!$B$1:$E$1, 0) ), "")
</f>
        <v>0.00596</v>
      </c>
      <c r="G35" s="14"/>
      <c r="H35" s="9">
        <f t="array" ref="H35">IFERROR(
  INDEX(
    SR!$B$2:$D2026,            
    MATCH($A35, SR!$A$2:$A2026, 0),  
    MATCH(H$1, SR!$B$1:$D$1, 0) ), "")
</f>
        <v>0.00399</v>
      </c>
      <c r="I35" s="9">
        <f t="array" ref="I35">IFERROR(
  INDEX(
    SR!$B$2:$D2026,            
    MATCH($A35, SR!$A$2:$A2026, 0),  
    MATCH(I$1, SR!$B$1:$D$1, 0) ), "")
</f>
        <v>0.00483</v>
      </c>
      <c r="J35" s="9">
        <f t="array" ref="J35">IFERROR(
  INDEX(
    SR!$B$2:$D2026,            
    MATCH($A35, SR!$A$2:$A2026, 0),  
    MATCH(J$1, SR!$B$1:$D$1, 0) ), "")
</f>
        <v>0.007876</v>
      </c>
      <c r="K35" s="14"/>
      <c r="L35" s="9">
        <v>125.06</v>
      </c>
      <c r="M35" s="9">
        <v>24.24</v>
      </c>
      <c r="N35" s="9">
        <v>112.92</v>
      </c>
      <c r="O35" s="9">
        <v>121.65</v>
      </c>
      <c r="P35" s="9">
        <v>126.56</v>
      </c>
      <c r="Q35" s="9">
        <v>1360.9043</v>
      </c>
      <c r="R35" s="14"/>
      <c r="S35" s="12">
        <f t="shared" si="2"/>
        <v>0.001612548301</v>
      </c>
      <c r="T35" s="12">
        <f t="shared" si="3"/>
        <v>1.001612548</v>
      </c>
      <c r="U35" s="16">
        <f t="shared" si="7"/>
        <v>100.7226245</v>
      </c>
      <c r="V35" s="17"/>
      <c r="W35" s="12">
        <f t="array" ref="W35">SQRT(252/20) *  SQRT( SUMSQ( LN(U14:U33 / U13:U32) )  - (1/20) * ( SUM( LN(U14:U33 / U13:U32) ) ^ 2 ) )</f>
        <v>0.02102092485</v>
      </c>
      <c r="X35" s="9">
        <f t="shared" si="4"/>
        <v>1.5</v>
      </c>
      <c r="Y35" s="14"/>
      <c r="Z35" s="12">
        <f t="shared" si="5"/>
        <v>1.0024151</v>
      </c>
      <c r="AA35" s="16">
        <f t="shared" si="8"/>
        <v>101.0801035</v>
      </c>
      <c r="AB35" s="14"/>
      <c r="AC35" s="9">
        <f t="shared" si="6"/>
        <v>0</v>
      </c>
    </row>
    <row r="36">
      <c r="A36" s="8">
        <v>41774.0</v>
      </c>
      <c r="B36" s="14"/>
      <c r="C36" s="9">
        <f t="array" ref="C36">IFERROR(
  INDEX(
    IR!$B$2:$E2026,                
    MATCH($A36, IR!$A$2:$A2026, 0), 
    MATCH(C$1, IR!$B$1:$E$1, 0) ), "")
</f>
        <v>0.00259</v>
      </c>
      <c r="D36" s="9">
        <f t="array" ref="D36">IFERROR(
  INDEX(
    IR!$B$2:$E2026,                
    MATCH($A36, IR!$A$2:$A2026, 0), 
    MATCH(D$1, IR!$B$1:$E$1, 0) ), "")
</f>
        <v>0.00321</v>
      </c>
      <c r="E36" s="9">
        <f t="array" ref="E36">IFERROR(
  INDEX(
    IR!$B$2:$E2026,                
    MATCH($A36, IR!$A$2:$A2026, 0), 
    MATCH(E$1, IR!$B$1:$E$1, 0) ), "")
</f>
        <v>0.00413</v>
      </c>
      <c r="F36" s="9">
        <f t="array" ref="F36">IFERROR(
  INDEX(
    IR!$B$2:$E2026,                
    MATCH($A36, IR!$A$2:$A2026, 0), 
    MATCH(F$1, IR!$B$1:$E$1, 0) ), "")
</f>
        <v>0.00587</v>
      </c>
      <c r="G36" s="14"/>
      <c r="H36" s="9">
        <f t="array" ref="H36">IFERROR(
  INDEX(
    SR!$B$2:$D2026,            
    MATCH($A36, SR!$A$2:$A2026, 0),  
    MATCH(H$1, SR!$B$1:$D$1, 0) ), "")
</f>
        <v>0.003875</v>
      </c>
      <c r="I36" s="9">
        <f t="array" ref="I36">IFERROR(
  INDEX(
    SR!$B$2:$D2026,            
    MATCH($A36, SR!$A$2:$A2026, 0),  
    MATCH(I$1, SR!$B$1:$D$1, 0) ), "")
</f>
        <v>0.004589</v>
      </c>
      <c r="J36" s="9">
        <f t="array" ref="J36">IFERROR(
  INDEX(
    SR!$B$2:$D2026,            
    MATCH($A36, SR!$A$2:$A2026, 0),  
    MATCH(J$1, SR!$B$1:$D$1, 0) ), "")
</f>
        <v>0.007535</v>
      </c>
      <c r="K36" s="14"/>
      <c r="L36" s="9">
        <v>124.42</v>
      </c>
      <c r="M36" s="9">
        <v>24.23</v>
      </c>
      <c r="N36" s="9">
        <v>112.87</v>
      </c>
      <c r="O36" s="9">
        <v>122.14</v>
      </c>
      <c r="P36" s="9">
        <v>126.79</v>
      </c>
      <c r="Q36" s="9">
        <v>1358.2247</v>
      </c>
      <c r="R36" s="14"/>
      <c r="S36" s="12">
        <f t="shared" si="2"/>
        <v>-0.0003494891582</v>
      </c>
      <c r="T36" s="12">
        <f t="shared" si="3"/>
        <v>0.9996505108</v>
      </c>
      <c r="U36" s="16">
        <f t="shared" si="7"/>
        <v>100.6874231</v>
      </c>
      <c r="V36" s="17"/>
      <c r="W36" s="12">
        <f t="array" ref="W36">SQRT(252/20) *  SQRT( SUMSQ( LN(U15:U34 / U14:U33) )  - (1/20) * ( SUM( LN(U15:U34 / U14:U33) ) ^ 2 ) )</f>
        <v>0.02215817246</v>
      </c>
      <c r="X36" s="9">
        <f t="shared" si="4"/>
        <v>1.5</v>
      </c>
      <c r="Y36" s="14"/>
      <c r="Z36" s="12">
        <f t="shared" si="5"/>
        <v>0.9994721135</v>
      </c>
      <c r="AA36" s="16">
        <f t="shared" si="8"/>
        <v>101.0267447</v>
      </c>
      <c r="AB36" s="14"/>
      <c r="AC36" s="9">
        <f t="shared" si="6"/>
        <v>0</v>
      </c>
    </row>
    <row r="37">
      <c r="A37" s="8">
        <v>41775.0</v>
      </c>
      <c r="B37" s="14"/>
      <c r="C37" s="9">
        <f t="array" ref="C37">IFERROR(
  INDEX(
    IR!$B$2:$E2026,                
    MATCH($A37, IR!$A$2:$A2026, 0), 
    MATCH(C$1, IR!$B$1:$E$1, 0) ), "")
</f>
        <v>0.00257</v>
      </c>
      <c r="D37" s="9">
        <f t="array" ref="D37">IFERROR(
  INDEX(
    IR!$B$2:$E2026,                
    MATCH($A37, IR!$A$2:$A2026, 0), 
    MATCH(D$1, IR!$B$1:$E$1, 0) ), "")
</f>
        <v>0.00318</v>
      </c>
      <c r="E37" s="9">
        <f t="array" ref="E37">IFERROR(
  INDEX(
    IR!$B$2:$E2026,                
    MATCH($A37, IR!$A$2:$A2026, 0), 
    MATCH(E$1, IR!$B$1:$E$1, 0) ), "")
</f>
        <v>0.0041</v>
      </c>
      <c r="F37" s="9">
        <f t="array" ref="F37">IFERROR(
  INDEX(
    IR!$B$2:$E2026,                
    MATCH($A37, IR!$A$2:$A2026, 0), 
    MATCH(F$1, IR!$B$1:$E$1, 0) ), "")
</f>
        <v>0.00586</v>
      </c>
      <c r="G37" s="14"/>
      <c r="H37" s="9">
        <f t="array" ref="H37">IFERROR(
  INDEX(
    SR!$B$2:$D2026,            
    MATCH($A37, SR!$A$2:$A2026, 0),  
    MATCH(H$1, SR!$B$1:$D$1, 0) ), "")
</f>
        <v>0.0039</v>
      </c>
      <c r="I37" s="9">
        <f t="array" ref="I37">IFERROR(
  INDEX(
    SR!$B$2:$D2026,            
    MATCH($A37, SR!$A$2:$A2026, 0),  
    MATCH(I$1, SR!$B$1:$D$1, 0) ), "")
</f>
        <v>0.004775</v>
      </c>
      <c r="J37" s="9">
        <f t="array" ref="J37">IFERROR(
  INDEX(
    SR!$B$2:$D2026,            
    MATCH($A37, SR!$A$2:$A2026, 0),  
    MATCH(J$1, SR!$B$1:$D$1, 0) ), "")
</f>
        <v>0.00777</v>
      </c>
      <c r="K37" s="14"/>
      <c r="L37" s="9">
        <v>124.2</v>
      </c>
      <c r="M37" s="9">
        <v>24.23</v>
      </c>
      <c r="N37" s="9">
        <v>112.87</v>
      </c>
      <c r="O37" s="9">
        <v>122.29</v>
      </c>
      <c r="P37" s="9">
        <v>126.44</v>
      </c>
      <c r="Q37" s="9">
        <v>1351.2753</v>
      </c>
      <c r="R37" s="14"/>
      <c r="S37" s="12">
        <f t="shared" si="2"/>
        <v>-0.001402801768</v>
      </c>
      <c r="T37" s="12">
        <f t="shared" si="3"/>
        <v>0.9985971982</v>
      </c>
      <c r="U37" s="16">
        <f t="shared" si="7"/>
        <v>100.5461786</v>
      </c>
      <c r="V37" s="17"/>
      <c r="W37" s="12">
        <f t="array" ref="W37">SQRT(252/20) *  SQRT( SUMSQ( LN(U16:U35 / U15:U34) )  - (1/20) * ( SUM( LN(U16:U35 / U15:U34) ) ^ 2 ) )</f>
        <v>0.0214937597</v>
      </c>
      <c r="X37" s="9">
        <f t="shared" si="4"/>
        <v>1.5</v>
      </c>
      <c r="Y37" s="14"/>
      <c r="Z37" s="12">
        <f t="shared" si="5"/>
        <v>0.9978922001</v>
      </c>
      <c r="AA37" s="16">
        <f t="shared" si="8"/>
        <v>100.8138005</v>
      </c>
      <c r="AB37" s="14"/>
      <c r="AC37" s="9">
        <f t="shared" si="6"/>
        <v>0</v>
      </c>
    </row>
    <row r="38">
      <c r="A38" s="8">
        <v>41778.0</v>
      </c>
      <c r="B38" s="14"/>
      <c r="C38" s="9">
        <f t="array" ref="C38">IFERROR(
  INDEX(
    IR!$B$2:$E2026,                
    MATCH($A38, IR!$A$2:$A2026, 0), 
    MATCH(C$1, IR!$B$1:$E$1, 0) ), "")
</f>
        <v>0.00257</v>
      </c>
      <c r="D38" s="9">
        <f t="array" ref="D38">IFERROR(
  INDEX(
    IR!$B$2:$E2026,                
    MATCH($A38, IR!$A$2:$A2026, 0), 
    MATCH(D$1, IR!$B$1:$E$1, 0) ), "")
</f>
        <v>0.00318</v>
      </c>
      <c r="E38" s="9">
        <f t="array" ref="E38">IFERROR(
  INDEX(
    IR!$B$2:$E2026,                
    MATCH($A38, IR!$A$2:$A2026, 0), 
    MATCH(E$1, IR!$B$1:$E$1, 0) ), "")
</f>
        <v>0.00409</v>
      </c>
      <c r="F38" s="9">
        <f t="array" ref="F38">IFERROR(
  INDEX(
    IR!$B$2:$E2026,                
    MATCH($A38, IR!$A$2:$A2026, 0), 
    MATCH(F$1, IR!$B$1:$E$1, 0) ), "")
</f>
        <v>0.00586</v>
      </c>
      <c r="G38" s="14"/>
      <c r="H38" s="9">
        <f t="array" ref="H38">IFERROR(
  INDEX(
    SR!$B$2:$D2026,            
    MATCH($A38, SR!$A$2:$A2026, 0),  
    MATCH(H$1, SR!$B$1:$D$1, 0) ), "")
</f>
        <v>0.003975</v>
      </c>
      <c r="I38" s="9">
        <f t="array" ref="I38">IFERROR(
  INDEX(
    SR!$B$2:$D2026,            
    MATCH($A38, SR!$A$2:$A2026, 0),  
    MATCH(I$1, SR!$B$1:$D$1, 0) ), "")
</f>
        <v>0.004863</v>
      </c>
      <c r="J38" s="9">
        <f t="array" ref="J38">IFERROR(
  INDEX(
    SR!$B$2:$D2026,            
    MATCH($A38, SR!$A$2:$A2026, 0),  
    MATCH(J$1, SR!$B$1:$D$1, 0) ), "")
</f>
        <v>0.008031</v>
      </c>
      <c r="K38" s="14"/>
      <c r="L38" s="9">
        <v>124.32</v>
      </c>
      <c r="M38" s="9">
        <v>24.23</v>
      </c>
      <c r="N38" s="9">
        <v>112.92</v>
      </c>
      <c r="O38" s="9">
        <v>121.83</v>
      </c>
      <c r="P38" s="9">
        <v>126.64</v>
      </c>
      <c r="Q38" s="9">
        <v>1349.7965</v>
      </c>
      <c r="R38" s="14"/>
      <c r="S38" s="12">
        <f t="shared" si="2"/>
        <v>-0.0003108142725</v>
      </c>
      <c r="T38" s="12">
        <f t="shared" si="3"/>
        <v>0.9996891857</v>
      </c>
      <c r="U38" s="16">
        <f t="shared" si="7"/>
        <v>100.5149274</v>
      </c>
      <c r="V38" s="17"/>
      <c r="W38" s="12">
        <f t="array" ref="W38">SQRT(252/20) *  SQRT( SUMSQ( LN(U17:U36 / U16:U35) )  - (1/20) * ( SUM( LN(U17:U36 / U16:U35) ) ^ 2 ) )</f>
        <v>0.01917423788</v>
      </c>
      <c r="X38" s="9">
        <f t="shared" si="4"/>
        <v>1.5</v>
      </c>
      <c r="Y38" s="14"/>
      <c r="Z38" s="12">
        <f t="shared" si="5"/>
        <v>0.9995230703</v>
      </c>
      <c r="AA38" s="16">
        <f t="shared" si="8"/>
        <v>100.7657194</v>
      </c>
      <c r="AB38" s="14"/>
      <c r="AC38" s="9">
        <f t="shared" si="6"/>
        <v>0</v>
      </c>
    </row>
    <row r="39">
      <c r="A39" s="8">
        <v>41779.0</v>
      </c>
      <c r="B39" s="14"/>
      <c r="C39" s="9">
        <f t="array" ref="C39">IFERROR(
  INDEX(
    IR!$B$2:$E2026,                
    MATCH($A39, IR!$A$2:$A2026, 0), 
    MATCH(C$1, IR!$B$1:$E$1, 0) ), "")
</f>
        <v>0.00256</v>
      </c>
      <c r="D39" s="9">
        <f t="array" ref="D39">IFERROR(
  INDEX(
    IR!$B$2:$E2026,                
    MATCH($A39, IR!$A$2:$A2026, 0), 
    MATCH(D$1, IR!$B$1:$E$1, 0) ), "")
</f>
        <v>0.00318</v>
      </c>
      <c r="E39" s="9">
        <f t="array" ref="E39">IFERROR(
  INDEX(
    IR!$B$2:$E2026,                
    MATCH($A39, IR!$A$2:$A2026, 0), 
    MATCH(E$1, IR!$B$1:$E$1, 0) ), "")
</f>
        <v>0.00407</v>
      </c>
      <c r="F39" s="9">
        <f t="array" ref="F39">IFERROR(
  INDEX(
    IR!$B$2:$E2026,                
    MATCH($A39, IR!$A$2:$A2026, 0), 
    MATCH(F$1, IR!$B$1:$E$1, 0) ), "")
</f>
        <v>0.00585</v>
      </c>
      <c r="G39" s="14"/>
      <c r="H39" s="9">
        <f t="array" ref="H39">IFERROR(
  INDEX(
    SR!$B$2:$D2026,            
    MATCH($A39, SR!$A$2:$A2026, 0),  
    MATCH(H$1, SR!$B$1:$D$1, 0) ), "")
</f>
        <v>0.00387</v>
      </c>
      <c r="I39" s="9">
        <f t="array" ref="I39">IFERROR(
  INDEX(
    SR!$B$2:$D2026,            
    MATCH($A39, SR!$A$2:$A2026, 0),  
    MATCH(I$1, SR!$B$1:$D$1, 0) ), "")
</f>
        <v>0.0048</v>
      </c>
      <c r="J39" s="9">
        <f t="array" ref="J39">IFERROR(
  INDEX(
    SR!$B$2:$D2026,            
    MATCH($A39, SR!$A$2:$A2026, 0),  
    MATCH(J$1, SR!$B$1:$D$1, 0) ), "")
</f>
        <v>0.00792</v>
      </c>
      <c r="K39" s="14"/>
      <c r="L39" s="9">
        <v>124.3</v>
      </c>
      <c r="M39" s="9">
        <v>24.23</v>
      </c>
      <c r="N39" s="9">
        <v>112.91</v>
      </c>
      <c r="O39" s="9">
        <v>121.98</v>
      </c>
      <c r="P39" s="9">
        <v>126.69</v>
      </c>
      <c r="Q39" s="9">
        <v>1353.4537</v>
      </c>
      <c r="R39" s="14"/>
      <c r="S39" s="12">
        <f t="shared" si="2"/>
        <v>0.0006810078454</v>
      </c>
      <c r="T39" s="12">
        <f t="shared" si="3"/>
        <v>1.000681008</v>
      </c>
      <c r="U39" s="16">
        <f t="shared" si="7"/>
        <v>100.5833788</v>
      </c>
      <c r="V39" s="17"/>
      <c r="W39" s="12">
        <f t="array" ref="W39">SQRT(252/20) *  SQRT( SUMSQ( LN(U18:U37 / U17:U36) )  - (1/20) * ( SUM( LN(U18:U37 / U17:U36) ) ^ 2 ) )</f>
        <v>0.02027716867</v>
      </c>
      <c r="X39" s="9">
        <f t="shared" si="4"/>
        <v>1.5</v>
      </c>
      <c r="Y39" s="14"/>
      <c r="Z39" s="12">
        <f t="shared" si="5"/>
        <v>1.001017942</v>
      </c>
      <c r="AA39" s="16">
        <f t="shared" si="8"/>
        <v>100.8682931</v>
      </c>
      <c r="AB39" s="14"/>
      <c r="AC39" s="9">
        <f t="shared" si="6"/>
        <v>0</v>
      </c>
    </row>
    <row r="40">
      <c r="A40" s="8">
        <v>41780.0</v>
      </c>
      <c r="B40" s="14"/>
      <c r="C40" s="9">
        <f t="array" ref="C40">IFERROR(
  INDEX(
    IR!$B$2:$E2026,                
    MATCH($A40, IR!$A$2:$A2026, 0), 
    MATCH(C$1, IR!$B$1:$E$1, 0) ), "")
</f>
        <v>0.00259</v>
      </c>
      <c r="D40" s="9">
        <f t="array" ref="D40">IFERROR(
  INDEX(
    IR!$B$2:$E2026,                
    MATCH($A40, IR!$A$2:$A2026, 0), 
    MATCH(D$1, IR!$B$1:$E$1, 0) ), "")
</f>
        <v>0.00319</v>
      </c>
      <c r="E40" s="9">
        <f t="array" ref="E40">IFERROR(
  INDEX(
    IR!$B$2:$E2026,                
    MATCH($A40, IR!$A$2:$A2026, 0), 
    MATCH(E$1, IR!$B$1:$E$1, 0) ), "")
</f>
        <v>0.00407</v>
      </c>
      <c r="F40" s="9">
        <f t="array" ref="F40">IFERROR(
  INDEX(
    IR!$B$2:$E2026,                
    MATCH($A40, IR!$A$2:$A2026, 0), 
    MATCH(F$1, IR!$B$1:$E$1, 0) ), "")
</f>
        <v>0.00583</v>
      </c>
      <c r="G40" s="14"/>
      <c r="H40" s="9">
        <f t="array" ref="H40">IFERROR(
  INDEX(
    SR!$B$2:$D2026,            
    MATCH($A40, SR!$A$2:$A2026, 0),  
    MATCH(H$1, SR!$B$1:$D$1, 0) ), "")
</f>
        <v>0.003895</v>
      </c>
      <c r="I40" s="9">
        <f t="array" ref="I40">IFERROR(
  INDEX(
    SR!$B$2:$D2026,            
    MATCH($A40, SR!$A$2:$A2026, 0),  
    MATCH(I$1, SR!$B$1:$D$1, 0) ), "")
</f>
        <v>0.00487</v>
      </c>
      <c r="J40" s="9">
        <f t="array" ref="J40">IFERROR(
  INDEX(
    SR!$B$2:$D2026,            
    MATCH($A40, SR!$A$2:$A2026, 0),  
    MATCH(J$1, SR!$B$1:$D$1, 0) ), "")
</f>
        <v>0.008144</v>
      </c>
      <c r="K40" s="14"/>
      <c r="L40" s="9">
        <v>124.37</v>
      </c>
      <c r="M40" s="9">
        <v>24.23</v>
      </c>
      <c r="N40" s="9">
        <v>112.9</v>
      </c>
      <c r="O40" s="9">
        <v>121.7</v>
      </c>
      <c r="P40" s="9">
        <v>126.55</v>
      </c>
      <c r="Q40" s="9">
        <v>1351.072</v>
      </c>
      <c r="R40" s="14"/>
      <c r="S40" s="12">
        <f t="shared" si="2"/>
        <v>-0.0007808053714</v>
      </c>
      <c r="T40" s="12">
        <f t="shared" si="3"/>
        <v>0.9992191946</v>
      </c>
      <c r="U40" s="16">
        <f t="shared" si="7"/>
        <v>100.5048428</v>
      </c>
      <c r="V40" s="17"/>
      <c r="W40" s="12">
        <f t="array" ref="W40">SQRT(252/20) *  SQRT( SUMSQ( LN(U19:U38 / U18:U37) )  - (1/20) * ( SUM( LN(U19:U38 / U18:U37) ) ^ 2 ) )</f>
        <v>0.02047229094</v>
      </c>
      <c r="X40" s="9">
        <f t="shared" si="4"/>
        <v>1.5</v>
      </c>
      <c r="Y40" s="14"/>
      <c r="Z40" s="12">
        <f t="shared" si="5"/>
        <v>0.9988252364</v>
      </c>
      <c r="AA40" s="16">
        <f t="shared" si="8"/>
        <v>100.7497967</v>
      </c>
      <c r="AB40" s="14"/>
      <c r="AC40" s="9">
        <f t="shared" si="6"/>
        <v>0</v>
      </c>
    </row>
    <row r="41">
      <c r="A41" s="8">
        <v>41781.0</v>
      </c>
      <c r="B41" s="14"/>
      <c r="C41" s="9">
        <f t="array" ref="C41">IFERROR(
  INDEX(
    IR!$B$2:$E2026,                
    MATCH($A41, IR!$A$2:$A2026, 0), 
    MATCH(C$1, IR!$B$1:$E$1, 0) ), "")
</f>
        <v>0.00262</v>
      </c>
      <c r="D41" s="9">
        <f t="array" ref="D41">IFERROR(
  INDEX(
    IR!$B$2:$E2026,                
    MATCH($A41, IR!$A$2:$A2026, 0), 
    MATCH(D$1, IR!$B$1:$E$1, 0) ), "")
</f>
        <v>0.00318</v>
      </c>
      <c r="E41" s="9">
        <f t="array" ref="E41">IFERROR(
  INDEX(
    IR!$B$2:$E2026,                
    MATCH($A41, IR!$A$2:$A2026, 0), 
    MATCH(E$1, IR!$B$1:$E$1, 0) ), "")
</f>
        <v>0.00407</v>
      </c>
      <c r="F41" s="9">
        <f t="array" ref="F41">IFERROR(
  INDEX(
    IR!$B$2:$E2026,                
    MATCH($A41, IR!$A$2:$A2026, 0), 
    MATCH(F$1, IR!$B$1:$E$1, 0) ), "")
</f>
        <v>0.00583</v>
      </c>
      <c r="G41" s="14"/>
      <c r="H41" s="9">
        <f t="array" ref="H41">IFERROR(
  INDEX(
    SR!$B$2:$D2026,            
    MATCH($A41, SR!$A$2:$A2026, 0),  
    MATCH(H$1, SR!$B$1:$D$1, 0) ), "")
</f>
        <v>0.00383</v>
      </c>
      <c r="I41" s="9">
        <f t="array" ref="I41">IFERROR(
  INDEX(
    SR!$B$2:$D2026,            
    MATCH($A41, SR!$A$2:$A2026, 0),  
    MATCH(I$1, SR!$B$1:$D$1, 0) ), "")
</f>
        <v>0.00478</v>
      </c>
      <c r="J41" s="9">
        <f t="array" ref="J41">IFERROR(
  INDEX(
    SR!$B$2:$D2026,            
    MATCH($A41, SR!$A$2:$A2026, 0),  
    MATCH(J$1, SR!$B$1:$D$1, 0) ), "")
</f>
        <v>0.007972</v>
      </c>
      <c r="K41" s="14"/>
      <c r="L41" s="9">
        <v>124.51</v>
      </c>
      <c r="M41" s="9">
        <v>24.23</v>
      </c>
      <c r="N41" s="9">
        <v>112.97</v>
      </c>
      <c r="O41" s="9">
        <v>121.72</v>
      </c>
      <c r="P41" s="9">
        <v>126.81</v>
      </c>
      <c r="Q41" s="9">
        <v>1353.8273</v>
      </c>
      <c r="R41" s="14"/>
      <c r="S41" s="12">
        <f t="shared" si="2"/>
        <v>0.001000453195</v>
      </c>
      <c r="T41" s="12">
        <f t="shared" si="3"/>
        <v>1.001000453</v>
      </c>
      <c r="U41" s="16">
        <f t="shared" si="7"/>
        <v>100.6053932</v>
      </c>
      <c r="V41" s="17"/>
      <c r="W41" s="12">
        <f t="array" ref="W41">SQRT(252/20) *  SQRT( SUMSQ( LN(U20:U39 / U19:U38) )  - (1/20) * ( SUM( LN(U20:U39 / U19:U38) ) ^ 2 ) )</f>
        <v>0.01928597616</v>
      </c>
      <c r="X41" s="9">
        <f t="shared" si="4"/>
        <v>1.5</v>
      </c>
      <c r="Y41" s="14"/>
      <c r="Z41" s="12">
        <f t="shared" si="5"/>
        <v>1.001497083</v>
      </c>
      <c r="AA41" s="16">
        <f t="shared" si="8"/>
        <v>100.9006275</v>
      </c>
      <c r="AB41" s="14"/>
      <c r="AC41" s="9">
        <f t="shared" si="6"/>
        <v>0</v>
      </c>
    </row>
    <row r="42">
      <c r="A42" s="8">
        <v>41782.0</v>
      </c>
      <c r="B42" s="14"/>
      <c r="C42" s="9">
        <f t="array" ref="C42">IFERROR(
  INDEX(
    IR!$B$2:$E2026,                
    MATCH($A42, IR!$A$2:$A2026, 0), 
    MATCH(C$1, IR!$B$1:$E$1, 0) ), "")
</f>
        <v>0.00261</v>
      </c>
      <c r="D42" s="9">
        <f t="array" ref="D42">IFERROR(
  INDEX(
    IR!$B$2:$E2026,                
    MATCH($A42, IR!$A$2:$A2026, 0), 
    MATCH(D$1, IR!$B$1:$E$1, 0) ), "")
</f>
        <v>0.00317</v>
      </c>
      <c r="E42" s="9">
        <f t="array" ref="E42">IFERROR(
  INDEX(
    IR!$B$2:$E2026,                
    MATCH($A42, IR!$A$2:$A2026, 0), 
    MATCH(E$1, IR!$B$1:$E$1, 0) ), "")
</f>
        <v>0.00406</v>
      </c>
      <c r="F42" s="9">
        <f t="array" ref="F42">IFERROR(
  INDEX(
    IR!$B$2:$E2026,                
    MATCH($A42, IR!$A$2:$A2026, 0), 
    MATCH(F$1, IR!$B$1:$E$1, 0) ), "")
</f>
        <v>0.00578</v>
      </c>
      <c r="G42" s="14"/>
      <c r="H42" s="9">
        <f t="array" ref="H42">IFERROR(
  INDEX(
    SR!$B$2:$D2026,            
    MATCH($A42, SR!$A$2:$A2026, 0),  
    MATCH(H$1, SR!$B$1:$D$1, 0) ), "")
</f>
        <v>0.00376</v>
      </c>
      <c r="I42" s="9">
        <f t="array" ref="I42">IFERROR(
  INDEX(
    SR!$B$2:$D2026,            
    MATCH($A42, SR!$A$2:$A2026, 0),  
    MATCH(I$1, SR!$B$1:$D$1, 0) ), "")
</f>
        <v>0.004741</v>
      </c>
      <c r="J42" s="9">
        <f t="array" ref="J42">IFERROR(
  INDEX(
    SR!$B$2:$D2026,            
    MATCH($A42, SR!$A$2:$A2026, 0),  
    MATCH(J$1, SR!$B$1:$D$1, 0) ), "")
</f>
        <v>0.007989</v>
      </c>
      <c r="K42" s="14"/>
      <c r="L42" s="9">
        <v>124.72</v>
      </c>
      <c r="M42" s="9">
        <v>24.24</v>
      </c>
      <c r="N42" s="9">
        <v>113.0</v>
      </c>
      <c r="O42" s="9">
        <v>122.13</v>
      </c>
      <c r="P42" s="9">
        <v>126.93</v>
      </c>
      <c r="Q42" s="9">
        <v>1357.1563</v>
      </c>
      <c r="R42" s="14"/>
      <c r="S42" s="12">
        <f t="shared" si="2"/>
        <v>0.001522723166</v>
      </c>
      <c r="T42" s="12">
        <f t="shared" si="3"/>
        <v>1.001522723</v>
      </c>
      <c r="U42" s="16">
        <f t="shared" si="7"/>
        <v>100.7585874</v>
      </c>
      <c r="V42" s="17"/>
      <c r="W42" s="12">
        <f t="array" ref="W42">SQRT(252/20) *  SQRT( SUMSQ( LN(U21:U40 / U20:U39) )  - (1/20) * ( SUM( LN(U21:U40 / U20:U39) ) ^ 2 ) )</f>
        <v>0.01908256015</v>
      </c>
      <c r="X42" s="9">
        <f t="shared" si="4"/>
        <v>1.5</v>
      </c>
      <c r="Y42" s="14"/>
      <c r="Z42" s="12">
        <f t="shared" si="5"/>
        <v>1.002280446</v>
      </c>
      <c r="AA42" s="16">
        <f t="shared" si="8"/>
        <v>101.1307259</v>
      </c>
      <c r="AB42" s="14"/>
      <c r="AC42" s="9">
        <f t="shared" si="6"/>
        <v>0</v>
      </c>
    </row>
    <row r="43">
      <c r="A43" s="8">
        <v>41785.0</v>
      </c>
      <c r="B43" s="14"/>
      <c r="C43" s="9">
        <f t="array" ref="C43">IFERROR(
  INDEX(
    IR!$B$2:$E2026,                
    MATCH($A43, IR!$A$2:$A2026, 0), 
    MATCH(C$1, IR!$B$1:$E$1, 0) ), "")
</f>
        <v>0.00258</v>
      </c>
      <c r="D43" s="9">
        <f t="array" ref="D43">IFERROR(
  INDEX(
    IR!$B$2:$E2026,                
    MATCH($A43, IR!$A$2:$A2026, 0), 
    MATCH(D$1, IR!$B$1:$E$1, 0) ), "")
</f>
        <v>0.00317</v>
      </c>
      <c r="E43" s="9">
        <f t="array" ref="E43">IFERROR(
  INDEX(
    IR!$B$2:$E2026,                
    MATCH($A43, IR!$A$2:$A2026, 0), 
    MATCH(E$1, IR!$B$1:$E$1, 0) ), "")
</f>
        <v>0.00404</v>
      </c>
      <c r="F43" s="9">
        <f t="array" ref="F43">IFERROR(
  INDEX(
    IR!$B$2:$E2026,                
    MATCH($A43, IR!$A$2:$A2026, 0), 
    MATCH(F$1, IR!$B$1:$E$1, 0) ), "")
</f>
        <v>0.00576</v>
      </c>
      <c r="G43" s="14"/>
      <c r="H43" s="9">
        <f t="array" ref="H43">IFERROR(
  INDEX(
    SR!$B$2:$D2026,            
    MATCH($A43, SR!$A$2:$A2026, 0),  
    MATCH(H$1, SR!$B$1:$D$1, 0) ), "")
</f>
        <v>0.00363</v>
      </c>
      <c r="I43" s="9">
        <f t="array" ref="I43">IFERROR(
  INDEX(
    SR!$B$2:$D2026,            
    MATCH($A43, SR!$A$2:$A2026, 0),  
    MATCH(I$1, SR!$B$1:$D$1, 0) ), "")
</f>
        <v>0.0046</v>
      </c>
      <c r="J43" s="9">
        <f t="array" ref="J43">IFERROR(
  INDEX(
    SR!$B$2:$D2026,            
    MATCH($A43, SR!$A$2:$A2026, 0),  
    MATCH(J$1, SR!$B$1:$D$1, 0) ), "")
</f>
        <v>0.00793</v>
      </c>
      <c r="K43" s="14"/>
      <c r="L43" s="9">
        <v>125.01</v>
      </c>
      <c r="M43" s="9">
        <v>24.24</v>
      </c>
      <c r="N43" s="9">
        <v>113.03</v>
      </c>
      <c r="O43" s="9">
        <v>122.27</v>
      </c>
      <c r="P43" s="9">
        <v>127.23</v>
      </c>
      <c r="Q43" s="9">
        <v>1360.5593</v>
      </c>
      <c r="R43" s="14"/>
      <c r="S43" s="12">
        <f t="shared" si="2"/>
        <v>0.00143433871</v>
      </c>
      <c r="T43" s="12">
        <f t="shared" si="3"/>
        <v>1.001434339</v>
      </c>
      <c r="U43" s="16">
        <f t="shared" si="7"/>
        <v>100.9031093</v>
      </c>
      <c r="V43" s="17"/>
      <c r="W43" s="12">
        <f t="array" ref="W43">SQRT(252/20) *  SQRT( SUMSQ( LN(U22:U41 / U21:U40) )  - (1/20) * ( SUM( LN(U22:U41 / U21:U40) ) ^ 2 ) )</f>
        <v>0.0184983051</v>
      </c>
      <c r="X43" s="9">
        <f t="shared" si="4"/>
        <v>1.5</v>
      </c>
      <c r="Y43" s="14"/>
      <c r="Z43" s="12">
        <f t="shared" si="5"/>
        <v>1.002140633</v>
      </c>
      <c r="AA43" s="16">
        <f t="shared" si="8"/>
        <v>101.3472097</v>
      </c>
      <c r="AB43" s="14"/>
      <c r="AC43" s="9">
        <f t="shared" si="6"/>
        <v>0</v>
      </c>
    </row>
    <row r="44">
      <c r="A44" s="8">
        <v>41786.0</v>
      </c>
      <c r="B44" s="14"/>
      <c r="C44" s="9">
        <f t="array" ref="C44">IFERROR(
  INDEX(
    IR!$B$2:$E2026,                
    MATCH($A44, IR!$A$2:$A2026, 0), 
    MATCH(C$1, IR!$B$1:$E$1, 0) ), "")
</f>
        <v>0.00257</v>
      </c>
      <c r="D44" s="9">
        <f t="array" ref="D44">IFERROR(
  INDEX(
    IR!$B$2:$E2026,                
    MATCH($A44, IR!$A$2:$A2026, 0), 
    MATCH(D$1, IR!$B$1:$E$1, 0) ), "")
</f>
        <v>0.00316</v>
      </c>
      <c r="E44" s="9">
        <f t="array" ref="E44">IFERROR(
  INDEX(
    IR!$B$2:$E2026,                
    MATCH($A44, IR!$A$2:$A2026, 0), 
    MATCH(E$1, IR!$B$1:$E$1, 0) ), "")
</f>
        <v>0.004</v>
      </c>
      <c r="F44" s="9">
        <f t="array" ref="F44">IFERROR(
  INDEX(
    IR!$B$2:$E2026,                
    MATCH($A44, IR!$A$2:$A2026, 0), 
    MATCH(F$1, IR!$B$1:$E$1, 0) ), "")
</f>
        <v>0.00573</v>
      </c>
      <c r="G44" s="14"/>
      <c r="H44" s="9">
        <f t="array" ref="H44">IFERROR(
  INDEX(
    SR!$B$2:$D2026,            
    MATCH($A44, SR!$A$2:$A2026, 0),  
    MATCH(H$1, SR!$B$1:$D$1, 0) ), "")
</f>
        <v>0.00368</v>
      </c>
      <c r="I44" s="9">
        <f t="array" ref="I44">IFERROR(
  INDEX(
    SR!$B$2:$D2026,            
    MATCH($A44, SR!$A$2:$A2026, 0),  
    MATCH(I$1, SR!$B$1:$D$1, 0) ), "")
</f>
        <v>0.00452</v>
      </c>
      <c r="J44" s="9">
        <f t="array" ref="J44">IFERROR(
  INDEX(
    SR!$B$2:$D2026,            
    MATCH($A44, SR!$A$2:$A2026, 0),  
    MATCH(J$1, SR!$B$1:$D$1, 0) ), "")
</f>
        <v>0.007629</v>
      </c>
      <c r="K44" s="14"/>
      <c r="L44" s="9">
        <v>125.11</v>
      </c>
      <c r="M44" s="9">
        <v>24.26</v>
      </c>
      <c r="N44" s="9">
        <v>113.1</v>
      </c>
      <c r="O44" s="9">
        <v>122.91</v>
      </c>
      <c r="P44" s="9">
        <v>127.22</v>
      </c>
      <c r="Q44" s="9">
        <v>1362.8768</v>
      </c>
      <c r="R44" s="14"/>
      <c r="S44" s="12">
        <f t="shared" si="2"/>
        <v>0.001516794512</v>
      </c>
      <c r="T44" s="12">
        <f t="shared" si="3"/>
        <v>1.001516795</v>
      </c>
      <c r="U44" s="16">
        <f t="shared" si="7"/>
        <v>101.0561586</v>
      </c>
      <c r="V44" s="17"/>
      <c r="W44" s="12">
        <f t="array" ref="W44">SQRT(252/20) *  SQRT( SUMSQ( LN(U23:U42 / U22:U41) )  - (1/20) * ( SUM( LN(U23:U42 / U22:U41) ) ^ 2 ) )</f>
        <v>0.01877523226</v>
      </c>
      <c r="X44" s="9">
        <f t="shared" si="4"/>
        <v>1.5</v>
      </c>
      <c r="Y44" s="14"/>
      <c r="Z44" s="12">
        <f t="shared" si="5"/>
        <v>1.002271608</v>
      </c>
      <c r="AA44" s="16">
        <f t="shared" si="8"/>
        <v>101.5774308</v>
      </c>
      <c r="AB44" s="14"/>
      <c r="AC44" s="9">
        <f t="shared" si="6"/>
        <v>0</v>
      </c>
    </row>
    <row r="45">
      <c r="A45" s="8">
        <v>41787.0</v>
      </c>
      <c r="B45" s="14"/>
      <c r="C45" s="9">
        <f t="array" ref="C45">IFERROR(
  INDEX(
    IR!$B$2:$E2026,                
    MATCH($A45, IR!$A$2:$A2026, 0), 
    MATCH(C$1, IR!$B$1:$E$1, 0) ), "")
</f>
        <v>0.00255</v>
      </c>
      <c r="D45" s="9">
        <f t="array" ref="D45">IFERROR(
  INDEX(
    IR!$B$2:$E2026,                
    MATCH($A45, IR!$A$2:$A2026, 0), 
    MATCH(D$1, IR!$B$1:$E$1, 0) ), "")
</f>
        <v>0.00314</v>
      </c>
      <c r="E45" s="9">
        <f t="array" ref="E45">IFERROR(
  INDEX(
    IR!$B$2:$E2026,                
    MATCH($A45, IR!$A$2:$A2026, 0), 
    MATCH(E$1, IR!$B$1:$E$1, 0) ), "")
</f>
        <v>0.00399</v>
      </c>
      <c r="F45" s="9">
        <f t="array" ref="F45">IFERROR(
  INDEX(
    IR!$B$2:$E2026,                
    MATCH($A45, IR!$A$2:$A2026, 0), 
    MATCH(F$1, IR!$B$1:$E$1, 0) ), "")
</f>
        <v>0.00574</v>
      </c>
      <c r="G45" s="14"/>
      <c r="H45" s="9">
        <f t="array" ref="H45">IFERROR(
  INDEX(
    SR!$B$2:$D2026,            
    MATCH($A45, SR!$A$2:$A2026, 0),  
    MATCH(H$1, SR!$B$1:$D$1, 0) ), "")
</f>
        <v>0.00364</v>
      </c>
      <c r="I45" s="9">
        <f t="array" ref="I45">IFERROR(
  INDEX(
    SR!$B$2:$D2026,            
    MATCH($A45, SR!$A$2:$A2026, 0),  
    MATCH(I$1, SR!$B$1:$D$1, 0) ), "")
</f>
        <v>0.004445</v>
      </c>
      <c r="J45" s="9">
        <f t="array" ref="J45">IFERROR(
  INDEX(
    SR!$B$2:$D2026,            
    MATCH($A45, SR!$A$2:$A2026, 0),  
    MATCH(J$1, SR!$B$1:$D$1, 0) ), "")
</f>
        <v>0.007384</v>
      </c>
      <c r="K45" s="14"/>
      <c r="L45" s="9">
        <v>125.17</v>
      </c>
      <c r="M45" s="9">
        <v>24.26</v>
      </c>
      <c r="N45" s="9">
        <v>113.11</v>
      </c>
      <c r="O45" s="9">
        <v>123.4</v>
      </c>
      <c r="P45" s="9">
        <v>127.53</v>
      </c>
      <c r="Q45" s="9">
        <v>1366.8575</v>
      </c>
      <c r="R45" s="14"/>
      <c r="S45" s="12">
        <f t="shared" si="2"/>
        <v>0.001651661755</v>
      </c>
      <c r="T45" s="12">
        <f t="shared" si="3"/>
        <v>1.001651662</v>
      </c>
      <c r="U45" s="16">
        <f t="shared" si="7"/>
        <v>101.2230692</v>
      </c>
      <c r="V45" s="17"/>
      <c r="W45" s="12">
        <f t="array" ref="W45">SQRT(252/20) *  SQRT( SUMSQ( LN(U24:U43 / U23:U42) )  - (1/20) * ( SUM( LN(U24:U43 / U23:U42) ) ^ 2 ) )</f>
        <v>0.01886276235</v>
      </c>
      <c r="X45" s="9">
        <f t="shared" si="4"/>
        <v>1.5</v>
      </c>
      <c r="Y45" s="14"/>
      <c r="Z45" s="12">
        <f t="shared" si="5"/>
        <v>1.002473923</v>
      </c>
      <c r="AA45" s="16">
        <f t="shared" si="8"/>
        <v>101.8287256</v>
      </c>
      <c r="AB45" s="14"/>
      <c r="AC45" s="9">
        <f t="shared" si="6"/>
        <v>0</v>
      </c>
    </row>
    <row r="46">
      <c r="A46" s="8">
        <v>41789.0</v>
      </c>
      <c r="B46" s="14"/>
      <c r="C46" s="9">
        <f t="array" ref="C46">IFERROR(
  INDEX(
    IR!$B$2:$E2026,                
    MATCH($A46, IR!$A$2:$A2026, 0), 
    MATCH(C$1, IR!$B$1:$E$1, 0) ), "")
</f>
        <v>0.00251</v>
      </c>
      <c r="D46" s="9">
        <f t="array" ref="D46">IFERROR(
  INDEX(
    IR!$B$2:$E2026,                
    MATCH($A46, IR!$A$2:$A2026, 0), 
    MATCH(D$1, IR!$B$1:$E$1, 0) ), "")
</f>
        <v>0.00311</v>
      </c>
      <c r="E46" s="9">
        <f t="array" ref="E46">IFERROR(
  INDEX(
    IR!$B$2:$E2026,                
    MATCH($A46, IR!$A$2:$A2026, 0), 
    MATCH(E$1, IR!$B$1:$E$1, 0) ), "")
</f>
        <v>0.00397</v>
      </c>
      <c r="F46" s="9">
        <f t="array" ref="F46">IFERROR(
  INDEX(
    IR!$B$2:$E2026,                
    MATCH($A46, IR!$A$2:$A2026, 0), 
    MATCH(F$1, IR!$B$1:$E$1, 0) ), "")
</f>
        <v>0.00572</v>
      </c>
      <c r="G46" s="14"/>
      <c r="H46" s="9">
        <f t="array" ref="H46">IFERROR(
  INDEX(
    SR!$B$2:$D2026,            
    MATCH($A46, SR!$A$2:$A2026, 0),  
    MATCH(H$1, SR!$B$1:$D$1, 0) ), "")
</f>
        <v>0.0037</v>
      </c>
      <c r="I46" s="9">
        <f t="array" ref="I46">IFERROR(
  INDEX(
    SR!$B$2:$D2026,            
    MATCH($A46, SR!$A$2:$A2026, 0),  
    MATCH(I$1, SR!$B$1:$D$1, 0) ), "")
</f>
        <v>0.00458</v>
      </c>
      <c r="J46" s="9">
        <f t="array" ref="J46">IFERROR(
  INDEX(
    SR!$B$2:$D2026,            
    MATCH($A46, SR!$A$2:$A2026, 0),  
    MATCH(J$1, SR!$B$1:$D$1, 0) ), "")
</f>
        <v>0.00762</v>
      </c>
      <c r="K46" s="14"/>
      <c r="L46" s="9">
        <v>125.29</v>
      </c>
      <c r="M46" s="9">
        <v>24.26</v>
      </c>
      <c r="N46" s="9">
        <v>113.12</v>
      </c>
      <c r="O46" s="9">
        <v>123.84</v>
      </c>
      <c r="P46" s="9">
        <v>127.78</v>
      </c>
      <c r="Q46" s="9">
        <v>1368.9015</v>
      </c>
      <c r="R46" s="14"/>
      <c r="S46" s="12">
        <f t="shared" si="2"/>
        <v>0.001344356624</v>
      </c>
      <c r="T46" s="12">
        <f t="shared" si="3"/>
        <v>1.001344357</v>
      </c>
      <c r="U46" s="16">
        <f t="shared" si="7"/>
        <v>101.3591491</v>
      </c>
      <c r="V46" s="17"/>
      <c r="W46" s="12">
        <f t="array" ref="W46">SQRT(252/20) *  SQRT( SUMSQ( LN(U25:U44 / U24:U43) )  - (1/20) * ( SUM( LN(U25:U44 / U24:U43) ) ^ 2 ) )</f>
        <v>0.01733611149</v>
      </c>
      <c r="X46" s="9">
        <f t="shared" si="4"/>
        <v>1.5</v>
      </c>
      <c r="Y46" s="14"/>
      <c r="Z46" s="12">
        <f t="shared" si="5"/>
        <v>1.002009452</v>
      </c>
      <c r="AA46" s="16">
        <f t="shared" si="8"/>
        <v>102.0333455</v>
      </c>
      <c r="AB46" s="14"/>
      <c r="AC46" s="9">
        <f t="shared" si="6"/>
        <v>0</v>
      </c>
    </row>
    <row r="47">
      <c r="A47" s="8">
        <v>41792.0</v>
      </c>
      <c r="B47" s="14"/>
      <c r="C47" s="9">
        <f t="array" ref="C47">IFERROR(
  INDEX(
    IR!$B$2:$E2026,                
    MATCH($A47, IR!$A$2:$A2026, 0), 
    MATCH(C$1, IR!$B$1:$E$1, 0) ), "")
</f>
        <v>0.0025</v>
      </c>
      <c r="D47" s="9">
        <f t="array" ref="D47">IFERROR(
  INDEX(
    IR!$B$2:$E2026,                
    MATCH($A47, IR!$A$2:$A2026, 0), 
    MATCH(D$1, IR!$B$1:$E$1, 0) ), "")
</f>
        <v>0.00309</v>
      </c>
      <c r="E47" s="9">
        <f t="array" ref="E47">IFERROR(
  INDEX(
    IR!$B$2:$E2026,                
    MATCH($A47, IR!$A$2:$A2026, 0), 
    MATCH(E$1, IR!$B$1:$E$1, 0) ), "")
</f>
        <v>0.00394</v>
      </c>
      <c r="F47" s="9">
        <f t="array" ref="F47">IFERROR(
  INDEX(
    IR!$B$2:$E2026,                
    MATCH($A47, IR!$A$2:$A2026, 0), 
    MATCH(F$1, IR!$B$1:$E$1, 0) ), "")
</f>
        <v>0.00569</v>
      </c>
      <c r="G47" s="14"/>
      <c r="H47" s="9">
        <f t="array" ref="H47">IFERROR(
  INDEX(
    SR!$B$2:$D2026,            
    MATCH($A47, SR!$A$2:$A2026, 0),  
    MATCH(H$1, SR!$B$1:$D$1, 0) ), "")
</f>
        <v>0.00364</v>
      </c>
      <c r="I47" s="9">
        <f t="array" ref="I47">IFERROR(
  INDEX(
    SR!$B$2:$D2026,            
    MATCH($A47, SR!$A$2:$A2026, 0),  
    MATCH(I$1, SR!$B$1:$D$1, 0) ), "")
</f>
        <v>0.004517</v>
      </c>
      <c r="J47" s="9">
        <f t="array" ref="J47">IFERROR(
  INDEX(
    SR!$B$2:$D2026,            
    MATCH($A47, SR!$A$2:$A2026, 0),  
    MATCH(J$1, SR!$B$1:$D$1, 0) ), "")
</f>
        <v>0.007575</v>
      </c>
      <c r="K47" s="14"/>
      <c r="L47" s="9">
        <v>125.45</v>
      </c>
      <c r="M47" s="9">
        <v>24.26</v>
      </c>
      <c r="N47" s="9">
        <v>113.2</v>
      </c>
      <c r="O47" s="9">
        <v>123.68</v>
      </c>
      <c r="P47" s="9">
        <v>127.54</v>
      </c>
      <c r="Q47" s="9">
        <v>1368.6277</v>
      </c>
      <c r="R47" s="14"/>
      <c r="S47" s="12">
        <f t="shared" si="2"/>
        <v>-0.000230924504</v>
      </c>
      <c r="T47" s="12">
        <f t="shared" si="3"/>
        <v>0.9997690755</v>
      </c>
      <c r="U47" s="16">
        <f t="shared" si="7"/>
        <v>101.3357428</v>
      </c>
      <c r="V47" s="17"/>
      <c r="W47" s="12">
        <f t="array" ref="W47">SQRT(252/20) *  SQRT( SUMSQ( LN(U26:U45 / U25:U44) )  - (1/20) * ( SUM( LN(U26:U45 / U25:U44) ) ^ 2 ) )</f>
        <v>0.01762494526</v>
      </c>
      <c r="X47" s="9">
        <f t="shared" si="4"/>
        <v>1.5</v>
      </c>
      <c r="Y47" s="14"/>
      <c r="Z47" s="12">
        <f t="shared" si="5"/>
        <v>0.9996431549</v>
      </c>
      <c r="AA47" s="16">
        <f t="shared" si="8"/>
        <v>101.9969354</v>
      </c>
      <c r="AB47" s="14"/>
      <c r="AC47" s="9">
        <f t="shared" si="6"/>
        <v>0</v>
      </c>
    </row>
    <row r="48">
      <c r="A48" s="8">
        <v>41793.0</v>
      </c>
      <c r="B48" s="14"/>
      <c r="C48" s="9">
        <f t="array" ref="C48">IFERROR(
  INDEX(
    IR!$B$2:$E2026,                
    MATCH($A48, IR!$A$2:$A2026, 0), 
    MATCH(C$1, IR!$B$1:$E$1, 0) ), "")
</f>
        <v>0.00248</v>
      </c>
      <c r="D48" s="9">
        <f t="array" ref="D48">IFERROR(
  INDEX(
    IR!$B$2:$E2026,                
    MATCH($A48, IR!$A$2:$A2026, 0), 
    MATCH(D$1, IR!$B$1:$E$1, 0) ), "")
</f>
        <v>0.00307</v>
      </c>
      <c r="E48" s="9">
        <f t="array" ref="E48">IFERROR(
  INDEX(
    IR!$B$2:$E2026,                
    MATCH($A48, IR!$A$2:$A2026, 0), 
    MATCH(E$1, IR!$B$1:$E$1, 0) ), "")
</f>
        <v>0.00391</v>
      </c>
      <c r="F48" s="9">
        <f t="array" ref="F48">IFERROR(
  INDEX(
    IR!$B$2:$E2026,                
    MATCH($A48, IR!$A$2:$A2026, 0), 
    MATCH(F$1, IR!$B$1:$E$1, 0) ), "")
</f>
        <v>0.00567</v>
      </c>
      <c r="G48" s="14"/>
      <c r="H48" s="9">
        <f t="array" ref="H48">IFERROR(
  INDEX(
    SR!$B$2:$D2026,            
    MATCH($A48, SR!$A$2:$A2026, 0),  
    MATCH(H$1, SR!$B$1:$D$1, 0) ), "")
</f>
        <v>0.00361</v>
      </c>
      <c r="I48" s="9">
        <f t="array" ref="I48">IFERROR(
  INDEX(
    SR!$B$2:$D2026,            
    MATCH($A48, SR!$A$2:$A2026, 0),  
    MATCH(I$1, SR!$B$1:$D$1, 0) ), "")
</f>
        <v>0.004584</v>
      </c>
      <c r="J48" s="9">
        <f t="array" ref="J48">IFERROR(
  INDEX(
    SR!$B$2:$D2026,            
    MATCH($A48, SR!$A$2:$A2026, 0),  
    MATCH(J$1, SR!$B$1:$D$1, 0) ), "")
</f>
        <v>0.00785</v>
      </c>
      <c r="K48" s="14"/>
      <c r="L48" s="9">
        <v>125.22</v>
      </c>
      <c r="M48" s="9">
        <v>24.25</v>
      </c>
      <c r="N48" s="9">
        <v>113.21</v>
      </c>
      <c r="O48" s="9">
        <v>123.78</v>
      </c>
      <c r="P48" s="9">
        <v>127.63</v>
      </c>
      <c r="Q48" s="9">
        <v>1369.6202</v>
      </c>
      <c r="R48" s="14"/>
      <c r="S48" s="12">
        <f t="shared" si="2"/>
        <v>0.00001375310861</v>
      </c>
      <c r="T48" s="12">
        <f t="shared" si="3"/>
        <v>1.000013753</v>
      </c>
      <c r="U48" s="16">
        <f t="shared" si="7"/>
        <v>101.3371364</v>
      </c>
      <c r="V48" s="17"/>
      <c r="W48" s="12">
        <f t="array" ref="W48">SQRT(252/20) *  SQRT( SUMSQ( LN(U27:U46 / U26:U45) )  - (1/20) * ( SUM( LN(U27:U46 / U26:U45) ) ^ 2 ) )</f>
        <v>0.01716110864</v>
      </c>
      <c r="X48" s="9">
        <f t="shared" si="4"/>
        <v>1.5</v>
      </c>
      <c r="Y48" s="14"/>
      <c r="Z48" s="12">
        <f t="shared" si="5"/>
        <v>1.000017157</v>
      </c>
      <c r="AA48" s="16">
        <f t="shared" si="8"/>
        <v>101.9986854</v>
      </c>
      <c r="AB48" s="14"/>
      <c r="AC48" s="9">
        <f t="shared" si="6"/>
        <v>0</v>
      </c>
    </row>
    <row r="49">
      <c r="A49" s="8">
        <v>41794.0</v>
      </c>
      <c r="B49" s="14"/>
      <c r="C49" s="9">
        <f t="array" ref="C49">IFERROR(
  INDEX(
    IR!$B$2:$E2026,                
    MATCH($A49, IR!$A$2:$A2026, 0), 
    MATCH(C$1, IR!$B$1:$E$1, 0) ), "")
</f>
        <v>0.00241</v>
      </c>
      <c r="D49" s="9">
        <f t="array" ref="D49">IFERROR(
  INDEX(
    IR!$B$2:$E2026,                
    MATCH($A49, IR!$A$2:$A2026, 0), 
    MATCH(D$1, IR!$B$1:$E$1, 0) ), "")
</f>
        <v>0.00301</v>
      </c>
      <c r="E49" s="9">
        <f t="array" ref="E49">IFERROR(
  INDEX(
    IR!$B$2:$E2026,                
    MATCH($A49, IR!$A$2:$A2026, 0), 
    MATCH(E$1, IR!$B$1:$E$1, 0) ), "")
</f>
        <v>0.00386</v>
      </c>
      <c r="F49" s="9">
        <f t="array" ref="F49">IFERROR(
  INDEX(
    IR!$B$2:$E2026,                
    MATCH($A49, IR!$A$2:$A2026, 0), 
    MATCH(F$1, IR!$B$1:$E$1, 0) ), "")
</f>
        <v>0.00562</v>
      </c>
      <c r="G49" s="14"/>
      <c r="H49" s="9">
        <f t="array" ref="H49">IFERROR(
  INDEX(
    SR!$B$2:$D2026,            
    MATCH($A49, SR!$A$2:$A2026, 0),  
    MATCH(H$1, SR!$B$1:$D$1, 0) ), "")
</f>
        <v>0.00345</v>
      </c>
      <c r="I49" s="9">
        <f t="array" ref="I49">IFERROR(
  INDEX(
    SR!$B$2:$D2026,            
    MATCH($A49, SR!$A$2:$A2026, 0),  
    MATCH(I$1, SR!$B$1:$D$1, 0) ), "")
</f>
        <v>0.00451</v>
      </c>
      <c r="J49" s="9">
        <f t="array" ref="J49">IFERROR(
  INDEX(
    SR!$B$2:$D2026,            
    MATCH($A49, SR!$A$2:$A2026, 0),  
    MATCH(J$1, SR!$B$1:$D$1, 0) ), "")
</f>
        <v>0.00786</v>
      </c>
      <c r="K49" s="14"/>
      <c r="L49" s="9">
        <v>125.17</v>
      </c>
      <c r="M49" s="9">
        <v>24.25</v>
      </c>
      <c r="N49" s="9">
        <v>113.26</v>
      </c>
      <c r="O49" s="9">
        <v>123.05</v>
      </c>
      <c r="P49" s="9">
        <v>127.38</v>
      </c>
      <c r="Q49" s="9">
        <v>1367.5316</v>
      </c>
      <c r="R49" s="14"/>
      <c r="S49" s="12">
        <f t="shared" si="2"/>
        <v>-0.001556019191</v>
      </c>
      <c r="T49" s="12">
        <f t="shared" si="3"/>
        <v>0.9984439808</v>
      </c>
      <c r="U49" s="16">
        <f t="shared" si="7"/>
        <v>101.1794539</v>
      </c>
      <c r="V49" s="17"/>
      <c r="W49" s="12">
        <f t="array" ref="W49">SQRT(252/20) *  SQRT( SUMSQ( LN(U28:U47 / U27:U46) )  - (1/20) * ( SUM( LN(U28:U47 / U27:U46) ) ^ 2 ) )</f>
        <v>0.01741256</v>
      </c>
      <c r="X49" s="9">
        <f t="shared" si="4"/>
        <v>1.5</v>
      </c>
      <c r="Y49" s="14"/>
      <c r="Z49" s="12">
        <f t="shared" si="5"/>
        <v>0.9976625268</v>
      </c>
      <c r="AA49" s="16">
        <f t="shared" si="8"/>
        <v>101.7602662</v>
      </c>
      <c r="AB49" s="14"/>
      <c r="AC49" s="9">
        <f t="shared" si="6"/>
        <v>0</v>
      </c>
    </row>
    <row r="50">
      <c r="A50" s="8">
        <v>41795.0</v>
      </c>
      <c r="B50" s="14"/>
      <c r="C50" s="9">
        <f t="array" ref="C50">IFERROR(
  INDEX(
    IR!$B$2:$E2026,                
    MATCH($A50, IR!$A$2:$A2026, 0), 
    MATCH(C$1, IR!$B$1:$E$1, 0) ), "")
</f>
        <v>0.0023</v>
      </c>
      <c r="D50" s="9">
        <f t="array" ref="D50">IFERROR(
  INDEX(
    IR!$B$2:$E2026,                
    MATCH($A50, IR!$A$2:$A2026, 0), 
    MATCH(D$1, IR!$B$1:$E$1, 0) ), "")
</f>
        <v>0.00292</v>
      </c>
      <c r="E50" s="9">
        <f t="array" ref="E50">IFERROR(
  INDEX(
    IR!$B$2:$E2026,                
    MATCH($A50, IR!$A$2:$A2026, 0), 
    MATCH(E$1, IR!$B$1:$E$1, 0) ), "")
</f>
        <v>0.00376</v>
      </c>
      <c r="F50" s="9">
        <f t="array" ref="F50">IFERROR(
  INDEX(
    IR!$B$2:$E2026,                
    MATCH($A50, IR!$A$2:$A2026, 0), 
    MATCH(F$1, IR!$B$1:$E$1, 0) ), "")
</f>
        <v>0.00552</v>
      </c>
      <c r="G50" s="14"/>
      <c r="H50" s="9">
        <f t="array" ref="H50">IFERROR(
  INDEX(
    SR!$B$2:$D2026,            
    MATCH($A50, SR!$A$2:$A2026, 0),  
    MATCH(H$1, SR!$B$1:$D$1, 0) ), "")
</f>
        <v>0.00345</v>
      </c>
      <c r="I50" s="9">
        <f t="array" ref="I50">IFERROR(
  INDEX(
    SR!$B$2:$D2026,            
    MATCH($A50, SR!$A$2:$A2026, 0),  
    MATCH(I$1, SR!$B$1:$D$1, 0) ), "")
</f>
        <v>0.00428</v>
      </c>
      <c r="J50" s="9">
        <f t="array" ref="J50">IFERROR(
  INDEX(
    SR!$B$2:$D2026,            
    MATCH($A50, SR!$A$2:$A2026, 0),  
    MATCH(J$1, SR!$B$1:$D$1, 0) ), "")
</f>
        <v>0.00732</v>
      </c>
      <c r="K50" s="14"/>
      <c r="L50" s="9">
        <v>125.47</v>
      </c>
      <c r="M50" s="9">
        <v>24.27</v>
      </c>
      <c r="N50" s="9">
        <v>113.31</v>
      </c>
      <c r="O50" s="9">
        <v>122.83</v>
      </c>
      <c r="P50" s="9">
        <v>127.39</v>
      </c>
      <c r="Q50" s="9">
        <v>1367.7891</v>
      </c>
      <c r="R50" s="14"/>
      <c r="S50" s="12">
        <f t="shared" si="2"/>
        <v>0.0003568517806</v>
      </c>
      <c r="T50" s="12">
        <f t="shared" si="3"/>
        <v>1.000356852</v>
      </c>
      <c r="U50" s="16">
        <f t="shared" si="7"/>
        <v>101.21556</v>
      </c>
      <c r="V50" s="17"/>
      <c r="W50" s="12">
        <f t="array" ref="W50">SQRT(252/20) *  SQRT( SUMSQ( LN(U29:U48 / U28:U47) )  - (1/20) * ( SUM( LN(U29:U48 / U28:U47) ) ^ 2 ) )</f>
        <v>0.01749909832</v>
      </c>
      <c r="X50" s="9">
        <f t="shared" si="4"/>
        <v>1.5</v>
      </c>
      <c r="Y50" s="14"/>
      <c r="Z50" s="12">
        <f t="shared" si="5"/>
        <v>1.00053193</v>
      </c>
      <c r="AA50" s="16">
        <f t="shared" si="8"/>
        <v>101.8143956</v>
      </c>
      <c r="AB50" s="14"/>
      <c r="AC50" s="9">
        <f t="shared" si="6"/>
        <v>0</v>
      </c>
    </row>
    <row r="51">
      <c r="A51" s="8">
        <v>41796.0</v>
      </c>
      <c r="B51" s="14"/>
      <c r="C51" s="9">
        <f t="array" ref="C51">IFERROR(
  INDEX(
    IR!$B$2:$E2026,                
    MATCH($A51, IR!$A$2:$A2026, 0), 
    MATCH(C$1, IR!$B$1:$E$1, 0) ), "")
</f>
        <v>0.00197</v>
      </c>
      <c r="D51" s="9">
        <f t="array" ref="D51">IFERROR(
  INDEX(
    IR!$B$2:$E2026,                
    MATCH($A51, IR!$A$2:$A2026, 0), 
    MATCH(D$1, IR!$B$1:$E$1, 0) ), "")
</f>
        <v>0.00267</v>
      </c>
      <c r="E51" s="9">
        <f t="array" ref="E51">IFERROR(
  INDEX(
    IR!$B$2:$E2026,                
    MATCH($A51, IR!$A$2:$A2026, 0), 
    MATCH(E$1, IR!$B$1:$E$1, 0) ), "")
</f>
        <v>0.00357</v>
      </c>
      <c r="F51" s="9">
        <f t="array" ref="F51">IFERROR(
  INDEX(
    IR!$B$2:$E2026,                
    MATCH($A51, IR!$A$2:$A2026, 0), 
    MATCH(F$1, IR!$B$1:$E$1, 0) ), "")
</f>
        <v>0.00533</v>
      </c>
      <c r="G51" s="14"/>
      <c r="H51" s="9">
        <f t="array" ref="H51">IFERROR(
  INDEX(
    SR!$B$2:$D2026,            
    MATCH($A51, SR!$A$2:$A2026, 0),  
    MATCH(H$1, SR!$B$1:$D$1, 0) ), "")
</f>
        <v>0.003465</v>
      </c>
      <c r="I51" s="9">
        <f t="array" ref="I51">IFERROR(
  INDEX(
    SR!$B$2:$D2026,            
    MATCH($A51, SR!$A$2:$A2026, 0),  
    MATCH(I$1, SR!$B$1:$D$1, 0) ), "")
</f>
        <v>0.00413</v>
      </c>
      <c r="J51" s="9">
        <f t="array" ref="J51">IFERROR(
  INDEX(
    SR!$B$2:$D2026,            
    MATCH($A51, SR!$A$2:$A2026, 0),  
    MATCH(J$1, SR!$B$1:$D$1, 0) ), "")
</f>
        <v>0.006908</v>
      </c>
      <c r="K51" s="14"/>
      <c r="L51" s="9">
        <v>126.04</v>
      </c>
      <c r="M51" s="9">
        <v>24.28</v>
      </c>
      <c r="N51" s="9">
        <v>113.36</v>
      </c>
      <c r="O51" s="9">
        <v>123.24</v>
      </c>
      <c r="P51" s="9">
        <v>127.71</v>
      </c>
      <c r="Q51" s="9">
        <v>1370.3061</v>
      </c>
      <c r="R51" s="14"/>
      <c r="S51" s="12">
        <f t="shared" si="2"/>
        <v>0.002180366782</v>
      </c>
      <c r="T51" s="12">
        <f t="shared" si="3"/>
        <v>1.002180367</v>
      </c>
      <c r="U51" s="16">
        <f t="shared" si="7"/>
        <v>101.436247</v>
      </c>
      <c r="V51" s="17"/>
      <c r="W51" s="12">
        <f t="array" ref="W51">SQRT(252/20) *  SQRT( SUMSQ( LN(U30:U49 / U29:U48) )  - (1/20) * ( SUM( LN(U30:U49 / U29:U48) ) ^ 2 ) )</f>
        <v>0.01878788269</v>
      </c>
      <c r="X51" s="9">
        <f t="shared" si="4"/>
        <v>1.5</v>
      </c>
      <c r="Y51" s="14"/>
      <c r="Z51" s="12">
        <f t="shared" si="5"/>
        <v>1.003267356</v>
      </c>
      <c r="AA51" s="16">
        <f t="shared" si="8"/>
        <v>102.1470594</v>
      </c>
      <c r="AB51" s="14"/>
      <c r="AC51" s="9">
        <f t="shared" si="6"/>
        <v>0</v>
      </c>
    </row>
    <row r="52">
      <c r="A52" s="8">
        <v>41800.0</v>
      </c>
      <c r="B52" s="14"/>
      <c r="C52" s="9">
        <f t="array" ref="C52">IFERROR(
  INDEX(
    IR!$B$2:$E2026,                
    MATCH($A52, IR!$A$2:$A2026, 0), 
    MATCH(C$1, IR!$B$1:$E$1, 0) ), "")
</f>
        <v>0.00188</v>
      </c>
      <c r="D52" s="9">
        <f t="array" ref="D52">IFERROR(
  INDEX(
    IR!$B$2:$E2026,                
    MATCH($A52, IR!$A$2:$A2026, 0), 
    MATCH(D$1, IR!$B$1:$E$1, 0) ), "")
</f>
        <v>0.00263</v>
      </c>
      <c r="E52" s="9">
        <f t="array" ref="E52">IFERROR(
  INDEX(
    IR!$B$2:$E2026,                
    MATCH($A52, IR!$A$2:$A2026, 0), 
    MATCH(E$1, IR!$B$1:$E$1, 0) ), "")
</f>
        <v>0.00353</v>
      </c>
      <c r="F52" s="9">
        <f t="array" ref="F52">IFERROR(
  INDEX(
    IR!$B$2:$E2026,                
    MATCH($A52, IR!$A$2:$A2026, 0), 
    MATCH(F$1, IR!$B$1:$E$1, 0) ), "")
</f>
        <v>0.00528</v>
      </c>
      <c r="G52" s="14"/>
      <c r="H52" s="9">
        <f t="array" ref="H52">IFERROR(
  INDEX(
    SR!$B$2:$D2026,            
    MATCH($A52, SR!$A$2:$A2026, 0),  
    MATCH(H$1, SR!$B$1:$D$1, 0) ), "")
</f>
        <v>0.003505</v>
      </c>
      <c r="I52" s="9">
        <f t="array" ref="I52">IFERROR(
  INDEX(
    SR!$B$2:$D2026,            
    MATCH($A52, SR!$A$2:$A2026, 0),  
    MATCH(I$1, SR!$B$1:$D$1, 0) ), "")
</f>
        <v>0.004207</v>
      </c>
      <c r="J52" s="9">
        <f t="array" ref="J52">IFERROR(
  INDEX(
    SR!$B$2:$D2026,            
    MATCH($A52, SR!$A$2:$A2026, 0),  
    MATCH(J$1, SR!$B$1:$D$1, 0) ), "")
</f>
        <v>0.007295</v>
      </c>
      <c r="K52" s="14"/>
      <c r="L52" s="9">
        <v>126.14</v>
      </c>
      <c r="M52" s="9">
        <v>24.31</v>
      </c>
      <c r="N52" s="9">
        <v>113.45</v>
      </c>
      <c r="O52" s="9">
        <v>124.05</v>
      </c>
      <c r="P52" s="9">
        <v>128.31</v>
      </c>
      <c r="Q52" s="9">
        <v>1374.2749</v>
      </c>
      <c r="R52" s="14"/>
      <c r="S52" s="12">
        <f t="shared" si="2"/>
        <v>0.002830804871</v>
      </c>
      <c r="T52" s="12">
        <f t="shared" si="3"/>
        <v>1.002830805</v>
      </c>
      <c r="U52" s="16">
        <f t="shared" si="7"/>
        <v>101.7233932</v>
      </c>
      <c r="V52" s="17"/>
      <c r="W52" s="12">
        <f t="array" ref="W52">SQRT(252/20) *  SQRT( SUMSQ( LN(U31:U50 / U30:U49) )  - (1/20) * ( SUM( LN(U31:U50 / U30:U49) ) ^ 2 ) )</f>
        <v>0.01781193772</v>
      </c>
      <c r="X52" s="9">
        <f t="shared" si="4"/>
        <v>1.5</v>
      </c>
      <c r="Y52" s="14"/>
      <c r="Z52" s="12">
        <f t="shared" si="5"/>
        <v>1.004235263</v>
      </c>
      <c r="AA52" s="16">
        <f t="shared" si="8"/>
        <v>102.5796791</v>
      </c>
      <c r="AB52" s="14"/>
      <c r="AC52" s="9">
        <f t="shared" si="6"/>
        <v>0</v>
      </c>
    </row>
    <row r="53">
      <c r="A53" s="8">
        <v>41801.0</v>
      </c>
      <c r="B53" s="14"/>
      <c r="C53" s="9">
        <f t="array" ref="C53">IFERROR(
  INDEX(
    IR!$B$2:$E2026,                
    MATCH($A53, IR!$A$2:$A2026, 0), 
    MATCH(C$1, IR!$B$1:$E$1, 0) ), "")
</f>
        <v>0.00179</v>
      </c>
      <c r="D53" s="9">
        <f t="array" ref="D53">IFERROR(
  INDEX(
    IR!$B$2:$E2026,                
    MATCH($A53, IR!$A$2:$A2026, 0), 
    MATCH(D$1, IR!$B$1:$E$1, 0) ), "")
</f>
        <v>0.00258</v>
      </c>
      <c r="E53" s="9">
        <f t="array" ref="E53">IFERROR(
  INDEX(
    IR!$B$2:$E2026,                
    MATCH($A53, IR!$A$2:$A2026, 0), 
    MATCH(E$1, IR!$B$1:$E$1, 0) ), "")
</f>
        <v>0.00348</v>
      </c>
      <c r="F53" s="9">
        <f t="array" ref="F53">IFERROR(
  INDEX(
    IR!$B$2:$E2026,                
    MATCH($A53, IR!$A$2:$A2026, 0), 
    MATCH(F$1, IR!$B$1:$E$1, 0) ), "")
</f>
        <v>0.00525</v>
      </c>
      <c r="G53" s="14"/>
      <c r="H53" s="9">
        <f t="array" ref="H53">IFERROR(
  INDEX(
    SR!$B$2:$D2026,            
    MATCH($A53, SR!$A$2:$A2026, 0),  
    MATCH(H$1, SR!$B$1:$D$1, 0) ), "")
</f>
        <v>0.003325</v>
      </c>
      <c r="I53" s="9">
        <f t="array" ref="I53">IFERROR(
  INDEX(
    SR!$B$2:$D2026,            
    MATCH($A53, SR!$A$2:$A2026, 0),  
    MATCH(I$1, SR!$B$1:$D$1, 0) ), "")
</f>
        <v>0.004103</v>
      </c>
      <c r="J53" s="9">
        <f t="array" ref="J53">IFERROR(
  INDEX(
    SR!$B$2:$D2026,            
    MATCH($A53, SR!$A$2:$A2026, 0),  
    MATCH(J$1, SR!$B$1:$D$1, 0) ), "")
</f>
        <v>0.00723</v>
      </c>
      <c r="K53" s="14"/>
      <c r="L53" s="9">
        <v>125.85</v>
      </c>
      <c r="M53" s="9">
        <v>24.31</v>
      </c>
      <c r="N53" s="9">
        <v>113.46</v>
      </c>
      <c r="O53" s="9">
        <v>123.72</v>
      </c>
      <c r="P53" s="9">
        <v>128.51</v>
      </c>
      <c r="Q53" s="9">
        <v>1375.0469</v>
      </c>
      <c r="R53" s="14"/>
      <c r="S53" s="12">
        <f t="shared" si="2"/>
        <v>-0.0004581988117</v>
      </c>
      <c r="T53" s="12">
        <f t="shared" si="3"/>
        <v>0.9995418012</v>
      </c>
      <c r="U53" s="16">
        <f t="shared" si="7"/>
        <v>101.6767837</v>
      </c>
      <c r="V53" s="17"/>
      <c r="W53" s="12">
        <f t="array" ref="W53">SQRT(252/20) *  SQRT( SUMSQ( LN(U32:U51 / U31:U50) )  - (1/20) * ( SUM( LN(U32:U51 / U31:U50) ) ^ 2 ) )</f>
        <v>0.01861232735</v>
      </c>
      <c r="X53" s="9">
        <f t="shared" si="4"/>
        <v>1.5</v>
      </c>
      <c r="Y53" s="14"/>
      <c r="Z53" s="12">
        <f t="shared" si="5"/>
        <v>0.9993100907</v>
      </c>
      <c r="AA53" s="16">
        <f t="shared" si="8"/>
        <v>102.5089084</v>
      </c>
      <c r="AB53" s="14"/>
      <c r="AC53" s="9">
        <f t="shared" si="6"/>
        <v>0</v>
      </c>
    </row>
    <row r="54">
      <c r="A54" s="8">
        <v>41802.0</v>
      </c>
      <c r="B54" s="14"/>
      <c r="C54" s="9">
        <f t="array" ref="C54">IFERROR(
  INDEX(
    IR!$B$2:$E2026,                
    MATCH($A54, IR!$A$2:$A2026, 0), 
    MATCH(C$1, IR!$B$1:$E$1, 0) ), "")
</f>
        <v>0.00156</v>
      </c>
      <c r="D54" s="9">
        <f t="array" ref="D54">IFERROR(
  INDEX(
    IR!$B$2:$E2026,                
    MATCH($A54, IR!$A$2:$A2026, 0), 
    MATCH(D$1, IR!$B$1:$E$1, 0) ), "")
</f>
        <v>0.00242</v>
      </c>
      <c r="E54" s="9">
        <f t="array" ref="E54">IFERROR(
  INDEX(
    IR!$B$2:$E2026,                
    MATCH($A54, IR!$A$2:$A2026, 0), 
    MATCH(E$1, IR!$B$1:$E$1, 0) ), "")
</f>
        <v>0.00333</v>
      </c>
      <c r="F54" s="9">
        <f t="array" ref="F54">IFERROR(
  INDEX(
    IR!$B$2:$E2026,                
    MATCH($A54, IR!$A$2:$A2026, 0), 
    MATCH(F$1, IR!$B$1:$E$1, 0) ), "")
</f>
        <v>0.00511</v>
      </c>
      <c r="G54" s="14"/>
      <c r="H54" s="9">
        <f t="array" ref="H54">IFERROR(
  INDEX(
    SR!$B$2:$D2026,            
    MATCH($A54, SR!$A$2:$A2026, 0),  
    MATCH(H$1, SR!$B$1:$D$1, 0) ), "")
</f>
        <v>0.00323</v>
      </c>
      <c r="I54" s="9">
        <f t="array" ref="I54">IFERROR(
  INDEX(
    SR!$B$2:$D2026,            
    MATCH($A54, SR!$A$2:$A2026, 0),  
    MATCH(I$1, SR!$B$1:$D$1, 0) ), "")
</f>
        <v>0.00398</v>
      </c>
      <c r="J54" s="9">
        <f t="array" ref="J54">IFERROR(
  INDEX(
    SR!$B$2:$D2026,            
    MATCH($A54, SR!$A$2:$A2026, 0),  
    MATCH(J$1, SR!$B$1:$D$1, 0) ), "")
</f>
        <v>0.006919</v>
      </c>
      <c r="K54" s="14"/>
      <c r="L54" s="9">
        <v>125.9</v>
      </c>
      <c r="M54" s="9">
        <v>24.32</v>
      </c>
      <c r="N54" s="9">
        <v>113.47</v>
      </c>
      <c r="O54" s="9">
        <v>123.44</v>
      </c>
      <c r="P54" s="9">
        <v>128.16</v>
      </c>
      <c r="Q54" s="9">
        <v>1372.3231</v>
      </c>
      <c r="R54" s="14"/>
      <c r="S54" s="12">
        <f t="shared" si="2"/>
        <v>-0.001011591327</v>
      </c>
      <c r="T54" s="12">
        <f t="shared" si="3"/>
        <v>0.9989884087</v>
      </c>
      <c r="U54" s="16">
        <f t="shared" si="7"/>
        <v>101.5739284</v>
      </c>
      <c r="V54" s="17"/>
      <c r="W54" s="12">
        <f t="array" ref="W54">SQRT(252/20) *  SQRT( SUMSQ( LN(U33:U52 / U32:U51) )  - (1/20) * ( SUM( LN(U33:U52 / U32:U51) ) ^ 2 ) )</f>
        <v>0.01906794837</v>
      </c>
      <c r="X54" s="9">
        <f t="shared" si="4"/>
        <v>1.5</v>
      </c>
      <c r="Y54" s="14"/>
      <c r="Z54" s="12">
        <f t="shared" si="5"/>
        <v>0.9984801269</v>
      </c>
      <c r="AA54" s="16">
        <f t="shared" si="8"/>
        <v>102.3531079</v>
      </c>
      <c r="AB54" s="14"/>
      <c r="AC54" s="9">
        <f t="shared" si="6"/>
        <v>0</v>
      </c>
    </row>
    <row r="55">
      <c r="A55" s="8">
        <v>41803.0</v>
      </c>
      <c r="B55" s="14"/>
      <c r="C55" s="9">
        <f t="array" ref="C55">IFERROR(
  INDEX(
    IR!$B$2:$E2026,                
    MATCH($A55, IR!$A$2:$A2026, 0), 
    MATCH(C$1, IR!$B$1:$E$1, 0) ), "")
</f>
        <v>0.0014</v>
      </c>
      <c r="D55" s="9">
        <f t="array" ref="D55">IFERROR(
  INDEX(
    IR!$B$2:$E2026,                
    MATCH($A55, IR!$A$2:$A2026, 0), 
    MATCH(D$1, IR!$B$1:$E$1, 0) ), "")
</f>
        <v>0.00234</v>
      </c>
      <c r="E55" s="9">
        <f t="array" ref="E55">IFERROR(
  INDEX(
    IR!$B$2:$E2026,                
    MATCH($A55, IR!$A$2:$A2026, 0), 
    MATCH(E$1, IR!$B$1:$E$1, 0) ), "")
</f>
        <v>0.00326</v>
      </c>
      <c r="F55" s="9">
        <f t="array" ref="F55">IFERROR(
  INDEX(
    IR!$B$2:$E2026,                
    MATCH($A55, IR!$A$2:$A2026, 0), 
    MATCH(F$1, IR!$B$1:$E$1, 0) ), "")
</f>
        <v>0.00507</v>
      </c>
      <c r="G55" s="14"/>
      <c r="H55" s="9">
        <f t="array" ref="H55">IFERROR(
  INDEX(
    SR!$B$2:$D2026,            
    MATCH($A55, SR!$A$2:$A2026, 0),  
    MATCH(H$1, SR!$B$1:$D$1, 0) ), "")
</f>
        <v>0.00317</v>
      </c>
      <c r="I55" s="9">
        <f t="array" ref="I55">IFERROR(
  INDEX(
    SR!$B$2:$D2026,            
    MATCH($A55, SR!$A$2:$A2026, 0),  
    MATCH(I$1, SR!$B$1:$D$1, 0) ), "")
</f>
        <v>0.00399</v>
      </c>
      <c r="J55" s="9">
        <f t="array" ref="J55">IFERROR(
  INDEX(
    SR!$B$2:$D2026,            
    MATCH($A55, SR!$A$2:$A2026, 0),  
    MATCH(J$1, SR!$B$1:$D$1, 0) ), "")
</f>
        <v>0.006985</v>
      </c>
      <c r="K55" s="14"/>
      <c r="L55" s="9">
        <v>125.66</v>
      </c>
      <c r="M55" s="9">
        <v>24.33</v>
      </c>
      <c r="N55" s="9">
        <v>113.5</v>
      </c>
      <c r="O55" s="9">
        <v>123.54</v>
      </c>
      <c r="P55" s="9">
        <v>128.11</v>
      </c>
      <c r="Q55" s="9">
        <v>1369.8057</v>
      </c>
      <c r="R55" s="14"/>
      <c r="S55" s="12">
        <f t="shared" si="2"/>
        <v>-0.000440863491</v>
      </c>
      <c r="T55" s="12">
        <f t="shared" si="3"/>
        <v>0.9995591365</v>
      </c>
      <c r="U55" s="16">
        <f t="shared" si="7"/>
        <v>101.5291481</v>
      </c>
      <c r="V55" s="17"/>
      <c r="W55" s="12">
        <f t="array" ref="W55">SQRT(252/20) *  SQRT( SUMSQ( LN(U34:U53 / U33:U52) )  - (1/20) * ( SUM( LN(U34:U53 / U33:U52) ) ^ 2 ) )</f>
        <v>0.01944587147</v>
      </c>
      <c r="X55" s="9">
        <f t="shared" si="4"/>
        <v>1.5</v>
      </c>
      <c r="Y55" s="14"/>
      <c r="Z55" s="12">
        <f t="shared" si="5"/>
        <v>0.9993365381</v>
      </c>
      <c r="AA55" s="16">
        <f t="shared" si="8"/>
        <v>102.2852005</v>
      </c>
      <c r="AB55" s="14"/>
      <c r="AC55" s="9">
        <f t="shared" si="6"/>
        <v>0</v>
      </c>
    </row>
    <row r="56">
      <c r="A56" s="8">
        <v>41806.0</v>
      </c>
      <c r="B56" s="14"/>
      <c r="C56" s="9">
        <f t="array" ref="C56">IFERROR(
  INDEX(
    IR!$B$2:$E2026,                
    MATCH($A56, IR!$A$2:$A2026, 0), 
    MATCH(C$1, IR!$B$1:$E$1, 0) ), "")
</f>
        <v>0.00126</v>
      </c>
      <c r="D56" s="9">
        <f t="array" ref="D56">IFERROR(
  INDEX(
    IR!$B$2:$E2026,                
    MATCH($A56, IR!$A$2:$A2026, 0), 
    MATCH(D$1, IR!$B$1:$E$1, 0) ), "")
</f>
        <v>0.00223</v>
      </c>
      <c r="E56" s="9">
        <f t="array" ref="E56">IFERROR(
  INDEX(
    IR!$B$2:$E2026,                
    MATCH($A56, IR!$A$2:$A2026, 0), 
    MATCH(E$1, IR!$B$1:$E$1, 0) ), "")
</f>
        <v>0.00316</v>
      </c>
      <c r="F56" s="9">
        <f t="array" ref="F56">IFERROR(
  INDEX(
    IR!$B$2:$E2026,                
    MATCH($A56, IR!$A$2:$A2026, 0), 
    MATCH(F$1, IR!$B$1:$E$1, 0) ), "")
</f>
        <v>0.00496</v>
      </c>
      <c r="G56" s="14"/>
      <c r="H56" s="9">
        <f t="array" ref="H56">IFERROR(
  INDEX(
    SR!$B$2:$D2026,            
    MATCH($A56, SR!$A$2:$A2026, 0),  
    MATCH(H$1, SR!$B$1:$D$1, 0) ), "")
</f>
        <v>0.003163</v>
      </c>
      <c r="I56" s="9">
        <f t="array" ref="I56">IFERROR(
  INDEX(
    SR!$B$2:$D2026,            
    MATCH($A56, SR!$A$2:$A2026, 0),  
    MATCH(I$1, SR!$B$1:$D$1, 0) ), "")
</f>
        <v>0.003955</v>
      </c>
      <c r="J56" s="9">
        <f t="array" ref="J56">IFERROR(
  INDEX(
    SR!$B$2:$D2026,            
    MATCH($A56, SR!$A$2:$A2026, 0),  
    MATCH(J$1, SR!$B$1:$D$1, 0) ), "")
</f>
        <v>0.006961</v>
      </c>
      <c r="K56" s="14"/>
      <c r="L56" s="9">
        <v>125.44</v>
      </c>
      <c r="M56" s="9">
        <v>24.32</v>
      </c>
      <c r="N56" s="9">
        <v>113.48</v>
      </c>
      <c r="O56" s="9">
        <v>123.59</v>
      </c>
      <c r="P56" s="9">
        <v>128.52</v>
      </c>
      <c r="Q56" s="9">
        <v>1367.9768</v>
      </c>
      <c r="R56" s="14"/>
      <c r="S56" s="12">
        <f t="shared" si="2"/>
        <v>-0.00001146791957</v>
      </c>
      <c r="T56" s="12">
        <f t="shared" si="3"/>
        <v>0.9999885321</v>
      </c>
      <c r="U56" s="16">
        <f t="shared" si="7"/>
        <v>101.5279838</v>
      </c>
      <c r="V56" s="17"/>
      <c r="W56" s="12">
        <f t="array" ref="W56">SQRT(252/20) *  SQRT( SUMSQ( LN(U35:U54 / U34:U53) )  - (1/20) * ( SUM( LN(U35:U54 / U34:U53) ) ^ 2 ) )</f>
        <v>0.01931252384</v>
      </c>
      <c r="X56" s="9">
        <f t="shared" si="4"/>
        <v>1.5</v>
      </c>
      <c r="Y56" s="14"/>
      <c r="Z56" s="12">
        <f t="shared" si="5"/>
        <v>0.9999769648</v>
      </c>
      <c r="AA56" s="16">
        <f t="shared" si="8"/>
        <v>102.2828443</v>
      </c>
      <c r="AB56" s="14"/>
      <c r="AC56" s="9">
        <f t="shared" si="6"/>
        <v>0</v>
      </c>
    </row>
    <row r="57">
      <c r="A57" s="8">
        <v>41807.0</v>
      </c>
      <c r="B57" s="14"/>
      <c r="C57" s="9">
        <f t="array" ref="C57">IFERROR(
  INDEX(
    IR!$B$2:$E2026,                
    MATCH($A57, IR!$A$2:$A2026, 0), 
    MATCH(C$1, IR!$B$1:$E$1, 0) ), "")
</f>
        <v>0.00119</v>
      </c>
      <c r="D57" s="9">
        <f t="array" ref="D57">IFERROR(
  INDEX(
    IR!$B$2:$E2026,                
    MATCH($A57, IR!$A$2:$A2026, 0), 
    MATCH(D$1, IR!$B$1:$E$1, 0) ), "")
</f>
        <v>0.00217</v>
      </c>
      <c r="E57" s="9">
        <f t="array" ref="E57">IFERROR(
  INDEX(
    IR!$B$2:$E2026,                
    MATCH($A57, IR!$A$2:$A2026, 0), 
    MATCH(E$1, IR!$B$1:$E$1, 0) ), "")
</f>
        <v>0.00312</v>
      </c>
      <c r="F57" s="9">
        <f t="array" ref="F57">IFERROR(
  INDEX(
    IR!$B$2:$E2026,                
    MATCH($A57, IR!$A$2:$A2026, 0), 
    MATCH(F$1, IR!$B$1:$E$1, 0) ), "")
</f>
        <v>0.00491</v>
      </c>
      <c r="G57" s="14"/>
      <c r="H57" s="9">
        <f t="array" ref="H57">IFERROR(
  INDEX(
    SR!$B$2:$D2026,            
    MATCH($A57, SR!$A$2:$A2026, 0),  
    MATCH(H$1, SR!$B$1:$D$1, 0) ), "")
</f>
        <v>0.003255</v>
      </c>
      <c r="I57" s="9">
        <f t="array" ref="I57">IFERROR(
  INDEX(
    SR!$B$2:$D2026,            
    MATCH($A57, SR!$A$2:$A2026, 0),  
    MATCH(I$1, SR!$B$1:$D$1, 0) ), "")
</f>
        <v>0.004129</v>
      </c>
      <c r="J57" s="9">
        <f t="array" ref="J57">IFERROR(
  INDEX(
    SR!$B$2:$D2026,            
    MATCH($A57, SR!$A$2:$A2026, 0),  
    MATCH(J$1, SR!$B$1:$D$1, 0) ), "")
</f>
        <v>0.007283</v>
      </c>
      <c r="K57" s="14"/>
      <c r="L57" s="9">
        <v>125.38</v>
      </c>
      <c r="M57" s="9">
        <v>24.32</v>
      </c>
      <c r="N57" s="9">
        <v>113.47</v>
      </c>
      <c r="O57" s="9">
        <v>123.65</v>
      </c>
      <c r="P57" s="9">
        <v>128.27</v>
      </c>
      <c r="Q57" s="9">
        <v>1367.907</v>
      </c>
      <c r="R57" s="14"/>
      <c r="S57" s="12">
        <f t="shared" si="2"/>
        <v>-0.0003460679887</v>
      </c>
      <c r="T57" s="12">
        <f t="shared" si="3"/>
        <v>0.999653932</v>
      </c>
      <c r="U57" s="16">
        <f t="shared" si="7"/>
        <v>101.4928482</v>
      </c>
      <c r="V57" s="17"/>
      <c r="W57" s="12">
        <f t="array" ref="W57">SQRT(252/20) *  SQRT( SUMSQ( LN(U36:U55 / U35:U54) )  - (1/20) * ( SUM( LN(U36:U55 / U35:U54) ) ^ 2 ) )</f>
        <v>0.01913082846</v>
      </c>
      <c r="X57" s="9">
        <f t="shared" si="4"/>
        <v>1.5</v>
      </c>
      <c r="Y57" s="14"/>
      <c r="Z57" s="12">
        <f t="shared" si="5"/>
        <v>0.999479148</v>
      </c>
      <c r="AA57" s="16">
        <f t="shared" si="8"/>
        <v>102.2295701</v>
      </c>
      <c r="AB57" s="14"/>
      <c r="AC57" s="9">
        <f t="shared" si="6"/>
        <v>0</v>
      </c>
    </row>
    <row r="58">
      <c r="A58" s="8">
        <v>41808.0</v>
      </c>
      <c r="B58" s="14"/>
      <c r="C58" s="9">
        <f t="array" ref="C58">IFERROR(
  INDEX(
    IR!$B$2:$E2026,                
    MATCH($A58, IR!$A$2:$A2026, 0), 
    MATCH(C$1, IR!$B$1:$E$1, 0) ), "")
</f>
        <v>0.00113</v>
      </c>
      <c r="D58" s="9">
        <f t="array" ref="D58">IFERROR(
  INDEX(
    IR!$B$2:$E2026,                
    MATCH($A58, IR!$A$2:$A2026, 0), 
    MATCH(D$1, IR!$B$1:$E$1, 0) ), "")
</f>
        <v>0.00216</v>
      </c>
      <c r="E58" s="9">
        <f t="array" ref="E58">IFERROR(
  INDEX(
    IR!$B$2:$E2026,                
    MATCH($A58, IR!$A$2:$A2026, 0), 
    MATCH(E$1, IR!$B$1:$E$1, 0) ), "")
</f>
        <v>0.00309</v>
      </c>
      <c r="F58" s="9">
        <f t="array" ref="F58">IFERROR(
  INDEX(
    IR!$B$2:$E2026,                
    MATCH($A58, IR!$A$2:$A2026, 0), 
    MATCH(F$1, IR!$B$1:$E$1, 0) ), "")
</f>
        <v>0.0049</v>
      </c>
      <c r="G58" s="14"/>
      <c r="H58" s="9">
        <f t="array" ref="H58">IFERROR(
  INDEX(
    SR!$B$2:$D2026,            
    MATCH($A58, SR!$A$2:$A2026, 0),  
    MATCH(H$1, SR!$B$1:$D$1, 0) ), "")
</f>
        <v>0.00326</v>
      </c>
      <c r="I58" s="9">
        <f t="array" ref="I58">IFERROR(
  INDEX(
    SR!$B$2:$D2026,            
    MATCH($A58, SR!$A$2:$A2026, 0),  
    MATCH(I$1, SR!$B$1:$D$1, 0) ), "")
</f>
        <v>0.004025</v>
      </c>
      <c r="J58" s="9">
        <f t="array" ref="J58">IFERROR(
  INDEX(
    SR!$B$2:$D2026,            
    MATCH($A58, SR!$A$2:$A2026, 0),  
    MATCH(J$1, SR!$B$1:$D$1, 0) ), "")
</f>
        <v>0.007045</v>
      </c>
      <c r="K58" s="14"/>
      <c r="L58" s="9">
        <v>125.41</v>
      </c>
      <c r="M58" s="9">
        <v>24.3</v>
      </c>
      <c r="N58" s="9">
        <v>113.46</v>
      </c>
      <c r="O58" s="9">
        <v>123.22</v>
      </c>
      <c r="P58" s="9">
        <v>128.47</v>
      </c>
      <c r="Q58" s="9">
        <v>1369.7599</v>
      </c>
      <c r="R58" s="14"/>
      <c r="S58" s="12">
        <f t="shared" si="2"/>
        <v>-0.0002056189208</v>
      </c>
      <c r="T58" s="12">
        <f t="shared" si="3"/>
        <v>0.9997943811</v>
      </c>
      <c r="U58" s="16">
        <f t="shared" si="7"/>
        <v>101.4719794</v>
      </c>
      <c r="V58" s="17"/>
      <c r="W58" s="12">
        <f t="array" ref="W58">SQRT(252/20) *  SQRT( SUMSQ( LN(U37:U56 / U36:U55) )  - (1/20) * ( SUM( LN(U37:U56 / U36:U55) ) ^ 2 ) )</f>
        <v>0.01899950748</v>
      </c>
      <c r="X58" s="9">
        <f t="shared" si="4"/>
        <v>1.5</v>
      </c>
      <c r="Y58" s="14"/>
      <c r="Z58" s="12">
        <f t="shared" si="5"/>
        <v>0.9996899188</v>
      </c>
      <c r="AA58" s="16">
        <f t="shared" si="8"/>
        <v>102.1978706</v>
      </c>
      <c r="AB58" s="14"/>
      <c r="AC58" s="9">
        <f t="shared" si="6"/>
        <v>0</v>
      </c>
    </row>
    <row r="59">
      <c r="A59" s="8">
        <v>41809.0</v>
      </c>
      <c r="B59" s="14"/>
      <c r="C59" s="9">
        <f t="array" ref="C59">IFERROR(
  INDEX(
    IR!$B$2:$E2026,                
    MATCH($A59, IR!$A$2:$A2026, 0), 
    MATCH(C$1, IR!$B$1:$E$1, 0) ), "")
</f>
        <v>0.00109</v>
      </c>
      <c r="D59" s="9">
        <f t="array" ref="D59">IFERROR(
  INDEX(
    IR!$B$2:$E2026,                
    MATCH($A59, IR!$A$2:$A2026, 0), 
    MATCH(D$1, IR!$B$1:$E$1, 0) ), "")
</f>
        <v>0.00212</v>
      </c>
      <c r="E59" s="9">
        <f t="array" ref="E59">IFERROR(
  INDEX(
    IR!$B$2:$E2026,                
    MATCH($A59, IR!$A$2:$A2026, 0), 
    MATCH(E$1, IR!$B$1:$E$1, 0) ), "")
</f>
        <v>0.00306</v>
      </c>
      <c r="F59" s="9">
        <f t="array" ref="F59">IFERROR(
  INDEX(
    IR!$B$2:$E2026,                
    MATCH($A59, IR!$A$2:$A2026, 0), 
    MATCH(F$1, IR!$B$1:$E$1, 0) ), "")
</f>
        <v>0.00489</v>
      </c>
      <c r="G59" s="14"/>
      <c r="H59" s="9">
        <f t="array" ref="H59">IFERROR(
  INDEX(
    SR!$B$2:$D2026,            
    MATCH($A59, SR!$A$2:$A2026, 0),  
    MATCH(H$1, SR!$B$1:$D$1, 0) ), "")
</f>
        <v>0.003205</v>
      </c>
      <c r="I59" s="9">
        <f t="array" ref="I59">IFERROR(
  INDEX(
    SR!$B$2:$D2026,            
    MATCH($A59, SR!$A$2:$A2026, 0),  
    MATCH(I$1, SR!$B$1:$D$1, 0) ), "")
</f>
        <v>0.00395</v>
      </c>
      <c r="J59" s="9">
        <f t="array" ref="J59">IFERROR(
  INDEX(
    SR!$B$2:$D2026,            
    MATCH($A59, SR!$A$2:$A2026, 0),  
    MATCH(J$1, SR!$B$1:$D$1, 0) ), "")
</f>
        <v>0.00683</v>
      </c>
      <c r="K59" s="14"/>
      <c r="L59" s="9">
        <v>125.68</v>
      </c>
      <c r="M59" s="9">
        <v>24.3</v>
      </c>
      <c r="N59" s="9">
        <v>113.5</v>
      </c>
      <c r="O59" s="9">
        <v>123.61</v>
      </c>
      <c r="P59" s="9">
        <v>128.53</v>
      </c>
      <c r="Q59" s="9">
        <v>1371.9008</v>
      </c>
      <c r="R59" s="14"/>
      <c r="S59" s="12">
        <f t="shared" si="2"/>
        <v>0.001283070572</v>
      </c>
      <c r="T59" s="12">
        <f t="shared" si="3"/>
        <v>1.001283071</v>
      </c>
      <c r="U59" s="16">
        <f t="shared" si="7"/>
        <v>101.6021751</v>
      </c>
      <c r="V59" s="17"/>
      <c r="W59" s="12">
        <f t="array" ref="W59">SQRT(252/20) *  SQRT( SUMSQ( LN(U38:U57 / U37:U56) )  - (1/20) * ( SUM( LN(U38:U57 / U37:U56) ) ^ 2 ) )</f>
        <v>0.01805206998</v>
      </c>
      <c r="X59" s="9">
        <f t="shared" si="4"/>
        <v>1.5</v>
      </c>
      <c r="Y59" s="14"/>
      <c r="Z59" s="12">
        <f t="shared" si="5"/>
        <v>1.001923036</v>
      </c>
      <c r="AA59" s="16">
        <f t="shared" si="8"/>
        <v>102.3944009</v>
      </c>
      <c r="AB59" s="14"/>
      <c r="AC59" s="9">
        <f t="shared" si="6"/>
        <v>0</v>
      </c>
    </row>
    <row r="60">
      <c r="A60" s="8">
        <v>41810.0</v>
      </c>
      <c r="B60" s="14"/>
      <c r="C60" s="9">
        <f t="array" ref="C60">IFERROR(
  INDEX(
    IR!$B$2:$E2026,                
    MATCH($A60, IR!$A$2:$A2026, 0), 
    MATCH(C$1, IR!$B$1:$E$1, 0) ), "")
</f>
        <v>0.00108</v>
      </c>
      <c r="D60" s="9">
        <f t="array" ref="D60">IFERROR(
  INDEX(
    IR!$B$2:$E2026,                
    MATCH($A60, IR!$A$2:$A2026, 0), 
    MATCH(D$1, IR!$B$1:$E$1, 0) ), "")
</f>
        <v>0.00212</v>
      </c>
      <c r="E60" s="9">
        <f t="array" ref="E60">IFERROR(
  INDEX(
    IR!$B$2:$E2026,                
    MATCH($A60, IR!$A$2:$A2026, 0), 
    MATCH(E$1, IR!$B$1:$E$1, 0) ), "")
</f>
        <v>0.00306</v>
      </c>
      <c r="F60" s="9">
        <f t="array" ref="F60">IFERROR(
  INDEX(
    IR!$B$2:$E2026,                
    MATCH($A60, IR!$A$2:$A2026, 0), 
    MATCH(F$1, IR!$B$1:$E$1, 0) ), "")
</f>
        <v>0.00489</v>
      </c>
      <c r="G60" s="14"/>
      <c r="H60" s="9">
        <f t="array" ref="H60">IFERROR(
  INDEX(
    SR!$B$2:$D2026,            
    MATCH($A60, SR!$A$2:$A2026, 0),  
    MATCH(H$1, SR!$B$1:$D$1, 0) ), "")
</f>
        <v>0.00325</v>
      </c>
      <c r="I60" s="9">
        <f t="array" ref="I60">IFERROR(
  INDEX(
    SR!$B$2:$D2026,            
    MATCH($A60, SR!$A$2:$A2026, 0),  
    MATCH(I$1, SR!$B$1:$D$1, 0) ), "")
</f>
        <v>0.004035</v>
      </c>
      <c r="J60" s="9">
        <f t="array" ref="J60">IFERROR(
  INDEX(
    SR!$B$2:$D2026,            
    MATCH($A60, SR!$A$2:$A2026, 0),  
    MATCH(J$1, SR!$B$1:$D$1, 0) ), "")
</f>
        <v>0.00694</v>
      </c>
      <c r="K60" s="14"/>
      <c r="L60" s="9">
        <v>125.74</v>
      </c>
      <c r="M60" s="9">
        <v>24.31</v>
      </c>
      <c r="N60" s="9">
        <v>113.53</v>
      </c>
      <c r="O60" s="9">
        <v>124.55</v>
      </c>
      <c r="P60" s="9">
        <v>128.68</v>
      </c>
      <c r="Q60" s="9">
        <v>1374.1379</v>
      </c>
      <c r="R60" s="14"/>
      <c r="S60" s="12">
        <f t="shared" si="2"/>
        <v>0.001925310274</v>
      </c>
      <c r="T60" s="12">
        <f t="shared" si="3"/>
        <v>1.00192531</v>
      </c>
      <c r="U60" s="16">
        <f t="shared" si="7"/>
        <v>101.7977908</v>
      </c>
      <c r="V60" s="17"/>
      <c r="W60" s="12">
        <f t="array" ref="W60">SQRT(252/20) *  SQRT( SUMSQ( LN(U39:U58 / U38:U57) )  - (1/20) * ( SUM( LN(U39:U58 / U38:U57) ) ^ 2 ) )</f>
        <v>0.01799841753</v>
      </c>
      <c r="X60" s="9">
        <f t="shared" si="4"/>
        <v>1.5</v>
      </c>
      <c r="Y60" s="14"/>
      <c r="Z60" s="12">
        <f t="shared" si="5"/>
        <v>1.002886452</v>
      </c>
      <c r="AA60" s="16">
        <f t="shared" si="8"/>
        <v>102.6899573</v>
      </c>
      <c r="AB60" s="14"/>
      <c r="AC60" s="9">
        <f t="shared" si="6"/>
        <v>0</v>
      </c>
    </row>
    <row r="61">
      <c r="A61" s="8">
        <v>41814.0</v>
      </c>
      <c r="B61" s="14"/>
      <c r="C61" s="9">
        <f t="array" ref="C61">IFERROR(
  INDEX(
    IR!$B$2:$E2026,                
    MATCH($A61, IR!$A$2:$A2026, 0), 
    MATCH(C$1, IR!$B$1:$E$1, 0) ), "")
</f>
        <v>0.00104</v>
      </c>
      <c r="D61" s="9">
        <f t="array" ref="D61">IFERROR(
  INDEX(
    IR!$B$2:$E2026,                
    MATCH($A61, IR!$A$2:$A2026, 0), 
    MATCH(D$1, IR!$B$1:$E$1, 0) ), "")
</f>
        <v>0.00211</v>
      </c>
      <c r="E61" s="9">
        <f t="array" ref="E61">IFERROR(
  INDEX(
    IR!$B$2:$E2026,                
    MATCH($A61, IR!$A$2:$A2026, 0), 
    MATCH(E$1, IR!$B$1:$E$1, 0) ), "")
</f>
        <v>0.00306</v>
      </c>
      <c r="F61" s="9">
        <f t="array" ref="F61">IFERROR(
  INDEX(
    IR!$B$2:$E2026,                
    MATCH($A61, IR!$A$2:$A2026, 0), 
    MATCH(F$1, IR!$B$1:$E$1, 0) ), "")
</f>
        <v>0.00489</v>
      </c>
      <c r="G61" s="14"/>
      <c r="H61" s="9">
        <f t="array" ref="H61">IFERROR(
  INDEX(
    SR!$B$2:$D2026,            
    MATCH($A61, SR!$A$2:$A2026, 0),  
    MATCH(H$1, SR!$B$1:$D$1, 0) ), "")
</f>
        <v>0.00322</v>
      </c>
      <c r="I61" s="9">
        <f t="array" ref="I61">IFERROR(
  INDEX(
    SR!$B$2:$D2026,            
    MATCH($A61, SR!$A$2:$A2026, 0),  
    MATCH(I$1, SR!$B$1:$D$1, 0) ), "")
</f>
        <v>0.003985</v>
      </c>
      <c r="J61" s="9">
        <f t="array" ref="J61">IFERROR(
  INDEX(
    SR!$B$2:$D2026,            
    MATCH($A61, SR!$A$2:$A2026, 0),  
    MATCH(J$1, SR!$B$1:$D$1, 0) ), "")
</f>
        <v>0.00684</v>
      </c>
      <c r="K61" s="14"/>
      <c r="L61" s="9">
        <v>125.54</v>
      </c>
      <c r="M61" s="9">
        <v>24.31</v>
      </c>
      <c r="N61" s="9">
        <v>113.26</v>
      </c>
      <c r="O61" s="9">
        <v>124.24</v>
      </c>
      <c r="P61" s="9">
        <v>128.65</v>
      </c>
      <c r="Q61" s="9">
        <v>1372.898</v>
      </c>
      <c r="R61" s="14"/>
      <c r="S61" s="12">
        <f t="shared" si="2"/>
        <v>-0.001265120295</v>
      </c>
      <c r="T61" s="12">
        <f t="shared" si="3"/>
        <v>0.9987348797</v>
      </c>
      <c r="U61" s="16">
        <f t="shared" si="7"/>
        <v>101.6690043</v>
      </c>
      <c r="V61" s="17"/>
      <c r="W61" s="12">
        <f t="array" ref="W61">SQRT(252/20) *  SQRT( SUMSQ( LN(U40:U59 / U39:U58) )  - (1/20) * ( SUM( LN(U40:U59 / U39:U58) ) ^ 2 ) )</f>
        <v>0.01820467582</v>
      </c>
      <c r="X61" s="9">
        <f t="shared" si="4"/>
        <v>1.5</v>
      </c>
      <c r="Y61" s="14"/>
      <c r="Z61" s="12">
        <f t="shared" si="5"/>
        <v>0.9980963196</v>
      </c>
      <c r="AA61" s="16">
        <f t="shared" si="8"/>
        <v>102.4944685</v>
      </c>
      <c r="AB61" s="14"/>
      <c r="AC61" s="9">
        <f t="shared" si="6"/>
        <v>0</v>
      </c>
    </row>
    <row r="62">
      <c r="A62" s="8">
        <v>41815.0</v>
      </c>
      <c r="B62" s="14"/>
      <c r="C62" s="9">
        <f t="array" ref="C62">IFERROR(
  INDEX(
    IR!$B$2:$E2026,                
    MATCH($A62, IR!$A$2:$A2026, 0), 
    MATCH(C$1, IR!$B$1:$E$1, 0) ), "")
</f>
        <v>0.00103</v>
      </c>
      <c r="D62" s="9">
        <f t="array" ref="D62">IFERROR(
  INDEX(
    IR!$B$2:$E2026,                
    MATCH($A62, IR!$A$2:$A2026, 0), 
    MATCH(D$1, IR!$B$1:$E$1, 0) ), "")
</f>
        <v>0.00208</v>
      </c>
      <c r="E62" s="9">
        <f t="array" ref="E62">IFERROR(
  INDEX(
    IR!$B$2:$E2026,                
    MATCH($A62, IR!$A$2:$A2026, 0), 
    MATCH(E$1, IR!$B$1:$E$1, 0) ), "")
</f>
        <v>0.00306</v>
      </c>
      <c r="F62" s="9">
        <f t="array" ref="F62">IFERROR(
  INDEX(
    IR!$B$2:$E2026,                
    MATCH($A62, IR!$A$2:$A2026, 0), 
    MATCH(F$1, IR!$B$1:$E$1, 0) ), "")
</f>
        <v>0.00487</v>
      </c>
      <c r="G62" s="14"/>
      <c r="H62" s="9">
        <f t="array" ref="H62">IFERROR(
  INDEX(
    SR!$B$2:$D2026,            
    MATCH($A62, SR!$A$2:$A2026, 0),  
    MATCH(H$1, SR!$B$1:$D$1, 0) ), "")
</f>
        <v>0.00317</v>
      </c>
      <c r="I62" s="9">
        <f t="array" ref="I62">IFERROR(
  INDEX(
    SR!$B$2:$D2026,            
    MATCH($A62, SR!$A$2:$A2026, 0),  
    MATCH(I$1, SR!$B$1:$D$1, 0) ), "")
</f>
        <v>0.0039</v>
      </c>
      <c r="J62" s="9">
        <f t="array" ref="J62">IFERROR(
  INDEX(
    SR!$B$2:$D2026,            
    MATCH($A62, SR!$A$2:$A2026, 0),  
    MATCH(J$1, SR!$B$1:$D$1, 0) ), "")
</f>
        <v>0.006573</v>
      </c>
      <c r="K62" s="14"/>
      <c r="L62" s="9">
        <v>125.32</v>
      </c>
      <c r="M62" s="9">
        <v>24.3</v>
      </c>
      <c r="N62" s="9">
        <v>113.27</v>
      </c>
      <c r="O62" s="9">
        <v>124.22</v>
      </c>
      <c r="P62" s="9">
        <v>128.43</v>
      </c>
      <c r="Q62" s="9">
        <v>1364.4117</v>
      </c>
      <c r="R62" s="14"/>
      <c r="S62" s="12">
        <f t="shared" si="2"/>
        <v>-0.001687916162</v>
      </c>
      <c r="T62" s="12">
        <f t="shared" si="3"/>
        <v>0.9983120838</v>
      </c>
      <c r="U62" s="16">
        <f t="shared" si="7"/>
        <v>101.4973956</v>
      </c>
      <c r="V62" s="17"/>
      <c r="W62" s="12">
        <f t="array" ref="W62">SQRT(252/20) *  SQRT( SUMSQ( LN(U41:U60 / U40:U59) )  - (1/20) * ( SUM( LN(U41:U60 / U40:U59) ) ^ 2 ) )</f>
        <v>0.01820404729</v>
      </c>
      <c r="X62" s="9">
        <f t="shared" si="4"/>
        <v>1.5</v>
      </c>
      <c r="Y62" s="14"/>
      <c r="Z62" s="12">
        <f t="shared" si="5"/>
        <v>0.9974666813</v>
      </c>
      <c r="AA62" s="16">
        <f t="shared" si="8"/>
        <v>102.2348173</v>
      </c>
      <c r="AB62" s="14"/>
      <c r="AC62" s="9">
        <f t="shared" si="6"/>
        <v>0</v>
      </c>
    </row>
    <row r="63">
      <c r="A63" s="8">
        <v>41816.0</v>
      </c>
      <c r="B63" s="14"/>
      <c r="C63" s="9">
        <f t="array" ref="C63">IFERROR(
  INDEX(
    IR!$B$2:$E2026,                
    MATCH($A63, IR!$A$2:$A2026, 0), 
    MATCH(C$1, IR!$B$1:$E$1, 0) ), "")
</f>
        <v>0.00103</v>
      </c>
      <c r="D63" s="9">
        <f t="array" ref="D63">IFERROR(
  INDEX(
    IR!$B$2:$E2026,                
    MATCH($A63, IR!$A$2:$A2026, 0), 
    MATCH(D$1, IR!$B$1:$E$1, 0) ), "")
</f>
        <v>0.00209</v>
      </c>
      <c r="E63" s="9">
        <f t="array" ref="E63">IFERROR(
  INDEX(
    IR!$B$2:$E2026,                
    MATCH($A63, IR!$A$2:$A2026, 0), 
    MATCH(E$1, IR!$B$1:$E$1, 0) ), "")
</f>
        <v>0.00305</v>
      </c>
      <c r="F63" s="9">
        <f t="array" ref="F63">IFERROR(
  INDEX(
    IR!$B$2:$E2026,                
    MATCH($A63, IR!$A$2:$A2026, 0), 
    MATCH(F$1, IR!$B$1:$E$1, 0) ), "")
</f>
        <v>0.00488</v>
      </c>
      <c r="G63" s="14"/>
      <c r="H63" s="9">
        <f t="array" ref="H63">IFERROR(
  INDEX(
    SR!$B$2:$D2026,            
    MATCH($A63, SR!$A$2:$A2026, 0),  
    MATCH(H$1, SR!$B$1:$D$1, 0) ), "")
</f>
        <v>0.00315</v>
      </c>
      <c r="I63" s="9">
        <f t="array" ref="I63">IFERROR(
  INDEX(
    SR!$B$2:$D2026,            
    MATCH($A63, SR!$A$2:$A2026, 0),  
    MATCH(I$1, SR!$B$1:$D$1, 0) ), "")
</f>
        <v>0.00389</v>
      </c>
      <c r="J63" s="9">
        <f t="array" ref="J63">IFERROR(
  INDEX(
    SR!$B$2:$D2026,            
    MATCH($A63, SR!$A$2:$A2026, 0),  
    MATCH(J$1, SR!$B$1:$D$1, 0) ), "")
</f>
        <v>0.00651</v>
      </c>
      <c r="K63" s="14"/>
      <c r="L63" s="9">
        <v>125.34</v>
      </c>
      <c r="M63" s="9">
        <v>24.32</v>
      </c>
      <c r="N63" s="9">
        <v>113.26</v>
      </c>
      <c r="O63" s="9">
        <v>124.46</v>
      </c>
      <c r="P63" s="9">
        <v>128.28</v>
      </c>
      <c r="Q63" s="9">
        <v>1364.3383</v>
      </c>
      <c r="R63" s="14"/>
      <c r="S63" s="12">
        <f t="shared" si="2"/>
        <v>0.0002673310798</v>
      </c>
      <c r="T63" s="12">
        <f t="shared" si="3"/>
        <v>1.000267331</v>
      </c>
      <c r="U63" s="16">
        <f t="shared" si="7"/>
        <v>101.524529</v>
      </c>
      <c r="V63" s="17"/>
      <c r="W63" s="12">
        <f t="array" ref="W63">SQRT(252/20) *  SQRT( SUMSQ( LN(U42:U61 / U41:U60) )  - (1/20) * ( SUM( LN(U42:U61 / U41:U60) ) ^ 2 ) )</f>
        <v>0.01929352799</v>
      </c>
      <c r="X63" s="9">
        <f t="shared" si="4"/>
        <v>1.5</v>
      </c>
      <c r="Y63" s="14"/>
      <c r="Z63" s="12">
        <f t="shared" si="5"/>
        <v>1.000399566</v>
      </c>
      <c r="AA63" s="16">
        <f t="shared" si="8"/>
        <v>102.2756669</v>
      </c>
      <c r="AB63" s="14"/>
      <c r="AC63" s="9">
        <f t="shared" si="6"/>
        <v>0</v>
      </c>
    </row>
    <row r="64">
      <c r="A64" s="8">
        <v>41817.0</v>
      </c>
      <c r="B64" s="14"/>
      <c r="C64" s="9">
        <f t="array" ref="C64">IFERROR(
  INDEX(
    IR!$B$2:$E2026,                
    MATCH($A64, IR!$A$2:$A2026, 0), 
    MATCH(C$1, IR!$B$1:$E$1, 0) ), "")
</f>
        <v>0.00101</v>
      </c>
      <c r="D64" s="9">
        <f t="array" ref="D64">IFERROR(
  INDEX(
    IR!$B$2:$E2026,                
    MATCH($A64, IR!$A$2:$A2026, 0), 
    MATCH(D$1, IR!$B$1:$E$1, 0) ), "")
</f>
        <v>0.00207</v>
      </c>
      <c r="E64" s="9">
        <f t="array" ref="E64">IFERROR(
  INDEX(
    IR!$B$2:$E2026,                
    MATCH($A64, IR!$A$2:$A2026, 0), 
    MATCH(E$1, IR!$B$1:$E$1, 0) ), "")
</f>
        <v>0.00303</v>
      </c>
      <c r="F64" s="9">
        <f t="array" ref="F64">IFERROR(
  INDEX(
    IR!$B$2:$E2026,                
    MATCH($A64, IR!$A$2:$A2026, 0), 
    MATCH(F$1, IR!$B$1:$E$1, 0) ), "")
</f>
        <v>0.00488</v>
      </c>
      <c r="G64" s="14"/>
      <c r="H64" s="9">
        <f t="array" ref="H64">IFERROR(
  INDEX(
    SR!$B$2:$D2026,            
    MATCH($A64, SR!$A$2:$A2026, 0),  
    MATCH(H$1, SR!$B$1:$D$1, 0) ), "")
</f>
        <v>0.0032</v>
      </c>
      <c r="I64" s="9">
        <f t="array" ref="I64">IFERROR(
  INDEX(
    SR!$B$2:$D2026,            
    MATCH($A64, SR!$A$2:$A2026, 0),  
    MATCH(I$1, SR!$B$1:$D$1, 0) ), "")
</f>
        <v>0.00398</v>
      </c>
      <c r="J64" s="9">
        <f t="array" ref="J64">IFERROR(
  INDEX(
    SR!$B$2:$D2026,            
    MATCH($A64, SR!$A$2:$A2026, 0),  
    MATCH(J$1, SR!$B$1:$D$1, 0) ), "")
</f>
        <v>0.00673</v>
      </c>
      <c r="K64" s="14"/>
      <c r="L64" s="9">
        <v>125.36</v>
      </c>
      <c r="M64" s="9">
        <v>24.31</v>
      </c>
      <c r="N64" s="9">
        <v>113.26</v>
      </c>
      <c r="O64" s="9">
        <v>124.3</v>
      </c>
      <c r="P64" s="9">
        <v>128.41</v>
      </c>
      <c r="Q64" s="9">
        <v>1370.6856</v>
      </c>
      <c r="R64" s="14"/>
      <c r="S64" s="12">
        <f t="shared" si="2"/>
        <v>0.0006882780326</v>
      </c>
      <c r="T64" s="12">
        <f t="shared" si="3"/>
        <v>1.000688278</v>
      </c>
      <c r="U64" s="16">
        <f t="shared" si="7"/>
        <v>101.5944061</v>
      </c>
      <c r="V64" s="17"/>
      <c r="W64" s="12">
        <f t="array" ref="W64">SQRT(252/20) *  SQRT( SUMSQ( LN(U43:U62 / U42:U61) )  - (1/20) * ( SUM( LN(U43:U62 / U42:U61) ) ^ 2 ) )</f>
        <v>0.02037352031</v>
      </c>
      <c r="X64" s="9">
        <f t="shared" si="4"/>
        <v>1.5</v>
      </c>
      <c r="Y64" s="14"/>
      <c r="Z64" s="12">
        <f t="shared" si="5"/>
        <v>1.001030986</v>
      </c>
      <c r="AA64" s="16">
        <f t="shared" si="8"/>
        <v>102.3811117</v>
      </c>
      <c r="AB64" s="14"/>
      <c r="AC64" s="9">
        <f t="shared" si="6"/>
        <v>0</v>
      </c>
    </row>
    <row r="65">
      <c r="A65" s="8">
        <v>41820.0</v>
      </c>
      <c r="B65" s="14"/>
      <c r="C65" s="9">
        <f t="array" ref="C65">IFERROR(
  INDEX(
    IR!$B$2:$E2026,                
    MATCH($A65, IR!$A$2:$A2026, 0), 
    MATCH(C$1, IR!$B$1:$E$1, 0) ), "")
</f>
        <v>0.00099</v>
      </c>
      <c r="D65" s="9">
        <f t="array" ref="D65">IFERROR(
  INDEX(
    IR!$B$2:$E2026,                
    MATCH($A65, IR!$A$2:$A2026, 0), 
    MATCH(D$1, IR!$B$1:$E$1, 0) ), "")
</f>
        <v>0.00207</v>
      </c>
      <c r="E65" s="9">
        <f t="array" ref="E65">IFERROR(
  INDEX(
    IR!$B$2:$E2026,                
    MATCH($A65, IR!$A$2:$A2026, 0), 
    MATCH(E$1, IR!$B$1:$E$1, 0) ), "")
</f>
        <v>0.00303</v>
      </c>
      <c r="F65" s="9">
        <f t="array" ref="F65">IFERROR(
  INDEX(
    IR!$B$2:$E2026,                
    MATCH($A65, IR!$A$2:$A2026, 0), 
    MATCH(F$1, IR!$B$1:$E$1, 0) ), "")
</f>
        <v>0.00488</v>
      </c>
      <c r="G65" s="14"/>
      <c r="H65" s="9">
        <f t="array" ref="H65">IFERROR(
  INDEX(
    SR!$B$2:$D2026,            
    MATCH($A65, SR!$A$2:$A2026, 0),  
    MATCH(H$1, SR!$B$1:$D$1, 0) ), "")
</f>
        <v>0.00311</v>
      </c>
      <c r="I65" s="9">
        <f t="array" ref="I65">IFERROR(
  INDEX(
    SR!$B$2:$D2026,            
    MATCH($A65, SR!$A$2:$A2026, 0),  
    MATCH(I$1, SR!$B$1:$D$1, 0) ), "")
</f>
        <v>0.003855</v>
      </c>
      <c r="J65" s="9">
        <f t="array" ref="J65">IFERROR(
  INDEX(
    SR!$B$2:$D2026,            
    MATCH($A65, SR!$A$2:$A2026, 0),  
    MATCH(J$1, SR!$B$1:$D$1, 0) ), "")
</f>
        <v>0.006542</v>
      </c>
      <c r="K65" s="14"/>
      <c r="L65" s="9">
        <v>125.26</v>
      </c>
      <c r="M65" s="9">
        <v>24.29</v>
      </c>
      <c r="N65" s="9">
        <v>113.25</v>
      </c>
      <c r="O65" s="9">
        <v>124.2</v>
      </c>
      <c r="P65" s="9">
        <v>128.27</v>
      </c>
      <c r="Q65" s="9">
        <v>1372.424</v>
      </c>
      <c r="R65" s="14"/>
      <c r="S65" s="12">
        <f t="shared" si="2"/>
        <v>-0.0003889165474</v>
      </c>
      <c r="T65" s="12">
        <f t="shared" si="3"/>
        <v>0.9996110835</v>
      </c>
      <c r="U65" s="16">
        <f t="shared" si="7"/>
        <v>101.5548943</v>
      </c>
      <c r="V65" s="17"/>
      <c r="W65" s="12">
        <f t="array" ref="W65">SQRT(252/20) *  SQRT( SUMSQ( LN(U44:U63 / U43:U62) )  - (1/20) * ( SUM( LN(U44:U63 / U43:U62) ) ^ 2 ) )</f>
        <v>0.01999930547</v>
      </c>
      <c r="X65" s="9">
        <f t="shared" si="4"/>
        <v>1.5</v>
      </c>
      <c r="Y65" s="14"/>
      <c r="Z65" s="12">
        <f t="shared" si="5"/>
        <v>0.9994124168</v>
      </c>
      <c r="AA65" s="16">
        <f t="shared" si="8"/>
        <v>102.3209543</v>
      </c>
      <c r="AB65" s="14"/>
      <c r="AC65" s="9">
        <f t="shared" si="6"/>
        <v>0</v>
      </c>
    </row>
    <row r="66">
      <c r="A66" s="8">
        <v>41821.0</v>
      </c>
      <c r="B66" s="14"/>
      <c r="C66" s="9">
        <f t="array" ref="C66">IFERROR(
  INDEX(
    IR!$B$2:$E2026,                
    MATCH($A66, IR!$A$2:$A2026, 0), 
    MATCH(C$1, IR!$B$1:$E$1, 0) ), "")
</f>
        <v>0.00098</v>
      </c>
      <c r="D66" s="9">
        <f t="array" ref="D66">IFERROR(
  INDEX(
    IR!$B$2:$E2026,                
    MATCH($A66, IR!$A$2:$A2026, 0), 
    MATCH(D$1, IR!$B$1:$E$1, 0) ), "")
</f>
        <v>0.00206</v>
      </c>
      <c r="E66" s="9">
        <f t="array" ref="E66">IFERROR(
  INDEX(
    IR!$B$2:$E2026,                
    MATCH($A66, IR!$A$2:$A2026, 0), 
    MATCH(E$1, IR!$B$1:$E$1, 0) ), "")
</f>
        <v>0.00302</v>
      </c>
      <c r="F66" s="9">
        <f t="array" ref="F66">IFERROR(
  INDEX(
    IR!$B$2:$E2026,                
    MATCH($A66, IR!$A$2:$A2026, 0), 
    MATCH(F$1, IR!$B$1:$E$1, 0) ), "")
</f>
        <v>0.00488</v>
      </c>
      <c r="G66" s="14"/>
      <c r="H66" s="9">
        <f t="array" ref="H66">IFERROR(
  INDEX(
    SR!$B$2:$D2026,            
    MATCH($A66, SR!$A$2:$A2026, 0),  
    MATCH(H$1, SR!$B$1:$D$1, 0) ), "")
</f>
        <v>0.00307</v>
      </c>
      <c r="I66" s="9">
        <f t="array" ref="I66">IFERROR(
  INDEX(
    SR!$B$2:$D2026,            
    MATCH($A66, SR!$A$2:$A2026, 0),  
    MATCH(I$1, SR!$B$1:$D$1, 0) ), "")
</f>
        <v>0.003802</v>
      </c>
      <c r="J66" s="9">
        <f t="array" ref="J66">IFERROR(
  INDEX(
    SR!$B$2:$D2026,            
    MATCH($A66, SR!$A$2:$A2026, 0),  
    MATCH(J$1, SR!$B$1:$D$1, 0) ), "")
</f>
        <v>0.006512</v>
      </c>
      <c r="K66" s="14"/>
      <c r="L66" s="9">
        <v>125.41</v>
      </c>
      <c r="M66" s="9">
        <v>24.31</v>
      </c>
      <c r="N66" s="9">
        <v>113.29</v>
      </c>
      <c r="O66" s="9">
        <v>124.48</v>
      </c>
      <c r="P66" s="9">
        <v>128.17</v>
      </c>
      <c r="Q66" s="9">
        <v>1373.6166</v>
      </c>
      <c r="R66" s="14"/>
      <c r="S66" s="12">
        <f t="shared" si="2"/>
        <v>0.0007860874432</v>
      </c>
      <c r="T66" s="12">
        <f t="shared" si="3"/>
        <v>1.000786087</v>
      </c>
      <c r="U66" s="16">
        <f t="shared" si="7"/>
        <v>101.6347254</v>
      </c>
      <c r="V66" s="17"/>
      <c r="W66" s="12">
        <f t="array" ref="W66">SQRT(252/20) *  SQRT( SUMSQ( LN(U45:U64 / U44:U63) )  - (1/20) * ( SUM( LN(U45:U64 / U44:U63) ) ^ 2 ) )</f>
        <v>0.01956945172</v>
      </c>
      <c r="X66" s="9">
        <f t="shared" si="4"/>
        <v>1.5</v>
      </c>
      <c r="Y66" s="14"/>
      <c r="Z66" s="12">
        <f t="shared" si="5"/>
        <v>1.001177756</v>
      </c>
      <c r="AA66" s="16">
        <f t="shared" si="8"/>
        <v>102.4414634</v>
      </c>
      <c r="AB66" s="14"/>
      <c r="AC66" s="9">
        <f t="shared" si="6"/>
        <v>0</v>
      </c>
    </row>
    <row r="67">
      <c r="A67" s="8">
        <v>41822.0</v>
      </c>
      <c r="B67" s="14"/>
      <c r="C67" s="9">
        <f t="array" ref="C67">IFERROR(
  INDEX(
    IR!$B$2:$E2026,                
    MATCH($A67, IR!$A$2:$A2026, 0), 
    MATCH(C$1, IR!$B$1:$E$1, 0) ), "")
</f>
        <v>0.00096</v>
      </c>
      <c r="D67" s="9">
        <f t="array" ref="D67">IFERROR(
  INDEX(
    IR!$B$2:$E2026,                
    MATCH($A67, IR!$A$2:$A2026, 0), 
    MATCH(D$1, IR!$B$1:$E$1, 0) ), "")
</f>
        <v>0.00205</v>
      </c>
      <c r="E67" s="9">
        <f t="array" ref="E67">IFERROR(
  INDEX(
    IR!$B$2:$E2026,                
    MATCH($A67, IR!$A$2:$A2026, 0), 
    MATCH(E$1, IR!$B$1:$E$1, 0) ), "")
</f>
        <v>0.00303</v>
      </c>
      <c r="F67" s="9">
        <f t="array" ref="F67">IFERROR(
  INDEX(
    IR!$B$2:$E2026,                
    MATCH($A67, IR!$A$2:$A2026, 0), 
    MATCH(F$1, IR!$B$1:$E$1, 0) ), "")
</f>
        <v>0.00487</v>
      </c>
      <c r="G67" s="14"/>
      <c r="H67" s="9">
        <f t="array" ref="H67">IFERROR(
  INDEX(
    SR!$B$2:$D2026,            
    MATCH($A67, SR!$A$2:$A2026, 0),  
    MATCH(H$1, SR!$B$1:$D$1, 0) ), "")
</f>
        <v>0.00318</v>
      </c>
      <c r="I67" s="9">
        <f t="array" ref="I67">IFERROR(
  INDEX(
    SR!$B$2:$D2026,            
    MATCH($A67, SR!$A$2:$A2026, 0),  
    MATCH(I$1, SR!$B$1:$D$1, 0) ), "")
</f>
        <v>0.00393</v>
      </c>
      <c r="J67" s="9">
        <f t="array" ref="J67">IFERROR(
  INDEX(
    SR!$B$2:$D2026,            
    MATCH($A67, SR!$A$2:$A2026, 0),  
    MATCH(J$1, SR!$B$1:$D$1, 0) ), "")
</f>
        <v>0.00677</v>
      </c>
      <c r="K67" s="14"/>
      <c r="L67" s="9">
        <v>125.54</v>
      </c>
      <c r="M67" s="9">
        <v>24.3</v>
      </c>
      <c r="N67" s="9">
        <v>113.32</v>
      </c>
      <c r="O67" s="9">
        <v>124.72</v>
      </c>
      <c r="P67" s="9">
        <v>128.66</v>
      </c>
      <c r="Q67" s="9">
        <v>1377.1649</v>
      </c>
      <c r="R67" s="14"/>
      <c r="S67" s="12">
        <f t="shared" si="2"/>
        <v>0.00153702713</v>
      </c>
      <c r="T67" s="12">
        <f t="shared" si="3"/>
        <v>1.001537027</v>
      </c>
      <c r="U67" s="16">
        <f t="shared" si="7"/>
        <v>101.7909407</v>
      </c>
      <c r="V67" s="17"/>
      <c r="W67" s="12">
        <f t="array" ref="W67">SQRT(252/20) *  SQRT( SUMSQ( LN(U46:U65 / U45:U64) )  - (1/20) * ( SUM( LN(U46:U65 / U45:U64) ) ^ 2 ) )</f>
        <v>0.01901534971</v>
      </c>
      <c r="X67" s="9">
        <f t="shared" si="4"/>
        <v>1.5</v>
      </c>
      <c r="Y67" s="14"/>
      <c r="Z67" s="12">
        <f t="shared" si="5"/>
        <v>1.00230418</v>
      </c>
      <c r="AA67" s="16">
        <f t="shared" si="8"/>
        <v>102.677507</v>
      </c>
      <c r="AB67" s="14"/>
      <c r="AC67" s="9">
        <f t="shared" si="6"/>
        <v>0</v>
      </c>
    </row>
    <row r="68">
      <c r="A68" s="8">
        <v>41823.0</v>
      </c>
      <c r="B68" s="14"/>
      <c r="C68" s="9">
        <f t="array" ref="C68">IFERROR(
  INDEX(
    IR!$B$2:$E2026,                
    MATCH($A68, IR!$A$2:$A2026, 0), 
    MATCH(C$1, IR!$B$1:$E$1, 0) ), "")
</f>
        <v>0.00097</v>
      </c>
      <c r="D68" s="9">
        <f t="array" ref="D68">IFERROR(
  INDEX(
    IR!$B$2:$E2026,                
    MATCH($A68, IR!$A$2:$A2026, 0), 
    MATCH(D$1, IR!$B$1:$E$1, 0) ), "")
</f>
        <v>0.00206</v>
      </c>
      <c r="E68" s="9">
        <f t="array" ref="E68">IFERROR(
  INDEX(
    IR!$B$2:$E2026,                
    MATCH($A68, IR!$A$2:$A2026, 0), 
    MATCH(E$1, IR!$B$1:$E$1, 0) ), "")
</f>
        <v>0.00303</v>
      </c>
      <c r="F68" s="9">
        <f t="array" ref="F68">IFERROR(
  INDEX(
    IR!$B$2:$E2026,                
    MATCH($A68, IR!$A$2:$A2026, 0), 
    MATCH(F$1, IR!$B$1:$E$1, 0) ), "")
</f>
        <v>0.00488</v>
      </c>
      <c r="G68" s="14"/>
      <c r="H68" s="9">
        <f t="array" ref="H68">IFERROR(
  INDEX(
    SR!$B$2:$D2026,            
    MATCH($A68, SR!$A$2:$A2026, 0),  
    MATCH(H$1, SR!$B$1:$D$1, 0) ), "")
</f>
        <v>0.00313</v>
      </c>
      <c r="I68" s="9">
        <f t="array" ref="I68">IFERROR(
  INDEX(
    SR!$B$2:$D2026,            
    MATCH($A68, SR!$A$2:$A2026, 0),  
    MATCH(I$1, SR!$B$1:$D$1, 0) ), "")
</f>
        <v>0.003936</v>
      </c>
      <c r="J68" s="9">
        <f t="array" ref="J68">IFERROR(
  INDEX(
    SR!$B$2:$D2026,            
    MATCH($A68, SR!$A$2:$A2026, 0),  
    MATCH(J$1, SR!$B$1:$D$1, 0) ), "")
</f>
        <v>0.00679</v>
      </c>
      <c r="K68" s="14"/>
      <c r="L68" s="9">
        <v>125.66</v>
      </c>
      <c r="M68" s="9">
        <v>24.3</v>
      </c>
      <c r="N68" s="9">
        <v>113.35</v>
      </c>
      <c r="O68" s="9">
        <v>124.49</v>
      </c>
      <c r="P68" s="9">
        <v>128.57</v>
      </c>
      <c r="Q68" s="9">
        <v>1379.3488</v>
      </c>
      <c r="R68" s="14"/>
      <c r="S68" s="12">
        <f t="shared" si="2"/>
        <v>0.00004393319978</v>
      </c>
      <c r="T68" s="12">
        <f t="shared" si="3"/>
        <v>1.000043933</v>
      </c>
      <c r="U68" s="16">
        <f t="shared" si="7"/>
        <v>101.7954127</v>
      </c>
      <c r="V68" s="17"/>
      <c r="W68" s="12">
        <f t="array" ref="W68">SQRT(252/20) *  SQRT( SUMSQ( LN(U47:U66 / U46:U65) )  - (1/20) * ( SUM( LN(U47:U66 / U46:U65) ) ^ 2 ) )</f>
        <v>0.01867420144</v>
      </c>
      <c r="X68" s="9">
        <f t="shared" si="4"/>
        <v>1.5</v>
      </c>
      <c r="Y68" s="14"/>
      <c r="Z68" s="12">
        <f t="shared" si="5"/>
        <v>1.000064566</v>
      </c>
      <c r="AA68" s="16">
        <f t="shared" si="8"/>
        <v>102.6841365</v>
      </c>
      <c r="AB68" s="14"/>
      <c r="AC68" s="9">
        <f t="shared" si="6"/>
        <v>0</v>
      </c>
    </row>
    <row r="69">
      <c r="A69" s="8">
        <v>41824.0</v>
      </c>
      <c r="B69" s="14"/>
      <c r="C69" s="9">
        <f t="array" ref="C69">IFERROR(
  INDEX(
    IR!$B$2:$E2026,                
    MATCH($A69, IR!$A$2:$A2026, 0), 
    MATCH(C$1, IR!$B$1:$E$1, 0) ), "")
</f>
        <v>0.00097</v>
      </c>
      <c r="D69" s="9">
        <f t="array" ref="D69">IFERROR(
  INDEX(
    IR!$B$2:$E2026,                
    MATCH($A69, IR!$A$2:$A2026, 0), 
    MATCH(D$1, IR!$B$1:$E$1, 0) ), "")
</f>
        <v>0.00204</v>
      </c>
      <c r="E69" s="9">
        <f t="array" ref="E69">IFERROR(
  INDEX(
    IR!$B$2:$E2026,                
    MATCH($A69, IR!$A$2:$A2026, 0), 
    MATCH(E$1, IR!$B$1:$E$1, 0) ), "")
</f>
        <v>0.00303</v>
      </c>
      <c r="F69" s="9">
        <f t="array" ref="F69">IFERROR(
  INDEX(
    IR!$B$2:$E2026,                
    MATCH($A69, IR!$A$2:$A2026, 0), 
    MATCH(F$1, IR!$B$1:$E$1, 0) ), "")
</f>
        <v>0.00486</v>
      </c>
      <c r="G69" s="14"/>
      <c r="H69" s="9">
        <f t="array" ref="H69">IFERROR(
  INDEX(
    SR!$B$2:$D2026,            
    MATCH($A69, SR!$A$2:$A2026, 0),  
    MATCH(H$1, SR!$B$1:$D$1, 0) ), "")
</f>
        <v>0.003095</v>
      </c>
      <c r="I69" s="9">
        <f t="array" ref="I69">IFERROR(
  INDEX(
    SR!$B$2:$D2026,            
    MATCH($A69, SR!$A$2:$A2026, 0),  
    MATCH(I$1, SR!$B$1:$D$1, 0) ), "")
</f>
        <v>0.003895</v>
      </c>
      <c r="J69" s="9">
        <f t="array" ref="J69">IFERROR(
  INDEX(
    SR!$B$2:$D2026,            
    MATCH($A69, SR!$A$2:$A2026, 0),  
    MATCH(J$1, SR!$B$1:$D$1, 0) ), "")
</f>
        <v>0.00661</v>
      </c>
      <c r="K69" s="14"/>
      <c r="L69" s="9">
        <v>125.51</v>
      </c>
      <c r="M69" s="9">
        <v>24.31</v>
      </c>
      <c r="N69" s="9">
        <v>113.3</v>
      </c>
      <c r="O69" s="9">
        <v>124.92</v>
      </c>
      <c r="P69" s="9">
        <v>128.75</v>
      </c>
      <c r="Q69" s="9">
        <v>1380.3125</v>
      </c>
      <c r="R69" s="14"/>
      <c r="S69" s="12">
        <f t="shared" si="2"/>
        <v>0.0007213620722</v>
      </c>
      <c r="T69" s="12">
        <f t="shared" si="3"/>
        <v>1.000721362</v>
      </c>
      <c r="U69" s="16">
        <f t="shared" si="7"/>
        <v>101.868844</v>
      </c>
      <c r="V69" s="17"/>
      <c r="W69" s="12">
        <f t="array" ref="W69">SQRT(252/20) *  SQRT( SUMSQ( LN(U48:U67 / U47:U66) )  - (1/20) * ( SUM( LN(U48:U67 / U47:U66) ) ^ 2 ) )</f>
        <v>0.01922924972</v>
      </c>
      <c r="X69" s="9">
        <f t="shared" si="4"/>
        <v>1.5</v>
      </c>
      <c r="Y69" s="14"/>
      <c r="Z69" s="12">
        <f t="shared" si="5"/>
        <v>1.001080696</v>
      </c>
      <c r="AA69" s="16">
        <f t="shared" si="8"/>
        <v>102.7951068</v>
      </c>
      <c r="AB69" s="14"/>
      <c r="AC69" s="9">
        <f t="shared" si="6"/>
        <v>0</v>
      </c>
    </row>
    <row r="70">
      <c r="A70" s="8">
        <v>41827.0</v>
      </c>
      <c r="B70" s="14"/>
      <c r="C70" s="9">
        <f t="array" ref="C70">IFERROR(
  INDEX(
    IR!$B$2:$E2026,                
    MATCH($A70, IR!$A$2:$A2026, 0), 
    MATCH(C$1, IR!$B$1:$E$1, 0) ), "")
</f>
        <v>0.00097</v>
      </c>
      <c r="D70" s="9">
        <f t="array" ref="D70">IFERROR(
  INDEX(
    IR!$B$2:$E2026,                
    MATCH($A70, IR!$A$2:$A2026, 0), 
    MATCH(D$1, IR!$B$1:$E$1, 0) ), "")
</f>
        <v>0.00203</v>
      </c>
      <c r="E70" s="9">
        <f t="array" ref="E70">IFERROR(
  INDEX(
    IR!$B$2:$E2026,                
    MATCH($A70, IR!$A$2:$A2026, 0), 
    MATCH(E$1, IR!$B$1:$E$1, 0) ), "")
</f>
        <v>0.00303</v>
      </c>
      <c r="F70" s="9">
        <f t="array" ref="F70">IFERROR(
  INDEX(
    IR!$B$2:$E2026,                
    MATCH($A70, IR!$A$2:$A2026, 0), 
    MATCH(F$1, IR!$B$1:$E$1, 0) ), "")
</f>
        <v>0.00486</v>
      </c>
      <c r="G70" s="14"/>
      <c r="H70" s="9">
        <f t="array" ref="H70">IFERROR(
  INDEX(
    SR!$B$2:$D2026,            
    MATCH($A70, SR!$A$2:$A2026, 0),  
    MATCH(H$1, SR!$B$1:$D$1, 0) ), "")
</f>
        <v>0.00311</v>
      </c>
      <c r="I70" s="9">
        <f t="array" ref="I70">IFERROR(
  INDEX(
    SR!$B$2:$D2026,            
    MATCH($A70, SR!$A$2:$A2026, 0),  
    MATCH(I$1, SR!$B$1:$D$1, 0) ), "")
</f>
        <v>0.003876</v>
      </c>
      <c r="J70" s="9">
        <f t="array" ref="J70">IFERROR(
  INDEX(
    SR!$B$2:$D2026,            
    MATCH($A70, SR!$A$2:$A2026, 0),  
    MATCH(J$1, SR!$B$1:$D$1, 0) ), "")
</f>
        <v>0.00664</v>
      </c>
      <c r="K70" s="14"/>
      <c r="L70" s="9">
        <v>125.17</v>
      </c>
      <c r="M70" s="9">
        <v>24.31</v>
      </c>
      <c r="N70" s="9">
        <v>113.33</v>
      </c>
      <c r="O70" s="9">
        <v>125.2</v>
      </c>
      <c r="P70" s="9">
        <v>128.79</v>
      </c>
      <c r="Q70" s="9">
        <v>1380.1121</v>
      </c>
      <c r="R70" s="14"/>
      <c r="S70" s="12">
        <f t="shared" si="2"/>
        <v>-0.000006217722665</v>
      </c>
      <c r="T70" s="12">
        <f t="shared" si="3"/>
        <v>0.9999937823</v>
      </c>
      <c r="U70" s="16">
        <f t="shared" si="7"/>
        <v>101.8682107</v>
      </c>
      <c r="V70" s="17"/>
      <c r="W70" s="12">
        <f t="array" ref="W70">SQRT(252/20) *  SQRT( SUMSQ( LN(U49:U68 / U48:U67) )  - (1/20) * ( SUM( LN(U49:U68 / U48:U67) ) ^ 2 ) )</f>
        <v>0.01922537327</v>
      </c>
      <c r="X70" s="9">
        <f t="shared" si="4"/>
        <v>1.5</v>
      </c>
      <c r="Y70" s="14"/>
      <c r="Z70" s="12">
        <f t="shared" si="5"/>
        <v>0.9999866317</v>
      </c>
      <c r="AA70" s="16">
        <f t="shared" si="8"/>
        <v>102.7937326</v>
      </c>
      <c r="AB70" s="14"/>
      <c r="AC70" s="9">
        <f t="shared" si="6"/>
        <v>0</v>
      </c>
    </row>
    <row r="71">
      <c r="A71" s="8">
        <v>41828.0</v>
      </c>
      <c r="B71" s="14"/>
      <c r="C71" s="9">
        <f t="array" ref="C71">IFERROR(
  INDEX(
    IR!$B$2:$E2026,                
    MATCH($A71, IR!$A$2:$A2026, 0), 
    MATCH(C$1, IR!$B$1:$E$1, 0) ), "")
</f>
        <v>0.00096</v>
      </c>
      <c r="D71" s="9">
        <f t="array" ref="D71">IFERROR(
  INDEX(
    IR!$B$2:$E2026,                
    MATCH($A71, IR!$A$2:$A2026, 0), 
    MATCH(D$1, IR!$B$1:$E$1, 0) ), "")
</f>
        <v>0.00203</v>
      </c>
      <c r="E71" s="9">
        <f t="array" ref="E71">IFERROR(
  INDEX(
    IR!$B$2:$E2026,                
    MATCH($A71, IR!$A$2:$A2026, 0), 
    MATCH(E$1, IR!$B$1:$E$1, 0) ), "")
</f>
        <v>0.00303</v>
      </c>
      <c r="F71" s="9">
        <f t="array" ref="F71">IFERROR(
  INDEX(
    IR!$B$2:$E2026,                
    MATCH($A71, IR!$A$2:$A2026, 0), 
    MATCH(F$1, IR!$B$1:$E$1, 0) ), "")
</f>
        <v>0.00486</v>
      </c>
      <c r="G71" s="14"/>
      <c r="H71" s="9">
        <f t="array" ref="H71">IFERROR(
  INDEX(
    SR!$B$2:$D2026,            
    MATCH($A71, SR!$A$2:$A2026, 0),  
    MATCH(H$1, SR!$B$1:$D$1, 0) ), "")
</f>
        <v>0.003093</v>
      </c>
      <c r="I71" s="9">
        <f t="array" ref="I71">IFERROR(
  INDEX(
    SR!$B$2:$D2026,            
    MATCH($A71, SR!$A$2:$A2026, 0),  
    MATCH(I$1, SR!$B$1:$D$1, 0) ), "")
</f>
        <v>0.003785</v>
      </c>
      <c r="J71" s="9">
        <f t="array" ref="J71">IFERROR(
  INDEX(
    SR!$B$2:$D2026,            
    MATCH($A71, SR!$A$2:$A2026, 0),  
    MATCH(J$1, SR!$B$1:$D$1, 0) ), "")
</f>
        <v>0.006355</v>
      </c>
      <c r="K71" s="14"/>
      <c r="L71" s="9">
        <v>124.72</v>
      </c>
      <c r="M71" s="9">
        <v>24.31</v>
      </c>
      <c r="N71" s="9">
        <v>113.33</v>
      </c>
      <c r="O71" s="9">
        <v>124.72</v>
      </c>
      <c r="P71" s="9">
        <v>128.58</v>
      </c>
      <c r="Q71" s="9">
        <v>1375.0642</v>
      </c>
      <c r="R71" s="14"/>
      <c r="S71" s="12">
        <f t="shared" si="2"/>
        <v>-0.002119041164</v>
      </c>
      <c r="T71" s="12">
        <f t="shared" si="3"/>
        <v>0.9978809588</v>
      </c>
      <c r="U71" s="16">
        <f t="shared" si="7"/>
        <v>101.6523477</v>
      </c>
      <c r="V71" s="17"/>
      <c r="W71" s="12">
        <f t="array" ref="W71">SQRT(252/20) *  SQRT( SUMSQ( LN(U50:U69 / U49:U68) )  - (1/20) * ( SUM( LN(U50:U69 / U49:U68) ) ^ 2 ) )</f>
        <v>0.01814908096</v>
      </c>
      <c r="X71" s="9">
        <f t="shared" si="4"/>
        <v>1.5</v>
      </c>
      <c r="Y71" s="14"/>
      <c r="Z71" s="12">
        <f t="shared" si="5"/>
        <v>0.996820091</v>
      </c>
      <c r="AA71" s="16">
        <f t="shared" si="8"/>
        <v>102.4668579</v>
      </c>
      <c r="AB71" s="14"/>
      <c r="AC71" s="9">
        <f t="shared" si="6"/>
        <v>0</v>
      </c>
    </row>
    <row r="72">
      <c r="A72" s="8">
        <v>41829.0</v>
      </c>
      <c r="B72" s="14"/>
      <c r="C72" s="9">
        <f t="array" ref="C72">IFERROR(
  INDEX(
    IR!$B$2:$E2026,                
    MATCH($A72, IR!$A$2:$A2026, 0), 
    MATCH(C$1, IR!$B$1:$E$1, 0) ), "")
</f>
        <v>0.00095</v>
      </c>
      <c r="D72" s="9">
        <f t="array" ref="D72">IFERROR(
  INDEX(
    IR!$B$2:$E2026,                
    MATCH($A72, IR!$A$2:$A2026, 0), 
    MATCH(D$1, IR!$B$1:$E$1, 0) ), "")
</f>
        <v>0.00203</v>
      </c>
      <c r="E72" s="9">
        <f t="array" ref="E72">IFERROR(
  INDEX(
    IR!$B$2:$E2026,                
    MATCH($A72, IR!$A$2:$A2026, 0), 
    MATCH(E$1, IR!$B$1:$E$1, 0) ), "")
</f>
        <v>0.00304</v>
      </c>
      <c r="F72" s="9">
        <f t="array" ref="F72">IFERROR(
  INDEX(
    IR!$B$2:$E2026,                
    MATCH($A72, IR!$A$2:$A2026, 0), 
    MATCH(F$1, IR!$B$1:$E$1, 0) ), "")
</f>
        <v>0.00487</v>
      </c>
      <c r="G72" s="14"/>
      <c r="H72" s="9">
        <f t="array" ref="H72">IFERROR(
  INDEX(
    SR!$B$2:$D2026,            
    MATCH($A72, SR!$A$2:$A2026, 0),  
    MATCH(H$1, SR!$B$1:$D$1, 0) ), "")
</f>
        <v>0.00313</v>
      </c>
      <c r="I72" s="9">
        <f t="array" ref="I72">IFERROR(
  INDEX(
    SR!$B$2:$D2026,            
    MATCH($A72, SR!$A$2:$A2026, 0),  
    MATCH(I$1, SR!$B$1:$D$1, 0) ), "")
</f>
        <v>0.00382</v>
      </c>
      <c r="J72" s="9">
        <f t="array" ref="J72">IFERROR(
  INDEX(
    SR!$B$2:$D2026,            
    MATCH($A72, SR!$A$2:$A2026, 0),  
    MATCH(J$1, SR!$B$1:$D$1, 0) ), "")
</f>
        <v>0.006445</v>
      </c>
      <c r="K72" s="14"/>
      <c r="L72" s="9">
        <v>124.74</v>
      </c>
      <c r="M72" s="9">
        <v>24.31</v>
      </c>
      <c r="N72" s="9">
        <v>113.29</v>
      </c>
      <c r="O72" s="9">
        <v>124.41</v>
      </c>
      <c r="P72" s="9">
        <v>128.16</v>
      </c>
      <c r="Q72" s="9">
        <v>1365.8644</v>
      </c>
      <c r="R72" s="14"/>
      <c r="S72" s="12">
        <f t="shared" si="2"/>
        <v>-0.002105670071</v>
      </c>
      <c r="T72" s="12">
        <f t="shared" si="3"/>
        <v>0.9978943299</v>
      </c>
      <c r="U72" s="16">
        <f t="shared" si="7"/>
        <v>101.4383014</v>
      </c>
      <c r="V72" s="17"/>
      <c r="W72" s="12">
        <f t="array" ref="W72">SQRT(252/20) *  SQRT( SUMSQ( LN(U51:U70 / U50:U69) )  - (1/20) * ( SUM( LN(U51:U70 / U50:U69) ) ^ 2 ) )</f>
        <v>0.01818814217</v>
      </c>
      <c r="X72" s="9">
        <f t="shared" si="4"/>
        <v>1.5</v>
      </c>
      <c r="Y72" s="14"/>
      <c r="Z72" s="12">
        <f t="shared" si="5"/>
        <v>0.9968401616</v>
      </c>
      <c r="AA72" s="16">
        <f t="shared" si="8"/>
        <v>102.1430792</v>
      </c>
      <c r="AB72" s="14"/>
      <c r="AC72" s="9">
        <f t="shared" si="6"/>
        <v>0</v>
      </c>
    </row>
    <row r="73">
      <c r="A73" s="8">
        <v>41830.0</v>
      </c>
      <c r="B73" s="14"/>
      <c r="C73" s="9">
        <f t="array" ref="C73">IFERROR(
  INDEX(
    IR!$B$2:$E2026,                
    MATCH($A73, IR!$A$2:$A2026, 0), 
    MATCH(C$1, IR!$B$1:$E$1, 0) ), "")
</f>
        <v>0.00094</v>
      </c>
      <c r="D73" s="9">
        <f t="array" ref="D73">IFERROR(
  INDEX(
    IR!$B$2:$E2026,                
    MATCH($A73, IR!$A$2:$A2026, 0), 
    MATCH(D$1, IR!$B$1:$E$1, 0) ), "")
</f>
        <v>0.00202</v>
      </c>
      <c r="E73" s="9">
        <f t="array" ref="E73">IFERROR(
  INDEX(
    IR!$B$2:$E2026,                
    MATCH($A73, IR!$A$2:$A2026, 0), 
    MATCH(E$1, IR!$B$1:$E$1, 0) ), "")
</f>
        <v>0.00304</v>
      </c>
      <c r="F73" s="9">
        <f t="array" ref="F73">IFERROR(
  INDEX(
    IR!$B$2:$E2026,                
    MATCH($A73, IR!$A$2:$A2026, 0), 
    MATCH(F$1, IR!$B$1:$E$1, 0) ), "")
</f>
        <v>0.00487</v>
      </c>
      <c r="G73" s="14"/>
      <c r="H73" s="9">
        <f t="array" ref="H73">IFERROR(
  INDEX(
    SR!$B$2:$D2026,            
    MATCH($A73, SR!$A$2:$A2026, 0),  
    MATCH(H$1, SR!$B$1:$D$1, 0) ), "")
</f>
        <v>0.00313</v>
      </c>
      <c r="I73" s="9">
        <f t="array" ref="I73">IFERROR(
  INDEX(
    SR!$B$2:$D2026,            
    MATCH($A73, SR!$A$2:$A2026, 0),  
    MATCH(I$1, SR!$B$1:$D$1, 0) ), "")
</f>
        <v>0.00382</v>
      </c>
      <c r="J73" s="9">
        <f t="array" ref="J73">IFERROR(
  INDEX(
    SR!$B$2:$D2026,            
    MATCH($A73, SR!$A$2:$A2026, 0),  
    MATCH(J$1, SR!$B$1:$D$1, 0) ), "")
</f>
        <v>0.00639</v>
      </c>
      <c r="K73" s="14"/>
      <c r="L73" s="9">
        <v>124.34</v>
      </c>
      <c r="M73" s="9">
        <v>24.32</v>
      </c>
      <c r="N73" s="9">
        <v>113.24</v>
      </c>
      <c r="O73" s="9">
        <v>124.56</v>
      </c>
      <c r="P73" s="9">
        <v>128.29</v>
      </c>
      <c r="Q73" s="9">
        <v>1367.4002</v>
      </c>
      <c r="R73" s="14"/>
      <c r="S73" s="12">
        <f t="shared" si="2"/>
        <v>0.00001807230992</v>
      </c>
      <c r="T73" s="12">
        <f t="shared" si="3"/>
        <v>1.000018072</v>
      </c>
      <c r="U73" s="16">
        <f t="shared" si="7"/>
        <v>101.4401346</v>
      </c>
      <c r="V73" s="17"/>
      <c r="W73" s="12">
        <f t="array" ref="W73">SQRT(252/20) *  SQRT( SUMSQ( LN(U52:U71 / U51:U70) )  - (1/20) * ( SUM( LN(U52:U71 / U51:U70) ) ^ 2 ) )</f>
        <v>0.01873259165</v>
      </c>
      <c r="X73" s="9">
        <f t="shared" si="4"/>
        <v>1.5</v>
      </c>
      <c r="Y73" s="14"/>
      <c r="Z73" s="12">
        <f t="shared" si="5"/>
        <v>1.000025789</v>
      </c>
      <c r="AA73" s="16">
        <f t="shared" si="8"/>
        <v>102.1457134</v>
      </c>
      <c r="AB73" s="14"/>
      <c r="AC73" s="9">
        <f t="shared" si="6"/>
        <v>0</v>
      </c>
    </row>
    <row r="74">
      <c r="A74" s="8">
        <v>41831.0</v>
      </c>
      <c r="B74" s="14"/>
      <c r="C74" s="9">
        <f t="array" ref="C74">IFERROR(
  INDEX(
    IR!$B$2:$E2026,                
    MATCH($A74, IR!$A$2:$A2026, 0), 
    MATCH(C$1, IR!$B$1:$E$1, 0) ), "")
</f>
        <v>0.00093</v>
      </c>
      <c r="D74" s="9">
        <f t="array" ref="D74">IFERROR(
  INDEX(
    IR!$B$2:$E2026,                
    MATCH($A74, IR!$A$2:$A2026, 0), 
    MATCH(D$1, IR!$B$1:$E$1, 0) ), "")
</f>
        <v>0.00203</v>
      </c>
      <c r="E74" s="9">
        <f t="array" ref="E74">IFERROR(
  INDEX(
    IR!$B$2:$E2026,                
    MATCH($A74, IR!$A$2:$A2026, 0), 
    MATCH(E$1, IR!$B$1:$E$1, 0) ), "")
</f>
        <v>0.00305</v>
      </c>
      <c r="F74" s="9">
        <f t="array" ref="F74">IFERROR(
  INDEX(
    IR!$B$2:$E2026,                
    MATCH($A74, IR!$A$2:$A2026, 0), 
    MATCH(F$1, IR!$B$1:$E$1, 0) ), "")
</f>
        <v>0.00487</v>
      </c>
      <c r="G74" s="14"/>
      <c r="H74" s="9">
        <f t="array" ref="H74">IFERROR(
  INDEX(
    SR!$B$2:$D2026,            
    MATCH($A74, SR!$A$2:$A2026, 0),  
    MATCH(H$1, SR!$B$1:$D$1, 0) ), "")
</f>
        <v>0.00315</v>
      </c>
      <c r="I74" s="9">
        <f t="array" ref="I74">IFERROR(
  INDEX(
    SR!$B$2:$D2026,            
    MATCH($A74, SR!$A$2:$A2026, 0),  
    MATCH(I$1, SR!$B$1:$D$1, 0) ), "")
</f>
        <v>0.003849</v>
      </c>
      <c r="J74" s="9">
        <f t="array" ref="J74">IFERROR(
  INDEX(
    SR!$B$2:$D2026,            
    MATCH($A74, SR!$A$2:$A2026, 0),  
    MATCH(J$1, SR!$B$1:$D$1, 0) ), "")
</f>
        <v>0.00636</v>
      </c>
      <c r="K74" s="14"/>
      <c r="L74" s="9">
        <v>124.24</v>
      </c>
      <c r="M74" s="9">
        <v>24.32</v>
      </c>
      <c r="N74" s="9">
        <v>113.17</v>
      </c>
      <c r="O74" s="9">
        <v>124.1</v>
      </c>
      <c r="P74" s="9">
        <v>128.05</v>
      </c>
      <c r="Q74" s="9">
        <v>1363.1432</v>
      </c>
      <c r="R74" s="14"/>
      <c r="S74" s="12">
        <f t="shared" si="2"/>
        <v>-0.001682866455</v>
      </c>
      <c r="T74" s="12">
        <f t="shared" si="3"/>
        <v>0.9983171335</v>
      </c>
      <c r="U74" s="16">
        <f t="shared" si="7"/>
        <v>101.2694244</v>
      </c>
      <c r="V74" s="17"/>
      <c r="W74" s="12">
        <f t="array" ref="W74">SQRT(252/20) *  SQRT( SUMSQ( LN(U53:U72 / U52:U71) )  - (1/20) * ( SUM( LN(U53:U72 / U52:U71) ) ^ 2 ) )</f>
        <v>0.01743848547</v>
      </c>
      <c r="X74" s="9">
        <f t="shared" si="4"/>
        <v>1.5</v>
      </c>
      <c r="Y74" s="14"/>
      <c r="Z74" s="12">
        <f t="shared" si="5"/>
        <v>0.9974743948</v>
      </c>
      <c r="AA74" s="16">
        <f t="shared" si="8"/>
        <v>101.8877336</v>
      </c>
      <c r="AB74" s="14"/>
      <c r="AC74" s="9">
        <f t="shared" si="6"/>
        <v>0</v>
      </c>
    </row>
    <row r="75">
      <c r="A75" s="8">
        <v>41834.0</v>
      </c>
      <c r="B75" s="14"/>
      <c r="C75" s="9">
        <f t="array" ref="C75">IFERROR(
  INDEX(
    IR!$B$2:$E2026,                
    MATCH($A75, IR!$A$2:$A2026, 0), 
    MATCH(C$1, IR!$B$1:$E$1, 0) ), "")
</f>
        <v>0.00092</v>
      </c>
      <c r="D75" s="9">
        <f t="array" ref="D75">IFERROR(
  INDEX(
    IR!$B$2:$E2026,                
    MATCH($A75, IR!$A$2:$A2026, 0), 
    MATCH(D$1, IR!$B$1:$E$1, 0) ), "")
</f>
        <v>0.00203</v>
      </c>
      <c r="E75" s="9">
        <f t="array" ref="E75">IFERROR(
  INDEX(
    IR!$B$2:$E2026,                
    MATCH($A75, IR!$A$2:$A2026, 0), 
    MATCH(E$1, IR!$B$1:$E$1, 0) ), "")
</f>
        <v>0.00306</v>
      </c>
      <c r="F75" s="9">
        <f t="array" ref="F75">IFERROR(
  INDEX(
    IR!$B$2:$E2026,                
    MATCH($A75, IR!$A$2:$A2026, 0), 
    MATCH(F$1, IR!$B$1:$E$1, 0) ), "")
</f>
        <v>0.00488</v>
      </c>
      <c r="G75" s="14"/>
      <c r="H75" s="9">
        <f t="array" ref="H75">IFERROR(
  INDEX(
    SR!$B$2:$D2026,            
    MATCH($A75, SR!$A$2:$A2026, 0),  
    MATCH(H$1, SR!$B$1:$D$1, 0) ), "")
</f>
        <v>0.003185</v>
      </c>
      <c r="I75" s="9">
        <f t="array" ref="I75">IFERROR(
  INDEX(
    SR!$B$2:$D2026,            
    MATCH($A75, SR!$A$2:$A2026, 0),  
    MATCH(I$1, SR!$B$1:$D$1, 0) ), "")
</f>
        <v>0.003865</v>
      </c>
      <c r="J75" s="9">
        <f t="array" ref="J75">IFERROR(
  INDEX(
    SR!$B$2:$D2026,            
    MATCH($A75, SR!$A$2:$A2026, 0),  
    MATCH(J$1, SR!$B$1:$D$1, 0) ), "")
</f>
        <v>0.006394</v>
      </c>
      <c r="K75" s="14"/>
      <c r="L75" s="23">
        <v>124.24</v>
      </c>
      <c r="M75" s="9">
        <v>24.31</v>
      </c>
      <c r="N75" s="9">
        <v>113.17</v>
      </c>
      <c r="O75" s="9">
        <v>123.97</v>
      </c>
      <c r="P75" s="9">
        <v>128.2</v>
      </c>
      <c r="Q75" s="9">
        <v>1363.9124</v>
      </c>
      <c r="R75" s="14"/>
      <c r="S75" s="12">
        <f t="shared" si="2"/>
        <v>0.00004620045927</v>
      </c>
      <c r="T75" s="12">
        <f t="shared" si="3"/>
        <v>1.0000462</v>
      </c>
      <c r="U75" s="16">
        <f t="shared" si="7"/>
        <v>101.2741031</v>
      </c>
      <c r="V75" s="17"/>
      <c r="W75" s="12">
        <f t="array" ref="W75">SQRT(252/20) *  SQRT( SUMSQ( LN(U54:U73 / U53:U72) )  - (1/20) * ( SUM( LN(U54:U73 / U53:U72) ) ^ 2 ) )</f>
        <v>0.01740689449</v>
      </c>
      <c r="X75" s="9">
        <f t="shared" si="4"/>
        <v>1.5</v>
      </c>
      <c r="Y75" s="14"/>
      <c r="Z75" s="12">
        <f t="shared" si="5"/>
        <v>1.000065426</v>
      </c>
      <c r="AA75" s="16">
        <f t="shared" si="8"/>
        <v>101.8943997</v>
      </c>
      <c r="AB75" s="14"/>
      <c r="AC75" s="9">
        <f t="shared" si="6"/>
        <v>0</v>
      </c>
    </row>
    <row r="76">
      <c r="A76" s="8">
        <v>41835.0</v>
      </c>
      <c r="B76" s="14"/>
      <c r="C76" s="9">
        <f t="array" ref="C76">IFERROR(
  INDEX(
    IR!$B$2:$E2026,                
    MATCH($A76, IR!$A$2:$A2026, 0), 
    MATCH(C$1, IR!$B$1:$E$1, 0) ), "")
</f>
        <v>0.00092</v>
      </c>
      <c r="D76" s="9">
        <f t="array" ref="D76">IFERROR(
  INDEX(
    IR!$B$2:$E2026,                
    MATCH($A76, IR!$A$2:$A2026, 0), 
    MATCH(D$1, IR!$B$1:$E$1, 0) ), "")
</f>
        <v>0.00202</v>
      </c>
      <c r="E76" s="9">
        <f t="array" ref="E76">IFERROR(
  INDEX(
    IR!$B$2:$E2026,                
    MATCH($A76, IR!$A$2:$A2026, 0), 
    MATCH(E$1, IR!$B$1:$E$1, 0) ), "")
</f>
        <v>0.00306</v>
      </c>
      <c r="F76" s="9">
        <f t="array" ref="F76">IFERROR(
  INDEX(
    IR!$B$2:$E2026,                
    MATCH($A76, IR!$A$2:$A2026, 0), 
    MATCH(F$1, IR!$B$1:$E$1, 0) ), "")
</f>
        <v>0.00487</v>
      </c>
      <c r="G76" s="14"/>
      <c r="H76" s="9">
        <f t="array" ref="H76">IFERROR(
  INDEX(
    SR!$B$2:$D2026,            
    MATCH($A76, SR!$A$2:$A2026, 0),  
    MATCH(H$1, SR!$B$1:$D$1, 0) ), "")
</f>
        <v>0.00318</v>
      </c>
      <c r="I76" s="9">
        <f t="array" ref="I76">IFERROR(
  INDEX(
    SR!$B$2:$D2026,            
    MATCH($A76, SR!$A$2:$A2026, 0),  
    MATCH(I$1, SR!$B$1:$D$1, 0) ), "")
</f>
        <v>0.003885</v>
      </c>
      <c r="J76" s="9">
        <f t="array" ref="J76">IFERROR(
  INDEX(
    SR!$B$2:$D2026,            
    MATCH($A76, SR!$A$2:$A2026, 0),  
    MATCH(J$1, SR!$B$1:$D$1, 0) ), "")
</f>
        <v>0.00641</v>
      </c>
      <c r="K76" s="14"/>
      <c r="L76" s="9">
        <v>124.22</v>
      </c>
      <c r="M76" s="9">
        <v>24.33</v>
      </c>
      <c r="N76" s="9">
        <v>113.17</v>
      </c>
      <c r="O76" s="9">
        <v>124.59</v>
      </c>
      <c r="P76" s="9">
        <v>128.31</v>
      </c>
      <c r="Q76" s="9">
        <v>1366.6824</v>
      </c>
      <c r="R76" s="14"/>
      <c r="S76" s="12">
        <f t="shared" si="2"/>
        <v>0.00142494871</v>
      </c>
      <c r="T76" s="12">
        <f t="shared" si="3"/>
        <v>1.001424949</v>
      </c>
      <c r="U76" s="16">
        <f t="shared" si="7"/>
        <v>101.4184135</v>
      </c>
      <c r="V76" s="17"/>
      <c r="W76" s="12">
        <f t="array" ref="W76">SQRT(252/20) *  SQRT( SUMSQ( LN(U55:U74 / U54:U73) )  - (1/20) * ( SUM( LN(U55:U74 / U54:U73) ) ^ 2 ) )</f>
        <v>0.0179882956</v>
      </c>
      <c r="X76" s="9">
        <f t="shared" si="4"/>
        <v>1.5</v>
      </c>
      <c r="Y76" s="14"/>
      <c r="Z76" s="12">
        <f t="shared" si="5"/>
        <v>1.002136145</v>
      </c>
      <c r="AA76" s="16">
        <f t="shared" si="8"/>
        <v>102.1120609</v>
      </c>
      <c r="AB76" s="14"/>
      <c r="AC76" s="9">
        <f t="shared" si="6"/>
        <v>0</v>
      </c>
    </row>
    <row r="77">
      <c r="A77" s="8">
        <v>41836.0</v>
      </c>
      <c r="B77" s="14"/>
      <c r="C77" s="9">
        <f t="array" ref="C77">IFERROR(
  INDEX(
    IR!$B$2:$E2026,                
    MATCH($A77, IR!$A$2:$A2026, 0), 
    MATCH(C$1, IR!$B$1:$E$1, 0) ), "")
</f>
        <v>0.00091</v>
      </c>
      <c r="D77" s="9">
        <f t="array" ref="D77">IFERROR(
  INDEX(
    IR!$B$2:$E2026,                
    MATCH($A77, IR!$A$2:$A2026, 0), 
    MATCH(D$1, IR!$B$1:$E$1, 0) ), "")
</f>
        <v>0.00201</v>
      </c>
      <c r="E77" s="9">
        <f t="array" ref="E77">IFERROR(
  INDEX(
    IR!$B$2:$E2026,                
    MATCH($A77, IR!$A$2:$A2026, 0), 
    MATCH(E$1, IR!$B$1:$E$1, 0) ), "")
</f>
        <v>0.00304</v>
      </c>
      <c r="F77" s="9">
        <f t="array" ref="F77">IFERROR(
  INDEX(
    IR!$B$2:$E2026,                
    MATCH($A77, IR!$A$2:$A2026, 0), 
    MATCH(F$1, IR!$B$1:$E$1, 0) ), "")
</f>
        <v>0.00486</v>
      </c>
      <c r="G77" s="14"/>
      <c r="H77" s="9">
        <f t="array" ref="H77">IFERROR(
  INDEX(
    SR!$B$2:$D2026,            
    MATCH($A77, SR!$A$2:$A2026, 0),  
    MATCH(H$1, SR!$B$1:$D$1, 0) ), "")
</f>
        <v>0.00315</v>
      </c>
      <c r="I77" s="9">
        <f t="array" ref="I77">IFERROR(
  INDEX(
    SR!$B$2:$D2026,            
    MATCH($A77, SR!$A$2:$A2026, 0),  
    MATCH(I$1, SR!$B$1:$D$1, 0) ), "")
</f>
        <v>0.00384</v>
      </c>
      <c r="J77" s="9">
        <f t="array" ref="J77">IFERROR(
  INDEX(
    SR!$B$2:$D2026,            
    MATCH($A77, SR!$A$2:$A2026, 0),  
    MATCH(J$1, SR!$B$1:$D$1, 0) ), "")
</f>
        <v>0.00632</v>
      </c>
      <c r="K77" s="14"/>
      <c r="L77" s="9">
        <v>124.63</v>
      </c>
      <c r="M77" s="9">
        <v>24.34</v>
      </c>
      <c r="N77" s="9">
        <v>113.22</v>
      </c>
      <c r="O77" s="9">
        <v>124.34</v>
      </c>
      <c r="P77" s="9">
        <v>128.31</v>
      </c>
      <c r="Q77" s="9">
        <v>1364.7133</v>
      </c>
      <c r="R77" s="14"/>
      <c r="S77" s="12">
        <f t="shared" si="2"/>
        <v>0.0001174845588</v>
      </c>
      <c r="T77" s="12">
        <f t="shared" si="3"/>
        <v>1.000117485</v>
      </c>
      <c r="U77" s="16">
        <f t="shared" si="7"/>
        <v>101.4303286</v>
      </c>
      <c r="V77" s="17"/>
      <c r="W77" s="12">
        <f t="array" ref="W77">SQRT(252/20) *  SQRT( SUMSQ( LN(U56:U75 / U55:U74) )  - (1/20) * ( SUM( LN(U56:U75 / U55:U74) ) ^ 2 ) )</f>
        <v>0.0179680006</v>
      </c>
      <c r="X77" s="9">
        <f t="shared" si="4"/>
        <v>1.5</v>
      </c>
      <c r="Y77" s="14"/>
      <c r="Z77" s="12">
        <f t="shared" si="5"/>
        <v>1.000174949</v>
      </c>
      <c r="AA77" s="16">
        <f t="shared" si="8"/>
        <v>102.1299254</v>
      </c>
      <c r="AB77" s="14"/>
      <c r="AC77" s="9">
        <f t="shared" si="6"/>
        <v>0</v>
      </c>
    </row>
    <row r="78">
      <c r="A78" s="8">
        <v>41837.0</v>
      </c>
      <c r="B78" s="14"/>
      <c r="C78" s="9">
        <f t="array" ref="C78">IFERROR(
  INDEX(
    IR!$B$2:$E2026,                
    MATCH($A78, IR!$A$2:$A2026, 0), 
    MATCH(C$1, IR!$B$1:$E$1, 0) ), "")
</f>
        <v>0.00091</v>
      </c>
      <c r="D78" s="9">
        <f t="array" ref="D78">IFERROR(
  INDEX(
    IR!$B$2:$E2026,                
    MATCH($A78, IR!$A$2:$A2026, 0), 
    MATCH(D$1, IR!$B$1:$E$1, 0) ), "")
</f>
        <v>0.00201</v>
      </c>
      <c r="E78" s="9">
        <f t="array" ref="E78">IFERROR(
  INDEX(
    IR!$B$2:$E2026,                
    MATCH($A78, IR!$A$2:$A2026, 0), 
    MATCH(E$1, IR!$B$1:$E$1, 0) ), "")
</f>
        <v>0.00303</v>
      </c>
      <c r="F78" s="9">
        <f t="array" ref="F78">IFERROR(
  INDEX(
    IR!$B$2:$E2026,                
    MATCH($A78, IR!$A$2:$A2026, 0), 
    MATCH(F$1, IR!$B$1:$E$1, 0) ), "")
</f>
        <v>0.00486</v>
      </c>
      <c r="G78" s="14"/>
      <c r="H78" s="9">
        <f t="array" ref="H78">IFERROR(
  INDEX(
    SR!$B$2:$D2026,            
    MATCH($A78, SR!$A$2:$A2026, 0),  
    MATCH(H$1, SR!$B$1:$D$1, 0) ), "")
</f>
        <v>0.00315</v>
      </c>
      <c r="I78" s="9">
        <f t="array" ref="I78">IFERROR(
  INDEX(
    SR!$B$2:$D2026,            
    MATCH($A78, SR!$A$2:$A2026, 0),  
    MATCH(I$1, SR!$B$1:$D$1, 0) ), "")
</f>
        <v>0.00382</v>
      </c>
      <c r="J78" s="9">
        <f t="array" ref="J78">IFERROR(
  INDEX(
    SR!$B$2:$D2026,            
    MATCH($A78, SR!$A$2:$A2026, 0),  
    MATCH(J$1, SR!$B$1:$D$1, 0) ), "")
</f>
        <v>0.00618</v>
      </c>
      <c r="K78" s="14"/>
      <c r="L78" s="9">
        <v>124.45</v>
      </c>
      <c r="M78" s="9">
        <v>24.34</v>
      </c>
      <c r="N78" s="9">
        <v>113.16</v>
      </c>
      <c r="O78" s="9">
        <v>125.09</v>
      </c>
      <c r="P78" s="9">
        <v>128.5</v>
      </c>
      <c r="Q78" s="9">
        <v>1370.2278</v>
      </c>
      <c r="R78" s="14"/>
      <c r="S78" s="12">
        <f t="shared" si="2"/>
        <v>0.001596298058</v>
      </c>
      <c r="T78" s="12">
        <f t="shared" si="3"/>
        <v>1.001596298</v>
      </c>
      <c r="U78" s="16">
        <f t="shared" si="7"/>
        <v>101.5922417</v>
      </c>
      <c r="V78" s="17"/>
      <c r="W78" s="12">
        <f t="array" ref="W78">SQRT(252/20) *  SQRT( SUMSQ( LN(U57:U76 / U56:U75) )  - (1/20) * ( SUM( LN(U57:U76 / U56:U75) ) ^ 2 ) )</f>
        <v>0.01875222594</v>
      </c>
      <c r="X78" s="9">
        <f t="shared" si="4"/>
        <v>1.5</v>
      </c>
      <c r="Y78" s="14"/>
      <c r="Z78" s="12">
        <f t="shared" si="5"/>
        <v>1.002393183</v>
      </c>
      <c r="AA78" s="16">
        <f t="shared" si="8"/>
        <v>102.374341</v>
      </c>
      <c r="AB78" s="14"/>
      <c r="AC78" s="9">
        <f t="shared" si="6"/>
        <v>0</v>
      </c>
    </row>
    <row r="79">
      <c r="A79" s="8">
        <v>41838.0</v>
      </c>
      <c r="B79" s="14"/>
      <c r="C79" s="9">
        <f t="array" ref="C79">IFERROR(
  INDEX(
    IR!$B$2:$E2026,                
    MATCH($A79, IR!$A$2:$A2026, 0), 
    MATCH(C$1, IR!$B$1:$E$1, 0) ), "")
</f>
        <v>0.00092</v>
      </c>
      <c r="D79" s="9">
        <f t="array" ref="D79">IFERROR(
  INDEX(
    IR!$B$2:$E2026,                
    MATCH($A79, IR!$A$2:$A2026, 0), 
    MATCH(D$1, IR!$B$1:$E$1, 0) ), "")
</f>
        <v>0.00202</v>
      </c>
      <c r="E79" s="9">
        <f t="array" ref="E79">IFERROR(
  INDEX(
    IR!$B$2:$E2026,                
    MATCH($A79, IR!$A$2:$A2026, 0), 
    MATCH(E$1, IR!$B$1:$E$1, 0) ), "")
</f>
        <v>0.00303</v>
      </c>
      <c r="F79" s="9">
        <f t="array" ref="F79">IFERROR(
  INDEX(
    IR!$B$2:$E2026,                
    MATCH($A79, IR!$A$2:$A2026, 0), 
    MATCH(F$1, IR!$B$1:$E$1, 0) ), "")
</f>
        <v>0.00485</v>
      </c>
      <c r="G79" s="14"/>
      <c r="H79" s="9">
        <f t="array" ref="H79">IFERROR(
  INDEX(
    SR!$B$2:$D2026,            
    MATCH($A79, SR!$A$2:$A2026, 0),  
    MATCH(H$1, SR!$B$1:$D$1, 0) ), "")
</f>
        <v>0.0032</v>
      </c>
      <c r="I79" s="9">
        <f t="array" ref="I79">IFERROR(
  INDEX(
    SR!$B$2:$D2026,            
    MATCH($A79, SR!$A$2:$A2026, 0),  
    MATCH(I$1, SR!$B$1:$D$1, 0) ), "")
</f>
        <v>0.00388</v>
      </c>
      <c r="J79" s="9">
        <f t="array" ref="J79">IFERROR(
  INDEX(
    SR!$B$2:$D2026,            
    MATCH($A79, SR!$A$2:$A2026, 0),  
    MATCH(J$1, SR!$B$1:$D$1, 0) ), "")
</f>
        <v>0.006267</v>
      </c>
      <c r="K79" s="14"/>
      <c r="L79" s="9">
        <v>124.34</v>
      </c>
      <c r="M79" s="9">
        <v>24.35</v>
      </c>
      <c r="N79" s="9">
        <v>113.07</v>
      </c>
      <c r="O79" s="9">
        <v>124.9</v>
      </c>
      <c r="P79" s="9">
        <v>128.25</v>
      </c>
      <c r="Q79" s="9">
        <v>1363.9293</v>
      </c>
      <c r="R79" s="14"/>
      <c r="S79" s="12">
        <f t="shared" si="2"/>
        <v>-0.001554752605</v>
      </c>
      <c r="T79" s="12">
        <f t="shared" si="3"/>
        <v>0.9984452474</v>
      </c>
      <c r="U79" s="16">
        <f t="shared" si="7"/>
        <v>101.4342909</v>
      </c>
      <c r="V79" s="17"/>
      <c r="W79" s="12">
        <f t="array" ref="W79">SQRT(252/20) *  SQRT( SUMSQ( LN(U58:U77 / U57:U76) )  - (1/20) * ( SUM( LN(U58:U77 / U57:U76) ) ^ 2 ) )</f>
        <v>0.01872980732</v>
      </c>
      <c r="X79" s="9">
        <f t="shared" si="4"/>
        <v>1.5</v>
      </c>
      <c r="Y79" s="14"/>
      <c r="Z79" s="12">
        <f t="shared" si="5"/>
        <v>0.9976666072</v>
      </c>
      <c r="AA79" s="16">
        <f t="shared" si="8"/>
        <v>102.1354614</v>
      </c>
      <c r="AB79" s="14"/>
      <c r="AC79" s="9">
        <f t="shared" si="6"/>
        <v>0</v>
      </c>
    </row>
    <row r="80">
      <c r="A80" s="8">
        <v>41841.0</v>
      </c>
      <c r="B80" s="14"/>
      <c r="C80" s="9">
        <f t="array" ref="C80">IFERROR(
  INDEX(
    IR!$B$2:$E2026,                
    MATCH($A80, IR!$A$2:$A2026, 0), 
    MATCH(C$1, IR!$B$1:$E$1, 0) ), "")
</f>
        <v>0.00096</v>
      </c>
      <c r="D80" s="9">
        <f t="array" ref="D80">IFERROR(
  INDEX(
    IR!$B$2:$E2026,                
    MATCH($A80, IR!$A$2:$A2026, 0), 
    MATCH(D$1, IR!$B$1:$E$1, 0) ), "")
</f>
        <v>0.00204</v>
      </c>
      <c r="E80" s="9">
        <f t="array" ref="E80">IFERROR(
  INDEX(
    IR!$B$2:$E2026,                
    MATCH($A80, IR!$A$2:$A2026, 0), 
    MATCH(E$1, IR!$B$1:$E$1, 0) ), "")
</f>
        <v>0.00303</v>
      </c>
      <c r="F80" s="9">
        <f t="array" ref="F80">IFERROR(
  INDEX(
    IR!$B$2:$E2026,                
    MATCH($A80, IR!$A$2:$A2026, 0), 
    MATCH(F$1, IR!$B$1:$E$1, 0) ), "")
</f>
        <v>0.00486</v>
      </c>
      <c r="G80" s="14"/>
      <c r="H80" s="9">
        <f t="array" ref="H80">IFERROR(
  INDEX(
    SR!$B$2:$D2026,            
    MATCH($A80, SR!$A$2:$A2026, 0),  
    MATCH(H$1, SR!$B$1:$D$1, 0) ), "")
</f>
        <v>0.003235</v>
      </c>
      <c r="I80" s="9">
        <f t="array" ref="I80">IFERROR(
  INDEX(
    SR!$B$2:$D2026,            
    MATCH($A80, SR!$A$2:$A2026, 0),  
    MATCH(I$1, SR!$B$1:$D$1, 0) ), "")
</f>
        <v>0.00391</v>
      </c>
      <c r="J80" s="9">
        <f t="array" ref="J80">IFERROR(
  INDEX(
    SR!$B$2:$D2026,            
    MATCH($A80, SR!$A$2:$A2026, 0),  
    MATCH(J$1, SR!$B$1:$D$1, 0) ), "")
</f>
        <v>0.00625</v>
      </c>
      <c r="K80" s="14"/>
      <c r="L80" s="9">
        <v>124.21</v>
      </c>
      <c r="M80" s="9">
        <v>24.34</v>
      </c>
      <c r="N80" s="9">
        <v>113.08</v>
      </c>
      <c r="O80" s="9">
        <v>124.7</v>
      </c>
      <c r="P80" s="9">
        <v>128.61</v>
      </c>
      <c r="Q80" s="9">
        <v>1364.548</v>
      </c>
      <c r="R80" s="14"/>
      <c r="S80" s="12">
        <f t="shared" si="2"/>
        <v>0.00004862512691</v>
      </c>
      <c r="T80" s="12">
        <f t="shared" si="3"/>
        <v>1.000048625</v>
      </c>
      <c r="U80" s="16">
        <f t="shared" si="7"/>
        <v>101.4392231</v>
      </c>
      <c r="V80" s="17"/>
      <c r="W80" s="12">
        <f t="array" ref="W80">SQRT(252/20) *  SQRT( SUMSQ( LN(U59:U78 / U58:U77) )  - (1/20) * ( SUM( LN(U59:U78 / U58:U77) ) ^ 2 ) )</f>
        <v>0.01953673243</v>
      </c>
      <c r="X80" s="9">
        <f t="shared" si="4"/>
        <v>1.5</v>
      </c>
      <c r="Y80" s="14"/>
      <c r="Z80" s="12">
        <f t="shared" si="5"/>
        <v>1.000069104</v>
      </c>
      <c r="AA80" s="16">
        <f t="shared" si="8"/>
        <v>102.1425194</v>
      </c>
      <c r="AB80" s="14"/>
      <c r="AC80" s="9">
        <f t="shared" si="6"/>
        <v>0</v>
      </c>
    </row>
    <row r="81">
      <c r="A81" s="8">
        <v>41842.0</v>
      </c>
      <c r="B81" s="14"/>
      <c r="C81" s="9">
        <f t="array" ref="C81">IFERROR(
  INDEX(
    IR!$B$2:$E2026,                
    MATCH($A81, IR!$A$2:$A2026, 0), 
    MATCH(C$1, IR!$B$1:$E$1, 0) ), "")
</f>
        <v>0.00096</v>
      </c>
      <c r="D81" s="9">
        <f t="array" ref="D81">IFERROR(
  INDEX(
    IR!$B$2:$E2026,                
    MATCH($A81, IR!$A$2:$A2026, 0), 
    MATCH(D$1, IR!$B$1:$E$1, 0) ), "")
</f>
        <v>0.00206</v>
      </c>
      <c r="E81" s="9">
        <f t="array" ref="E81">IFERROR(
  INDEX(
    IR!$B$2:$E2026,                
    MATCH($A81, IR!$A$2:$A2026, 0), 
    MATCH(E$1, IR!$B$1:$E$1, 0) ), "")
</f>
        <v>0.00305</v>
      </c>
      <c r="F81" s="9">
        <f t="array" ref="F81">IFERROR(
  INDEX(
    IR!$B$2:$E2026,                
    MATCH($A81, IR!$A$2:$A2026, 0), 
    MATCH(F$1, IR!$B$1:$E$1, 0) ), "")
</f>
        <v>0.00488</v>
      </c>
      <c r="G81" s="14"/>
      <c r="H81" s="9">
        <f t="array" ref="H81">IFERROR(
  INDEX(
    SR!$B$2:$D2026,            
    MATCH($A81, SR!$A$2:$A2026, 0),  
    MATCH(H$1, SR!$B$1:$D$1, 0) ), "")
</f>
        <v>0.00333</v>
      </c>
      <c r="I81" s="9">
        <f t="array" ref="I81">IFERROR(
  INDEX(
    SR!$B$2:$D2026,            
    MATCH($A81, SR!$A$2:$A2026, 0),  
    MATCH(I$1, SR!$B$1:$D$1, 0) ), "")
</f>
        <v>0.004025</v>
      </c>
      <c r="J81" s="9">
        <f t="array" ref="J81">IFERROR(
  INDEX(
    SR!$B$2:$D2026,            
    MATCH($A81, SR!$A$2:$A2026, 0),  
    MATCH(J$1, SR!$B$1:$D$1, 0) ), "")
</f>
        <v>0.00642</v>
      </c>
      <c r="K81" s="14"/>
      <c r="L81" s="9">
        <v>124.47</v>
      </c>
      <c r="M81" s="9">
        <v>24.37</v>
      </c>
      <c r="N81" s="9">
        <v>113.1</v>
      </c>
      <c r="O81" s="9">
        <v>124.43</v>
      </c>
      <c r="P81" s="9">
        <v>128.36</v>
      </c>
      <c r="Q81" s="9">
        <v>1364.6544</v>
      </c>
      <c r="R81" s="14"/>
      <c r="S81" s="12">
        <f t="shared" si="2"/>
        <v>-0.00008803181342</v>
      </c>
      <c r="T81" s="12">
        <f t="shared" si="3"/>
        <v>0.9999119682</v>
      </c>
      <c r="U81" s="16">
        <f t="shared" si="7"/>
        <v>101.4302932</v>
      </c>
      <c r="V81" s="17"/>
      <c r="W81" s="12">
        <f t="array" ref="W81">SQRT(252/20) *  SQRT( SUMSQ( LN(U60:U79 / U59:U78) )  - (1/20) * ( SUM( LN(U60:U79 / U59:U78) ) ^ 2 ) )</f>
        <v>0.01976444453</v>
      </c>
      <c r="X81" s="9">
        <f t="shared" si="4"/>
        <v>1.5</v>
      </c>
      <c r="Y81" s="14"/>
      <c r="Z81" s="12">
        <f t="shared" si="5"/>
        <v>0.9998666189</v>
      </c>
      <c r="AA81" s="16">
        <f t="shared" si="8"/>
        <v>102.1288956</v>
      </c>
      <c r="AB81" s="14"/>
      <c r="AC81" s="9">
        <f t="shared" si="6"/>
        <v>0</v>
      </c>
    </row>
    <row r="82">
      <c r="A82" s="8">
        <v>41843.0</v>
      </c>
      <c r="B82" s="14"/>
      <c r="C82" s="9">
        <f t="array" ref="C82">IFERROR(
  INDEX(
    IR!$B$2:$E2026,                
    MATCH($A82, IR!$A$2:$A2026, 0), 
    MATCH(C$1, IR!$B$1:$E$1, 0) ), "")
</f>
        <v>0.00098</v>
      </c>
      <c r="D82" s="9">
        <f t="array" ref="D82">IFERROR(
  INDEX(
    IR!$B$2:$E2026,                
    MATCH($A82, IR!$A$2:$A2026, 0), 
    MATCH(D$1, IR!$B$1:$E$1, 0) ), "")
</f>
        <v>0.00208</v>
      </c>
      <c r="E82" s="9">
        <f t="array" ref="E82">IFERROR(
  INDEX(
    IR!$B$2:$E2026,                
    MATCH($A82, IR!$A$2:$A2026, 0), 
    MATCH(E$1, IR!$B$1:$E$1, 0) ), "")
</f>
        <v>0.00308</v>
      </c>
      <c r="F82" s="9">
        <f t="array" ref="F82">IFERROR(
  INDEX(
    IR!$B$2:$E2026,                
    MATCH($A82, IR!$A$2:$A2026, 0), 
    MATCH(F$1, IR!$B$1:$E$1, 0) ), "")
</f>
        <v>0.00489</v>
      </c>
      <c r="G82" s="14"/>
      <c r="H82" s="9">
        <f t="array" ref="H82">IFERROR(
  INDEX(
    SR!$B$2:$D2026,            
    MATCH($A82, SR!$A$2:$A2026, 0),  
    MATCH(H$1, SR!$B$1:$D$1, 0) ), "")
</f>
        <v>0.0033</v>
      </c>
      <c r="I82" s="9">
        <f t="array" ref="I82">IFERROR(
  INDEX(
    SR!$B$2:$D2026,            
    MATCH($A82, SR!$A$2:$A2026, 0),  
    MATCH(I$1, SR!$B$1:$D$1, 0) ), "")
</f>
        <v>0.003977</v>
      </c>
      <c r="J82" s="9">
        <f t="array" ref="J82">IFERROR(
  INDEX(
    SR!$B$2:$D2026,            
    MATCH($A82, SR!$A$2:$A2026, 0),  
    MATCH(J$1, SR!$B$1:$D$1, 0) ), "")
</f>
        <v>0.006323</v>
      </c>
      <c r="K82" s="14"/>
      <c r="L82" s="9">
        <v>124.49</v>
      </c>
      <c r="M82" s="9">
        <v>24.37</v>
      </c>
      <c r="N82" s="9">
        <v>113.1</v>
      </c>
      <c r="O82" s="9">
        <v>124.67</v>
      </c>
      <c r="P82" s="9">
        <v>128.67</v>
      </c>
      <c r="Q82" s="9">
        <v>1370.4861</v>
      </c>
      <c r="R82" s="14"/>
      <c r="S82" s="12">
        <f t="shared" si="2"/>
        <v>0.001462833615</v>
      </c>
      <c r="T82" s="12">
        <f t="shared" si="3"/>
        <v>1.001462834</v>
      </c>
      <c r="U82" s="16">
        <f t="shared" si="7"/>
        <v>101.5786689</v>
      </c>
      <c r="V82" s="17"/>
      <c r="W82" s="12">
        <f t="array" ref="W82">SQRT(252/20) *  SQRT( SUMSQ( LN(U61:U80 / U60:U79) )  - (1/20) * ( SUM( LN(U61:U80 / U60:U79) ) ^ 2 ) )</f>
        <v>0.01838275918</v>
      </c>
      <c r="X82" s="9">
        <f t="shared" si="4"/>
        <v>1.5</v>
      </c>
      <c r="Y82" s="14"/>
      <c r="Z82" s="12">
        <f t="shared" si="5"/>
        <v>1.002192917</v>
      </c>
      <c r="AA82" s="16">
        <f t="shared" si="8"/>
        <v>102.3528558</v>
      </c>
      <c r="AB82" s="14"/>
      <c r="AC82" s="9">
        <f t="shared" si="6"/>
        <v>0</v>
      </c>
    </row>
    <row r="83">
      <c r="A83" s="8">
        <v>41844.0</v>
      </c>
      <c r="B83" s="14"/>
      <c r="C83" s="9">
        <f t="array" ref="C83">IFERROR(
  INDEX(
    IR!$B$2:$E2026,                
    MATCH($A83, IR!$A$2:$A2026, 0), 
    MATCH(C$1, IR!$B$1:$E$1, 0) ), "")
</f>
        <v>0.00099</v>
      </c>
      <c r="D83" s="9">
        <f t="array" ref="D83">IFERROR(
  INDEX(
    IR!$B$2:$E2026,                
    MATCH($A83, IR!$A$2:$A2026, 0), 
    MATCH(D$1, IR!$B$1:$E$1, 0) ), "")
</f>
        <v>0.00209</v>
      </c>
      <c r="E83" s="9">
        <f t="array" ref="E83">IFERROR(
  INDEX(
    IR!$B$2:$E2026,                
    MATCH($A83, IR!$A$2:$A2026, 0), 
    MATCH(E$1, IR!$B$1:$E$1, 0) ), "")
</f>
        <v>0.00308</v>
      </c>
      <c r="F83" s="9">
        <f t="array" ref="F83">IFERROR(
  INDEX(
    IR!$B$2:$E2026,                
    MATCH($A83, IR!$A$2:$A2026, 0), 
    MATCH(F$1, IR!$B$1:$E$1, 0) ), "")
</f>
        <v>0.0049</v>
      </c>
      <c r="G83" s="14"/>
      <c r="H83" s="9">
        <f t="array" ref="H83">IFERROR(
  INDEX(
    SR!$B$2:$D2026,            
    MATCH($A83, SR!$A$2:$A2026, 0),  
    MATCH(H$1, SR!$B$1:$D$1, 0) ), "")
</f>
        <v>0.00338</v>
      </c>
      <c r="I83" s="9">
        <f t="array" ref="I83">IFERROR(
  INDEX(
    SR!$B$2:$D2026,            
    MATCH($A83, SR!$A$2:$A2026, 0),  
    MATCH(I$1, SR!$B$1:$D$1, 0) ), "")
</f>
        <v>0.00411</v>
      </c>
      <c r="J83" s="9">
        <f t="array" ref="J83">IFERROR(
  INDEX(
    SR!$B$2:$D2026,            
    MATCH($A83, SR!$A$2:$A2026, 0),  
    MATCH(J$1, SR!$B$1:$D$1, 0) ), "")
</f>
        <v>0.00655</v>
      </c>
      <c r="K83" s="14"/>
      <c r="L83" s="9">
        <v>124.56</v>
      </c>
      <c r="M83" s="9">
        <v>24.37</v>
      </c>
      <c r="N83" s="9">
        <v>113.11</v>
      </c>
      <c r="O83" s="9">
        <v>125.06</v>
      </c>
      <c r="P83" s="9">
        <v>128.77</v>
      </c>
      <c r="Q83" s="9">
        <v>1370.006</v>
      </c>
      <c r="R83" s="14"/>
      <c r="S83" s="12">
        <f t="shared" si="2"/>
        <v>0.0007006576414</v>
      </c>
      <c r="T83" s="12">
        <f t="shared" si="3"/>
        <v>1.000700658</v>
      </c>
      <c r="U83" s="16">
        <f t="shared" si="7"/>
        <v>101.6498408</v>
      </c>
      <c r="V83" s="17"/>
      <c r="W83" s="12">
        <f t="array" ref="W83">SQRT(252/20) *  SQRT( SUMSQ( LN(U62:U81 / U61:U80) )  - (1/20) * ( SUM( LN(U62:U81 / U61:U80) ) ^ 2 ) )</f>
        <v>0.01794976551</v>
      </c>
      <c r="X83" s="9">
        <f t="shared" si="4"/>
        <v>1.5</v>
      </c>
      <c r="Y83" s="14"/>
      <c r="Z83" s="12">
        <f t="shared" si="5"/>
        <v>1.001049625</v>
      </c>
      <c r="AA83" s="16">
        <f t="shared" si="8"/>
        <v>102.4602879</v>
      </c>
      <c r="AB83" s="14"/>
      <c r="AC83" s="9">
        <f t="shared" si="6"/>
        <v>0</v>
      </c>
    </row>
    <row r="84">
      <c r="A84" s="8">
        <v>41845.0</v>
      </c>
      <c r="B84" s="14"/>
      <c r="C84" s="9">
        <f t="array" ref="C84">IFERROR(
  INDEX(
    IR!$B$2:$E2026,                
    MATCH($A84, IR!$A$2:$A2026, 0), 
    MATCH(C$1, IR!$B$1:$E$1, 0) ), "")
</f>
        <v>0.001</v>
      </c>
      <c r="D84" s="9">
        <f t="array" ref="D84">IFERROR(
  INDEX(
    IR!$B$2:$E2026,                
    MATCH($A84, IR!$A$2:$A2026, 0), 
    MATCH(D$1, IR!$B$1:$E$1, 0) ), "")
</f>
        <v>0.00209</v>
      </c>
      <c r="E84" s="9">
        <f t="array" ref="E84">IFERROR(
  INDEX(
    IR!$B$2:$E2026,                
    MATCH($A84, IR!$A$2:$A2026, 0), 
    MATCH(E$1, IR!$B$1:$E$1, 0) ), "")
</f>
        <v>0.00307</v>
      </c>
      <c r="F84" s="9">
        <f t="array" ref="F84">IFERROR(
  INDEX(
    IR!$B$2:$E2026,                
    MATCH($A84, IR!$A$2:$A2026, 0), 
    MATCH(F$1, IR!$B$1:$E$1, 0) ), "")
</f>
        <v>0.0049</v>
      </c>
      <c r="G84" s="14"/>
      <c r="H84" s="9">
        <f t="array" ref="H84">IFERROR(
  INDEX(
    SR!$B$2:$D2026,            
    MATCH($A84, SR!$A$2:$A2026, 0),  
    MATCH(H$1, SR!$B$1:$D$1, 0) ), "")
</f>
        <v>0.003285</v>
      </c>
      <c r="I84" s="9">
        <f t="array" ref="I84">IFERROR(
  INDEX(
    SR!$B$2:$D2026,            
    MATCH($A84, SR!$A$2:$A2026, 0),  
    MATCH(I$1, SR!$B$1:$D$1, 0) ), "")
</f>
        <v>0.00398</v>
      </c>
      <c r="J84" s="9">
        <f t="array" ref="J84">IFERROR(
  INDEX(
    SR!$B$2:$D2026,            
    MATCH($A84, SR!$A$2:$A2026, 0),  
    MATCH(J$1, SR!$B$1:$D$1, 0) ), "")
</f>
        <v>0.006301</v>
      </c>
      <c r="K84" s="14"/>
      <c r="L84" s="9">
        <v>124.41</v>
      </c>
      <c r="M84" s="9">
        <v>24.38</v>
      </c>
      <c r="N84" s="9">
        <v>113.15</v>
      </c>
      <c r="O84" s="9">
        <v>124.89</v>
      </c>
      <c r="P84" s="9">
        <v>128.58</v>
      </c>
      <c r="Q84" s="9">
        <v>1371.7426</v>
      </c>
      <c r="R84" s="14"/>
      <c r="S84" s="12">
        <f t="shared" si="2"/>
        <v>-0.0003343262504</v>
      </c>
      <c r="T84" s="12">
        <f t="shared" si="3"/>
        <v>0.9996656737</v>
      </c>
      <c r="U84" s="16">
        <f t="shared" si="7"/>
        <v>101.6158566</v>
      </c>
      <c r="V84" s="17"/>
      <c r="W84" s="12">
        <f t="array" ref="W84">SQRT(252/20) *  SQRT( SUMSQ( LN(U63:U82 / U62:U81) )  - (1/20) * ( SUM( LN(U63:U82 / U62:U81) ) ^ 2 ) )</f>
        <v>0.01778302364</v>
      </c>
      <c r="X84" s="9">
        <f t="shared" si="4"/>
        <v>1.5</v>
      </c>
      <c r="Y84" s="14"/>
      <c r="Z84" s="12">
        <f t="shared" si="5"/>
        <v>0.9994971356</v>
      </c>
      <c r="AA84" s="16">
        <f t="shared" si="8"/>
        <v>102.4087643</v>
      </c>
      <c r="AB84" s="14"/>
      <c r="AC84" s="9">
        <f t="shared" si="6"/>
        <v>0</v>
      </c>
    </row>
    <row r="85">
      <c r="A85" s="8">
        <v>41848.0</v>
      </c>
      <c r="B85" s="14"/>
      <c r="C85" s="9">
        <f t="array" ref="C85">IFERROR(
  INDEX(
    IR!$B$2:$E2026,                
    MATCH($A85, IR!$A$2:$A2026, 0), 
    MATCH(C$1, IR!$B$1:$E$1, 0) ), "")
</f>
        <v>0.00099</v>
      </c>
      <c r="D85" s="9">
        <f t="array" ref="D85">IFERROR(
  INDEX(
    IR!$B$2:$E2026,                
    MATCH($A85, IR!$A$2:$A2026, 0), 
    MATCH(D$1, IR!$B$1:$E$1, 0) ), "")
</f>
        <v>0.00209</v>
      </c>
      <c r="E85" s="9">
        <f t="array" ref="E85">IFERROR(
  INDEX(
    IR!$B$2:$E2026,                
    MATCH($A85, IR!$A$2:$A2026, 0), 
    MATCH(E$1, IR!$B$1:$E$1, 0) ), "")
</f>
        <v>0.00306</v>
      </c>
      <c r="F85" s="9">
        <f t="array" ref="F85">IFERROR(
  INDEX(
    IR!$B$2:$E2026,                
    MATCH($A85, IR!$A$2:$A2026, 0), 
    MATCH(F$1, IR!$B$1:$E$1, 0) ), "")
</f>
        <v>0.00489</v>
      </c>
      <c r="G85" s="14"/>
      <c r="H85" s="9">
        <f t="array" ref="H85">IFERROR(
  INDEX(
    SR!$B$2:$D2026,            
    MATCH($A85, SR!$A$2:$A2026, 0),  
    MATCH(H$1, SR!$B$1:$D$1, 0) ), "")
</f>
        <v>0.00335</v>
      </c>
      <c r="I85" s="9">
        <f t="array" ref="I85">IFERROR(
  INDEX(
    SR!$B$2:$D2026,            
    MATCH($A85, SR!$A$2:$A2026, 0),  
    MATCH(I$1, SR!$B$1:$D$1, 0) ), "")
</f>
        <v>0.004025</v>
      </c>
      <c r="J85" s="9">
        <f t="array" ref="J85">IFERROR(
  INDEX(
    SR!$B$2:$D2026,            
    MATCH($A85, SR!$A$2:$A2026, 0),  
    MATCH(J$1, SR!$B$1:$D$1, 0) ), "")
</f>
        <v>0.006348</v>
      </c>
      <c r="K85" s="14"/>
      <c r="L85" s="9">
        <v>124.37</v>
      </c>
      <c r="M85" s="9">
        <v>24.38</v>
      </c>
      <c r="N85" s="9">
        <v>113.15</v>
      </c>
      <c r="O85" s="9">
        <v>124.42</v>
      </c>
      <c r="P85" s="9">
        <v>128.66</v>
      </c>
      <c r="Q85" s="9">
        <v>1370.1823</v>
      </c>
      <c r="R85" s="14"/>
      <c r="S85" s="12">
        <f t="shared" si="2"/>
        <v>-0.0007664915436</v>
      </c>
      <c r="T85" s="12">
        <f t="shared" si="3"/>
        <v>0.9992335085</v>
      </c>
      <c r="U85" s="16">
        <f t="shared" si="7"/>
        <v>101.5379689</v>
      </c>
      <c r="V85" s="17"/>
      <c r="W85" s="12">
        <f t="array" ref="W85">SQRT(252/20) *  SQRT( SUMSQ( LN(U64:U83 / U63:U82) )  - (1/20) * ( SUM( LN(U64:U83 / U63:U82) ) ^ 2 ) )</f>
        <v>0.01791541182</v>
      </c>
      <c r="X85" s="9">
        <f t="shared" si="4"/>
        <v>1.5</v>
      </c>
      <c r="Y85" s="14"/>
      <c r="Z85" s="12">
        <f t="shared" si="5"/>
        <v>0.998846096</v>
      </c>
      <c r="AA85" s="16">
        <f t="shared" si="8"/>
        <v>102.2905944</v>
      </c>
      <c r="AB85" s="14"/>
      <c r="AC85" s="9">
        <f t="shared" si="6"/>
        <v>0</v>
      </c>
    </row>
    <row r="86">
      <c r="A86" s="8">
        <v>41849.0</v>
      </c>
      <c r="B86" s="14"/>
      <c r="C86" s="9">
        <f t="array" ref="C86">IFERROR(
  INDEX(
    IR!$B$2:$E2026,                
    MATCH($A86, IR!$A$2:$A2026, 0), 
    MATCH(C$1, IR!$B$1:$E$1, 0) ), "")
</f>
        <v>0.00099</v>
      </c>
      <c r="D86" s="9">
        <f t="array" ref="D86">IFERROR(
  INDEX(
    IR!$B$2:$E2026,                
    MATCH($A86, IR!$A$2:$A2026, 0), 
    MATCH(D$1, IR!$B$1:$E$1, 0) ), "")
</f>
        <v>0.00209</v>
      </c>
      <c r="E86" s="9">
        <f t="array" ref="E86">IFERROR(
  INDEX(
    IR!$B$2:$E2026,                
    MATCH($A86, IR!$A$2:$A2026, 0), 
    MATCH(E$1, IR!$B$1:$E$1, 0) ), "")
</f>
        <v>0.00306</v>
      </c>
      <c r="F86" s="9">
        <f t="array" ref="F86">IFERROR(
  INDEX(
    IR!$B$2:$E2026,                
    MATCH($A86, IR!$A$2:$A2026, 0), 
    MATCH(F$1, IR!$B$1:$E$1, 0) ), "")
</f>
        <v>0.00489</v>
      </c>
      <c r="G86" s="14"/>
      <c r="H86" s="9">
        <f t="array" ref="H86">IFERROR(
  INDEX(
    SR!$B$2:$D2026,            
    MATCH($A86, SR!$A$2:$A2026, 0),  
    MATCH(H$1, SR!$B$1:$D$1, 0) ), "")
</f>
        <v>0.00335</v>
      </c>
      <c r="I86" s="9">
        <f t="array" ref="I86">IFERROR(
  INDEX(
    SR!$B$2:$D2026,            
    MATCH($A86, SR!$A$2:$A2026, 0),  
    MATCH(I$1, SR!$B$1:$D$1, 0) ), "")
</f>
        <v>0.003979</v>
      </c>
      <c r="J86" s="9">
        <f t="array" ref="J86">IFERROR(
  INDEX(
    SR!$B$2:$D2026,            
    MATCH($A86, SR!$A$2:$A2026, 0),  
    MATCH(J$1, SR!$B$1:$D$1, 0) ), "")
</f>
        <v>0.006248</v>
      </c>
      <c r="K86" s="14"/>
      <c r="L86" s="9">
        <v>124.42</v>
      </c>
      <c r="M86" s="9">
        <v>24.38</v>
      </c>
      <c r="N86" s="9">
        <v>113.13</v>
      </c>
      <c r="O86" s="9">
        <v>124.17</v>
      </c>
      <c r="P86" s="9">
        <v>128.6</v>
      </c>
      <c r="Q86" s="9">
        <v>1369.2542</v>
      </c>
      <c r="R86" s="14"/>
      <c r="S86" s="12">
        <f t="shared" si="2"/>
        <v>-0.0004878315677</v>
      </c>
      <c r="T86" s="12">
        <f t="shared" si="3"/>
        <v>0.9995121684</v>
      </c>
      <c r="U86" s="16">
        <f t="shared" si="7"/>
        <v>101.4884354</v>
      </c>
      <c r="V86" s="17"/>
      <c r="W86" s="12">
        <f t="array" ref="W86">SQRT(252/20) *  SQRT( SUMSQ( LN(U65:U84 / U64:U83) )  - (1/20) * ( SUM( LN(U65:U84 / U64:U83) ) ^ 2 ) )</f>
        <v>0.01781394105</v>
      </c>
      <c r="X86" s="9">
        <f t="shared" si="4"/>
        <v>1.5</v>
      </c>
      <c r="Y86" s="14"/>
      <c r="Z86" s="12">
        <f t="shared" si="5"/>
        <v>0.9992668776</v>
      </c>
      <c r="AA86" s="16">
        <f t="shared" si="8"/>
        <v>102.2156029</v>
      </c>
      <c r="AB86" s="14"/>
      <c r="AC86" s="9">
        <f t="shared" si="6"/>
        <v>0</v>
      </c>
    </row>
    <row r="87">
      <c r="A87" s="8">
        <v>41850.0</v>
      </c>
      <c r="B87" s="14"/>
      <c r="C87" s="9">
        <f t="array" ref="C87">IFERROR(
  INDEX(
    IR!$B$2:$E2026,                
    MATCH($A87, IR!$A$2:$A2026, 0), 
    MATCH(C$1, IR!$B$1:$E$1, 0) ), "")
</f>
        <v>0.00098</v>
      </c>
      <c r="D87" s="9">
        <f t="array" ref="D87">IFERROR(
  INDEX(
    IR!$B$2:$E2026,                
    MATCH($A87, IR!$A$2:$A2026, 0), 
    MATCH(D$1, IR!$B$1:$E$1, 0) ), "")
</f>
        <v>0.00209</v>
      </c>
      <c r="E87" s="9">
        <f t="array" ref="E87">IFERROR(
  INDEX(
    IR!$B$2:$E2026,                
    MATCH($A87, IR!$A$2:$A2026, 0), 
    MATCH(E$1, IR!$B$1:$E$1, 0) ), "")
</f>
        <v>0.00305</v>
      </c>
      <c r="F87" s="9">
        <f t="array" ref="F87">IFERROR(
  INDEX(
    IR!$B$2:$E2026,                
    MATCH($A87, IR!$A$2:$A2026, 0), 
    MATCH(F$1, IR!$B$1:$E$1, 0) ), "")
</f>
        <v>0.00489</v>
      </c>
      <c r="G87" s="14"/>
      <c r="H87" s="9">
        <f t="array" ref="H87">IFERROR(
  INDEX(
    SR!$B$2:$D2026,            
    MATCH($A87, SR!$A$2:$A2026, 0),  
    MATCH(H$1, SR!$B$1:$D$1, 0) ), "")
</f>
        <v>0.003405</v>
      </c>
      <c r="I87" s="9">
        <f t="array" ref="I87">IFERROR(
  INDEX(
    SR!$B$2:$D2026,            
    MATCH($A87, SR!$A$2:$A2026, 0),  
    MATCH(I$1, SR!$B$1:$D$1, 0) ), "")
</f>
        <v>0.00411</v>
      </c>
      <c r="J87" s="9">
        <f t="array" ref="J87">IFERROR(
  INDEX(
    SR!$B$2:$D2026,            
    MATCH($A87, SR!$A$2:$A2026, 0),  
    MATCH(J$1, SR!$B$1:$D$1, 0) ), "")
</f>
        <v>0.006655</v>
      </c>
      <c r="K87" s="14"/>
      <c r="L87" s="9">
        <v>124.14</v>
      </c>
      <c r="M87" s="9">
        <v>24.38</v>
      </c>
      <c r="N87" s="9">
        <v>113.14</v>
      </c>
      <c r="O87" s="9">
        <v>124.8</v>
      </c>
      <c r="P87" s="9">
        <v>128.71</v>
      </c>
      <c r="Q87" s="9">
        <v>1369.419</v>
      </c>
      <c r="R87" s="14"/>
      <c r="S87" s="12">
        <f t="shared" si="2"/>
        <v>0.0006476468939</v>
      </c>
      <c r="T87" s="12">
        <f t="shared" si="3"/>
        <v>1.000647647</v>
      </c>
      <c r="U87" s="16">
        <f t="shared" si="7"/>
        <v>101.5541641</v>
      </c>
      <c r="V87" s="17"/>
      <c r="W87" s="12">
        <f t="array" ref="W87">SQRT(252/20) *  SQRT( SUMSQ( LN(U66:U85 / U65:U84) )  - (1/20) * ( SUM( LN(U66:U85 / U65:U84) ) ^ 2 ) )</f>
        <v>0.01796799375</v>
      </c>
      <c r="X87" s="9">
        <f t="shared" si="4"/>
        <v>1.5</v>
      </c>
      <c r="Y87" s="14"/>
      <c r="Z87" s="12">
        <f t="shared" si="5"/>
        <v>1.000970095</v>
      </c>
      <c r="AA87" s="16">
        <f t="shared" si="8"/>
        <v>102.3147618</v>
      </c>
      <c r="AB87" s="14"/>
      <c r="AC87" s="9">
        <f t="shared" si="6"/>
        <v>0</v>
      </c>
    </row>
    <row r="88">
      <c r="A88" s="8">
        <v>41851.0</v>
      </c>
      <c r="B88" s="14"/>
      <c r="C88" s="9">
        <f t="array" ref="C88">IFERROR(
  INDEX(
    IR!$B$2:$E2026,                
    MATCH($A88, IR!$A$2:$A2026, 0), 
    MATCH(C$1, IR!$B$1:$E$1, 0) ), "")
</f>
        <v>0.00098</v>
      </c>
      <c r="D88" s="9">
        <f t="array" ref="D88">IFERROR(
  INDEX(
    IR!$B$2:$E2026,                
    MATCH($A88, IR!$A$2:$A2026, 0), 
    MATCH(D$1, IR!$B$1:$E$1, 0) ), "")
</f>
        <v>0.00209</v>
      </c>
      <c r="E88" s="9">
        <f t="array" ref="E88">IFERROR(
  INDEX(
    IR!$B$2:$E2026,                
    MATCH($A88, IR!$A$2:$A2026, 0), 
    MATCH(E$1, IR!$B$1:$E$1, 0) ), "")
</f>
        <v>0.00306</v>
      </c>
      <c r="F88" s="9">
        <f t="array" ref="F88">IFERROR(
  INDEX(
    IR!$B$2:$E2026,                
    MATCH($A88, IR!$A$2:$A2026, 0), 
    MATCH(F$1, IR!$B$1:$E$1, 0) ), "")
</f>
        <v>0.00489</v>
      </c>
      <c r="G88" s="14"/>
      <c r="H88" s="9">
        <f t="array" ref="H88">IFERROR(
  INDEX(
    SR!$B$2:$D2026,            
    MATCH($A88, SR!$A$2:$A2026, 0),  
    MATCH(H$1, SR!$B$1:$D$1, 0) ), "")
</f>
        <v>0.00336</v>
      </c>
      <c r="I88" s="9">
        <f t="array" ref="I88">IFERROR(
  INDEX(
    SR!$B$2:$D2026,            
    MATCH($A88, SR!$A$2:$A2026, 0),  
    MATCH(I$1, SR!$B$1:$D$1, 0) ), "")
</f>
        <v>0.004059</v>
      </c>
      <c r="J88" s="9">
        <f t="array" ref="J88">IFERROR(
  INDEX(
    SR!$B$2:$D2026,            
    MATCH($A88, SR!$A$2:$A2026, 0),  
    MATCH(J$1, SR!$B$1:$D$1, 0) ), "")
</f>
        <v>0.00648</v>
      </c>
      <c r="K88" s="14"/>
      <c r="L88" s="9">
        <v>123.78</v>
      </c>
      <c r="M88" s="9">
        <v>24.37</v>
      </c>
      <c r="N88" s="9">
        <v>113.08</v>
      </c>
      <c r="O88" s="9">
        <v>124.04</v>
      </c>
      <c r="P88" s="9">
        <v>128.7</v>
      </c>
      <c r="Q88" s="9">
        <v>1362.5416</v>
      </c>
      <c r="R88" s="14"/>
      <c r="S88" s="12">
        <f t="shared" si="2"/>
        <v>-0.002504501515</v>
      </c>
      <c r="T88" s="12">
        <f t="shared" si="3"/>
        <v>0.9974954985</v>
      </c>
      <c r="U88" s="16">
        <f t="shared" si="7"/>
        <v>101.2998215</v>
      </c>
      <c r="V88" s="17"/>
      <c r="W88" s="12">
        <f t="array" ref="W88">SQRT(252/20) *  SQRT( SUMSQ( LN(U67:U86 / U66:U85) )  - (1/20) * ( SUM( LN(U67:U86 / U66:U85) ) ^ 2 ) )</f>
        <v>0.01779829647</v>
      </c>
      <c r="X88" s="9">
        <f t="shared" si="4"/>
        <v>1.5</v>
      </c>
      <c r="Y88" s="14"/>
      <c r="Z88" s="12">
        <f t="shared" si="5"/>
        <v>0.9962418866</v>
      </c>
      <c r="AA88" s="16">
        <f t="shared" si="8"/>
        <v>101.9302513</v>
      </c>
      <c r="AB88" s="14"/>
      <c r="AC88" s="9">
        <f t="shared" si="6"/>
        <v>0</v>
      </c>
    </row>
    <row r="89">
      <c r="A89" s="8">
        <v>41852.0</v>
      </c>
      <c r="B89" s="14"/>
      <c r="C89" s="9">
        <f t="array" ref="C89">IFERROR(
  INDEX(
    IR!$B$2:$E2026,                
    MATCH($A89, IR!$A$2:$A2026, 0), 
    MATCH(C$1, IR!$B$1:$E$1, 0) ), "")
</f>
        <v>0.00097</v>
      </c>
      <c r="D89" s="9">
        <f t="array" ref="D89">IFERROR(
  INDEX(
    IR!$B$2:$E2026,                
    MATCH($A89, IR!$A$2:$A2026, 0), 
    MATCH(D$1, IR!$B$1:$E$1, 0) ), "")
</f>
        <v>0.00208</v>
      </c>
      <c r="E89" s="9">
        <f t="array" ref="E89">IFERROR(
  INDEX(
    IR!$B$2:$E2026,                
    MATCH($A89, IR!$A$2:$A2026, 0), 
    MATCH(E$1, IR!$B$1:$E$1, 0) ), "")
</f>
        <v>0.00308</v>
      </c>
      <c r="F89" s="9">
        <f t="array" ref="F89">IFERROR(
  INDEX(
    IR!$B$2:$E2026,                
    MATCH($A89, IR!$A$2:$A2026, 0), 
    MATCH(F$1, IR!$B$1:$E$1, 0) ), "")
</f>
        <v>0.00489</v>
      </c>
      <c r="G89" s="14"/>
      <c r="H89" s="9">
        <f t="array" ref="H89">IFERROR(
  INDEX(
    SR!$B$2:$D2026,            
    MATCH($A89, SR!$A$2:$A2026, 0),  
    MATCH(H$1, SR!$B$1:$D$1, 0) ), "")
</f>
        <v>0.00336</v>
      </c>
      <c r="I89" s="9">
        <f t="array" ref="I89">IFERROR(
  INDEX(
    SR!$B$2:$D2026,            
    MATCH($A89, SR!$A$2:$A2026, 0),  
    MATCH(I$1, SR!$B$1:$D$1, 0) ), "")
</f>
        <v>0.004039</v>
      </c>
      <c r="J89" s="9">
        <f t="array" ref="J89">IFERROR(
  INDEX(
    SR!$B$2:$D2026,            
    MATCH($A89, SR!$A$2:$A2026, 0),  
    MATCH(J$1, SR!$B$1:$D$1, 0) ), "")
</f>
        <v>0.00639</v>
      </c>
      <c r="K89" s="14"/>
      <c r="L89" s="9">
        <v>123.34</v>
      </c>
      <c r="M89" s="9">
        <v>24.36</v>
      </c>
      <c r="N89" s="9">
        <v>112.99</v>
      </c>
      <c r="O89" s="9">
        <v>122.99</v>
      </c>
      <c r="P89" s="9">
        <v>127.92</v>
      </c>
      <c r="Q89" s="9">
        <v>1361.6811</v>
      </c>
      <c r="R89" s="14"/>
      <c r="S89" s="12">
        <f t="shared" si="2"/>
        <v>-0.003318416749</v>
      </c>
      <c r="T89" s="12">
        <f t="shared" si="3"/>
        <v>0.9966815833</v>
      </c>
      <c r="U89" s="16">
        <f t="shared" si="7"/>
        <v>100.9636665</v>
      </c>
      <c r="V89" s="17"/>
      <c r="W89" s="12">
        <f t="array" ref="W89">SQRT(252/20) *  SQRT( SUMSQ( LN(U68:U87 / U67:U86) )  - (1/20) * ( SUM( LN(U68:U87 / U67:U86) ) ^ 2 ) )</f>
        <v>0.01703614167</v>
      </c>
      <c r="X89" s="9">
        <f t="shared" si="4"/>
        <v>1.5</v>
      </c>
      <c r="Y89" s="14"/>
      <c r="Z89" s="12">
        <f t="shared" si="5"/>
        <v>0.9950210138</v>
      </c>
      <c r="AA89" s="16">
        <f t="shared" si="8"/>
        <v>101.422742</v>
      </c>
      <c r="AB89" s="14"/>
      <c r="AC89" s="9">
        <f t="shared" si="6"/>
        <v>0</v>
      </c>
    </row>
    <row r="90">
      <c r="A90" s="8">
        <v>41855.0</v>
      </c>
      <c r="B90" s="14"/>
      <c r="C90" s="9">
        <f t="array" ref="C90">IFERROR(
  INDEX(
    IR!$B$2:$E2026,                
    MATCH($A90, IR!$A$2:$A2026, 0), 
    MATCH(C$1, IR!$B$1:$E$1, 0) ), "")
</f>
        <v>0.00096</v>
      </c>
      <c r="D90" s="9">
        <f t="array" ref="D90">IFERROR(
  INDEX(
    IR!$B$2:$E2026,                
    MATCH($A90, IR!$A$2:$A2026, 0), 
    MATCH(D$1, IR!$B$1:$E$1, 0) ), "")
</f>
        <v>0.00208</v>
      </c>
      <c r="E90" s="9">
        <f t="array" ref="E90">IFERROR(
  INDEX(
    IR!$B$2:$E2026,                
    MATCH($A90, IR!$A$2:$A2026, 0), 
    MATCH(E$1, IR!$B$1:$E$1, 0) ), "")
</f>
        <v>0.00307</v>
      </c>
      <c r="F90" s="9">
        <f t="array" ref="F90">IFERROR(
  INDEX(
    IR!$B$2:$E2026,                
    MATCH($A90, IR!$A$2:$A2026, 0), 
    MATCH(F$1, IR!$B$1:$E$1, 0) ), "")
</f>
        <v>0.00488</v>
      </c>
      <c r="G90" s="14"/>
      <c r="H90" s="9">
        <f t="array" ref="H90">IFERROR(
  INDEX(
    SR!$B$2:$D2026,            
    MATCH($A90, SR!$A$2:$A2026, 0),  
    MATCH(H$1, SR!$B$1:$D$1, 0) ), "")
</f>
        <v>0.00338</v>
      </c>
      <c r="I90" s="9">
        <f t="array" ref="I90">IFERROR(
  INDEX(
    SR!$B$2:$D2026,            
    MATCH($A90, SR!$A$2:$A2026, 0),  
    MATCH(I$1, SR!$B$1:$D$1, 0) ), "")
</f>
        <v>0.004085</v>
      </c>
      <c r="J90" s="9">
        <f t="array" ref="J90">IFERROR(
  INDEX(
    SR!$B$2:$D2026,            
    MATCH($A90, SR!$A$2:$A2026, 0),  
    MATCH(J$1, SR!$B$1:$D$1, 0) ), "")
</f>
        <v>0.006505</v>
      </c>
      <c r="K90" s="14"/>
      <c r="L90" s="9">
        <v>123.3</v>
      </c>
      <c r="M90" s="9">
        <v>24.36</v>
      </c>
      <c r="N90" s="9">
        <v>113.05</v>
      </c>
      <c r="O90" s="9">
        <v>122.22</v>
      </c>
      <c r="P90" s="9">
        <v>127.7</v>
      </c>
      <c r="Q90" s="9">
        <v>1357.4399</v>
      </c>
      <c r="R90" s="14"/>
      <c r="S90" s="12">
        <f t="shared" si="2"/>
        <v>-0.001814329268</v>
      </c>
      <c r="T90" s="12">
        <f t="shared" si="3"/>
        <v>0.9981856707</v>
      </c>
      <c r="U90" s="16">
        <f t="shared" si="7"/>
        <v>100.7804852</v>
      </c>
      <c r="V90" s="17"/>
      <c r="W90" s="12">
        <f t="array" ref="W90">SQRT(252/20) *  SQRT( SUMSQ( LN(U69:U88 / U68:U87) )  - (1/20) * ( SUM( LN(U69:U88 / U68:U87) ) ^ 2 ) )</f>
        <v>0.01891690524</v>
      </c>
      <c r="X90" s="9">
        <f t="shared" si="4"/>
        <v>1.5</v>
      </c>
      <c r="Y90" s="14"/>
      <c r="Z90" s="12">
        <f t="shared" si="5"/>
        <v>0.9972744644</v>
      </c>
      <c r="AA90" s="16">
        <f t="shared" si="8"/>
        <v>101.1463107</v>
      </c>
      <c r="AB90" s="14"/>
      <c r="AC90" s="9">
        <f t="shared" si="6"/>
        <v>0</v>
      </c>
    </row>
    <row r="91">
      <c r="A91" s="8">
        <v>41856.0</v>
      </c>
      <c r="B91" s="14"/>
      <c r="C91" s="9">
        <f t="array" ref="C91">IFERROR(
  INDEX(
    IR!$B$2:$E2026,                
    MATCH($A91, IR!$A$2:$A2026, 0), 
    MATCH(C$1, IR!$B$1:$E$1, 0) ), "")
</f>
        <v>0.00097</v>
      </c>
      <c r="D91" s="9">
        <f t="array" ref="D91">IFERROR(
  INDEX(
    IR!$B$2:$E2026,                
    MATCH($A91, IR!$A$2:$A2026, 0), 
    MATCH(D$1, IR!$B$1:$E$1, 0) ), "")
</f>
        <v>0.00207</v>
      </c>
      <c r="E91" s="9">
        <f t="array" ref="E91">IFERROR(
  INDEX(
    IR!$B$2:$E2026,                
    MATCH($A91, IR!$A$2:$A2026, 0), 
    MATCH(E$1, IR!$B$1:$E$1, 0) ), "")
</f>
        <v>0.00307</v>
      </c>
      <c r="F91" s="9">
        <f t="array" ref="F91">IFERROR(
  INDEX(
    IR!$B$2:$E2026,                
    MATCH($A91, IR!$A$2:$A2026, 0), 
    MATCH(F$1, IR!$B$1:$E$1, 0) ), "")
</f>
        <v>0.00488</v>
      </c>
      <c r="G91" s="14"/>
      <c r="H91" s="9">
        <f t="array" ref="H91">IFERROR(
  INDEX(
    SR!$B$2:$D2026,            
    MATCH($A91, SR!$A$2:$A2026, 0),  
    MATCH(H$1, SR!$B$1:$D$1, 0) ), "")
</f>
        <v>0.00342</v>
      </c>
      <c r="I91" s="9">
        <f t="array" ref="I91">IFERROR(
  INDEX(
    SR!$B$2:$D2026,            
    MATCH($A91, SR!$A$2:$A2026, 0),  
    MATCH(I$1, SR!$B$1:$D$1, 0) ), "")
</f>
        <v>0.004154</v>
      </c>
      <c r="J91" s="9">
        <f t="array" ref="J91">IFERROR(
  INDEX(
    SR!$B$2:$D2026,            
    MATCH($A91, SR!$A$2:$A2026, 0),  
    MATCH(J$1, SR!$B$1:$D$1, 0) ), "")
</f>
        <v>0.00658</v>
      </c>
      <c r="K91" s="14"/>
      <c r="L91" s="9">
        <v>123.1</v>
      </c>
      <c r="M91" s="9">
        <v>24.38</v>
      </c>
      <c r="N91" s="9">
        <v>113.02</v>
      </c>
      <c r="O91" s="9">
        <v>122.23</v>
      </c>
      <c r="P91" s="9">
        <v>127.97</v>
      </c>
      <c r="Q91" s="9">
        <v>1357.9462</v>
      </c>
      <c r="R91" s="14"/>
      <c r="S91" s="12">
        <f t="shared" si="2"/>
        <v>0.0002503905158</v>
      </c>
      <c r="T91" s="12">
        <f t="shared" si="3"/>
        <v>1.000250391</v>
      </c>
      <c r="U91" s="16">
        <f t="shared" si="7"/>
        <v>100.8057197</v>
      </c>
      <c r="V91" s="17"/>
      <c r="W91" s="12">
        <f t="array" ref="W91">SQRT(252/20) *  SQRT( SUMSQ( LN(U70:U89 / U69:U88) )  - (1/20) * ( SUM( LN(U70:U89 / U69:U88) ) ^ 2 ) )</f>
        <v>0.02133838597</v>
      </c>
      <c r="X91" s="9">
        <f t="shared" si="4"/>
        <v>1.5</v>
      </c>
      <c r="Y91" s="14"/>
      <c r="Z91" s="12">
        <f t="shared" si="5"/>
        <v>1.000374252</v>
      </c>
      <c r="AA91" s="16">
        <f t="shared" si="8"/>
        <v>101.1841649</v>
      </c>
      <c r="AB91" s="14"/>
      <c r="AC91" s="9">
        <f t="shared" si="6"/>
        <v>0</v>
      </c>
    </row>
    <row r="92">
      <c r="A92" s="8">
        <v>41857.0</v>
      </c>
      <c r="B92" s="14"/>
      <c r="C92" s="9">
        <f t="array" ref="C92">IFERROR(
  INDEX(
    IR!$B$2:$E2026,                
    MATCH($A92, IR!$A$2:$A2026, 0), 
    MATCH(C$1, IR!$B$1:$E$1, 0) ), "")
</f>
        <v>0.00096</v>
      </c>
      <c r="D92" s="9">
        <f t="array" ref="D92">IFERROR(
  INDEX(
    IR!$B$2:$E2026,                
    MATCH($A92, IR!$A$2:$A2026, 0), 
    MATCH(D$1, IR!$B$1:$E$1, 0) ), "")
</f>
        <v>0.00206</v>
      </c>
      <c r="E92" s="9">
        <f t="array" ref="E92">IFERROR(
  INDEX(
    IR!$B$2:$E2026,                
    MATCH($A92, IR!$A$2:$A2026, 0), 
    MATCH(E$1, IR!$B$1:$E$1, 0) ), "")
</f>
        <v>0.00306</v>
      </c>
      <c r="F92" s="9">
        <f t="array" ref="F92">IFERROR(
  INDEX(
    IR!$B$2:$E2026,                
    MATCH($A92, IR!$A$2:$A2026, 0), 
    MATCH(F$1, IR!$B$1:$E$1, 0) ), "")
</f>
        <v>0.00487</v>
      </c>
      <c r="G92" s="14"/>
      <c r="H92" s="9">
        <f t="array" ref="H92">IFERROR(
  INDEX(
    SR!$B$2:$D2026,            
    MATCH($A92, SR!$A$2:$A2026, 0),  
    MATCH(H$1, SR!$B$1:$D$1, 0) ), "")
</f>
        <v>0.00328</v>
      </c>
      <c r="I92" s="9">
        <f t="array" ref="I92">IFERROR(
  INDEX(
    SR!$B$2:$D2026,            
    MATCH($A92, SR!$A$2:$A2026, 0),  
    MATCH(I$1, SR!$B$1:$D$1, 0) ), "")
</f>
        <v>0.003978</v>
      </c>
      <c r="J92" s="9">
        <f t="array" ref="J92">IFERROR(
  INDEX(
    SR!$B$2:$D2026,            
    MATCH($A92, SR!$A$2:$A2026, 0),  
    MATCH(J$1, SR!$B$1:$D$1, 0) ), "")
</f>
        <v>0.00621</v>
      </c>
      <c r="K92" s="14"/>
      <c r="L92" s="9">
        <v>122.89</v>
      </c>
      <c r="M92" s="9">
        <v>24.38</v>
      </c>
      <c r="N92" s="9">
        <v>112.99</v>
      </c>
      <c r="O92" s="9">
        <v>121.98</v>
      </c>
      <c r="P92" s="9">
        <v>127.99</v>
      </c>
      <c r="Q92" s="9">
        <v>1355.0519</v>
      </c>
      <c r="R92" s="14"/>
      <c r="S92" s="12">
        <f t="shared" si="2"/>
        <v>-0.0009984450363</v>
      </c>
      <c r="T92" s="12">
        <f t="shared" si="3"/>
        <v>0.999001555</v>
      </c>
      <c r="U92" s="16">
        <f t="shared" si="7"/>
        <v>100.7050707</v>
      </c>
      <c r="V92" s="17"/>
      <c r="W92" s="12">
        <f t="array" ref="W92">SQRT(252/20) *  SQRT( SUMSQ( LN(U71:U90 / U70:U89) )  - (1/20) * ( SUM( LN(U71:U90 / U70:U89) ) ^ 2 ) )</f>
        <v>0.02178215204</v>
      </c>
      <c r="X92" s="9">
        <f t="shared" si="4"/>
        <v>1.5</v>
      </c>
      <c r="Y92" s="14"/>
      <c r="Z92" s="12">
        <f t="shared" si="5"/>
        <v>0.9985009852</v>
      </c>
      <c r="AA92" s="16">
        <f t="shared" si="8"/>
        <v>101.0324884</v>
      </c>
      <c r="AB92" s="14"/>
      <c r="AC92" s="9">
        <f t="shared" si="6"/>
        <v>0</v>
      </c>
    </row>
    <row r="93">
      <c r="A93" s="8">
        <v>41858.0</v>
      </c>
      <c r="B93" s="14"/>
      <c r="C93" s="9">
        <f t="array" ref="C93">IFERROR(
  INDEX(
    IR!$B$2:$E2026,                
    MATCH($A93, IR!$A$2:$A2026, 0), 
    MATCH(C$1, IR!$B$1:$E$1, 0) ), "")
</f>
        <v>0.00096</v>
      </c>
      <c r="D93" s="9">
        <f t="array" ref="D93">IFERROR(
  INDEX(
    IR!$B$2:$E2026,                
    MATCH($A93, IR!$A$2:$A2026, 0), 
    MATCH(D$1, IR!$B$1:$E$1, 0) ), "")
</f>
        <v>0.00205</v>
      </c>
      <c r="E93" s="9">
        <f t="array" ref="E93">IFERROR(
  INDEX(
    IR!$B$2:$E2026,                
    MATCH($A93, IR!$A$2:$A2026, 0), 
    MATCH(E$1, IR!$B$1:$E$1, 0) ), "")
</f>
        <v>0.00304</v>
      </c>
      <c r="F93" s="9">
        <f t="array" ref="F93">IFERROR(
  INDEX(
    IR!$B$2:$E2026,                
    MATCH($A93, IR!$A$2:$A2026, 0), 
    MATCH(F$1, IR!$B$1:$E$1, 0) ), "")
</f>
        <v>0.00484</v>
      </c>
      <c r="G93" s="14"/>
      <c r="H93" s="9">
        <f t="array" ref="H93">IFERROR(
  INDEX(
    SR!$B$2:$D2026,            
    MATCH($A93, SR!$A$2:$A2026, 0),  
    MATCH(H$1, SR!$B$1:$D$1, 0) ), "")
</f>
        <v>0.00326</v>
      </c>
      <c r="I93" s="9">
        <f t="array" ref="I93">IFERROR(
  INDEX(
    SR!$B$2:$D2026,            
    MATCH($A93, SR!$A$2:$A2026, 0),  
    MATCH(I$1, SR!$B$1:$D$1, 0) ), "")
</f>
        <v>0.003923</v>
      </c>
      <c r="J93" s="9">
        <f t="array" ref="J93">IFERROR(
  INDEX(
    SR!$B$2:$D2026,            
    MATCH($A93, SR!$A$2:$A2026, 0),  
    MATCH(J$1, SR!$B$1:$D$1, 0) ), "")
</f>
        <v>0.006098</v>
      </c>
      <c r="K93" s="14"/>
      <c r="L93" s="9">
        <v>122.62</v>
      </c>
      <c r="M93" s="9">
        <v>24.37</v>
      </c>
      <c r="N93" s="9">
        <v>112.95</v>
      </c>
      <c r="O93" s="9">
        <v>122.63</v>
      </c>
      <c r="P93" s="9">
        <v>127.87</v>
      </c>
      <c r="Q93" s="9">
        <v>1351.3541</v>
      </c>
      <c r="R93" s="14"/>
      <c r="S93" s="12">
        <f t="shared" si="2"/>
        <v>-0.0002166867439</v>
      </c>
      <c r="T93" s="12">
        <f t="shared" si="3"/>
        <v>0.9997833133</v>
      </c>
      <c r="U93" s="16">
        <f t="shared" si="7"/>
        <v>100.6832492</v>
      </c>
      <c r="V93" s="17"/>
      <c r="W93" s="12">
        <f t="array" ref="W93">SQRT(252/20) *  SQRT( SUMSQ( LN(U72:U91 / U71:U90) )  - (1/20) * ( SUM( LN(U72:U91 / U71:U90) ) ^ 2 ) )</f>
        <v>0.02114449591</v>
      </c>
      <c r="X93" s="9">
        <f t="shared" si="4"/>
        <v>1.5</v>
      </c>
      <c r="Y93" s="14"/>
      <c r="Z93" s="12">
        <f t="shared" si="5"/>
        <v>0.9996736366</v>
      </c>
      <c r="AA93" s="16">
        <f t="shared" si="8"/>
        <v>100.9995151</v>
      </c>
      <c r="AB93" s="14"/>
      <c r="AC93" s="9">
        <f t="shared" si="6"/>
        <v>0</v>
      </c>
    </row>
    <row r="94">
      <c r="A94" s="8">
        <v>41859.0</v>
      </c>
      <c r="B94" s="14"/>
      <c r="C94" s="9">
        <f t="array" ref="C94">IFERROR(
  INDEX(
    IR!$B$2:$E2026,                
    MATCH($A94, IR!$A$2:$A2026, 0), 
    MATCH(C$1, IR!$B$1:$E$1, 0) ), "")
</f>
        <v>0.00094</v>
      </c>
      <c r="D94" s="9">
        <f t="array" ref="D94">IFERROR(
  INDEX(
    IR!$B$2:$E2026,                
    MATCH($A94, IR!$A$2:$A2026, 0), 
    MATCH(D$1, IR!$B$1:$E$1, 0) ), "")
</f>
        <v>0.00203</v>
      </c>
      <c r="E94" s="9">
        <f t="array" ref="E94">IFERROR(
  INDEX(
    IR!$B$2:$E2026,                
    MATCH($A94, IR!$A$2:$A2026, 0), 
    MATCH(E$1, IR!$B$1:$E$1, 0) ), "")
</f>
        <v>0.00302</v>
      </c>
      <c r="F94" s="9">
        <f t="array" ref="F94">IFERROR(
  INDEX(
    IR!$B$2:$E2026,                
    MATCH($A94, IR!$A$2:$A2026, 0), 
    MATCH(F$1, IR!$B$1:$E$1, 0) ), "")
</f>
        <v>0.00482</v>
      </c>
      <c r="G94" s="14"/>
      <c r="H94" s="9">
        <f t="array" ref="H94">IFERROR(
  INDEX(
    SR!$B$2:$D2026,            
    MATCH($A94, SR!$A$2:$A2026, 0),  
    MATCH(H$1, SR!$B$1:$D$1, 0) ), "")
</f>
        <v>0.00334</v>
      </c>
      <c r="I94" s="9">
        <f t="array" ref="I94">IFERROR(
  INDEX(
    SR!$B$2:$D2026,            
    MATCH($A94, SR!$A$2:$A2026, 0),  
    MATCH(I$1, SR!$B$1:$D$1, 0) ), "")
</f>
        <v>0.00404</v>
      </c>
      <c r="J94" s="9">
        <f t="array" ref="J94">IFERROR(
  INDEX(
    SR!$B$2:$D2026,            
    MATCH($A94, SR!$A$2:$A2026, 0),  
    MATCH(J$1, SR!$B$1:$D$1, 0) ), "")
</f>
        <v>0.006389</v>
      </c>
      <c r="K94" s="14"/>
      <c r="L94" s="9">
        <v>122.41</v>
      </c>
      <c r="M94" s="9">
        <v>24.35</v>
      </c>
      <c r="N94" s="9">
        <v>112.88</v>
      </c>
      <c r="O94" s="9">
        <v>122.82</v>
      </c>
      <c r="P94" s="9">
        <v>127.85</v>
      </c>
      <c r="Q94" s="9">
        <v>1346.8514</v>
      </c>
      <c r="R94" s="14"/>
      <c r="S94" s="12">
        <f t="shared" si="2"/>
        <v>-0.0008486697912</v>
      </c>
      <c r="T94" s="12">
        <f t="shared" si="3"/>
        <v>0.9991513302</v>
      </c>
      <c r="U94" s="16">
        <f t="shared" si="7"/>
        <v>100.5978024</v>
      </c>
      <c r="V94" s="17"/>
      <c r="W94" s="12">
        <f t="array" ref="W94">SQRT(252/20) *  SQRT( SUMSQ( LN(U73:U92 / U72:U91) )  - (1/20) * ( SUM( LN(U73:U92 / U72:U91) ) ^ 2 ) )</f>
        <v>0.02036148738</v>
      </c>
      <c r="X94" s="9">
        <f t="shared" si="4"/>
        <v>1.5</v>
      </c>
      <c r="Y94" s="14"/>
      <c r="Z94" s="12">
        <f t="shared" si="5"/>
        <v>0.998725662</v>
      </c>
      <c r="AA94" s="16">
        <f t="shared" si="8"/>
        <v>100.8708075</v>
      </c>
      <c r="AB94" s="14"/>
      <c r="AC94" s="9">
        <f t="shared" si="6"/>
        <v>0</v>
      </c>
    </row>
    <row r="95">
      <c r="A95" s="8">
        <v>41862.0</v>
      </c>
      <c r="B95" s="14"/>
      <c r="C95" s="9">
        <f t="array" ref="C95">IFERROR(
  INDEX(
    IR!$B$2:$E2026,                
    MATCH($A95, IR!$A$2:$A2026, 0), 
    MATCH(C$1, IR!$B$1:$E$1, 0) ), "")
</f>
        <v>0.00092</v>
      </c>
      <c r="D95" s="9">
        <f t="array" ref="D95">IFERROR(
  INDEX(
    IR!$B$2:$E2026,                
    MATCH($A95, IR!$A$2:$A2026, 0), 
    MATCH(D$1, IR!$B$1:$E$1, 0) ), "")
</f>
        <v>0.00202</v>
      </c>
      <c r="E95" s="9">
        <f t="array" ref="E95">IFERROR(
  INDEX(
    IR!$B$2:$E2026,                
    MATCH($A95, IR!$A$2:$A2026, 0), 
    MATCH(E$1, IR!$B$1:$E$1, 0) ), "")
</f>
        <v>0.00301</v>
      </c>
      <c r="F95" s="9">
        <f t="array" ref="F95">IFERROR(
  INDEX(
    IR!$B$2:$E2026,                
    MATCH($A95, IR!$A$2:$A2026, 0), 
    MATCH(F$1, IR!$B$1:$E$1, 0) ), "")
</f>
        <v>0.00482</v>
      </c>
      <c r="G95" s="14"/>
      <c r="H95" s="9">
        <f t="array" ref="H95">IFERROR(
  INDEX(
    SR!$B$2:$D2026,            
    MATCH($A95, SR!$A$2:$A2026, 0),  
    MATCH(H$1, SR!$B$1:$D$1, 0) ), "")
</f>
        <v>0.003268</v>
      </c>
      <c r="I95" s="9">
        <f t="array" ref="I95">IFERROR(
  INDEX(
    SR!$B$2:$D2026,            
    MATCH($A95, SR!$A$2:$A2026, 0),  
    MATCH(I$1, SR!$B$1:$D$1, 0) ), "")
</f>
        <v>0.003925</v>
      </c>
      <c r="J95" s="9">
        <f t="array" ref="J95">IFERROR(
  INDEX(
    SR!$B$2:$D2026,            
    MATCH($A95, SR!$A$2:$A2026, 0),  
    MATCH(J$1, SR!$B$1:$D$1, 0) ), "")
</f>
        <v>0.006213</v>
      </c>
      <c r="K95" s="14"/>
      <c r="L95" s="9">
        <v>122.74</v>
      </c>
      <c r="M95" s="9">
        <v>24.36</v>
      </c>
      <c r="N95" s="9">
        <v>112.99</v>
      </c>
      <c r="O95" s="9">
        <v>122.89</v>
      </c>
      <c r="P95" s="9">
        <v>127.52</v>
      </c>
      <c r="Q95" s="9">
        <v>1350.903</v>
      </c>
      <c r="R95" s="14"/>
      <c r="S95" s="12">
        <f t="shared" si="2"/>
        <v>0.0008462978102</v>
      </c>
      <c r="T95" s="12">
        <f t="shared" si="3"/>
        <v>1.000846298</v>
      </c>
      <c r="U95" s="16">
        <f t="shared" si="7"/>
        <v>100.6829381</v>
      </c>
      <c r="V95" s="17"/>
      <c r="W95" s="12">
        <f t="array" ref="W95">SQRT(252/20) *  SQRT( SUMSQ( LN(U74:U93 / U73:U92) )  - (1/20) * ( SUM( LN(U74:U93 / U73:U92) ) ^ 2 ) )</f>
        <v>0.02032232684</v>
      </c>
      <c r="X95" s="9">
        <f t="shared" si="4"/>
        <v>1.5</v>
      </c>
      <c r="Y95" s="14"/>
      <c r="Z95" s="12">
        <f t="shared" si="5"/>
        <v>1.00126553</v>
      </c>
      <c r="AA95" s="16">
        <f t="shared" si="8"/>
        <v>100.9984626</v>
      </c>
      <c r="AB95" s="14"/>
      <c r="AC95" s="9">
        <f t="shared" si="6"/>
        <v>0</v>
      </c>
    </row>
    <row r="96">
      <c r="A96" s="8">
        <v>41863.0</v>
      </c>
      <c r="B96" s="14"/>
      <c r="C96" s="9">
        <f t="array" ref="C96">IFERROR(
  INDEX(
    IR!$B$2:$E2026,                
    MATCH($A96, IR!$A$2:$A2026, 0), 
    MATCH(C$1, IR!$B$1:$E$1, 0) ), "")
</f>
        <v>0.00091</v>
      </c>
      <c r="D96" s="9">
        <f t="array" ref="D96">IFERROR(
  INDEX(
    IR!$B$2:$E2026,                
    MATCH($A96, IR!$A$2:$A2026, 0), 
    MATCH(D$1, IR!$B$1:$E$1, 0) ), "")
</f>
        <v>0.00201</v>
      </c>
      <c r="E96" s="9">
        <f t="array" ref="E96">IFERROR(
  INDEX(
    IR!$B$2:$E2026,                
    MATCH($A96, IR!$A$2:$A2026, 0), 
    MATCH(E$1, IR!$B$1:$E$1, 0) ), "")
</f>
        <v>0.003</v>
      </c>
      <c r="F96" s="9">
        <f t="array" ref="F96">IFERROR(
  INDEX(
    IR!$B$2:$E2026,                
    MATCH($A96, IR!$A$2:$A2026, 0), 
    MATCH(F$1, IR!$B$1:$E$1, 0) ), "")
</f>
        <v>0.00479</v>
      </c>
      <c r="G96" s="14"/>
      <c r="H96" s="9">
        <f t="array" ref="H96">IFERROR(
  INDEX(
    SR!$B$2:$D2026,            
    MATCH($A96, SR!$A$2:$A2026, 0),  
    MATCH(H$1, SR!$B$1:$D$1, 0) ), "")
</f>
        <v>0.003255</v>
      </c>
      <c r="I96" s="9">
        <f t="array" ref="I96">IFERROR(
  INDEX(
    SR!$B$2:$D2026,            
    MATCH($A96, SR!$A$2:$A2026, 0),  
    MATCH(I$1, SR!$B$1:$D$1, 0) ), "")
</f>
        <v>0.003903</v>
      </c>
      <c r="J96" s="9">
        <f t="array" ref="J96">IFERROR(
  INDEX(
    SR!$B$2:$D2026,            
    MATCH($A96, SR!$A$2:$A2026, 0),  
    MATCH(J$1, SR!$B$1:$D$1, 0) ), "")
</f>
        <v>0.00621</v>
      </c>
      <c r="K96" s="14"/>
      <c r="L96" s="9">
        <v>122.72</v>
      </c>
      <c r="M96" s="9">
        <v>24.38</v>
      </c>
      <c r="N96" s="9">
        <v>113.05</v>
      </c>
      <c r="O96" s="9">
        <v>122.79</v>
      </c>
      <c r="P96" s="9">
        <v>127.98</v>
      </c>
      <c r="Q96" s="9">
        <v>1357.7607</v>
      </c>
      <c r="R96" s="14"/>
      <c r="S96" s="12">
        <f t="shared" si="2"/>
        <v>0.001509739723</v>
      </c>
      <c r="T96" s="12">
        <f t="shared" si="3"/>
        <v>1.00150974</v>
      </c>
      <c r="U96" s="16">
        <f t="shared" si="7"/>
        <v>100.8349431</v>
      </c>
      <c r="V96" s="17"/>
      <c r="W96" s="12">
        <f t="array" ref="W96">SQRT(252/20) *  SQRT( SUMSQ( LN(U75:U94 / U74:U93) )  - (1/20) * ( SUM( LN(U75:U94 / U74:U93) ) ^ 2 ) )</f>
        <v>0.01984384824</v>
      </c>
      <c r="X96" s="9">
        <f t="shared" si="4"/>
        <v>1.5</v>
      </c>
      <c r="Y96" s="14"/>
      <c r="Z96" s="12">
        <f t="shared" si="5"/>
        <v>1.002263332</v>
      </c>
      <c r="AA96" s="16">
        <f t="shared" si="8"/>
        <v>101.2270556</v>
      </c>
      <c r="AB96" s="14"/>
      <c r="AC96" s="9">
        <f t="shared" si="6"/>
        <v>0</v>
      </c>
    </row>
    <row r="97">
      <c r="A97" s="8">
        <v>41864.0</v>
      </c>
      <c r="B97" s="14"/>
      <c r="C97" s="9">
        <f t="array" ref="C97">IFERROR(
  INDEX(
    IR!$B$2:$E2026,                
    MATCH($A97, IR!$A$2:$A2026, 0), 
    MATCH(C$1, IR!$B$1:$E$1, 0) ), "")
</f>
        <v>0.0009</v>
      </c>
      <c r="D97" s="9">
        <f t="array" ref="D97">IFERROR(
  INDEX(
    IR!$B$2:$E2026,                
    MATCH($A97, IR!$A$2:$A2026, 0), 
    MATCH(D$1, IR!$B$1:$E$1, 0) ), "")
</f>
        <v>0.00199</v>
      </c>
      <c r="E97" s="9">
        <f t="array" ref="E97">IFERROR(
  INDEX(
    IR!$B$2:$E2026,                
    MATCH($A97, IR!$A$2:$A2026, 0), 
    MATCH(E$1, IR!$B$1:$E$1, 0) ), "")
</f>
        <v>0.00299</v>
      </c>
      <c r="F97" s="9">
        <f t="array" ref="F97">IFERROR(
  INDEX(
    IR!$B$2:$E2026,                
    MATCH($A97, IR!$A$2:$A2026, 0), 
    MATCH(F$1, IR!$B$1:$E$1, 0) ), "")
</f>
        <v>0.00479</v>
      </c>
      <c r="G97" s="14"/>
      <c r="H97" s="9">
        <f t="array" ref="H97">IFERROR(
  INDEX(
    SR!$B$2:$D2026,            
    MATCH($A97, SR!$A$2:$A2026, 0),  
    MATCH(H$1, SR!$B$1:$D$1, 0) ), "")
</f>
        <v>0.0032</v>
      </c>
      <c r="I97" s="9">
        <f t="array" ref="I97">IFERROR(
  INDEX(
    SR!$B$2:$D2026,            
    MATCH($A97, SR!$A$2:$A2026, 0),  
    MATCH(I$1, SR!$B$1:$D$1, 0) ), "")
</f>
        <v>0.003808</v>
      </c>
      <c r="J97" s="9">
        <f t="array" ref="J97">IFERROR(
  INDEX(
    SR!$B$2:$D2026,            
    MATCH($A97, SR!$A$2:$A2026, 0),  
    MATCH(J$1, SR!$B$1:$D$1, 0) ), "")
</f>
        <v>0.005865</v>
      </c>
      <c r="K97" s="14"/>
      <c r="L97" s="9">
        <v>122.9</v>
      </c>
      <c r="M97" s="9">
        <v>24.37</v>
      </c>
      <c r="N97" s="9">
        <v>113.06</v>
      </c>
      <c r="O97" s="9">
        <v>122.83</v>
      </c>
      <c r="P97" s="9">
        <v>127.88</v>
      </c>
      <c r="Q97" s="9">
        <v>1354.9992</v>
      </c>
      <c r="R97" s="14"/>
      <c r="S97" s="12">
        <f t="shared" si="2"/>
        <v>-0.0002241868349</v>
      </c>
      <c r="T97" s="12">
        <f t="shared" si="3"/>
        <v>0.9997758132</v>
      </c>
      <c r="U97" s="16">
        <f t="shared" si="7"/>
        <v>100.8123373</v>
      </c>
      <c r="V97" s="17"/>
      <c r="W97" s="12">
        <f t="array" ref="W97">SQRT(252/20) *  SQRT( SUMSQ( LN(U76:U95 / U75:U94) )  - (1/20) * ( SUM( LN(U76:U95 / U75:U94) ) ^ 2 ) )</f>
        <v>0.02022548888</v>
      </c>
      <c r="X97" s="9">
        <f t="shared" si="4"/>
        <v>1.5</v>
      </c>
      <c r="Y97" s="14"/>
      <c r="Z97" s="12">
        <f t="shared" si="5"/>
        <v>0.9996624559</v>
      </c>
      <c r="AA97" s="16">
        <f t="shared" si="8"/>
        <v>101.192887</v>
      </c>
      <c r="AB97" s="14"/>
      <c r="AC97" s="9">
        <f t="shared" si="6"/>
        <v>0</v>
      </c>
    </row>
    <row r="98">
      <c r="A98" s="8">
        <v>41865.0</v>
      </c>
      <c r="B98" s="14"/>
      <c r="C98" s="9">
        <f t="array" ref="C98">IFERROR(
  INDEX(
    IR!$B$2:$E2026,                
    MATCH($A98, IR!$A$2:$A2026, 0), 
    MATCH(C$1, IR!$B$1:$E$1, 0) ), "")
</f>
        <v>0.00089</v>
      </c>
      <c r="D98" s="9">
        <f t="array" ref="D98">IFERROR(
  INDEX(
    IR!$B$2:$E2026,                
    MATCH($A98, IR!$A$2:$A2026, 0), 
    MATCH(D$1, IR!$B$1:$E$1, 0) ), "")
</f>
        <v>0.00198</v>
      </c>
      <c r="E98" s="9">
        <f t="array" ref="E98">IFERROR(
  INDEX(
    IR!$B$2:$E2026,                
    MATCH($A98, IR!$A$2:$A2026, 0), 
    MATCH(E$1, IR!$B$1:$E$1, 0) ), "")
</f>
        <v>0.00298</v>
      </c>
      <c r="F98" s="9">
        <f t="array" ref="F98">IFERROR(
  INDEX(
    IR!$B$2:$E2026,                
    MATCH($A98, IR!$A$2:$A2026, 0), 
    MATCH(F$1, IR!$B$1:$E$1, 0) ), "")
</f>
        <v>0.00478</v>
      </c>
      <c r="G98" s="14"/>
      <c r="H98" s="9">
        <f t="array" ref="H98">IFERROR(
  INDEX(
    SR!$B$2:$D2026,            
    MATCH($A98, SR!$A$2:$A2026, 0),  
    MATCH(H$1, SR!$B$1:$D$1, 0) ), "")
</f>
        <v>0.003188</v>
      </c>
      <c r="I98" s="9">
        <f t="array" ref="I98">IFERROR(
  INDEX(
    SR!$B$2:$D2026,            
    MATCH($A98, SR!$A$2:$A2026, 0),  
    MATCH(I$1, SR!$B$1:$D$1, 0) ), "")
</f>
        <v>0.003757</v>
      </c>
      <c r="J98" s="9">
        <f t="array" ref="J98">IFERROR(
  INDEX(
    SR!$B$2:$D2026,            
    MATCH($A98, SR!$A$2:$A2026, 0),  
    MATCH(J$1, SR!$B$1:$D$1, 0) ), "")
</f>
        <v>0.005819</v>
      </c>
      <c r="K98" s="14"/>
      <c r="L98" s="9">
        <v>122.92</v>
      </c>
      <c r="M98" s="9">
        <v>24.38</v>
      </c>
      <c r="N98" s="9">
        <v>113.09</v>
      </c>
      <c r="O98" s="9">
        <v>122.94</v>
      </c>
      <c r="P98" s="9">
        <v>128.11</v>
      </c>
      <c r="Q98" s="9">
        <v>1358.3947</v>
      </c>
      <c r="R98" s="14"/>
      <c r="S98" s="12">
        <f t="shared" si="2"/>
        <v>0.001006253649</v>
      </c>
      <c r="T98" s="12">
        <f t="shared" si="3"/>
        <v>1.001006254</v>
      </c>
      <c r="U98" s="16">
        <f t="shared" si="7"/>
        <v>100.9137801</v>
      </c>
      <c r="V98" s="17"/>
      <c r="W98" s="12">
        <f t="array" ref="W98">SQRT(252/20) *  SQRT( SUMSQ( LN(U77:U96 / U76:U95) )  - (1/20) * ( SUM( LN(U77:U96 / U76:U95) ) ^ 2 ) )</f>
        <v>0.02031794437</v>
      </c>
      <c r="X98" s="9">
        <f t="shared" si="4"/>
        <v>1.5</v>
      </c>
      <c r="Y98" s="14"/>
      <c r="Z98" s="12">
        <f t="shared" si="5"/>
        <v>1.00150813</v>
      </c>
      <c r="AA98" s="16">
        <f t="shared" si="8"/>
        <v>101.3454991</v>
      </c>
      <c r="AB98" s="14"/>
      <c r="AC98" s="9">
        <f t="shared" si="6"/>
        <v>0</v>
      </c>
    </row>
    <row r="99">
      <c r="A99" s="8">
        <v>41869.0</v>
      </c>
      <c r="B99" s="14"/>
      <c r="C99" s="9">
        <f t="array" ref="C99">IFERROR(
  INDEX(
    IR!$B$2:$E2026,                
    MATCH($A99, IR!$A$2:$A2026, 0), 
    MATCH(C$1, IR!$B$1:$E$1, 0) ), "")
</f>
        <v>0.00089</v>
      </c>
      <c r="D99" s="9">
        <f t="array" ref="D99">IFERROR(
  INDEX(
    IR!$B$2:$E2026,                
    MATCH($A99, IR!$A$2:$A2026, 0), 
    MATCH(D$1, IR!$B$1:$E$1, 0) ), "")
</f>
        <v>0.00196</v>
      </c>
      <c r="E99" s="9">
        <f t="array" ref="E99">IFERROR(
  INDEX(
    IR!$B$2:$E2026,                
    MATCH($A99, IR!$A$2:$A2026, 0), 
    MATCH(E$1, IR!$B$1:$E$1, 0) ), "")
</f>
        <v>0.00297</v>
      </c>
      <c r="F99" s="9">
        <f t="array" ref="F99">IFERROR(
  INDEX(
    IR!$B$2:$E2026,                
    MATCH($A99, IR!$A$2:$A2026, 0), 
    MATCH(F$1, IR!$B$1:$E$1, 0) ), "")
</f>
        <v>0.00474</v>
      </c>
      <c r="G99" s="14"/>
      <c r="H99" s="9">
        <f t="array" ref="H99">IFERROR(
  INDEX(
    SR!$B$2:$D2026,            
    MATCH($A99, SR!$A$2:$A2026, 0),  
    MATCH(H$1, SR!$B$1:$D$1, 0) ), "")
</f>
        <v>0.00316</v>
      </c>
      <c r="I99" s="9">
        <f t="array" ref="I99">IFERROR(
  INDEX(
    SR!$B$2:$D2026,            
    MATCH($A99, SR!$A$2:$A2026, 0),  
    MATCH(I$1, SR!$B$1:$D$1, 0) ), "")
</f>
        <v>0.003757</v>
      </c>
      <c r="J99" s="9">
        <f t="array" ref="J99">IFERROR(
  INDEX(
    SR!$B$2:$D2026,            
    MATCH($A99, SR!$A$2:$A2026, 0),  
    MATCH(J$1, SR!$B$1:$D$1, 0) ), "")
</f>
        <v>0.005918</v>
      </c>
      <c r="K99" s="14"/>
      <c r="L99" s="9">
        <v>122.98</v>
      </c>
      <c r="M99" s="9">
        <v>24.39</v>
      </c>
      <c r="N99" s="9">
        <v>113.14</v>
      </c>
      <c r="O99" s="9">
        <v>122.99</v>
      </c>
      <c r="P99" s="9">
        <v>128.3</v>
      </c>
      <c r="Q99" s="9">
        <v>1359.7821</v>
      </c>
      <c r="R99" s="14"/>
      <c r="S99" s="12">
        <f t="shared" si="2"/>
        <v>0.0007084146829</v>
      </c>
      <c r="T99" s="12">
        <f t="shared" si="3"/>
        <v>1.000708415</v>
      </c>
      <c r="U99" s="16">
        <f t="shared" si="7"/>
        <v>100.9852689</v>
      </c>
      <c r="V99" s="17"/>
      <c r="W99" s="12">
        <f t="array" ref="W99">SQRT(252/20) *  SQRT( SUMSQ( LN(U78:U97 / U77:U96) )  - (1/20) * ( SUM( LN(U78:U97 / U77:U96) ) ^ 2 ) )</f>
        <v>0.02026624788</v>
      </c>
      <c r="X99" s="9">
        <f t="shared" si="4"/>
        <v>1.5</v>
      </c>
      <c r="Y99" s="14"/>
      <c r="Z99" s="12">
        <f t="shared" si="5"/>
        <v>1.001057678</v>
      </c>
      <c r="AA99" s="16">
        <f t="shared" si="8"/>
        <v>101.4526899</v>
      </c>
      <c r="AB99" s="14"/>
      <c r="AC99" s="9">
        <f t="shared" si="6"/>
        <v>0</v>
      </c>
    </row>
    <row r="100">
      <c r="A100" s="8">
        <v>41870.0</v>
      </c>
      <c r="B100" s="14"/>
      <c r="C100" s="9">
        <f t="array" ref="C100">IFERROR(
  INDEX(
    IR!$B$2:$E2026,                
    MATCH($A100, IR!$A$2:$A2026, 0), 
    MATCH(C$1, IR!$B$1:$E$1, 0) ), "")
</f>
        <v>0.00087</v>
      </c>
      <c r="D100" s="9">
        <f t="array" ref="D100">IFERROR(
  INDEX(
    IR!$B$2:$E2026,                
    MATCH($A100, IR!$A$2:$A2026, 0), 
    MATCH(D$1, IR!$B$1:$E$1, 0) ), "")
</f>
        <v>0.00191</v>
      </c>
      <c r="E100" s="9">
        <f t="array" ref="E100">IFERROR(
  INDEX(
    IR!$B$2:$E2026,                
    MATCH($A100, IR!$A$2:$A2026, 0), 
    MATCH(E$1, IR!$B$1:$E$1, 0) ), "")
</f>
        <v>0.00292</v>
      </c>
      <c r="F100" s="9">
        <f t="array" ref="F100">IFERROR(
  INDEX(
    IR!$B$2:$E2026,                
    MATCH($A100, IR!$A$2:$A2026, 0), 
    MATCH(F$1, IR!$B$1:$E$1, 0) ), "")
</f>
        <v>0.00469</v>
      </c>
      <c r="G100" s="14"/>
      <c r="H100" s="9">
        <f t="array" ref="H100">IFERROR(
  INDEX(
    SR!$B$2:$D2026,            
    MATCH($A100, SR!$A$2:$A2026, 0),  
    MATCH(H$1, SR!$B$1:$D$1, 0) ), "")
</f>
        <v>0.00309</v>
      </c>
      <c r="I100" s="9">
        <f t="array" ref="I100">IFERROR(
  INDEX(
    SR!$B$2:$D2026,            
    MATCH($A100, SR!$A$2:$A2026, 0),  
    MATCH(I$1, SR!$B$1:$D$1, 0) ), "")
</f>
        <v>0.00369</v>
      </c>
      <c r="J100" s="9">
        <f t="array" ref="J100">IFERROR(
  INDEX(
    SR!$B$2:$D2026,            
    MATCH($A100, SR!$A$2:$A2026, 0),  
    MATCH(J$1, SR!$B$1:$D$1, 0) ), "")
</f>
        <v>0.00573</v>
      </c>
      <c r="K100" s="14"/>
      <c r="L100" s="9">
        <v>123.17</v>
      </c>
      <c r="M100" s="9">
        <v>24.41</v>
      </c>
      <c r="N100" s="9">
        <v>113.18</v>
      </c>
      <c r="O100" s="9">
        <v>122.98</v>
      </c>
      <c r="P100" s="9">
        <v>128.55</v>
      </c>
      <c r="Q100" s="9">
        <v>1364.4824</v>
      </c>
      <c r="R100" s="14"/>
      <c r="S100" s="12">
        <f t="shared" si="2"/>
        <v>0.00134021393</v>
      </c>
      <c r="T100" s="12">
        <f t="shared" si="3"/>
        <v>1.001340214</v>
      </c>
      <c r="U100" s="16">
        <f t="shared" si="7"/>
        <v>101.1206107</v>
      </c>
      <c r="V100" s="17"/>
      <c r="W100" s="12">
        <f t="array" ref="W100">SQRT(252/20) *  SQRT( SUMSQ( LN(U79:U98 / U78:U97) )  - (1/20) * ( SUM( LN(U79:U98 / U78:U97) ) ^ 2 ) )</f>
        <v>0.01966351717</v>
      </c>
      <c r="X100" s="9">
        <f t="shared" si="4"/>
        <v>1.5</v>
      </c>
      <c r="Y100" s="14"/>
      <c r="Z100" s="12">
        <f t="shared" si="5"/>
        <v>1.002009085</v>
      </c>
      <c r="AA100" s="16">
        <f t="shared" si="8"/>
        <v>101.656517</v>
      </c>
      <c r="AB100" s="14"/>
      <c r="AC100" s="9">
        <f t="shared" si="6"/>
        <v>0</v>
      </c>
    </row>
    <row r="101">
      <c r="A101" s="8">
        <v>41871.0</v>
      </c>
      <c r="B101" s="14"/>
      <c r="C101" s="9">
        <f t="array" ref="C101">IFERROR(
  INDEX(
    IR!$B$2:$E2026,                
    MATCH($A101, IR!$A$2:$A2026, 0), 
    MATCH(C$1, IR!$B$1:$E$1, 0) ), "")
</f>
        <v>0.00084</v>
      </c>
      <c r="D101" s="9">
        <f t="array" ref="D101">IFERROR(
  INDEX(
    IR!$B$2:$E2026,                
    MATCH($A101, IR!$A$2:$A2026, 0), 
    MATCH(D$1, IR!$B$1:$E$1, 0) ), "")
</f>
        <v>0.00187</v>
      </c>
      <c r="E101" s="9">
        <f t="array" ref="E101">IFERROR(
  INDEX(
    IR!$B$2:$E2026,                
    MATCH($A101, IR!$A$2:$A2026, 0), 
    MATCH(E$1, IR!$B$1:$E$1, 0) ), "")
</f>
        <v>0.00289</v>
      </c>
      <c r="F101" s="9">
        <f t="array" ref="F101">IFERROR(
  INDEX(
    IR!$B$2:$E2026,                
    MATCH($A101, IR!$A$2:$A2026, 0), 
    MATCH(F$1, IR!$B$1:$E$1, 0) ), "")
</f>
        <v>0.00466</v>
      </c>
      <c r="G101" s="14"/>
      <c r="H101" s="9">
        <f t="array" ref="H101">IFERROR(
  INDEX(
    SR!$B$2:$D2026,            
    MATCH($A101, SR!$A$2:$A2026, 0),  
    MATCH(H$1, SR!$B$1:$D$1, 0) ), "")
</f>
        <v>0.00307</v>
      </c>
      <c r="I101" s="9">
        <f t="array" ref="I101">IFERROR(
  INDEX(
    SR!$B$2:$D2026,            
    MATCH($A101, SR!$A$2:$A2026, 0),  
    MATCH(I$1, SR!$B$1:$D$1, 0) ), "")
</f>
        <v>0.00363</v>
      </c>
      <c r="J101" s="9">
        <f t="array" ref="J101">IFERROR(
  INDEX(
    SR!$B$2:$D2026,            
    MATCH($A101, SR!$A$2:$A2026, 0),  
    MATCH(J$1, SR!$B$1:$D$1, 0) ), "")
</f>
        <v>0.00559</v>
      </c>
      <c r="K101" s="14"/>
      <c r="L101" s="9">
        <v>123.22</v>
      </c>
      <c r="M101" s="9">
        <v>24.41</v>
      </c>
      <c r="N101" s="9">
        <v>113.19</v>
      </c>
      <c r="O101" s="9">
        <v>123.09</v>
      </c>
      <c r="P101" s="9">
        <v>128.8</v>
      </c>
      <c r="Q101" s="9">
        <v>1367.5587</v>
      </c>
      <c r="R101" s="14"/>
      <c r="S101" s="12">
        <f t="shared" si="2"/>
        <v>0.0009311988074</v>
      </c>
      <c r="T101" s="12">
        <f t="shared" si="3"/>
        <v>1.000931199</v>
      </c>
      <c r="U101" s="16">
        <f t="shared" si="7"/>
        <v>101.2147741</v>
      </c>
      <c r="V101" s="17"/>
      <c r="W101" s="12">
        <f t="array" ref="W101">SQRT(252/20) *  SQRT( SUMSQ( LN(U80:U99 / U79:U98) )  - (1/20) * ( SUM( LN(U80:U99 / U79:U98) ) ^ 2 ) )</f>
        <v>0.01945132553</v>
      </c>
      <c r="X101" s="9">
        <f t="shared" si="4"/>
        <v>1.5</v>
      </c>
      <c r="Y101" s="14"/>
      <c r="Z101" s="12">
        <f t="shared" si="5"/>
        <v>1.00139559</v>
      </c>
      <c r="AA101" s="16">
        <f t="shared" si="8"/>
        <v>101.7983878</v>
      </c>
      <c r="AB101" s="14"/>
      <c r="AC101" s="9">
        <f t="shared" si="6"/>
        <v>0</v>
      </c>
    </row>
    <row r="102">
      <c r="A102" s="8">
        <v>41872.0</v>
      </c>
      <c r="B102" s="14"/>
      <c r="C102" s="9">
        <f t="array" ref="C102">IFERROR(
  INDEX(
    IR!$B$2:$E2026,                
    MATCH($A102, IR!$A$2:$A2026, 0), 
    MATCH(C$1, IR!$B$1:$E$1, 0) ), "")
</f>
        <v>0.00081</v>
      </c>
      <c r="D102" s="9">
        <f t="array" ref="D102">IFERROR(
  INDEX(
    IR!$B$2:$E2026,                
    MATCH($A102, IR!$A$2:$A2026, 0), 
    MATCH(D$1, IR!$B$1:$E$1, 0) ), "")
</f>
        <v>0.00186</v>
      </c>
      <c r="E102" s="9">
        <f t="array" ref="E102">IFERROR(
  INDEX(
    IR!$B$2:$E2026,                
    MATCH($A102, IR!$A$2:$A2026, 0), 
    MATCH(E$1, IR!$B$1:$E$1, 0) ), "")
</f>
        <v>0.00287</v>
      </c>
      <c r="F102" s="9">
        <f t="array" ref="F102">IFERROR(
  INDEX(
    IR!$B$2:$E2026,                
    MATCH($A102, IR!$A$2:$A2026, 0), 
    MATCH(F$1, IR!$B$1:$E$1, 0) ), "")
</f>
        <v>0.00464</v>
      </c>
      <c r="G102" s="14"/>
      <c r="H102" s="9">
        <f t="array" ref="H102">IFERROR(
  INDEX(
    SR!$B$2:$D2026,            
    MATCH($A102, SR!$A$2:$A2026, 0),  
    MATCH(H$1, SR!$B$1:$D$1, 0) ), "")
</f>
        <v>0.00303</v>
      </c>
      <c r="I102" s="9">
        <f t="array" ref="I102">IFERROR(
  INDEX(
    SR!$B$2:$D2026,            
    MATCH($A102, SR!$A$2:$A2026, 0),  
    MATCH(I$1, SR!$B$1:$D$1, 0) ), "")
</f>
        <v>0.003615</v>
      </c>
      <c r="J102" s="9">
        <f t="array" ref="J102">IFERROR(
  INDEX(
    SR!$B$2:$D2026,            
    MATCH($A102, SR!$A$2:$A2026, 0),  
    MATCH(J$1, SR!$B$1:$D$1, 0) ), "")
</f>
        <v>0.005675</v>
      </c>
      <c r="K102" s="14"/>
      <c r="L102" s="9">
        <v>123.56</v>
      </c>
      <c r="M102" s="9">
        <v>24.41</v>
      </c>
      <c r="N102" s="9">
        <v>113.16</v>
      </c>
      <c r="O102" s="9">
        <v>123.11</v>
      </c>
      <c r="P102" s="9">
        <v>128.76</v>
      </c>
      <c r="Q102" s="9">
        <v>1368.4146</v>
      </c>
      <c r="R102" s="14"/>
      <c r="S102" s="12">
        <f t="shared" si="2"/>
        <v>0.0004952035771</v>
      </c>
      <c r="T102" s="12">
        <f t="shared" si="3"/>
        <v>1.000495204</v>
      </c>
      <c r="U102" s="16">
        <f t="shared" si="7"/>
        <v>101.264896</v>
      </c>
      <c r="V102" s="17"/>
      <c r="W102" s="12">
        <f t="array" ref="W102">SQRT(252/20) *  SQRT( SUMSQ( LN(U81:U100 / U80:U99) )  - (1/20) * ( SUM( LN(U81:U100 / U80:U99) ) ^ 2 ) )</f>
        <v>0.02017650378</v>
      </c>
      <c r="X102" s="9">
        <f t="shared" si="4"/>
        <v>1.5</v>
      </c>
      <c r="Y102" s="14"/>
      <c r="Z102" s="12">
        <f t="shared" si="5"/>
        <v>1.000741639</v>
      </c>
      <c r="AA102" s="16">
        <f t="shared" si="8"/>
        <v>101.8738854</v>
      </c>
      <c r="AB102" s="14"/>
      <c r="AC102" s="9">
        <f t="shared" si="6"/>
        <v>0</v>
      </c>
    </row>
    <row r="103">
      <c r="A103" s="8">
        <v>41873.0</v>
      </c>
      <c r="B103" s="14"/>
      <c r="C103" s="9">
        <f t="array" ref="C103">IFERROR(
  INDEX(
    IR!$B$2:$E2026,                
    MATCH($A103, IR!$A$2:$A2026, 0), 
    MATCH(C$1, IR!$B$1:$E$1, 0) ), "")
</f>
        <v>0.00079</v>
      </c>
      <c r="D103" s="9">
        <f t="array" ref="D103">IFERROR(
  INDEX(
    IR!$B$2:$E2026,                
    MATCH($A103, IR!$A$2:$A2026, 0), 
    MATCH(D$1, IR!$B$1:$E$1, 0) ), "")
</f>
        <v>0.00183</v>
      </c>
      <c r="E103" s="9">
        <f t="array" ref="E103">IFERROR(
  INDEX(
    IR!$B$2:$E2026,                
    MATCH($A103, IR!$A$2:$A2026, 0), 
    MATCH(E$1, IR!$B$1:$E$1, 0) ), "")
</f>
        <v>0.00288</v>
      </c>
      <c r="F103" s="9">
        <f t="array" ref="F103">IFERROR(
  INDEX(
    IR!$B$2:$E2026,                
    MATCH($A103, IR!$A$2:$A2026, 0), 
    MATCH(F$1, IR!$B$1:$E$1, 0) ), "")
</f>
        <v>0.00463</v>
      </c>
      <c r="G103" s="14"/>
      <c r="H103" s="9">
        <f t="array" ref="H103">IFERROR(
  INDEX(
    SR!$B$2:$D2026,            
    MATCH($A103, SR!$A$2:$A2026, 0),  
    MATCH(H$1, SR!$B$1:$D$1, 0) ), "")
</f>
        <v>0.003005</v>
      </c>
      <c r="I103" s="9">
        <f t="array" ref="I103">IFERROR(
  INDEX(
    SR!$B$2:$D2026,            
    MATCH($A103, SR!$A$2:$A2026, 0),  
    MATCH(I$1, SR!$B$1:$D$1, 0) ), "")
</f>
        <v>0.00358</v>
      </c>
      <c r="J103" s="9">
        <f t="array" ref="J103">IFERROR(
  INDEX(
    SR!$B$2:$D2026,            
    MATCH($A103, SR!$A$2:$A2026, 0),  
    MATCH(J$1, SR!$B$1:$D$1, 0) ), "")
</f>
        <v>0.005525</v>
      </c>
      <c r="K103" s="14"/>
      <c r="L103" s="9">
        <v>123.46</v>
      </c>
      <c r="M103" s="9">
        <v>24.43</v>
      </c>
      <c r="N103" s="9">
        <v>113.17</v>
      </c>
      <c r="O103" s="9">
        <v>123.08</v>
      </c>
      <c r="P103" s="9">
        <v>128.99</v>
      </c>
      <c r="Q103" s="9">
        <v>1370.1332</v>
      </c>
      <c r="R103" s="14"/>
      <c r="S103" s="12">
        <f t="shared" si="2"/>
        <v>0.0004827447691</v>
      </c>
      <c r="T103" s="12">
        <f t="shared" si="3"/>
        <v>1.000482745</v>
      </c>
      <c r="U103" s="16">
        <f t="shared" si="7"/>
        <v>101.3137811</v>
      </c>
      <c r="V103" s="17"/>
      <c r="W103" s="12">
        <f t="array" ref="W103">SQRT(252/20) *  SQRT( SUMSQ( LN(U82:U101 / U81:U100) )  - (1/20) * ( SUM( LN(U82:U101 / U81:U100) ) ^ 2 ) )</f>
        <v>0.02052544122</v>
      </c>
      <c r="X103" s="9">
        <f t="shared" si="4"/>
        <v>1.5</v>
      </c>
      <c r="Y103" s="14"/>
      <c r="Z103" s="12">
        <f t="shared" si="5"/>
        <v>1.000722992</v>
      </c>
      <c r="AA103" s="16">
        <f t="shared" si="8"/>
        <v>101.9475394</v>
      </c>
      <c r="AB103" s="14"/>
      <c r="AC103" s="9">
        <f t="shared" si="6"/>
        <v>0</v>
      </c>
    </row>
    <row r="104">
      <c r="A104" s="8">
        <v>41876.0</v>
      </c>
      <c r="B104" s="14"/>
      <c r="C104" s="9">
        <f t="array" ref="C104">IFERROR(
  INDEX(
    IR!$B$2:$E2026,                
    MATCH($A104, IR!$A$2:$A2026, 0), 
    MATCH(C$1, IR!$B$1:$E$1, 0) ), "")
</f>
        <v>0.00074</v>
      </c>
      <c r="D104" s="9">
        <f t="array" ref="D104">IFERROR(
  INDEX(
    IR!$B$2:$E2026,                
    MATCH($A104, IR!$A$2:$A2026, 0), 
    MATCH(D$1, IR!$B$1:$E$1, 0) ), "")
</f>
        <v>0.00175</v>
      </c>
      <c r="E104" s="9">
        <f t="array" ref="E104">IFERROR(
  INDEX(
    IR!$B$2:$E2026,                
    MATCH($A104, IR!$A$2:$A2026, 0), 
    MATCH(E$1, IR!$B$1:$E$1, 0) ), "")
</f>
        <v>0.00274</v>
      </c>
      <c r="F104" s="9">
        <f t="array" ref="F104">IFERROR(
  INDEX(
    IR!$B$2:$E2026,                
    MATCH($A104, IR!$A$2:$A2026, 0), 
    MATCH(F$1, IR!$B$1:$E$1, 0) ), "")
</f>
        <v>0.00448</v>
      </c>
      <c r="G104" s="14"/>
      <c r="H104" s="9">
        <f t="array" ref="H104">IFERROR(
  INDEX(
    SR!$B$2:$D2026,            
    MATCH($A104, SR!$A$2:$A2026, 0),  
    MATCH(H$1, SR!$B$1:$D$1, 0) ), "")
</f>
        <v>0.0026</v>
      </c>
      <c r="I104" s="9">
        <f t="array" ref="I104">IFERROR(
  INDEX(
    SR!$B$2:$D2026,            
    MATCH($A104, SR!$A$2:$A2026, 0),  
    MATCH(I$1, SR!$B$1:$D$1, 0) ), "")
</f>
        <v>0.003125</v>
      </c>
      <c r="J104" s="9">
        <f t="array" ref="J104">IFERROR(
  INDEX(
    SR!$B$2:$D2026,            
    MATCH($A104, SR!$A$2:$A2026, 0),  
    MATCH(J$1, SR!$B$1:$D$1, 0) ), "")
</f>
        <v>0.00515</v>
      </c>
      <c r="K104" s="14"/>
      <c r="L104" s="9">
        <v>123.8</v>
      </c>
      <c r="M104" s="9">
        <v>24.45</v>
      </c>
      <c r="N104" s="9">
        <v>113.27</v>
      </c>
      <c r="O104" s="9">
        <v>123.08</v>
      </c>
      <c r="P104" s="9">
        <v>129.15</v>
      </c>
      <c r="Q104" s="9">
        <v>1371.2902</v>
      </c>
      <c r="R104" s="14"/>
      <c r="S104" s="12">
        <f t="shared" si="2"/>
        <v>0.001089826715</v>
      </c>
      <c r="T104" s="12">
        <f t="shared" si="3"/>
        <v>1.001089827</v>
      </c>
      <c r="U104" s="16">
        <f t="shared" si="7"/>
        <v>101.4241956</v>
      </c>
      <c r="V104" s="17"/>
      <c r="W104" s="12">
        <f t="array" ref="W104">SQRT(252/20) *  SQRT( SUMSQ( LN(U83:U102 / U82:U101) )  - (1/20) * ( SUM( LN(U83:U102 / U82:U101) ) ^ 2 ) )</f>
        <v>0.01985647021</v>
      </c>
      <c r="X104" s="9">
        <f t="shared" si="4"/>
        <v>1.5</v>
      </c>
      <c r="Y104" s="14"/>
      <c r="Z104" s="12">
        <f t="shared" si="5"/>
        <v>1.001631448</v>
      </c>
      <c r="AA104" s="16">
        <f t="shared" si="8"/>
        <v>102.1138616</v>
      </c>
      <c r="AB104" s="14"/>
      <c r="AC104" s="9">
        <f t="shared" si="6"/>
        <v>0</v>
      </c>
    </row>
    <row r="105">
      <c r="A105" s="8">
        <v>41877.0</v>
      </c>
      <c r="B105" s="14"/>
      <c r="C105" s="9">
        <f t="array" ref="C105">IFERROR(
  INDEX(
    IR!$B$2:$E2026,                
    MATCH($A105, IR!$A$2:$A2026, 0), 
    MATCH(C$1, IR!$B$1:$E$1, 0) ), "")
</f>
        <v>0.00071</v>
      </c>
      <c r="D105" s="9">
        <f t="array" ref="D105">IFERROR(
  INDEX(
    IR!$B$2:$E2026,                
    MATCH($A105, IR!$A$2:$A2026, 0), 
    MATCH(D$1, IR!$B$1:$E$1, 0) ), "")
</f>
        <v>0.00171</v>
      </c>
      <c r="E105" s="9">
        <f t="array" ref="E105">IFERROR(
  INDEX(
    IR!$B$2:$E2026,                
    MATCH($A105, IR!$A$2:$A2026, 0), 
    MATCH(E$1, IR!$B$1:$E$1, 0) ), "")
</f>
        <v>0.00271</v>
      </c>
      <c r="F105" s="9">
        <f t="array" ref="F105">IFERROR(
  INDEX(
    IR!$B$2:$E2026,                
    MATCH($A105, IR!$A$2:$A2026, 0), 
    MATCH(F$1, IR!$B$1:$E$1, 0) ), "")
</f>
        <v>0.00443</v>
      </c>
      <c r="G105" s="14"/>
      <c r="H105" s="9">
        <f t="array" ref="H105">IFERROR(
  INDEX(
    SR!$B$2:$D2026,            
    MATCH($A105, SR!$A$2:$A2026, 0),  
    MATCH(H$1, SR!$B$1:$D$1, 0) ), "")
</f>
        <v>0.002718</v>
      </c>
      <c r="I105" s="9">
        <f t="array" ref="I105">IFERROR(
  INDEX(
    SR!$B$2:$D2026,            
    MATCH($A105, SR!$A$2:$A2026, 0),  
    MATCH(I$1, SR!$B$1:$D$1, 0) ), "")
</f>
        <v>0.003215</v>
      </c>
      <c r="J105" s="9">
        <f t="array" ref="J105">IFERROR(
  INDEX(
    SR!$B$2:$D2026,            
    MATCH($A105, SR!$A$2:$A2026, 0),  
    MATCH(J$1, SR!$B$1:$D$1, 0) ), "")
</f>
        <v>0.005115</v>
      </c>
      <c r="K105" s="14"/>
      <c r="L105" s="9">
        <v>124.15</v>
      </c>
      <c r="M105" s="9">
        <v>24.45</v>
      </c>
      <c r="N105" s="9">
        <v>113.29</v>
      </c>
      <c r="O105" s="9">
        <v>123.32</v>
      </c>
      <c r="P105" s="9">
        <v>129.59</v>
      </c>
      <c r="Q105" s="9">
        <v>1372.6979</v>
      </c>
      <c r="R105" s="14"/>
      <c r="S105" s="12">
        <f t="shared" si="2"/>
        <v>0.001563994142</v>
      </c>
      <c r="T105" s="12">
        <f t="shared" si="3"/>
        <v>1.001563994</v>
      </c>
      <c r="U105" s="16">
        <f t="shared" si="7"/>
        <v>101.5828224</v>
      </c>
      <c r="V105" s="17"/>
      <c r="W105" s="12">
        <f t="array" ref="W105">SQRT(252/20) *  SQRT( SUMSQ( LN(U84:U103 / U83:U102) )  - (1/20) * ( SUM( LN(U84:U103 / U83:U102) ) ^ 2 ) )</f>
        <v>0.019752322</v>
      </c>
      <c r="X105" s="9">
        <f t="shared" si="4"/>
        <v>1.5</v>
      </c>
      <c r="Y105" s="14"/>
      <c r="Z105" s="12">
        <f t="shared" si="5"/>
        <v>1.002344963</v>
      </c>
      <c r="AA105" s="16">
        <f t="shared" si="8"/>
        <v>102.3533149</v>
      </c>
      <c r="AB105" s="14"/>
      <c r="AC105" s="9">
        <f t="shared" si="6"/>
        <v>0</v>
      </c>
    </row>
    <row r="106">
      <c r="A106" s="8">
        <v>41878.0</v>
      </c>
      <c r="B106" s="14"/>
      <c r="C106" s="9">
        <f t="array" ref="C106">IFERROR(
  INDEX(
    IR!$B$2:$E2026,                
    MATCH($A106, IR!$A$2:$A2026, 0), 
    MATCH(C$1, IR!$B$1:$E$1, 0) ), "")
</f>
        <v>0.00069</v>
      </c>
      <c r="D106" s="9">
        <f t="array" ref="D106">IFERROR(
  INDEX(
    IR!$B$2:$E2026,                
    MATCH($A106, IR!$A$2:$A2026, 0), 
    MATCH(D$1, IR!$B$1:$E$1, 0) ), "")
</f>
        <v>0.0017</v>
      </c>
      <c r="E106" s="9">
        <f t="array" ref="E106">IFERROR(
  INDEX(
    IR!$B$2:$E2026,                
    MATCH($A106, IR!$A$2:$A2026, 0), 
    MATCH(E$1, IR!$B$1:$E$1, 0) ), "")
</f>
        <v>0.00269</v>
      </c>
      <c r="F106" s="9">
        <f t="array" ref="F106">IFERROR(
  INDEX(
    IR!$B$2:$E2026,                
    MATCH($A106, IR!$A$2:$A2026, 0), 
    MATCH(F$1, IR!$B$1:$E$1, 0) ), "")
</f>
        <v>0.00439</v>
      </c>
      <c r="G106" s="14"/>
      <c r="H106" s="9">
        <f t="array" ref="H106">IFERROR(
  INDEX(
    SR!$B$2:$D2026,            
    MATCH($A106, SR!$A$2:$A2026, 0),  
    MATCH(H$1, SR!$B$1:$D$1, 0) ), "")
</f>
        <v>0.00273</v>
      </c>
      <c r="I106" s="9">
        <f t="array" ref="I106">IFERROR(
  INDEX(
    SR!$B$2:$D2026,            
    MATCH($A106, SR!$A$2:$A2026, 0),  
    MATCH(I$1, SR!$B$1:$D$1, 0) ), "")
</f>
        <v>0.00325</v>
      </c>
      <c r="J106" s="9">
        <f t="array" ref="J106">IFERROR(
  INDEX(
    SR!$B$2:$D2026,            
    MATCH($A106, SR!$A$2:$A2026, 0),  
    MATCH(J$1, SR!$B$1:$D$1, 0) ), "")
</f>
        <v>0.00495</v>
      </c>
      <c r="K106" s="14"/>
      <c r="L106" s="9">
        <v>124.21</v>
      </c>
      <c r="M106" s="9">
        <v>24.46</v>
      </c>
      <c r="N106" s="9">
        <v>113.29</v>
      </c>
      <c r="O106" s="9">
        <v>123.38</v>
      </c>
      <c r="P106" s="9">
        <v>129.69</v>
      </c>
      <c r="Q106" s="9">
        <v>1376.1186</v>
      </c>
      <c r="R106" s="14"/>
      <c r="S106" s="12">
        <f t="shared" si="2"/>
        <v>0.0007736800078</v>
      </c>
      <c r="T106" s="12">
        <f t="shared" si="3"/>
        <v>1.00077368</v>
      </c>
      <c r="U106" s="16">
        <f t="shared" si="7"/>
        <v>101.661415</v>
      </c>
      <c r="V106" s="17"/>
      <c r="W106" s="12">
        <f t="array" ref="W106">SQRT(252/20) *  SQRT( SUMSQ( LN(U85:U104 / U84:U103) )  - (1/20) * ( SUM( LN(U85:U104 / U84:U103) ) ^ 2 ) )</f>
        <v>0.02020786163</v>
      </c>
      <c r="X106" s="9">
        <f t="shared" si="4"/>
        <v>1.5</v>
      </c>
      <c r="Y106" s="14"/>
      <c r="Z106" s="12">
        <f t="shared" si="5"/>
        <v>1.001159534</v>
      </c>
      <c r="AA106" s="16">
        <f t="shared" si="8"/>
        <v>102.471997</v>
      </c>
      <c r="AB106" s="14"/>
      <c r="AC106" s="9">
        <f t="shared" si="6"/>
        <v>0</v>
      </c>
    </row>
    <row r="107">
      <c r="A107" s="8">
        <v>41879.0</v>
      </c>
      <c r="B107" s="14"/>
      <c r="C107" s="9">
        <f t="array" ref="C107">IFERROR(
  INDEX(
    IR!$B$2:$E2026,                
    MATCH($A107, IR!$A$2:$A2026, 0), 
    MATCH(C$1, IR!$B$1:$E$1, 0) ), "")
</f>
        <v>0.00068</v>
      </c>
      <c r="D107" s="9">
        <f t="array" ref="D107">IFERROR(
  INDEX(
    IR!$B$2:$E2026,                
    MATCH($A107, IR!$A$2:$A2026, 0), 
    MATCH(D$1, IR!$B$1:$E$1, 0) ), "")
</f>
        <v>0.00167</v>
      </c>
      <c r="E107" s="9">
        <f t="array" ref="E107">IFERROR(
  INDEX(
    IR!$B$2:$E2026,                
    MATCH($A107, IR!$A$2:$A2026, 0), 
    MATCH(E$1, IR!$B$1:$E$1, 0) ), "")
</f>
        <v>0.00267</v>
      </c>
      <c r="F107" s="9">
        <f t="array" ref="F107">IFERROR(
  INDEX(
    IR!$B$2:$E2026,                
    MATCH($A107, IR!$A$2:$A2026, 0), 
    MATCH(F$1, IR!$B$1:$E$1, 0) ), "")
</f>
        <v>0.00438</v>
      </c>
      <c r="G107" s="14"/>
      <c r="H107" s="9">
        <f t="array" ref="H107">IFERROR(
  INDEX(
    SR!$B$2:$D2026,            
    MATCH($A107, SR!$A$2:$A2026, 0),  
    MATCH(H$1, SR!$B$1:$D$1, 0) ), "")
</f>
        <v>0.002815</v>
      </c>
      <c r="I107" s="9">
        <f t="array" ref="I107">IFERROR(
  INDEX(
    SR!$B$2:$D2026,            
    MATCH($A107, SR!$A$2:$A2026, 0),  
    MATCH(I$1, SR!$B$1:$D$1, 0) ), "")
</f>
        <v>0.003292</v>
      </c>
      <c r="J107" s="9">
        <f t="array" ref="J107">IFERROR(
  INDEX(
    SR!$B$2:$D2026,            
    MATCH($A107, SR!$A$2:$A2026, 0),  
    MATCH(J$1, SR!$B$1:$D$1, 0) ), "")
</f>
        <v>0.004996</v>
      </c>
      <c r="K107" s="14"/>
      <c r="L107" s="9">
        <v>123.93</v>
      </c>
      <c r="M107" s="9">
        <v>24.47</v>
      </c>
      <c r="N107" s="9">
        <v>113.26</v>
      </c>
      <c r="O107" s="9">
        <v>123.57</v>
      </c>
      <c r="P107" s="9">
        <v>129.67</v>
      </c>
      <c r="Q107" s="9">
        <v>1375.4233</v>
      </c>
      <c r="R107" s="14"/>
      <c r="S107" s="12">
        <f t="shared" si="2"/>
        <v>-0.0002049253688</v>
      </c>
      <c r="T107" s="12">
        <f t="shared" si="3"/>
        <v>0.9997950746</v>
      </c>
      <c r="U107" s="16">
        <f t="shared" si="7"/>
        <v>101.640582</v>
      </c>
      <c r="V107" s="17"/>
      <c r="W107" s="12">
        <f t="array" ref="W107">SQRT(252/20) *  SQRT( SUMSQ( LN(U86:U105 / U85:U104) )  - (1/20) * ( SUM( LN(U86:U105 / U85:U104) ) ^ 2 ) )</f>
        <v>0.02082893172</v>
      </c>
      <c r="X107" s="9">
        <f t="shared" si="4"/>
        <v>1.5</v>
      </c>
      <c r="Y107" s="14"/>
      <c r="Z107" s="12">
        <f t="shared" si="5"/>
        <v>0.9996916536</v>
      </c>
      <c r="AA107" s="16">
        <f t="shared" si="8"/>
        <v>102.4404001</v>
      </c>
      <c r="AB107" s="14"/>
      <c r="AC107" s="9">
        <f t="shared" si="6"/>
        <v>0</v>
      </c>
    </row>
    <row r="108">
      <c r="A108" s="8">
        <v>41880.0</v>
      </c>
      <c r="B108" s="14"/>
      <c r="C108" s="9">
        <f t="array" ref="C108">IFERROR(
  INDEX(
    IR!$B$2:$E2026,                
    MATCH($A108, IR!$A$2:$A2026, 0), 
    MATCH(C$1, IR!$B$1:$E$1, 0) ), "")
</f>
        <v>0.00067</v>
      </c>
      <c r="D108" s="9">
        <f t="array" ref="D108">IFERROR(
  INDEX(
    IR!$B$2:$E2026,                
    MATCH($A108, IR!$A$2:$A2026, 0), 
    MATCH(D$1, IR!$B$1:$E$1, 0) ), "")
</f>
        <v>0.00163</v>
      </c>
      <c r="E108" s="9">
        <f t="array" ref="E108">IFERROR(
  INDEX(
    IR!$B$2:$E2026,                
    MATCH($A108, IR!$A$2:$A2026, 0), 
    MATCH(E$1, IR!$B$1:$E$1, 0) ), "")
</f>
        <v>0.00264</v>
      </c>
      <c r="F108" s="9">
        <f t="array" ref="F108">IFERROR(
  INDEX(
    IR!$B$2:$E2026,                
    MATCH($A108, IR!$A$2:$A2026, 0), 
    MATCH(F$1, IR!$B$1:$E$1, 0) ), "")
</f>
        <v>0.00434</v>
      </c>
      <c r="G108" s="14"/>
      <c r="H108" s="9">
        <f t="array" ref="H108">IFERROR(
  INDEX(
    SR!$B$2:$D2026,            
    MATCH($A108, SR!$A$2:$A2026, 0),  
    MATCH(H$1, SR!$B$1:$D$1, 0) ), "")
</f>
        <v>0.002655</v>
      </c>
      <c r="I108" s="9">
        <f t="array" ref="I108">IFERROR(
  INDEX(
    SR!$B$2:$D2026,            
    MATCH($A108, SR!$A$2:$A2026, 0),  
    MATCH(I$1, SR!$B$1:$D$1, 0) ), "")
</f>
        <v>0.00321</v>
      </c>
      <c r="J108" s="9">
        <f t="array" ref="J108">IFERROR(
  INDEX(
    SR!$B$2:$D2026,            
    MATCH($A108, SR!$A$2:$A2026, 0),  
    MATCH(J$1, SR!$B$1:$D$1, 0) ), "")
</f>
        <v>0.005035</v>
      </c>
      <c r="K108" s="14"/>
      <c r="L108" s="9">
        <v>123.91</v>
      </c>
      <c r="M108" s="9">
        <v>24.47</v>
      </c>
      <c r="N108" s="9">
        <v>113.27</v>
      </c>
      <c r="O108" s="9">
        <v>123.68</v>
      </c>
      <c r="P108" s="9">
        <v>129.65</v>
      </c>
      <c r="Q108" s="9">
        <v>1372.4544</v>
      </c>
      <c r="R108" s="14"/>
      <c r="S108" s="12">
        <f t="shared" si="2"/>
        <v>-0.0002493958857</v>
      </c>
      <c r="T108" s="12">
        <f t="shared" si="3"/>
        <v>0.9997506041</v>
      </c>
      <c r="U108" s="16">
        <f t="shared" si="7"/>
        <v>101.6152333</v>
      </c>
      <c r="V108" s="17"/>
      <c r="W108" s="12">
        <f t="array" ref="W108">SQRT(252/20) *  SQRT( SUMSQ( LN(U87:U106 / U86:U105) )  - (1/20) * ( SUM( LN(U87:U106 / U86:U105) ) ^ 2 ) )</f>
        <v>0.02089680544</v>
      </c>
      <c r="X108" s="9">
        <f t="shared" si="4"/>
        <v>1.5</v>
      </c>
      <c r="Y108" s="14"/>
      <c r="Z108" s="12">
        <f t="shared" si="5"/>
        <v>0.9996249617</v>
      </c>
      <c r="AA108" s="16">
        <f t="shared" si="8"/>
        <v>102.4019811</v>
      </c>
      <c r="AB108" s="14"/>
      <c r="AC108" s="9">
        <f t="shared" si="6"/>
        <v>0</v>
      </c>
    </row>
    <row r="109">
      <c r="A109" s="8">
        <v>41883.0</v>
      </c>
      <c r="B109" s="14"/>
      <c r="C109" s="9">
        <f t="array" ref="C109">IFERROR(
  INDEX(
    IR!$B$2:$E2026,                
    MATCH($A109, IR!$A$2:$A2026, 0), 
    MATCH(C$1, IR!$B$1:$E$1, 0) ), "")
</f>
        <v>0.00066</v>
      </c>
      <c r="D109" s="9">
        <f t="array" ref="D109">IFERROR(
  INDEX(
    IR!$B$2:$E2026,                
    MATCH($A109, IR!$A$2:$A2026, 0), 
    MATCH(D$1, IR!$B$1:$E$1, 0) ), "")
</f>
        <v>0.00159</v>
      </c>
      <c r="E109" s="9">
        <f t="array" ref="E109">IFERROR(
  INDEX(
    IR!$B$2:$E2026,                
    MATCH($A109, IR!$A$2:$A2026, 0), 
    MATCH(E$1, IR!$B$1:$E$1, 0) ), "")
</f>
        <v>0.00259</v>
      </c>
      <c r="F109" s="9">
        <f t="array" ref="F109">IFERROR(
  INDEX(
    IR!$B$2:$E2026,                
    MATCH($A109, IR!$A$2:$A2026, 0), 
    MATCH(F$1, IR!$B$1:$E$1, 0) ), "")
</f>
        <v>0.00428</v>
      </c>
      <c r="G109" s="14"/>
      <c r="H109" s="9">
        <f t="array" ref="H109">IFERROR(
  INDEX(
    SR!$B$2:$D2026,            
    MATCH($A109, SR!$A$2:$A2026, 0),  
    MATCH(H$1, SR!$B$1:$D$1, 0) ), "")
</f>
        <v>0.00255</v>
      </c>
      <c r="I109" s="9">
        <f t="array" ref="I109">IFERROR(
  INDEX(
    SR!$B$2:$D2026,            
    MATCH($A109, SR!$A$2:$A2026, 0),  
    MATCH(I$1, SR!$B$1:$D$1, 0) ), "")
</f>
        <v>0.00304</v>
      </c>
      <c r="J109" s="9">
        <f t="array" ref="J109">IFERROR(
  INDEX(
    SR!$B$2:$D2026,            
    MATCH($A109, SR!$A$2:$A2026, 0),  
    MATCH(J$1, SR!$B$1:$D$1, 0) ), "")
</f>
        <v>0.004821</v>
      </c>
      <c r="K109" s="14"/>
      <c r="L109" s="9">
        <v>123.96</v>
      </c>
      <c r="M109" s="9">
        <v>24.48</v>
      </c>
      <c r="N109" s="9">
        <v>113.32</v>
      </c>
      <c r="O109" s="9">
        <v>123.61</v>
      </c>
      <c r="P109" s="9">
        <v>129.76</v>
      </c>
      <c r="Q109" s="9">
        <v>1374.0905</v>
      </c>
      <c r="R109" s="14"/>
      <c r="S109" s="12">
        <f t="shared" si="2"/>
        <v>0.0004546314627</v>
      </c>
      <c r="T109" s="12">
        <f t="shared" si="3"/>
        <v>1.000454631</v>
      </c>
      <c r="U109" s="16">
        <f t="shared" si="7"/>
        <v>101.6614308</v>
      </c>
      <c r="V109" s="17"/>
      <c r="W109" s="12">
        <f t="array" ref="W109">SQRT(252/20) *  SQRT( SUMSQ( LN(U88:U107 / U87:U106) )  - (1/20) * ( SUM( LN(U88:U107 / U87:U106) ) ^ 2 ) )</f>
        <v>0.02081574838</v>
      </c>
      <c r="X109" s="9">
        <f t="shared" si="4"/>
        <v>1.5</v>
      </c>
      <c r="Y109" s="14"/>
      <c r="Z109" s="12">
        <f t="shared" si="5"/>
        <v>1.000679156</v>
      </c>
      <c r="AA109" s="16">
        <f t="shared" si="8"/>
        <v>102.4715279</v>
      </c>
      <c r="AB109" s="14"/>
      <c r="AC109" s="9">
        <f t="shared" si="6"/>
        <v>0</v>
      </c>
    </row>
    <row r="110">
      <c r="A110" s="8">
        <v>41884.0</v>
      </c>
      <c r="B110" s="14"/>
      <c r="C110" s="9">
        <f t="array" ref="C110">IFERROR(
  INDEX(
    IR!$B$2:$E2026,                
    MATCH($A110, IR!$A$2:$A2026, 0), 
    MATCH(C$1, IR!$B$1:$E$1, 0) ), "")
</f>
        <v>0.0006</v>
      </c>
      <c r="D110" s="9">
        <f t="array" ref="D110">IFERROR(
  INDEX(
    IR!$B$2:$E2026,                
    MATCH($A110, IR!$A$2:$A2026, 0), 
    MATCH(D$1, IR!$B$1:$E$1, 0) ), "")
</f>
        <v>0.00152</v>
      </c>
      <c r="E110" s="9">
        <f t="array" ref="E110">IFERROR(
  INDEX(
    IR!$B$2:$E2026,                
    MATCH($A110, IR!$A$2:$A2026, 0), 
    MATCH(E$1, IR!$B$1:$E$1, 0) ), "")
</f>
        <v>0.00252</v>
      </c>
      <c r="F110" s="9">
        <f t="array" ref="F110">IFERROR(
  INDEX(
    IR!$B$2:$E2026,                
    MATCH($A110, IR!$A$2:$A2026, 0), 
    MATCH(F$1, IR!$B$1:$E$1, 0) ), "")
</f>
        <v>0.0042</v>
      </c>
      <c r="G110" s="14"/>
      <c r="H110" s="9">
        <f t="array" ref="H110">IFERROR(
  INDEX(
    SR!$B$2:$D2026,            
    MATCH($A110, SR!$A$2:$A2026, 0),  
    MATCH(H$1, SR!$B$1:$D$1, 0) ), "")
</f>
        <v>0.00258</v>
      </c>
      <c r="I110" s="9">
        <f t="array" ref="I110">IFERROR(
  INDEX(
    SR!$B$2:$D2026,            
    MATCH($A110, SR!$A$2:$A2026, 0),  
    MATCH(I$1, SR!$B$1:$D$1, 0) ), "")
</f>
        <v>0.00312</v>
      </c>
      <c r="J110" s="9">
        <f t="array" ref="J110">IFERROR(
  INDEX(
    SR!$B$2:$D2026,            
    MATCH($A110, SR!$A$2:$A2026, 0),  
    MATCH(J$1, SR!$B$1:$D$1, 0) ), "")
</f>
        <v>0.00503</v>
      </c>
      <c r="K110" s="14"/>
      <c r="L110" s="9">
        <v>123.85</v>
      </c>
      <c r="M110" s="9">
        <v>24.47</v>
      </c>
      <c r="N110" s="9">
        <v>113.31</v>
      </c>
      <c r="O110" s="9">
        <v>123.67</v>
      </c>
      <c r="P110" s="9">
        <v>129.86</v>
      </c>
      <c r="Q110" s="9">
        <v>1375.1998</v>
      </c>
      <c r="R110" s="14"/>
      <c r="S110" s="12">
        <f t="shared" si="2"/>
        <v>0.0001132393362</v>
      </c>
      <c r="T110" s="12">
        <f t="shared" si="3"/>
        <v>1.000113239</v>
      </c>
      <c r="U110" s="16">
        <f t="shared" si="7"/>
        <v>101.6729428</v>
      </c>
      <c r="V110" s="17"/>
      <c r="W110" s="12">
        <f t="array" ref="W110">SQRT(252/20) *  SQRT( SUMSQ( LN(U89:U108 / U88:U107) )  - (1/20) * ( SUM( LN(U89:U108 / U88:U107) ) ^ 2 ) )</f>
        <v>0.01868727063</v>
      </c>
      <c r="X110" s="9">
        <f t="shared" si="4"/>
        <v>1.5</v>
      </c>
      <c r="Y110" s="14"/>
      <c r="Z110" s="12">
        <f t="shared" si="5"/>
        <v>1.000168942</v>
      </c>
      <c r="AA110" s="16">
        <f t="shared" si="8"/>
        <v>102.4888397</v>
      </c>
      <c r="AB110" s="14"/>
      <c r="AC110" s="9">
        <f t="shared" si="6"/>
        <v>0</v>
      </c>
    </row>
    <row r="111">
      <c r="A111" s="8">
        <v>41885.0</v>
      </c>
      <c r="B111" s="14"/>
      <c r="C111" s="9">
        <f t="array" ref="C111">IFERROR(
  INDEX(
    IR!$B$2:$E2026,                
    MATCH($A111, IR!$A$2:$A2026, 0), 
    MATCH(C$1, IR!$B$1:$E$1, 0) ), "")
</f>
        <v>0.00061</v>
      </c>
      <c r="D111" s="9">
        <f t="array" ref="D111">IFERROR(
  INDEX(
    IR!$B$2:$E2026,                
    MATCH($A111, IR!$A$2:$A2026, 0), 
    MATCH(D$1, IR!$B$1:$E$1, 0) ), "")
</f>
        <v>0.0015</v>
      </c>
      <c r="E111" s="9">
        <f t="array" ref="E111">IFERROR(
  INDEX(
    IR!$B$2:$E2026,                
    MATCH($A111, IR!$A$2:$A2026, 0), 
    MATCH(E$1, IR!$B$1:$E$1, 0) ), "")
</f>
        <v>0.0025</v>
      </c>
      <c r="F111" s="9">
        <f t="array" ref="F111">IFERROR(
  INDEX(
    IR!$B$2:$E2026,                
    MATCH($A111, IR!$A$2:$A2026, 0), 
    MATCH(F$1, IR!$B$1:$E$1, 0) ), "")
</f>
        <v>0.00419</v>
      </c>
      <c r="G111" s="14"/>
      <c r="H111" s="9">
        <f t="array" ref="H111">IFERROR(
  INDEX(
    SR!$B$2:$D2026,            
    MATCH($A111, SR!$A$2:$A2026, 0),  
    MATCH(H$1, SR!$B$1:$D$1, 0) ), "")
</f>
        <v>0.00265</v>
      </c>
      <c r="I111" s="9">
        <f t="array" ref="I111">IFERROR(
  INDEX(
    SR!$B$2:$D2026,            
    MATCH($A111, SR!$A$2:$A2026, 0),  
    MATCH(I$1, SR!$B$1:$D$1, 0) ), "")
</f>
        <v>0.003176</v>
      </c>
      <c r="J111" s="9">
        <f t="array" ref="J111">IFERROR(
  INDEX(
    SR!$B$2:$D2026,            
    MATCH($A111, SR!$A$2:$A2026, 0),  
    MATCH(J$1, SR!$B$1:$D$1, 0) ), "")
</f>
        <v>0.00504</v>
      </c>
      <c r="K111" s="14"/>
      <c r="L111" s="9">
        <v>124.05</v>
      </c>
      <c r="M111" s="9">
        <v>24.48</v>
      </c>
      <c r="N111" s="9">
        <v>113.3</v>
      </c>
      <c r="O111" s="9">
        <v>123.46</v>
      </c>
      <c r="P111" s="9">
        <v>129.81</v>
      </c>
      <c r="Q111" s="9">
        <v>1375.8949</v>
      </c>
      <c r="R111" s="14"/>
      <c r="S111" s="12">
        <f t="shared" si="2"/>
        <v>0.00005963057769</v>
      </c>
      <c r="T111" s="12">
        <f t="shared" si="3"/>
        <v>1.000059631</v>
      </c>
      <c r="U111" s="16">
        <f t="shared" si="7"/>
        <v>101.6790057</v>
      </c>
      <c r="V111" s="17"/>
      <c r="W111" s="12">
        <f t="array" ref="W111">SQRT(252/20) *  SQRT( SUMSQ( LN(U90:U109 / U89:U108) )  - (1/20) * ( SUM( LN(U90:U109 / U89:U108) ) ^ 2 ) )</f>
        <v>0.01374083553</v>
      </c>
      <c r="X111" s="9">
        <f t="shared" si="4"/>
        <v>1.5</v>
      </c>
      <c r="Y111" s="14"/>
      <c r="Z111" s="12">
        <f t="shared" si="5"/>
        <v>1.000088613</v>
      </c>
      <c r="AA111" s="16">
        <f t="shared" si="8"/>
        <v>102.4979215</v>
      </c>
      <c r="AB111" s="14"/>
      <c r="AC111" s="9">
        <f t="shared" si="6"/>
        <v>0</v>
      </c>
    </row>
    <row r="112">
      <c r="A112" s="8">
        <v>41886.0</v>
      </c>
      <c r="B112" s="14"/>
      <c r="C112" s="9">
        <f t="array" ref="C112">IFERROR(
  INDEX(
    IR!$B$2:$E2026,                
    MATCH($A112, IR!$A$2:$A2026, 0), 
    MATCH(C$1, IR!$B$1:$E$1, 0) ), "")
</f>
        <v>0.00059</v>
      </c>
      <c r="D112" s="9">
        <f t="array" ref="D112">IFERROR(
  INDEX(
    IR!$B$2:$E2026,                
    MATCH($A112, IR!$A$2:$A2026, 0), 
    MATCH(D$1, IR!$B$1:$E$1, 0) ), "")
</f>
        <v>0.00149</v>
      </c>
      <c r="E112" s="9">
        <f t="array" ref="E112">IFERROR(
  INDEX(
    IR!$B$2:$E2026,                
    MATCH($A112, IR!$A$2:$A2026, 0), 
    MATCH(E$1, IR!$B$1:$E$1, 0) ), "")
</f>
        <v>0.00249</v>
      </c>
      <c r="F112" s="9">
        <f t="array" ref="F112">IFERROR(
  INDEX(
    IR!$B$2:$E2026,                
    MATCH($A112, IR!$A$2:$A2026, 0), 
    MATCH(F$1, IR!$B$1:$E$1, 0) ), "")
</f>
        <v>0.00418</v>
      </c>
      <c r="G112" s="14"/>
      <c r="H112" s="9">
        <f t="array" ref="H112">IFERROR(
  INDEX(
    SR!$B$2:$D2026,            
    MATCH($A112, SR!$A$2:$A2026, 0),  
    MATCH(H$1, SR!$B$1:$D$1, 0) ), "")
</f>
        <v>0.0022</v>
      </c>
      <c r="I112" s="9">
        <f t="array" ref="I112">IFERROR(
  INDEX(
    SR!$B$2:$D2026,            
    MATCH($A112, SR!$A$2:$A2026, 0),  
    MATCH(I$1, SR!$B$1:$D$1, 0) ), "")
</f>
        <v>0.00275</v>
      </c>
      <c r="J112" s="9">
        <f t="array" ref="J112">IFERROR(
  INDEX(
    SR!$B$2:$D2026,            
    MATCH($A112, SR!$A$2:$A2026, 0),  
    MATCH(J$1, SR!$B$1:$D$1, 0) ), "")
</f>
        <v>0.00472</v>
      </c>
      <c r="K112" s="14"/>
      <c r="L112" s="9">
        <v>124.48</v>
      </c>
      <c r="M112" s="9">
        <v>24.54</v>
      </c>
      <c r="N112" s="9">
        <v>113.37</v>
      </c>
      <c r="O112" s="9">
        <v>123.32</v>
      </c>
      <c r="P112" s="9">
        <v>129.77</v>
      </c>
      <c r="Q112" s="9">
        <v>1376.1835</v>
      </c>
      <c r="R112" s="14"/>
      <c r="S112" s="12">
        <f t="shared" si="2"/>
        <v>0.0008834665538</v>
      </c>
      <c r="T112" s="12">
        <f t="shared" si="3"/>
        <v>1.000883467</v>
      </c>
      <c r="U112" s="16">
        <f t="shared" si="7"/>
        <v>101.7688357</v>
      </c>
      <c r="V112" s="17"/>
      <c r="W112" s="12">
        <f t="array" ref="W112">SQRT(252/20) *  SQRT( SUMSQ( LN(U91:U110 / U90:U109) )  - (1/20) * ( SUM( LN(U91:U110 / U90:U109) ) ^ 2 ) )</f>
        <v>0.01132845074</v>
      </c>
      <c r="X112" s="9">
        <f t="shared" si="4"/>
        <v>1.5</v>
      </c>
      <c r="Y112" s="14"/>
      <c r="Z112" s="12">
        <f t="shared" si="5"/>
        <v>1.001324353</v>
      </c>
      <c r="AA112" s="16">
        <f t="shared" si="8"/>
        <v>102.6336649</v>
      </c>
      <c r="AB112" s="14"/>
      <c r="AC112" s="9">
        <f t="shared" si="6"/>
        <v>0</v>
      </c>
    </row>
    <row r="113">
      <c r="A113" s="8">
        <v>41887.0</v>
      </c>
      <c r="B113" s="14"/>
      <c r="C113" s="9">
        <f t="array" ref="C113">IFERROR(
  INDEX(
    IR!$B$2:$E2026,                
    MATCH($A113, IR!$A$2:$A2026, 0), 
    MATCH(C$1, IR!$B$1:$E$1, 0) ), "")
</f>
        <v>0.00019</v>
      </c>
      <c r="D113" s="9">
        <f t="array" ref="D113">IFERROR(
  INDEX(
    IR!$B$2:$E2026,                
    MATCH($A113, IR!$A$2:$A2026, 0), 
    MATCH(D$1, IR!$B$1:$E$1, 0) ), "")
</f>
        <v>0.00104</v>
      </c>
      <c r="E113" s="9">
        <f t="array" ref="E113">IFERROR(
  INDEX(
    IR!$B$2:$E2026,                
    MATCH($A113, IR!$A$2:$A2026, 0), 
    MATCH(E$1, IR!$B$1:$E$1, 0) ), "")
</f>
        <v>0.00203</v>
      </c>
      <c r="F113" s="9">
        <f t="array" ref="F113">IFERROR(
  INDEX(
    IR!$B$2:$E2026,                
    MATCH($A113, IR!$A$2:$A2026, 0), 
    MATCH(F$1, IR!$B$1:$E$1, 0) ), "")
</f>
        <v>0.00374</v>
      </c>
      <c r="G113" s="14"/>
      <c r="H113" s="9">
        <f t="array" ref="H113">IFERROR(
  INDEX(
    SR!$B$2:$D2026,            
    MATCH($A113, SR!$A$2:$A2026, 0),  
    MATCH(H$1, SR!$B$1:$D$1, 0) ), "")
</f>
        <v>0.00204</v>
      </c>
      <c r="I113" s="9">
        <f t="array" ref="I113">IFERROR(
  INDEX(
    SR!$B$2:$D2026,            
    MATCH($A113, SR!$A$2:$A2026, 0),  
    MATCH(I$1, SR!$B$1:$D$1, 0) ), "")
</f>
        <v>0.002606</v>
      </c>
      <c r="J113" s="9">
        <f t="array" ref="J113">IFERROR(
  INDEX(
    SR!$B$2:$D2026,            
    MATCH($A113, SR!$A$2:$A2026, 0),  
    MATCH(J$1, SR!$B$1:$D$1, 0) ), "")
</f>
        <v>0.004591</v>
      </c>
      <c r="K113" s="14"/>
      <c r="L113" s="9">
        <v>124.44</v>
      </c>
      <c r="M113" s="9">
        <v>24.55</v>
      </c>
      <c r="N113" s="9">
        <v>113.37</v>
      </c>
      <c r="O113" s="9">
        <v>123.38</v>
      </c>
      <c r="P113" s="9">
        <v>130.3</v>
      </c>
      <c r="Q113" s="9">
        <v>1377.7209</v>
      </c>
      <c r="R113" s="14"/>
      <c r="S113" s="12">
        <f t="shared" si="2"/>
        <v>0.0009620595645</v>
      </c>
      <c r="T113" s="12">
        <f t="shared" si="3"/>
        <v>1.00096206</v>
      </c>
      <c r="U113" s="16">
        <f t="shared" si="7"/>
        <v>101.8667433</v>
      </c>
      <c r="V113" s="17"/>
      <c r="W113" s="12">
        <f t="array" ref="W113">SQRT(252/20) *  SQRT( SUMSQ( LN(U92:U111 / U91:U110) )  - (1/20) * ( SUM( LN(U92:U111 / U91:U110) ) ^ 2 ) )</f>
        <v>0.01138791874</v>
      </c>
      <c r="X113" s="9">
        <f t="shared" si="4"/>
        <v>1.5</v>
      </c>
      <c r="Y113" s="14"/>
      <c r="Z113" s="12">
        <f t="shared" si="5"/>
        <v>1.00144227</v>
      </c>
      <c r="AA113" s="16">
        <f t="shared" si="8"/>
        <v>102.7816903</v>
      </c>
      <c r="AB113" s="14"/>
      <c r="AC113" s="9">
        <f t="shared" si="6"/>
        <v>0</v>
      </c>
    </row>
    <row r="114">
      <c r="A114" s="8">
        <v>41890.0</v>
      </c>
      <c r="B114" s="14"/>
      <c r="C114" s="9">
        <f t="array" ref="C114">IFERROR(
  INDEX(
    IR!$B$2:$E2026,                
    MATCH($A114, IR!$A$2:$A2026, 0), 
    MATCH(C$1, IR!$B$1:$E$1, 0) ), "")
</f>
        <v>0.00013</v>
      </c>
      <c r="D114" s="9">
        <f t="array" ref="D114">IFERROR(
  INDEX(
    IR!$B$2:$E2026,                
    MATCH($A114, IR!$A$2:$A2026, 0), 
    MATCH(D$1, IR!$B$1:$E$1, 0) ), "")
</f>
        <v>0.00094</v>
      </c>
      <c r="E114" s="9">
        <f t="array" ref="E114">IFERROR(
  INDEX(
    IR!$B$2:$E2026,                
    MATCH($A114, IR!$A$2:$A2026, 0), 
    MATCH(E$1, IR!$B$1:$E$1, 0) ), "")
</f>
        <v>0.00196</v>
      </c>
      <c r="F114" s="9">
        <f t="array" ref="F114">IFERROR(
  INDEX(
    IR!$B$2:$E2026,                
    MATCH($A114, IR!$A$2:$A2026, 0), 
    MATCH(F$1, IR!$B$1:$E$1, 0) ), "")
</f>
        <v>0.00366</v>
      </c>
      <c r="G114" s="14"/>
      <c r="H114" s="9">
        <f t="array" ref="H114">IFERROR(
  INDEX(
    SR!$B$2:$D2026,            
    MATCH($A114, SR!$A$2:$A2026, 0),  
    MATCH(H$1, SR!$B$1:$D$1, 0) ), "")
</f>
        <v>0.00205</v>
      </c>
      <c r="I114" s="9">
        <f t="array" ref="I114">IFERROR(
  INDEX(
    SR!$B$2:$D2026,            
    MATCH($A114, SR!$A$2:$A2026, 0),  
    MATCH(I$1, SR!$B$1:$D$1, 0) ), "")
</f>
        <v>0.00268</v>
      </c>
      <c r="J114" s="9">
        <f t="array" ref="J114">IFERROR(
  INDEX(
    SR!$B$2:$D2026,            
    MATCH($A114, SR!$A$2:$A2026, 0),  
    MATCH(J$1, SR!$B$1:$D$1, 0) ), "")
</f>
        <v>0.004813</v>
      </c>
      <c r="K114" s="14"/>
      <c r="L114" s="9">
        <v>124.24</v>
      </c>
      <c r="M114" s="9">
        <v>24.55</v>
      </c>
      <c r="N114" s="9">
        <v>113.39</v>
      </c>
      <c r="O114" s="9">
        <v>123.6</v>
      </c>
      <c r="P114" s="9">
        <v>130.21</v>
      </c>
      <c r="Q114" s="9">
        <v>1377.26</v>
      </c>
      <c r="R114" s="14"/>
      <c r="S114" s="12">
        <f t="shared" si="2"/>
        <v>-0.0001121434904</v>
      </c>
      <c r="T114" s="12">
        <f t="shared" si="3"/>
        <v>0.9998878565</v>
      </c>
      <c r="U114" s="16">
        <f t="shared" si="7"/>
        <v>101.8553197</v>
      </c>
      <c r="V114" s="17"/>
      <c r="W114" s="12">
        <f t="array" ref="W114">SQRT(252/20) *  SQRT( SUMSQ( LN(U93:U112 / U92:U111) )  - (1/20) * ( SUM( LN(U93:U112 / U92:U111) ) ^ 2 ) )</f>
        <v>0.01021033701</v>
      </c>
      <c r="X114" s="9">
        <f t="shared" si="4"/>
        <v>1.5</v>
      </c>
      <c r="Y114" s="14"/>
      <c r="Z114" s="12">
        <f t="shared" si="5"/>
        <v>0.9998309931</v>
      </c>
      <c r="AA114" s="16">
        <f t="shared" si="8"/>
        <v>102.7643195</v>
      </c>
      <c r="AB114" s="14"/>
      <c r="AC114" s="9">
        <f t="shared" si="6"/>
        <v>0</v>
      </c>
    </row>
    <row r="115">
      <c r="A115" s="8">
        <v>41891.0</v>
      </c>
      <c r="B115" s="14"/>
      <c r="C115" s="9">
        <f t="array" ref="C115">IFERROR(
  INDEX(
    IR!$B$2:$E2026,                
    MATCH($A115, IR!$A$2:$A2026, 0), 
    MATCH(C$1, IR!$B$1:$E$1, 0) ), "")
</f>
        <v>0.0001</v>
      </c>
      <c r="D115" s="9">
        <f t="array" ref="D115">IFERROR(
  INDEX(
    IR!$B$2:$E2026,                
    MATCH($A115, IR!$A$2:$A2026, 0), 
    MATCH(D$1, IR!$B$1:$E$1, 0) ), "")
</f>
        <v>0.00089</v>
      </c>
      <c r="E115" s="9">
        <f t="array" ref="E115">IFERROR(
  INDEX(
    IR!$B$2:$E2026,                
    MATCH($A115, IR!$A$2:$A2026, 0), 
    MATCH(E$1, IR!$B$1:$E$1, 0) ), "")
</f>
        <v>0.00191</v>
      </c>
      <c r="F115" s="9">
        <f t="array" ref="F115">IFERROR(
  INDEX(
    IR!$B$2:$E2026,                
    MATCH($A115, IR!$A$2:$A2026, 0), 
    MATCH(F$1, IR!$B$1:$E$1, 0) ), "")
</f>
        <v>0.0036</v>
      </c>
      <c r="G115" s="14"/>
      <c r="H115" s="9">
        <f t="array" ref="H115">IFERROR(
  INDEX(
    SR!$B$2:$D2026,            
    MATCH($A115, SR!$A$2:$A2026, 0),  
    MATCH(H$1, SR!$B$1:$D$1, 0) ), "")
</f>
        <v>0.002068</v>
      </c>
      <c r="I115" s="9">
        <f t="array" ref="I115">IFERROR(
  INDEX(
    SR!$B$2:$D2026,            
    MATCH($A115, SR!$A$2:$A2026, 0),  
    MATCH(I$1, SR!$B$1:$D$1, 0) ), "")
</f>
        <v>0.002682</v>
      </c>
      <c r="J115" s="9">
        <f t="array" ref="J115">IFERROR(
  INDEX(
    SR!$B$2:$D2026,            
    MATCH($A115, SR!$A$2:$A2026, 0),  
    MATCH(J$1, SR!$B$1:$D$1, 0) ), "")
</f>
        <v>0.00487</v>
      </c>
      <c r="K115" s="14"/>
      <c r="L115" s="9">
        <v>123.96</v>
      </c>
      <c r="M115" s="9">
        <v>24.53</v>
      </c>
      <c r="N115" s="9">
        <v>113.36</v>
      </c>
      <c r="O115" s="9">
        <v>123.56</v>
      </c>
      <c r="P115" s="9">
        <v>130.11</v>
      </c>
      <c r="Q115" s="9">
        <v>1378.0027</v>
      </c>
      <c r="R115" s="14"/>
      <c r="S115" s="12">
        <f t="shared" si="2"/>
        <v>-0.0006472363401</v>
      </c>
      <c r="T115" s="12">
        <f t="shared" si="3"/>
        <v>0.9993527637</v>
      </c>
      <c r="U115" s="16">
        <f t="shared" si="7"/>
        <v>101.7893952</v>
      </c>
      <c r="V115" s="17"/>
      <c r="W115" s="12">
        <f t="array" ref="W115">SQRT(252/20) *  SQRT( SUMSQ( LN(U94:U113 / U93:U112) )  - (1/20) * ( SUM( LN(U94:U113 / U93:U112) ) ^ 2 ) )</f>
        <v>0.009941570901</v>
      </c>
      <c r="X115" s="9">
        <f t="shared" si="4"/>
        <v>1.5</v>
      </c>
      <c r="Y115" s="14"/>
      <c r="Z115" s="12">
        <f t="shared" si="5"/>
        <v>0.9990289649</v>
      </c>
      <c r="AA115" s="16">
        <f t="shared" si="8"/>
        <v>102.6645318</v>
      </c>
      <c r="AB115" s="14"/>
      <c r="AC115" s="9">
        <f t="shared" si="6"/>
        <v>0</v>
      </c>
    </row>
    <row r="116">
      <c r="A116" s="8">
        <v>41892.0</v>
      </c>
      <c r="B116" s="14"/>
      <c r="C116" s="9">
        <f t="array" ref="C116">IFERROR(
  INDEX(
    IR!$B$2:$E2026,                
    MATCH($A116, IR!$A$2:$A2026, 0), 
    MATCH(C$1, IR!$B$1:$E$1, 0) ), "")
</f>
        <v>0.0001</v>
      </c>
      <c r="D116" s="9">
        <f t="array" ref="D116">IFERROR(
  INDEX(
    IR!$B$2:$E2026,                
    MATCH($A116, IR!$A$2:$A2026, 0), 
    MATCH(D$1, IR!$B$1:$E$1, 0) ), "")
</f>
        <v>0.00087</v>
      </c>
      <c r="E116" s="9">
        <f t="array" ref="E116">IFERROR(
  INDEX(
    IR!$B$2:$E2026,                
    MATCH($A116, IR!$A$2:$A2026, 0), 
    MATCH(E$1, IR!$B$1:$E$1, 0) ), "")
</f>
        <v>0.00191</v>
      </c>
      <c r="F116" s="9">
        <f t="array" ref="F116">IFERROR(
  INDEX(
    IR!$B$2:$E2026,                
    MATCH($A116, IR!$A$2:$A2026, 0), 
    MATCH(F$1, IR!$B$1:$E$1, 0) ), "")
</f>
        <v>0.00357</v>
      </c>
      <c r="G116" s="14"/>
      <c r="H116" s="9">
        <f t="array" ref="H116">IFERROR(
  INDEX(
    SR!$B$2:$D2026,            
    MATCH($A116, SR!$A$2:$A2026, 0),  
    MATCH(H$1, SR!$B$1:$D$1, 0) ), "")
</f>
        <v>0.002055</v>
      </c>
      <c r="I116" s="9">
        <f t="array" ref="I116">IFERROR(
  INDEX(
    SR!$B$2:$D2026,            
    MATCH($A116, SR!$A$2:$A2026, 0),  
    MATCH(I$1, SR!$B$1:$D$1, 0) ), "")
</f>
        <v>0.00274</v>
      </c>
      <c r="J116" s="9">
        <f t="array" ref="J116">IFERROR(
  INDEX(
    SR!$B$2:$D2026,            
    MATCH($A116, SR!$A$2:$A2026, 0),  
    MATCH(J$1, SR!$B$1:$D$1, 0) ), "")
</f>
        <v>0.004924</v>
      </c>
      <c r="K116" s="14"/>
      <c r="L116" s="9">
        <v>123.85</v>
      </c>
      <c r="M116" s="9">
        <v>24.52</v>
      </c>
      <c r="N116" s="9">
        <v>113.37</v>
      </c>
      <c r="O116" s="9">
        <v>123.18</v>
      </c>
      <c r="P116" s="9">
        <v>129.75</v>
      </c>
      <c r="Q116" s="9">
        <v>1373.2811</v>
      </c>
      <c r="R116" s="14"/>
      <c r="S116" s="12">
        <f t="shared" si="2"/>
        <v>-0.001745570845</v>
      </c>
      <c r="T116" s="12">
        <f t="shared" si="3"/>
        <v>0.9982544292</v>
      </c>
      <c r="U116" s="16">
        <f t="shared" si="7"/>
        <v>101.6117146</v>
      </c>
      <c r="V116" s="17"/>
      <c r="W116" s="12">
        <f t="array" ref="W116">SQRT(252/20) *  SQRT( SUMSQ( LN(U95:U114 / U94:U113) )  - (1/20) * ( SUM( LN(U95:U114 / U94:U113) ) ^ 2 ) )</f>
        <v>0.008872334681</v>
      </c>
      <c r="X116" s="9">
        <f t="shared" si="4"/>
        <v>1.5</v>
      </c>
      <c r="Y116" s="14"/>
      <c r="Z116" s="12">
        <f t="shared" si="5"/>
        <v>0.9973815048</v>
      </c>
      <c r="AA116" s="16">
        <f t="shared" si="8"/>
        <v>102.3957052</v>
      </c>
      <c r="AB116" s="14"/>
      <c r="AC116" s="9">
        <f t="shared" si="6"/>
        <v>0</v>
      </c>
    </row>
    <row r="117">
      <c r="A117" s="8">
        <v>41893.0</v>
      </c>
      <c r="B117" s="14"/>
      <c r="C117" s="9">
        <f t="array" ref="C117">IFERROR(
  INDEX(
    IR!$B$2:$E2026,                
    MATCH($A117, IR!$A$2:$A2026, 0), 
    MATCH(C$1, IR!$B$1:$E$1, 0) ), "")
</f>
        <v>0.00007</v>
      </c>
      <c r="D117" s="9">
        <f t="array" ref="D117">IFERROR(
  INDEX(
    IR!$B$2:$E2026,                
    MATCH($A117, IR!$A$2:$A2026, 0), 
    MATCH(D$1, IR!$B$1:$E$1, 0) ), "")
</f>
        <v>0.00084</v>
      </c>
      <c r="E117" s="9">
        <f t="array" ref="E117">IFERROR(
  INDEX(
    IR!$B$2:$E2026,                
    MATCH($A117, IR!$A$2:$A2026, 0), 
    MATCH(E$1, IR!$B$1:$E$1, 0) ), "")
</f>
        <v>0.00188</v>
      </c>
      <c r="F117" s="9">
        <f t="array" ref="F117">IFERROR(
  INDEX(
    IR!$B$2:$E2026,                
    MATCH($A117, IR!$A$2:$A2026, 0), 
    MATCH(F$1, IR!$B$1:$E$1, 0) ), "")
</f>
        <v>0.00352</v>
      </c>
      <c r="G117" s="14"/>
      <c r="H117" s="9">
        <f t="array" ref="H117">IFERROR(
  INDEX(
    SR!$B$2:$D2026,            
    MATCH($A117, SR!$A$2:$A2026, 0),  
    MATCH(H$1, SR!$B$1:$D$1, 0) ), "")
</f>
        <v>0.002035</v>
      </c>
      <c r="I117" s="9">
        <f t="array" ref="I117">IFERROR(
  INDEX(
    SR!$B$2:$D2026,            
    MATCH($A117, SR!$A$2:$A2026, 0),  
    MATCH(I$1, SR!$B$1:$D$1, 0) ), "")
</f>
        <v>0.00265</v>
      </c>
      <c r="J117" s="9">
        <f t="array" ref="J117">IFERROR(
  INDEX(
    SR!$B$2:$D2026,            
    MATCH($A117, SR!$A$2:$A2026, 0),  
    MATCH(J$1, SR!$B$1:$D$1, 0) ), "")
</f>
        <v>0.004827</v>
      </c>
      <c r="K117" s="14"/>
      <c r="L117" s="9">
        <v>123.78</v>
      </c>
      <c r="M117" s="9">
        <v>24.51</v>
      </c>
      <c r="N117" s="9">
        <v>113.4</v>
      </c>
      <c r="O117" s="9">
        <v>123.06</v>
      </c>
      <c r="P117" s="9">
        <v>129.73</v>
      </c>
      <c r="Q117" s="9">
        <v>1371.4503</v>
      </c>
      <c r="R117" s="14"/>
      <c r="S117" s="12">
        <f t="shared" si="2"/>
        <v>-0.0005282376754</v>
      </c>
      <c r="T117" s="12">
        <f t="shared" si="3"/>
        <v>0.9994717623</v>
      </c>
      <c r="U117" s="16">
        <f t="shared" si="7"/>
        <v>101.5580395</v>
      </c>
      <c r="V117" s="17"/>
      <c r="W117" s="12">
        <f t="array" ref="W117">SQRT(252/20) *  SQRT( SUMSQ( LN(U96:U115 / U95:U114) )  - (1/20) * ( SUM( LN(U96:U115 / U95:U114) ) ^ 2 ) )</f>
        <v>0.009846530469</v>
      </c>
      <c r="X117" s="9">
        <f t="shared" si="4"/>
        <v>1.5</v>
      </c>
      <c r="Y117" s="14"/>
      <c r="Z117" s="12">
        <f t="shared" si="5"/>
        <v>0.9992075046</v>
      </c>
      <c r="AA117" s="16">
        <f t="shared" si="8"/>
        <v>102.3145571</v>
      </c>
      <c r="AB117" s="14"/>
      <c r="AC117" s="9">
        <f t="shared" si="6"/>
        <v>0</v>
      </c>
    </row>
    <row r="118">
      <c r="A118" s="8">
        <v>41894.0</v>
      </c>
      <c r="B118" s="14"/>
      <c r="C118" s="9">
        <f t="array" ref="C118">IFERROR(
  INDEX(
    IR!$B$2:$E2026,                
    MATCH($A118, IR!$A$2:$A2026, 0), 
    MATCH(C$1, IR!$B$1:$E$1, 0) ), "")
</f>
        <v>0.00006</v>
      </c>
      <c r="D118" s="9">
        <f t="array" ref="D118">IFERROR(
  INDEX(
    IR!$B$2:$E2026,                
    MATCH($A118, IR!$A$2:$A2026, 0), 
    MATCH(D$1, IR!$B$1:$E$1, 0) ), "")
</f>
        <v>0.00082</v>
      </c>
      <c r="E118" s="9">
        <f t="array" ref="E118">IFERROR(
  INDEX(
    IR!$B$2:$E2026,                
    MATCH($A118, IR!$A$2:$A2026, 0), 
    MATCH(E$1, IR!$B$1:$E$1, 0) ), "")
</f>
        <v>0.00187</v>
      </c>
      <c r="F118" s="9">
        <f t="array" ref="F118">IFERROR(
  INDEX(
    IR!$B$2:$E2026,                
    MATCH($A118, IR!$A$2:$A2026, 0), 
    MATCH(F$1, IR!$B$1:$E$1, 0) ), "")
</f>
        <v>0.00349</v>
      </c>
      <c r="G118" s="14"/>
      <c r="H118" s="9">
        <f t="array" ref="H118">IFERROR(
  INDEX(
    SR!$B$2:$D2026,            
    MATCH($A118, SR!$A$2:$A2026, 0),  
    MATCH(H$1, SR!$B$1:$D$1, 0) ), "")
</f>
        <v>0.00214</v>
      </c>
      <c r="I118" s="9">
        <f t="array" ref="I118">IFERROR(
  INDEX(
    SR!$B$2:$D2026,            
    MATCH($A118, SR!$A$2:$A2026, 0),  
    MATCH(I$1, SR!$B$1:$D$1, 0) ), "")
</f>
        <v>0.002825</v>
      </c>
      <c r="J118" s="9">
        <f t="array" ref="J118">IFERROR(
  INDEX(
    SR!$B$2:$D2026,            
    MATCH($A118, SR!$A$2:$A2026, 0),  
    MATCH(J$1, SR!$B$1:$D$1, 0) ), "")
</f>
        <v>0.00515</v>
      </c>
      <c r="K118" s="14"/>
      <c r="L118" s="9">
        <v>123.71</v>
      </c>
      <c r="M118" s="9">
        <v>24.49</v>
      </c>
      <c r="N118" s="9">
        <v>113.37</v>
      </c>
      <c r="O118" s="9">
        <v>123.02</v>
      </c>
      <c r="P118" s="9">
        <v>129.56</v>
      </c>
      <c r="Q118" s="9">
        <v>1369.9359</v>
      </c>
      <c r="R118" s="14"/>
      <c r="S118" s="12">
        <f t="shared" si="2"/>
        <v>-0.0007307770966</v>
      </c>
      <c r="T118" s="12">
        <f t="shared" si="3"/>
        <v>0.9992692229</v>
      </c>
      <c r="U118" s="16">
        <f t="shared" si="7"/>
        <v>101.4838232</v>
      </c>
      <c r="V118" s="17"/>
      <c r="W118" s="12">
        <f t="array" ref="W118">SQRT(252/20) *  SQRT( SUMSQ( LN(U97:U116 / U96:U115) )  - (1/20) * ( SUM( LN(U97:U116 / U96:U115) ) ^ 2 ) )</f>
        <v>0.01203723332</v>
      </c>
      <c r="X118" s="9">
        <f t="shared" si="4"/>
        <v>1.5</v>
      </c>
      <c r="Y118" s="14"/>
      <c r="Z118" s="12">
        <f t="shared" si="5"/>
        <v>0.9989037371</v>
      </c>
      <c r="AA118" s="16">
        <f t="shared" si="8"/>
        <v>102.2023934</v>
      </c>
      <c r="AB118" s="14"/>
      <c r="AC118" s="9">
        <f t="shared" si="6"/>
        <v>0</v>
      </c>
    </row>
    <row r="119">
      <c r="A119" s="8">
        <v>41897.0</v>
      </c>
      <c r="B119" s="14"/>
      <c r="C119" s="9">
        <f t="array" ref="C119">IFERROR(
  INDEX(
    IR!$B$2:$E2026,                
    MATCH($A119, IR!$A$2:$A2026, 0), 
    MATCH(C$1, IR!$B$1:$E$1, 0) ), "")
</f>
        <v>0.00007</v>
      </c>
      <c r="D119" s="9">
        <f t="array" ref="D119">IFERROR(
  INDEX(
    IR!$B$2:$E2026,                
    MATCH($A119, IR!$A$2:$A2026, 0), 
    MATCH(D$1, IR!$B$1:$E$1, 0) ), "")
</f>
        <v>0.00081</v>
      </c>
      <c r="E119" s="9">
        <f t="array" ref="E119">IFERROR(
  INDEX(
    IR!$B$2:$E2026,                
    MATCH($A119, IR!$A$2:$A2026, 0), 
    MATCH(E$1, IR!$B$1:$E$1, 0) ), "")
</f>
        <v>0.00188</v>
      </c>
      <c r="F119" s="9">
        <f t="array" ref="F119">IFERROR(
  INDEX(
    IR!$B$2:$E2026,                
    MATCH($A119, IR!$A$2:$A2026, 0), 
    MATCH(F$1, IR!$B$1:$E$1, 0) ), "")
</f>
        <v>0.00349</v>
      </c>
      <c r="G119" s="14"/>
      <c r="H119" s="9">
        <f t="array" ref="H119">IFERROR(
  INDEX(
    SR!$B$2:$D2026,            
    MATCH($A119, SR!$A$2:$A2026, 0),  
    MATCH(H$1, SR!$B$1:$D$1, 0) ), "")
</f>
        <v>0.002035</v>
      </c>
      <c r="I119" s="9">
        <f t="array" ref="I119">IFERROR(
  INDEX(
    SR!$B$2:$D2026,            
    MATCH($A119, SR!$A$2:$A2026, 0),  
    MATCH(I$1, SR!$B$1:$D$1, 0) ), "")
</f>
        <v>0.002677</v>
      </c>
      <c r="J119" s="9">
        <f t="array" ref="J119">IFERROR(
  INDEX(
    SR!$B$2:$D2026,            
    MATCH($A119, SR!$A$2:$A2026, 0),  
    MATCH(J$1, SR!$B$1:$D$1, 0) ), "")
</f>
        <v>0.00488</v>
      </c>
      <c r="K119" s="14"/>
      <c r="L119" s="9">
        <v>123.4</v>
      </c>
      <c r="M119" s="9">
        <v>24.49</v>
      </c>
      <c r="N119" s="9">
        <v>113.35</v>
      </c>
      <c r="O119" s="9">
        <v>122.72</v>
      </c>
      <c r="P119" s="9">
        <v>129.32</v>
      </c>
      <c r="Q119" s="9">
        <v>1367.0476</v>
      </c>
      <c r="R119" s="14"/>
      <c r="S119" s="12">
        <f t="shared" si="2"/>
        <v>-0.001513217434</v>
      </c>
      <c r="T119" s="12">
        <f t="shared" si="3"/>
        <v>0.9984867826</v>
      </c>
      <c r="U119" s="16">
        <f t="shared" si="7"/>
        <v>101.3302561</v>
      </c>
      <c r="V119" s="17"/>
      <c r="W119" s="12">
        <f t="array" ref="W119">SQRT(252/20) *  SQRT( SUMSQ( LN(U98:U117 / U97:U116) )  - (1/20) * ( SUM( LN(U98:U117 / U97:U116) ) ^ 2 ) )</f>
        <v>0.01227444439</v>
      </c>
      <c r="X119" s="9">
        <f t="shared" si="4"/>
        <v>1.5</v>
      </c>
      <c r="Y119" s="14"/>
      <c r="Z119" s="12">
        <f t="shared" si="5"/>
        <v>0.9977299238</v>
      </c>
      <c r="AA119" s="16">
        <f t="shared" si="8"/>
        <v>101.9703862</v>
      </c>
      <c r="AB119" s="14"/>
      <c r="AC119" s="9">
        <f t="shared" si="6"/>
        <v>0</v>
      </c>
    </row>
    <row r="120">
      <c r="A120" s="8">
        <v>41898.0</v>
      </c>
      <c r="B120" s="14"/>
      <c r="C120" s="9">
        <f t="array" ref="C120">IFERROR(
  INDEX(
    IR!$B$2:$E2026,                
    MATCH($A120, IR!$A$2:$A2026, 0), 
    MATCH(C$1, IR!$B$1:$E$1, 0) ), "")
</f>
        <v>0.00006</v>
      </c>
      <c r="D120" s="9">
        <f t="array" ref="D120">IFERROR(
  INDEX(
    IR!$B$2:$E2026,                
    MATCH($A120, IR!$A$2:$A2026, 0), 
    MATCH(D$1, IR!$B$1:$E$1, 0) ), "")
</f>
        <v>0.00081</v>
      </c>
      <c r="E120" s="9">
        <f t="array" ref="E120">IFERROR(
  INDEX(
    IR!$B$2:$E2026,                
    MATCH($A120, IR!$A$2:$A2026, 0), 
    MATCH(E$1, IR!$B$1:$E$1, 0) ), "")
</f>
        <v>0.00187</v>
      </c>
      <c r="F120" s="9">
        <f t="array" ref="F120">IFERROR(
  INDEX(
    IR!$B$2:$E2026,                
    MATCH($A120, IR!$A$2:$A2026, 0), 
    MATCH(F$1, IR!$B$1:$E$1, 0) ), "")
</f>
        <v>0.00346</v>
      </c>
      <c r="G120" s="14"/>
      <c r="H120" s="9">
        <f t="array" ref="H120">IFERROR(
  INDEX(
    SR!$B$2:$D2026,            
    MATCH($A120, SR!$A$2:$A2026, 0),  
    MATCH(H$1, SR!$B$1:$D$1, 0) ), "")
</f>
        <v>0.00213</v>
      </c>
      <c r="I120" s="9">
        <f t="array" ref="I120">IFERROR(
  INDEX(
    SR!$B$2:$D2026,            
    MATCH($A120, SR!$A$2:$A2026, 0),  
    MATCH(I$1, SR!$B$1:$D$1, 0) ), "")
</f>
        <v>0.002745</v>
      </c>
      <c r="J120" s="9">
        <f t="array" ref="J120">IFERROR(
  INDEX(
    SR!$B$2:$D2026,            
    MATCH($A120, SR!$A$2:$A2026, 0),  
    MATCH(J$1, SR!$B$1:$D$1, 0) ), "")
</f>
        <v>0.005068</v>
      </c>
      <c r="K120" s="14"/>
      <c r="L120" s="9">
        <v>123.18</v>
      </c>
      <c r="M120" s="9">
        <v>24.49</v>
      </c>
      <c r="N120" s="9">
        <v>113.33</v>
      </c>
      <c r="O120" s="9">
        <v>122.83</v>
      </c>
      <c r="P120" s="9">
        <v>129.28</v>
      </c>
      <c r="Q120" s="9">
        <v>1359.3163</v>
      </c>
      <c r="R120" s="14"/>
      <c r="S120" s="12">
        <f t="shared" si="2"/>
        <v>-0.001171380031</v>
      </c>
      <c r="T120" s="12">
        <f t="shared" si="3"/>
        <v>0.99882862</v>
      </c>
      <c r="U120" s="16">
        <f t="shared" si="7"/>
        <v>101.2115598</v>
      </c>
      <c r="V120" s="17"/>
      <c r="W120" s="12">
        <f t="array" ref="W120">SQRT(252/20) *  SQRT( SUMSQ( LN(U99:U118 / U98:U117) )  - (1/20) * ( SUM( LN(U99:U118 / U98:U117) ) ^ 2 ) )</f>
        <v>0.01260466949</v>
      </c>
      <c r="X120" s="9">
        <f t="shared" si="4"/>
        <v>1.5</v>
      </c>
      <c r="Y120" s="14"/>
      <c r="Z120" s="12">
        <f t="shared" si="5"/>
        <v>0.9982428327</v>
      </c>
      <c r="AA120" s="16">
        <f t="shared" si="8"/>
        <v>101.7912072</v>
      </c>
      <c r="AB120" s="14"/>
      <c r="AC120" s="9">
        <f t="shared" si="6"/>
        <v>0</v>
      </c>
    </row>
    <row r="121">
      <c r="A121" s="8">
        <v>41899.0</v>
      </c>
      <c r="B121" s="14"/>
      <c r="C121" s="9">
        <f t="array" ref="C121">IFERROR(
  INDEX(
    IR!$B$2:$E2026,                
    MATCH($A121, IR!$A$2:$A2026, 0), 
    MATCH(C$1, IR!$B$1:$E$1, 0) ), "")
</f>
        <v>0.00006</v>
      </c>
      <c r="D121" s="9">
        <f t="array" ref="D121">IFERROR(
  INDEX(
    IR!$B$2:$E2026,                
    MATCH($A121, IR!$A$2:$A2026, 0), 
    MATCH(D$1, IR!$B$1:$E$1, 0) ), "")
</f>
        <v>0.00082</v>
      </c>
      <c r="E121" s="9">
        <f t="array" ref="E121">IFERROR(
  INDEX(
    IR!$B$2:$E2026,                
    MATCH($A121, IR!$A$2:$A2026, 0), 
    MATCH(E$1, IR!$B$1:$E$1, 0) ), "")
</f>
        <v>0.00188</v>
      </c>
      <c r="F121" s="9">
        <f t="array" ref="F121">IFERROR(
  INDEX(
    IR!$B$2:$E2026,                
    MATCH($A121, IR!$A$2:$A2026, 0), 
    MATCH(F$1, IR!$B$1:$E$1, 0) ), "")
</f>
        <v>0.00347</v>
      </c>
      <c r="G121" s="14"/>
      <c r="H121" s="9">
        <f t="array" ref="H121">IFERROR(
  INDEX(
    SR!$B$2:$D2026,            
    MATCH($A121, SR!$A$2:$A2026, 0),  
    MATCH(H$1, SR!$B$1:$D$1, 0) ), "")
</f>
        <v>0.002053</v>
      </c>
      <c r="I121" s="9">
        <f t="array" ref="I121">IFERROR(
  INDEX(
    SR!$B$2:$D2026,            
    MATCH($A121, SR!$A$2:$A2026, 0),  
    MATCH(I$1, SR!$B$1:$D$1, 0) ), "")
</f>
        <v>0.00273</v>
      </c>
      <c r="J121" s="9">
        <f t="array" ref="J121">IFERROR(
  INDEX(
    SR!$B$2:$D2026,            
    MATCH($A121, SR!$A$2:$A2026, 0),  
    MATCH(J$1, SR!$B$1:$D$1, 0) ), "")
</f>
        <v>0.004925</v>
      </c>
      <c r="K121" s="14"/>
      <c r="L121" s="9">
        <v>123.35</v>
      </c>
      <c r="M121" s="9">
        <v>24.49</v>
      </c>
      <c r="N121" s="9">
        <v>113.33</v>
      </c>
      <c r="O121" s="9">
        <v>122.75</v>
      </c>
      <c r="P121" s="9">
        <v>129.37</v>
      </c>
      <c r="Q121" s="9">
        <v>1358.6267</v>
      </c>
      <c r="R121" s="14"/>
      <c r="S121" s="12">
        <f t="shared" si="2"/>
        <v>0.0001528275916</v>
      </c>
      <c r="T121" s="12">
        <f t="shared" si="3"/>
        <v>1.000152828</v>
      </c>
      <c r="U121" s="16">
        <f t="shared" si="7"/>
        <v>101.2270278</v>
      </c>
      <c r="V121" s="17"/>
      <c r="W121" s="12">
        <f t="array" ref="W121">SQRT(252/20) *  SQRT( SUMSQ( LN(U100:U119 / U99:U118) )  - (1/20) * ( SUM( LN(U100:U119 / U99:U118) ) ^ 2 ) )</f>
        <v>0.01393257891</v>
      </c>
      <c r="X121" s="9">
        <f t="shared" si="4"/>
        <v>1.5</v>
      </c>
      <c r="Y121" s="14"/>
      <c r="Z121" s="12">
        <f t="shared" si="5"/>
        <v>1.000229158</v>
      </c>
      <c r="AA121" s="16">
        <f t="shared" si="8"/>
        <v>101.8145335</v>
      </c>
      <c r="AB121" s="14"/>
      <c r="AC121" s="9">
        <f t="shared" si="6"/>
        <v>0</v>
      </c>
    </row>
    <row r="122">
      <c r="A122" s="8">
        <v>41900.0</v>
      </c>
      <c r="B122" s="14"/>
      <c r="C122" s="9">
        <f t="array" ref="C122">IFERROR(
  INDEX(
    IR!$B$2:$E2026,                
    MATCH($A122, IR!$A$2:$A2026, 0), 
    MATCH(C$1, IR!$B$1:$E$1, 0) ), "")
</f>
        <v>0.00007</v>
      </c>
      <c r="D122" s="9">
        <f t="array" ref="D122">IFERROR(
  INDEX(
    IR!$B$2:$E2026,                
    MATCH($A122, IR!$A$2:$A2026, 0), 
    MATCH(D$1, IR!$B$1:$E$1, 0) ), "")
</f>
        <v>0.00082</v>
      </c>
      <c r="E122" s="9">
        <f t="array" ref="E122">IFERROR(
  INDEX(
    IR!$B$2:$E2026,                
    MATCH($A122, IR!$A$2:$A2026, 0), 
    MATCH(E$1, IR!$B$1:$E$1, 0) ), "")
</f>
        <v>0.00187</v>
      </c>
      <c r="F122" s="9">
        <f t="array" ref="F122">IFERROR(
  INDEX(
    IR!$B$2:$E2026,                
    MATCH($A122, IR!$A$2:$A2026, 0), 
    MATCH(F$1, IR!$B$1:$E$1, 0) ), "")
</f>
        <v>0.00347</v>
      </c>
      <c r="G122" s="14"/>
      <c r="H122" s="9">
        <f t="array" ref="H122">IFERROR(
  INDEX(
    SR!$B$2:$D2026,            
    MATCH($A122, SR!$A$2:$A2026, 0),  
    MATCH(H$1, SR!$B$1:$D$1, 0) ), "")
</f>
        <v>0.00216</v>
      </c>
      <c r="I122" s="9">
        <f t="array" ref="I122">IFERROR(
  INDEX(
    SR!$B$2:$D2026,            
    MATCH($A122, SR!$A$2:$A2026, 0),  
    MATCH(I$1, SR!$B$1:$D$1, 0) ), "")
</f>
        <v>0.002864</v>
      </c>
      <c r="J122" s="9">
        <f t="array" ref="J122">IFERROR(
  INDEX(
    SR!$B$2:$D2026,            
    MATCH($A122, SR!$A$2:$A2026, 0),  
    MATCH(J$1, SR!$B$1:$D$1, 0) ), "")
</f>
        <v>0.005275</v>
      </c>
      <c r="K122" s="14"/>
      <c r="L122" s="9">
        <v>123.43</v>
      </c>
      <c r="M122" s="9">
        <v>24.49</v>
      </c>
      <c r="N122" s="9">
        <v>113.31</v>
      </c>
      <c r="O122" s="9">
        <v>122.86</v>
      </c>
      <c r="P122" s="9">
        <v>129.36</v>
      </c>
      <c r="Q122" s="9">
        <v>1360.9192</v>
      </c>
      <c r="R122" s="14"/>
      <c r="S122" s="12">
        <f t="shared" si="2"/>
        <v>0.0004963507729</v>
      </c>
      <c r="T122" s="12">
        <f t="shared" si="3"/>
        <v>1.000496351</v>
      </c>
      <c r="U122" s="16">
        <f t="shared" si="7"/>
        <v>101.2772719</v>
      </c>
      <c r="V122" s="17"/>
      <c r="W122" s="12">
        <f t="array" ref="W122">SQRT(252/20) *  SQRT( SUMSQ( LN(U101:U120 / U100:U119) )  - (1/20) * ( SUM( LN(U101:U120 / U100:U119) ) ^ 2 ) )</f>
        <v>0.01398722988</v>
      </c>
      <c r="X122" s="9">
        <f t="shared" si="4"/>
        <v>1.5</v>
      </c>
      <c r="Y122" s="14"/>
      <c r="Z122" s="12">
        <f t="shared" si="5"/>
        <v>1.000744443</v>
      </c>
      <c r="AA122" s="16">
        <f t="shared" si="8"/>
        <v>101.8903286</v>
      </c>
      <c r="AB122" s="14"/>
      <c r="AC122" s="9">
        <f t="shared" si="6"/>
        <v>0</v>
      </c>
    </row>
    <row r="123">
      <c r="A123" s="8">
        <v>41901.0</v>
      </c>
      <c r="B123" s="14"/>
      <c r="C123" s="9">
        <f t="array" ref="C123">IFERROR(
  INDEX(
    IR!$B$2:$E2026,                
    MATCH($A123, IR!$A$2:$A2026, 0), 
    MATCH(C$1, IR!$B$1:$E$1, 0) ), "")
</f>
        <v>0.00008</v>
      </c>
      <c r="D123" s="9">
        <f t="array" ref="D123">IFERROR(
  INDEX(
    IR!$B$2:$E2026,                
    MATCH($A123, IR!$A$2:$A2026, 0), 
    MATCH(D$1, IR!$B$1:$E$1, 0) ), "")
</f>
        <v>0.00083</v>
      </c>
      <c r="E123" s="9">
        <f t="array" ref="E123">IFERROR(
  INDEX(
    IR!$B$2:$E2026,                
    MATCH($A123, IR!$A$2:$A2026, 0), 
    MATCH(E$1, IR!$B$1:$E$1, 0) ), "")
</f>
        <v>0.00187</v>
      </c>
      <c r="F123" s="9">
        <f t="array" ref="F123">IFERROR(
  INDEX(
    IR!$B$2:$E2026,                
    MATCH($A123, IR!$A$2:$A2026, 0), 
    MATCH(F$1, IR!$B$1:$E$1, 0) ), "")
</f>
        <v>0.00347</v>
      </c>
      <c r="G123" s="14"/>
      <c r="H123" s="9">
        <f t="array" ref="H123">IFERROR(
  INDEX(
    SR!$B$2:$D2026,            
    MATCH($A123, SR!$A$2:$A2026, 0),  
    MATCH(H$1, SR!$B$1:$D$1, 0) ), "")
</f>
        <v>0.002048</v>
      </c>
      <c r="I123" s="9">
        <f t="array" ref="I123">IFERROR(
  INDEX(
    SR!$B$2:$D2026,            
    MATCH($A123, SR!$A$2:$A2026, 0),  
    MATCH(I$1, SR!$B$1:$D$1, 0) ), "")
</f>
        <v>0.00273</v>
      </c>
      <c r="J123" s="9">
        <f t="array" ref="J123">IFERROR(
  INDEX(
    SR!$B$2:$D2026,            
    MATCH($A123, SR!$A$2:$A2026, 0),  
    MATCH(J$1, SR!$B$1:$D$1, 0) ), "")
</f>
        <v>0.00489</v>
      </c>
      <c r="K123" s="14"/>
      <c r="L123" s="9">
        <v>123.43</v>
      </c>
      <c r="M123" s="9">
        <v>24.51</v>
      </c>
      <c r="N123" s="9">
        <v>113.31</v>
      </c>
      <c r="O123" s="9">
        <v>122.91</v>
      </c>
      <c r="P123" s="9">
        <v>129.77</v>
      </c>
      <c r="Q123" s="9">
        <v>1363.9869</v>
      </c>
      <c r="R123" s="14"/>
      <c r="S123" s="12">
        <f t="shared" si="2"/>
        <v>0.001107651428</v>
      </c>
      <c r="T123" s="12">
        <f t="shared" si="3"/>
        <v>1.001107651</v>
      </c>
      <c r="U123" s="16">
        <f t="shared" si="7"/>
        <v>101.3894518</v>
      </c>
      <c r="V123" s="17"/>
      <c r="W123" s="12">
        <f t="array" ref="W123">SQRT(252/20) *  SQRT( SUMSQ( LN(U102:U121 / U101:U120) )  - (1/20) * ( SUM( LN(U102:U121 / U101:U120) ) ^ 2 ) )</f>
        <v>0.01362061302</v>
      </c>
      <c r="X123" s="9">
        <f t="shared" si="4"/>
        <v>1.5</v>
      </c>
      <c r="Y123" s="14"/>
      <c r="Z123" s="12">
        <f t="shared" si="5"/>
        <v>1.00166138</v>
      </c>
      <c r="AA123" s="16">
        <f t="shared" si="8"/>
        <v>102.0596071</v>
      </c>
      <c r="AB123" s="14"/>
      <c r="AC123" s="9">
        <f t="shared" si="6"/>
        <v>0</v>
      </c>
    </row>
    <row r="124">
      <c r="A124" s="8">
        <v>41904.0</v>
      </c>
      <c r="B124" s="14"/>
      <c r="C124" s="9">
        <f t="array" ref="C124">IFERROR(
  INDEX(
    IR!$B$2:$E2026,                
    MATCH($A124, IR!$A$2:$A2026, 0), 
    MATCH(C$1, IR!$B$1:$E$1, 0) ), "")
</f>
        <v>0.00005</v>
      </c>
      <c r="D124" s="9">
        <f t="array" ref="D124">IFERROR(
  INDEX(
    IR!$B$2:$E2026,                
    MATCH($A124, IR!$A$2:$A2026, 0), 
    MATCH(D$1, IR!$B$1:$E$1, 0) ), "")
</f>
        <v>0.00082</v>
      </c>
      <c r="E124" s="9">
        <f t="array" ref="E124">IFERROR(
  INDEX(
    IR!$B$2:$E2026,                
    MATCH($A124, IR!$A$2:$A2026, 0), 
    MATCH(E$1, IR!$B$1:$E$1, 0) ), "")
</f>
        <v>0.00186</v>
      </c>
      <c r="F124" s="9">
        <f t="array" ref="F124">IFERROR(
  INDEX(
    IR!$B$2:$E2026,                
    MATCH($A124, IR!$A$2:$A2026, 0), 
    MATCH(F$1, IR!$B$1:$E$1, 0) ), "")
</f>
        <v>0.00345</v>
      </c>
      <c r="G124" s="14"/>
      <c r="H124" s="9">
        <f t="array" ref="H124">IFERROR(
  INDEX(
    SR!$B$2:$D2026,            
    MATCH($A124, SR!$A$2:$A2026, 0),  
    MATCH(H$1, SR!$B$1:$D$1, 0) ), "")
</f>
        <v>0.00205</v>
      </c>
      <c r="I124" s="9">
        <f t="array" ref="I124">IFERROR(
  INDEX(
    SR!$B$2:$D2026,            
    MATCH($A124, SR!$A$2:$A2026, 0),  
    MATCH(I$1, SR!$B$1:$D$1, 0) ), "")
</f>
        <v>0.00268</v>
      </c>
      <c r="J124" s="9">
        <f t="array" ref="J124">IFERROR(
  INDEX(
    SR!$B$2:$D2026,            
    MATCH($A124, SR!$A$2:$A2026, 0),  
    MATCH(J$1, SR!$B$1:$D$1, 0) ), "")
</f>
        <v>0.00482</v>
      </c>
      <c r="K124" s="14"/>
      <c r="L124" s="9">
        <v>123.15</v>
      </c>
      <c r="M124" s="9">
        <v>24.51</v>
      </c>
      <c r="N124" s="9">
        <v>113.3</v>
      </c>
      <c r="O124" s="9">
        <v>123.07</v>
      </c>
      <c r="P124" s="9">
        <v>130.13</v>
      </c>
      <c r="Q124" s="9">
        <v>1361.1375</v>
      </c>
      <c r="R124" s="14"/>
      <c r="S124" s="12">
        <f t="shared" si="2"/>
        <v>-0.00006182830167</v>
      </c>
      <c r="T124" s="12">
        <f t="shared" si="3"/>
        <v>0.9999381717</v>
      </c>
      <c r="U124" s="16">
        <f t="shared" si="7"/>
        <v>101.383183</v>
      </c>
      <c r="V124" s="17"/>
      <c r="W124" s="12">
        <f t="array" ref="W124">SQRT(252/20) *  SQRT( SUMSQ( LN(U103:U122 / U102:U121) )  - (1/20) * ( SUM( LN(U103:U122 / U102:U121) ) ^ 2 ) )</f>
        <v>0.0136211323</v>
      </c>
      <c r="X124" s="9">
        <f t="shared" si="4"/>
        <v>1.5</v>
      </c>
      <c r="Y124" s="14"/>
      <c r="Z124" s="12">
        <f t="shared" si="5"/>
        <v>0.9999069242</v>
      </c>
      <c r="AA124" s="16">
        <f t="shared" si="8"/>
        <v>102.0501078</v>
      </c>
      <c r="AB124" s="14"/>
      <c r="AC124" s="9">
        <f t="shared" si="6"/>
        <v>0</v>
      </c>
    </row>
    <row r="125">
      <c r="A125" s="8">
        <v>41905.0</v>
      </c>
      <c r="B125" s="14"/>
      <c r="C125" s="9">
        <f t="array" ref="C125">IFERROR(
  INDEX(
    IR!$B$2:$E2026,                
    MATCH($A125, IR!$A$2:$A2026, 0), 
    MATCH(C$1, IR!$B$1:$E$1, 0) ), "")
</f>
        <v>0.00005</v>
      </c>
      <c r="D125" s="9">
        <f t="array" ref="D125">IFERROR(
  INDEX(
    IR!$B$2:$E2026,                
    MATCH($A125, IR!$A$2:$A2026, 0), 
    MATCH(D$1, IR!$B$1:$E$1, 0) ), "")
</f>
        <v>0.00082</v>
      </c>
      <c r="E125" s="9">
        <f t="array" ref="E125">IFERROR(
  INDEX(
    IR!$B$2:$E2026,                
    MATCH($A125, IR!$A$2:$A2026, 0), 
    MATCH(E$1, IR!$B$1:$E$1, 0) ), "")
</f>
        <v>0.00185</v>
      </c>
      <c r="F125" s="9">
        <f t="array" ref="F125">IFERROR(
  INDEX(
    IR!$B$2:$E2026,                
    MATCH($A125, IR!$A$2:$A2026, 0), 
    MATCH(F$1, IR!$B$1:$E$1, 0) ), "")
</f>
        <v>0.00343</v>
      </c>
      <c r="G125" s="14"/>
      <c r="H125" s="9">
        <f t="array" ref="H125">IFERROR(
  INDEX(
    SR!$B$2:$D2026,            
    MATCH($A125, SR!$A$2:$A2026, 0),  
    MATCH(H$1, SR!$B$1:$D$1, 0) ), "")
</f>
        <v>0.00218</v>
      </c>
      <c r="I125" s="9">
        <f t="array" ref="I125">IFERROR(
  INDEX(
    SR!$B$2:$D2026,            
    MATCH($A125, SR!$A$2:$A2026, 0),  
    MATCH(I$1, SR!$B$1:$D$1, 0) ), "")
</f>
        <v>0.00277</v>
      </c>
      <c r="J125" s="9">
        <f t="array" ref="J125">IFERROR(
  INDEX(
    SR!$B$2:$D2026,            
    MATCH($A125, SR!$A$2:$A2026, 0),  
    MATCH(J$1, SR!$B$1:$D$1, 0) ), "")
</f>
        <v>0.004895</v>
      </c>
      <c r="K125" s="14"/>
      <c r="L125" s="9">
        <v>122.63</v>
      </c>
      <c r="M125" s="9">
        <v>24.5</v>
      </c>
      <c r="N125" s="9">
        <v>113.23</v>
      </c>
      <c r="O125" s="9">
        <v>122.94</v>
      </c>
      <c r="P125" s="9">
        <v>129.86</v>
      </c>
      <c r="Q125" s="9">
        <v>1354.6292</v>
      </c>
      <c r="R125" s="14"/>
      <c r="S125" s="12">
        <f t="shared" si="2"/>
        <v>-0.002193099337</v>
      </c>
      <c r="T125" s="12">
        <f t="shared" si="3"/>
        <v>0.9978069007</v>
      </c>
      <c r="U125" s="16">
        <f t="shared" si="7"/>
        <v>101.1608397</v>
      </c>
      <c r="V125" s="17"/>
      <c r="W125" s="12">
        <f t="array" ref="W125">SQRT(252/20) *  SQRT( SUMSQ( LN(U104:U123 / U103:U122) )  - (1/20) * ( SUM( LN(U104:U123 / U103:U122) ) ^ 2 ) )</f>
        <v>0.01406059319</v>
      </c>
      <c r="X125" s="9">
        <f t="shared" si="4"/>
        <v>1.5</v>
      </c>
      <c r="Y125" s="14"/>
      <c r="Z125" s="12">
        <f t="shared" si="5"/>
        <v>0.9967102815</v>
      </c>
      <c r="AA125" s="16">
        <f t="shared" si="8"/>
        <v>101.7143917</v>
      </c>
      <c r="AB125" s="14"/>
      <c r="AC125" s="9">
        <f t="shared" si="6"/>
        <v>0</v>
      </c>
    </row>
    <row r="126">
      <c r="A126" s="8">
        <v>41906.0</v>
      </c>
      <c r="B126" s="14"/>
      <c r="C126" s="9">
        <f t="array" ref="C126">IFERROR(
  INDEX(
    IR!$B$2:$E2026,                
    MATCH($A126, IR!$A$2:$A2026, 0), 
    MATCH(C$1, IR!$B$1:$E$1, 0) ), "")
</f>
        <v>0.00007</v>
      </c>
      <c r="D126" s="9">
        <f t="array" ref="D126">IFERROR(
  INDEX(
    IR!$B$2:$E2026,                
    MATCH($A126, IR!$A$2:$A2026, 0), 
    MATCH(D$1, IR!$B$1:$E$1, 0) ), "")
</f>
        <v>0.00083</v>
      </c>
      <c r="E126" s="9">
        <f t="array" ref="E126">IFERROR(
  INDEX(
    IR!$B$2:$E2026,                
    MATCH($A126, IR!$A$2:$A2026, 0), 
    MATCH(E$1, IR!$B$1:$E$1, 0) ), "")
</f>
        <v>0.00186</v>
      </c>
      <c r="F126" s="9">
        <f t="array" ref="F126">IFERROR(
  INDEX(
    IR!$B$2:$E2026,                
    MATCH($A126, IR!$A$2:$A2026, 0), 
    MATCH(F$1, IR!$B$1:$E$1, 0) ), "")
</f>
        <v>0.00344</v>
      </c>
      <c r="G126" s="14"/>
      <c r="H126" s="9">
        <f t="array" ref="H126">IFERROR(
  INDEX(
    SR!$B$2:$D2026,            
    MATCH($A126, SR!$A$2:$A2026, 0),  
    MATCH(H$1, SR!$B$1:$D$1, 0) ), "")
</f>
        <v>0.002075</v>
      </c>
      <c r="I126" s="9">
        <f t="array" ref="I126">IFERROR(
  INDEX(
    SR!$B$2:$D2026,            
    MATCH($A126, SR!$A$2:$A2026, 0),  
    MATCH(I$1, SR!$B$1:$D$1, 0) ), "")
</f>
        <v>0.00274</v>
      </c>
      <c r="J126" s="9">
        <f t="array" ref="J126">IFERROR(
  INDEX(
    SR!$B$2:$D2026,            
    MATCH($A126, SR!$A$2:$A2026, 0),  
    MATCH(J$1, SR!$B$1:$D$1, 0) ), "")
</f>
        <v>0.004965</v>
      </c>
      <c r="K126" s="14"/>
      <c r="L126" s="9">
        <v>122.7</v>
      </c>
      <c r="M126" s="9">
        <v>24.52</v>
      </c>
      <c r="N126" s="9">
        <v>113.19</v>
      </c>
      <c r="O126" s="9">
        <v>122.14</v>
      </c>
      <c r="P126" s="9">
        <v>129.4</v>
      </c>
      <c r="Q126" s="9">
        <v>1350.9739</v>
      </c>
      <c r="R126" s="14"/>
      <c r="S126" s="12">
        <f t="shared" si="2"/>
        <v>-0.001951823293</v>
      </c>
      <c r="T126" s="12">
        <f t="shared" si="3"/>
        <v>0.9980481767</v>
      </c>
      <c r="U126" s="16">
        <f t="shared" si="7"/>
        <v>100.9633916</v>
      </c>
      <c r="V126" s="17"/>
      <c r="W126" s="12">
        <f t="array" ref="W126">SQRT(252/20) *  SQRT( SUMSQ( LN(U105:U124 / U104:U123) )  - (1/20) * ( SUM( LN(U105:U124 / U104:U123) ) ^ 2 ) )</f>
        <v>0.01352950747</v>
      </c>
      <c r="X126" s="9">
        <f t="shared" si="4"/>
        <v>1.5</v>
      </c>
      <c r="Y126" s="14"/>
      <c r="Z126" s="12">
        <f t="shared" si="5"/>
        <v>0.9970721956</v>
      </c>
      <c r="AA126" s="16">
        <f t="shared" si="8"/>
        <v>101.4165919</v>
      </c>
      <c r="AB126" s="14"/>
      <c r="AC126" s="9">
        <f t="shared" si="6"/>
        <v>0</v>
      </c>
    </row>
    <row r="127">
      <c r="A127" s="8">
        <v>41907.0</v>
      </c>
      <c r="B127" s="14"/>
      <c r="C127" s="9">
        <f t="array" ref="C127">IFERROR(
  INDEX(
    IR!$B$2:$E2026,                
    MATCH($A127, IR!$A$2:$A2026, 0), 
    MATCH(C$1, IR!$B$1:$E$1, 0) ), "")
</f>
        <v>0.00006</v>
      </c>
      <c r="D127" s="9">
        <f t="array" ref="D127">IFERROR(
  INDEX(
    IR!$B$2:$E2026,                
    MATCH($A127, IR!$A$2:$A2026, 0), 
    MATCH(D$1, IR!$B$1:$E$1, 0) ), "")
</f>
        <v>0.00082</v>
      </c>
      <c r="E127" s="9">
        <f t="array" ref="E127">IFERROR(
  INDEX(
    IR!$B$2:$E2026,                
    MATCH($A127, IR!$A$2:$A2026, 0), 
    MATCH(E$1, IR!$B$1:$E$1, 0) ), "")
</f>
        <v>0.00183</v>
      </c>
      <c r="F127" s="9">
        <f t="array" ref="F127">IFERROR(
  INDEX(
    IR!$B$2:$E2026,                
    MATCH($A127, IR!$A$2:$A2026, 0), 
    MATCH(F$1, IR!$B$1:$E$1, 0) ), "")
</f>
        <v>0.00342</v>
      </c>
      <c r="G127" s="14"/>
      <c r="H127" s="9">
        <f t="array" ref="H127">IFERROR(
  INDEX(
    SR!$B$2:$D2026,            
    MATCH($A127, SR!$A$2:$A2026, 0),  
    MATCH(H$1, SR!$B$1:$D$1, 0) ), "")
</f>
        <v>0.002045</v>
      </c>
      <c r="I127" s="9">
        <f t="array" ref="I127">IFERROR(
  INDEX(
    SR!$B$2:$D2026,            
    MATCH($A127, SR!$A$2:$A2026, 0),  
    MATCH(I$1, SR!$B$1:$D$1, 0) ), "")
</f>
        <v>0.002591</v>
      </c>
      <c r="J127" s="9">
        <f t="array" ref="J127">IFERROR(
  INDEX(
    SR!$B$2:$D2026,            
    MATCH($A127, SR!$A$2:$A2026, 0),  
    MATCH(J$1, SR!$B$1:$D$1, 0) ), "")
</f>
        <v>0.00465</v>
      </c>
      <c r="K127" s="14"/>
      <c r="L127" s="9">
        <v>122.42</v>
      </c>
      <c r="M127" s="9">
        <v>24.53</v>
      </c>
      <c r="N127" s="9">
        <v>113.16</v>
      </c>
      <c r="O127" s="9">
        <v>122.59</v>
      </c>
      <c r="P127" s="9">
        <v>129.95</v>
      </c>
      <c r="Q127" s="9">
        <v>1354.7382</v>
      </c>
      <c r="R127" s="14"/>
      <c r="S127" s="12">
        <f t="shared" si="2"/>
        <v>0.001430013854</v>
      </c>
      <c r="T127" s="12">
        <f t="shared" si="3"/>
        <v>1.001430014</v>
      </c>
      <c r="U127" s="16">
        <f t="shared" si="7"/>
        <v>101.1077706</v>
      </c>
      <c r="V127" s="17"/>
      <c r="W127" s="12">
        <f t="array" ref="W127">SQRT(252/20) *  SQRT( SUMSQ( LN(U106:U125 / U105:U124) )  - (1/20) * ( SUM( LN(U106:U125 / U105:U124) ) ^ 2 ) )</f>
        <v>0.01421958332</v>
      </c>
      <c r="X127" s="9">
        <f t="shared" si="4"/>
        <v>1.5</v>
      </c>
      <c r="Y127" s="14"/>
      <c r="Z127" s="12">
        <f t="shared" si="5"/>
        <v>1.002144924</v>
      </c>
      <c r="AA127" s="16">
        <f t="shared" si="8"/>
        <v>101.6341227</v>
      </c>
      <c r="AB127" s="14"/>
      <c r="AC127" s="9">
        <f t="shared" si="6"/>
        <v>0</v>
      </c>
    </row>
    <row r="128">
      <c r="A128" s="8">
        <v>41908.0</v>
      </c>
      <c r="B128" s="14"/>
      <c r="C128" s="9">
        <f t="array" ref="C128">IFERROR(
  INDEX(
    IR!$B$2:$E2026,                
    MATCH($A128, IR!$A$2:$A2026, 0), 
    MATCH(C$1, IR!$B$1:$E$1, 0) ), "")
</f>
        <v>0.00007</v>
      </c>
      <c r="D128" s="9">
        <f t="array" ref="D128">IFERROR(
  INDEX(
    IR!$B$2:$E2026,                
    MATCH($A128, IR!$A$2:$A2026, 0), 
    MATCH(D$1, IR!$B$1:$E$1, 0) ), "")
</f>
        <v>0.00082</v>
      </c>
      <c r="E128" s="9">
        <f t="array" ref="E128">IFERROR(
  INDEX(
    IR!$B$2:$E2026,                
    MATCH($A128, IR!$A$2:$A2026, 0), 
    MATCH(E$1, IR!$B$1:$E$1, 0) ), "")
</f>
        <v>0.00183</v>
      </c>
      <c r="F128" s="9">
        <f t="array" ref="F128">IFERROR(
  INDEX(
    IR!$B$2:$E2026,                
    MATCH($A128, IR!$A$2:$A2026, 0), 
    MATCH(F$1, IR!$B$1:$E$1, 0) ), "")
</f>
        <v>0.00341</v>
      </c>
      <c r="G128" s="14"/>
      <c r="H128" s="9">
        <f t="array" ref="H128">IFERROR(
  INDEX(
    SR!$B$2:$D2026,            
    MATCH($A128, SR!$A$2:$A2026, 0),  
    MATCH(H$1, SR!$B$1:$D$1, 0) ), "")
</f>
        <v>0.002018</v>
      </c>
      <c r="I128" s="9">
        <f t="array" ref="I128">IFERROR(
  INDEX(
    SR!$B$2:$D2026,            
    MATCH($A128, SR!$A$2:$A2026, 0),  
    MATCH(I$1, SR!$B$1:$D$1, 0) ), "")
</f>
        <v>0.002606</v>
      </c>
      <c r="J128" s="9">
        <f t="array" ref="J128">IFERROR(
  INDEX(
    SR!$B$2:$D2026,            
    MATCH($A128, SR!$A$2:$A2026, 0),  
    MATCH(J$1, SR!$B$1:$D$1, 0) ), "")
</f>
        <v>0.004675</v>
      </c>
      <c r="K128" s="14"/>
      <c r="L128" s="9">
        <v>122.4</v>
      </c>
      <c r="M128" s="9">
        <v>24.54</v>
      </c>
      <c r="N128" s="9">
        <v>113.1</v>
      </c>
      <c r="O128" s="9">
        <v>121.87</v>
      </c>
      <c r="P128" s="9">
        <v>129.63</v>
      </c>
      <c r="Q128" s="9">
        <v>1346.6586</v>
      </c>
      <c r="R128" s="14"/>
      <c r="S128" s="12">
        <f t="shared" si="2"/>
        <v>-0.002430558837</v>
      </c>
      <c r="T128" s="12">
        <f t="shared" si="3"/>
        <v>0.9975694412</v>
      </c>
      <c r="U128" s="16">
        <f t="shared" si="7"/>
        <v>100.8620222</v>
      </c>
      <c r="V128" s="17"/>
      <c r="W128" s="12">
        <f t="array" ref="W128">SQRT(252/20) *  SQRT( SUMSQ( LN(U107:U126 / U106:U125) )  - (1/20) * ( SUM( LN(U107:U126 / U106:U125) ) ^ 2 ) )</f>
        <v>0.01495881215</v>
      </c>
      <c r="X128" s="9">
        <f t="shared" si="4"/>
        <v>1.5</v>
      </c>
      <c r="Y128" s="14"/>
      <c r="Z128" s="12">
        <f t="shared" si="5"/>
        <v>0.9963540784</v>
      </c>
      <c r="AA128" s="16">
        <f t="shared" si="8"/>
        <v>101.2635727</v>
      </c>
      <c r="AB128" s="14"/>
      <c r="AC128" s="9">
        <f t="shared" si="6"/>
        <v>0</v>
      </c>
    </row>
    <row r="129">
      <c r="A129" s="8">
        <v>41911.0</v>
      </c>
      <c r="B129" s="14"/>
      <c r="C129" s="9">
        <f t="array" ref="C129">IFERROR(
  INDEX(
    IR!$B$2:$E2026,                
    MATCH($A129, IR!$A$2:$A2026, 0), 
    MATCH(C$1, IR!$B$1:$E$1, 0) ), "")
</f>
        <v>0.00007</v>
      </c>
      <c r="D129" s="9">
        <f t="array" ref="D129">IFERROR(
  INDEX(
    IR!$B$2:$E2026,                
    MATCH($A129, IR!$A$2:$A2026, 0), 
    MATCH(D$1, IR!$B$1:$E$1, 0) ), "")
</f>
        <v>0.00083</v>
      </c>
      <c r="E129" s="9">
        <f t="array" ref="E129">IFERROR(
  INDEX(
    IR!$B$2:$E2026,                
    MATCH($A129, IR!$A$2:$A2026, 0), 
    MATCH(E$1, IR!$B$1:$E$1, 0) ), "")
</f>
        <v>0.00184</v>
      </c>
      <c r="F129" s="9">
        <f t="array" ref="F129">IFERROR(
  INDEX(
    IR!$B$2:$E2026,                
    MATCH($A129, IR!$A$2:$A2026, 0), 
    MATCH(F$1, IR!$B$1:$E$1, 0) ), "")
</f>
        <v>0.00339</v>
      </c>
      <c r="G129" s="14"/>
      <c r="H129" s="9">
        <f t="array" ref="H129">IFERROR(
  INDEX(
    SR!$B$2:$D2026,            
    MATCH($A129, SR!$A$2:$A2026, 0),  
    MATCH(H$1, SR!$B$1:$D$1, 0) ), "")
</f>
        <v>0.00203</v>
      </c>
      <c r="I129" s="9">
        <f t="array" ref="I129">IFERROR(
  INDEX(
    SR!$B$2:$D2026,            
    MATCH($A129, SR!$A$2:$A2026, 0),  
    MATCH(I$1, SR!$B$1:$D$1, 0) ), "")
</f>
        <v>0.00262</v>
      </c>
      <c r="J129" s="9">
        <f t="array" ref="J129">IFERROR(
  INDEX(
    SR!$B$2:$D2026,            
    MATCH($A129, SR!$A$2:$A2026, 0),  
    MATCH(J$1, SR!$B$1:$D$1, 0) ), "")
</f>
        <v>0.004637</v>
      </c>
      <c r="K129" s="14"/>
      <c r="L129" s="9">
        <v>121.96</v>
      </c>
      <c r="M129" s="9">
        <v>24.53</v>
      </c>
      <c r="N129" s="9">
        <v>113.04</v>
      </c>
      <c r="O129" s="9">
        <v>121.81</v>
      </c>
      <c r="P129" s="9">
        <v>129.83</v>
      </c>
      <c r="Q129" s="9">
        <v>1347.9282</v>
      </c>
      <c r="R129" s="14"/>
      <c r="S129" s="12">
        <f t="shared" si="2"/>
        <v>-0.0004229814932</v>
      </c>
      <c r="T129" s="12">
        <f t="shared" si="3"/>
        <v>0.9995770185</v>
      </c>
      <c r="U129" s="16">
        <f t="shared" si="7"/>
        <v>100.8193595</v>
      </c>
      <c r="V129" s="17"/>
      <c r="W129" s="12">
        <f t="array" ref="W129">SQRT(252/20) *  SQRT( SUMSQ( LN(U108:U127 / U107:U126) )  - (1/20) * ( SUM( LN(U108:U127 / U107:U126) ) ^ 2 ) )</f>
        <v>0.01616999889</v>
      </c>
      <c r="X129" s="9">
        <f t="shared" si="4"/>
        <v>1.5</v>
      </c>
      <c r="Y129" s="14"/>
      <c r="Z129" s="12">
        <f t="shared" si="5"/>
        <v>0.9993652361</v>
      </c>
      <c r="AA129" s="16">
        <f t="shared" si="8"/>
        <v>101.1992942</v>
      </c>
      <c r="AB129" s="14"/>
      <c r="AC129" s="9">
        <f t="shared" si="6"/>
        <v>0</v>
      </c>
    </row>
    <row r="130">
      <c r="A130" s="8">
        <v>41912.0</v>
      </c>
      <c r="B130" s="14"/>
      <c r="C130" s="9">
        <f t="array" ref="C130">IFERROR(
  INDEX(
    IR!$B$2:$E2026,                
    MATCH($A130, IR!$A$2:$A2026, 0), 
    MATCH(C$1, IR!$B$1:$E$1, 0) ), "")
</f>
        <v>0.00007</v>
      </c>
      <c r="D130" s="9">
        <f t="array" ref="D130">IFERROR(
  INDEX(
    IR!$B$2:$E2026,                
    MATCH($A130, IR!$A$2:$A2026, 0), 
    MATCH(D$1, IR!$B$1:$E$1, 0) ), "")
</f>
        <v>0.00083</v>
      </c>
      <c r="E130" s="9">
        <f t="array" ref="E130">IFERROR(
  INDEX(
    IR!$B$2:$E2026,                
    MATCH($A130, IR!$A$2:$A2026, 0), 
    MATCH(E$1, IR!$B$1:$E$1, 0) ), "")
</f>
        <v>0.00183</v>
      </c>
      <c r="F130" s="9">
        <f t="array" ref="F130">IFERROR(
  INDEX(
    IR!$B$2:$E2026,                
    MATCH($A130, IR!$A$2:$A2026, 0), 
    MATCH(F$1, IR!$B$1:$E$1, 0) ), "")
</f>
        <v>0.00338</v>
      </c>
      <c r="G130" s="14"/>
      <c r="H130" s="9">
        <f t="array" ref="H130">IFERROR(
  INDEX(
    SR!$B$2:$D2026,            
    MATCH($A130, SR!$A$2:$A2026, 0),  
    MATCH(H$1, SR!$B$1:$D$1, 0) ), "")
</f>
        <v>0.001928</v>
      </c>
      <c r="I130" s="9">
        <f t="array" ref="I130">IFERROR(
  INDEX(
    SR!$B$2:$D2026,            
    MATCH($A130, SR!$A$2:$A2026, 0),  
    MATCH(I$1, SR!$B$1:$D$1, 0) ), "")
</f>
        <v>0.00247</v>
      </c>
      <c r="J130" s="9">
        <f t="array" ref="J130">IFERROR(
  INDEX(
    SR!$B$2:$D2026,            
    MATCH($A130, SR!$A$2:$A2026, 0),  
    MATCH(J$1, SR!$B$1:$D$1, 0) ), "")
</f>
        <v>0.00446</v>
      </c>
      <c r="K130" s="14"/>
      <c r="L130" s="9">
        <v>122.06</v>
      </c>
      <c r="M130" s="9">
        <v>24.56</v>
      </c>
      <c r="N130" s="9">
        <v>113.06</v>
      </c>
      <c r="O130" s="9">
        <v>121.53</v>
      </c>
      <c r="P130" s="9">
        <v>129.6</v>
      </c>
      <c r="Q130" s="9">
        <v>1344.6338</v>
      </c>
      <c r="R130" s="14"/>
      <c r="S130" s="12">
        <f t="shared" si="2"/>
        <v>-0.0007156905472</v>
      </c>
      <c r="T130" s="12">
        <f t="shared" si="3"/>
        <v>0.9992843095</v>
      </c>
      <c r="U130" s="16">
        <f t="shared" si="7"/>
        <v>100.747204</v>
      </c>
      <c r="V130" s="17"/>
      <c r="W130" s="12">
        <f t="array" ref="W130">SQRT(252/20) *  SQRT( SUMSQ( LN(U109:U128 / U108:U127) )  - (1/20) * ( SUM( LN(U109:U128 / U108:U127) ) ^ 2 ) )</f>
        <v>0.01782787154</v>
      </c>
      <c r="X130" s="9">
        <f t="shared" si="4"/>
        <v>1.5</v>
      </c>
      <c r="Y130" s="14"/>
      <c r="Z130" s="12">
        <f t="shared" si="5"/>
        <v>0.998926367</v>
      </c>
      <c r="AA130" s="16">
        <f t="shared" si="8"/>
        <v>101.0906433</v>
      </c>
      <c r="AB130" s="14"/>
      <c r="AC130" s="9">
        <f t="shared" si="6"/>
        <v>0</v>
      </c>
    </row>
    <row r="131">
      <c r="A131" s="8">
        <v>41913.0</v>
      </c>
      <c r="B131" s="14"/>
      <c r="C131" s="9">
        <f t="array" ref="C131">IFERROR(
  INDEX(
    IR!$B$2:$E2026,                
    MATCH($A131, IR!$A$2:$A2026, 0), 
    MATCH(C$1, IR!$B$1:$E$1, 0) ), "")
</f>
        <v>0.00006</v>
      </c>
      <c r="D131" s="9">
        <f t="array" ref="D131">IFERROR(
  INDEX(
    IR!$B$2:$E2026,                
    MATCH($A131, IR!$A$2:$A2026, 0), 
    MATCH(D$1, IR!$B$1:$E$1, 0) ), "")
</f>
        <v>0.00082</v>
      </c>
      <c r="E131" s="9">
        <f t="array" ref="E131">IFERROR(
  INDEX(
    IR!$B$2:$E2026,                
    MATCH($A131, IR!$A$2:$A2026, 0), 
    MATCH(E$1, IR!$B$1:$E$1, 0) ), "")
</f>
        <v>0.00181</v>
      </c>
      <c r="F131" s="9">
        <f t="array" ref="F131">IFERROR(
  INDEX(
    IR!$B$2:$E2026,                
    MATCH($A131, IR!$A$2:$A2026, 0), 
    MATCH(F$1, IR!$B$1:$E$1, 0) ), "")
</f>
        <v>0.00338</v>
      </c>
      <c r="G131" s="14"/>
      <c r="H131" s="9">
        <f t="array" ref="H131">IFERROR(
  INDEX(
    SR!$B$2:$D2026,            
    MATCH($A131, SR!$A$2:$A2026, 0),  
    MATCH(H$1, SR!$B$1:$D$1, 0) ), "")
</f>
        <v>0.001858</v>
      </c>
      <c r="I131" s="9">
        <f t="array" ref="I131">IFERROR(
  INDEX(
    SR!$B$2:$D2026,            
    MATCH($A131, SR!$A$2:$A2026, 0),  
    MATCH(I$1, SR!$B$1:$D$1, 0) ), "")
</f>
        <v>0.002361</v>
      </c>
      <c r="J131" s="9">
        <f t="array" ref="J131">IFERROR(
  INDEX(
    SR!$B$2:$D2026,            
    MATCH($A131, SR!$A$2:$A2026, 0),  
    MATCH(J$1, SR!$B$1:$D$1, 0) ), "")
</f>
        <v>0.00417</v>
      </c>
      <c r="K131" s="14"/>
      <c r="L131" s="9">
        <v>121.72</v>
      </c>
      <c r="M131" s="9">
        <v>24.56</v>
      </c>
      <c r="N131" s="9">
        <v>113.04</v>
      </c>
      <c r="O131" s="9">
        <v>121.91</v>
      </c>
      <c r="P131" s="9">
        <v>129.99</v>
      </c>
      <c r="Q131" s="9">
        <v>1342.42</v>
      </c>
      <c r="R131" s="14"/>
      <c r="S131" s="12">
        <f t="shared" si="2"/>
        <v>0.0002542752883</v>
      </c>
      <c r="T131" s="12">
        <f t="shared" si="3"/>
        <v>1.000254275</v>
      </c>
      <c r="U131" s="16">
        <f t="shared" si="7"/>
        <v>100.7728215</v>
      </c>
      <c r="V131" s="17"/>
      <c r="W131" s="12">
        <f t="array" ref="W131">SQRT(252/20) *  SQRT( SUMSQ( LN(U110:U129 / U109:U128) )  - (1/20) * ( SUM( LN(U110:U129 / U109:U128) ) ^ 2 ) )</f>
        <v>0.01757193753</v>
      </c>
      <c r="X131" s="9">
        <f t="shared" si="4"/>
        <v>1.5</v>
      </c>
      <c r="Y131" s="14"/>
      <c r="Z131" s="12">
        <f t="shared" si="5"/>
        <v>1.000381316</v>
      </c>
      <c r="AA131" s="16">
        <f t="shared" si="8"/>
        <v>101.1291907</v>
      </c>
      <c r="AB131" s="14"/>
      <c r="AC131" s="9">
        <f t="shared" si="6"/>
        <v>0</v>
      </c>
    </row>
    <row r="132">
      <c r="A132" s="8">
        <v>41914.0</v>
      </c>
      <c r="B132" s="14"/>
      <c r="C132" s="9">
        <f t="array" ref="C132">IFERROR(
  INDEX(
    IR!$B$2:$E2026,                
    MATCH($A132, IR!$A$2:$A2026, 0), 
    MATCH(C$1, IR!$B$1:$E$1, 0) ), "")
</f>
        <v>0.00006</v>
      </c>
      <c r="D132" s="9">
        <f t="array" ref="D132">IFERROR(
  INDEX(
    IR!$B$2:$E2026,                
    MATCH($A132, IR!$A$2:$A2026, 0), 
    MATCH(D$1, IR!$B$1:$E$1, 0) ), "")
</f>
        <v>0.00081</v>
      </c>
      <c r="E132" s="9">
        <f t="array" ref="E132">IFERROR(
  INDEX(
    IR!$B$2:$E2026,                
    MATCH($A132, IR!$A$2:$A2026, 0), 
    MATCH(E$1, IR!$B$1:$E$1, 0) ), "")
</f>
        <v>0.0018</v>
      </c>
      <c r="F132" s="9">
        <f t="array" ref="F132">IFERROR(
  INDEX(
    IR!$B$2:$E2026,                
    MATCH($A132, IR!$A$2:$A2026, 0), 
    MATCH(F$1, IR!$B$1:$E$1, 0) ), "")
</f>
        <v>0.00334</v>
      </c>
      <c r="G132" s="14"/>
      <c r="H132" s="9">
        <f t="array" ref="H132">IFERROR(
  INDEX(
    SR!$B$2:$D2026,            
    MATCH($A132, SR!$A$2:$A2026, 0),  
    MATCH(H$1, SR!$B$1:$D$1, 0) ), "")
</f>
        <v>0.001945</v>
      </c>
      <c r="I132" s="9">
        <f t="array" ref="I132">IFERROR(
  INDEX(
    SR!$B$2:$D2026,            
    MATCH($A132, SR!$A$2:$A2026, 0),  
    MATCH(I$1, SR!$B$1:$D$1, 0) ), "")
</f>
        <v>0.00253</v>
      </c>
      <c r="J132" s="9">
        <f t="array" ref="J132">IFERROR(
  INDEX(
    SR!$B$2:$D2026,            
    MATCH($A132, SR!$A$2:$A2026, 0),  
    MATCH(J$1, SR!$B$1:$D$1, 0) ), "")
</f>
        <v>0.00457</v>
      </c>
      <c r="K132" s="14"/>
      <c r="L132" s="9">
        <v>121.03</v>
      </c>
      <c r="M132" s="9">
        <v>24.55</v>
      </c>
      <c r="N132" s="9">
        <v>113.01</v>
      </c>
      <c r="O132" s="9">
        <v>121.54</v>
      </c>
      <c r="P132" s="9">
        <v>129.9</v>
      </c>
      <c r="Q132" s="9">
        <v>1332.7562</v>
      </c>
      <c r="R132" s="14"/>
      <c r="S132" s="12">
        <f t="shared" si="2"/>
        <v>-0.002877482694</v>
      </c>
      <c r="T132" s="12">
        <f t="shared" si="3"/>
        <v>0.9971225173</v>
      </c>
      <c r="U132" s="16">
        <f t="shared" si="7"/>
        <v>100.4828495</v>
      </c>
      <c r="V132" s="17"/>
      <c r="W132" s="12">
        <f t="array" ref="W132">SQRT(252/20) *  SQRT( SUMSQ( LN(U111:U130 / U110:U129) )  - (1/20) * ( SUM( LN(U111:U130 / U110:U129) ) ^ 2 ) )</f>
        <v>0.01749133647</v>
      </c>
      <c r="X132" s="9">
        <f t="shared" si="4"/>
        <v>1.5</v>
      </c>
      <c r="Y132" s="14"/>
      <c r="Z132" s="12">
        <f t="shared" si="5"/>
        <v>0.9956836926</v>
      </c>
      <c r="AA132" s="16">
        <f t="shared" si="8"/>
        <v>100.6926861</v>
      </c>
      <c r="AB132" s="14"/>
      <c r="AC132" s="9">
        <f t="shared" si="6"/>
        <v>0</v>
      </c>
    </row>
    <row r="133">
      <c r="A133" s="8">
        <v>41915.0</v>
      </c>
      <c r="B133" s="14"/>
      <c r="C133" s="9">
        <f t="array" ref="C133">IFERROR(
  INDEX(
    IR!$B$2:$E2026,                
    MATCH($A133, IR!$A$2:$A2026, 0), 
    MATCH(C$1, IR!$B$1:$E$1, 0) ), "")
</f>
        <v>0.00007</v>
      </c>
      <c r="D133" s="9">
        <f t="array" ref="D133">IFERROR(
  INDEX(
    IR!$B$2:$E2026,                
    MATCH($A133, IR!$A$2:$A2026, 0), 
    MATCH(D$1, IR!$B$1:$E$1, 0) ), "")
</f>
        <v>0.00081</v>
      </c>
      <c r="E133" s="9">
        <f t="array" ref="E133">IFERROR(
  INDEX(
    IR!$B$2:$E2026,                
    MATCH($A133, IR!$A$2:$A2026, 0), 
    MATCH(E$1, IR!$B$1:$E$1, 0) ), "")
</f>
        <v>0.00181</v>
      </c>
      <c r="F133" s="9">
        <f t="array" ref="F133">IFERROR(
  INDEX(
    IR!$B$2:$E2026,                
    MATCH($A133, IR!$A$2:$A2026, 0), 
    MATCH(F$1, IR!$B$1:$E$1, 0) ), "")
</f>
        <v>0.00335</v>
      </c>
      <c r="G133" s="14"/>
      <c r="H133" s="9">
        <f t="array" ref="H133">IFERROR(
  INDEX(
    SR!$B$2:$D2026,            
    MATCH($A133, SR!$A$2:$A2026, 0),  
    MATCH(H$1, SR!$B$1:$D$1, 0) ), "")
</f>
        <v>0.00201</v>
      </c>
      <c r="I133" s="9">
        <f t="array" ref="I133">IFERROR(
  INDEX(
    SR!$B$2:$D2026,            
    MATCH($A133, SR!$A$2:$A2026, 0),  
    MATCH(I$1, SR!$B$1:$D$1, 0) ), "")
</f>
        <v>0.00264</v>
      </c>
      <c r="J133" s="9">
        <f t="array" ref="J133">IFERROR(
  INDEX(
    SR!$B$2:$D2026,            
    MATCH($A133, SR!$A$2:$A2026, 0),  
    MATCH(J$1, SR!$B$1:$D$1, 0) ), "")
</f>
        <v>0.004595</v>
      </c>
      <c r="K133" s="14"/>
      <c r="L133" s="9">
        <v>121.09</v>
      </c>
      <c r="M133" s="9">
        <v>24.58</v>
      </c>
      <c r="N133" s="9">
        <v>113.0</v>
      </c>
      <c r="O133" s="9">
        <v>120.62</v>
      </c>
      <c r="P133" s="9">
        <v>129.26</v>
      </c>
      <c r="Q133" s="9">
        <v>1328.1492</v>
      </c>
      <c r="R133" s="14"/>
      <c r="S133" s="12">
        <f t="shared" si="2"/>
        <v>-0.002386704827</v>
      </c>
      <c r="T133" s="12">
        <f t="shared" si="3"/>
        <v>0.9976132952</v>
      </c>
      <c r="U133" s="16">
        <f t="shared" si="7"/>
        <v>100.2430266</v>
      </c>
      <c r="V133" s="17"/>
      <c r="W133" s="12">
        <f t="array" ref="W133">SQRT(252/20) *  SQRT( SUMSQ( LN(U112:U131 / U111:U130) )  - (1/20) * ( SUM( LN(U112:U131 / U111:U130) ) ^ 2 ) )</f>
        <v>0.01757656287</v>
      </c>
      <c r="X133" s="9">
        <f t="shared" si="4"/>
        <v>1.5</v>
      </c>
      <c r="Y133" s="14"/>
      <c r="Z133" s="12">
        <f t="shared" si="5"/>
        <v>0.9964198594</v>
      </c>
      <c r="AA133" s="16">
        <f t="shared" si="8"/>
        <v>100.3321921</v>
      </c>
      <c r="AB133" s="14"/>
      <c r="AC133" s="9">
        <f t="shared" si="6"/>
        <v>0</v>
      </c>
    </row>
    <row r="134">
      <c r="A134" s="8">
        <v>41918.0</v>
      </c>
      <c r="B134" s="14"/>
      <c r="C134" s="9">
        <f t="array" ref="C134">IFERROR(
  INDEX(
    IR!$B$2:$E2026,                
    MATCH($A134, IR!$A$2:$A2026, 0), 
    MATCH(C$1, IR!$B$1:$E$1, 0) ), "")
</f>
        <v>0.00007</v>
      </c>
      <c r="D134" s="9">
        <f t="array" ref="D134">IFERROR(
  INDEX(
    IR!$B$2:$E2026,                
    MATCH($A134, IR!$A$2:$A2026, 0), 
    MATCH(D$1, IR!$B$1:$E$1, 0) ), "")
</f>
        <v>0.00079</v>
      </c>
      <c r="E134" s="9">
        <f t="array" ref="E134">IFERROR(
  INDEX(
    IR!$B$2:$E2026,                
    MATCH($A134, IR!$A$2:$A2026, 0), 
    MATCH(E$1, IR!$B$1:$E$1, 0) ), "")
</f>
        <v>0.00179</v>
      </c>
      <c r="F134" s="9">
        <f t="array" ref="F134">IFERROR(
  INDEX(
    IR!$B$2:$E2026,                
    MATCH($A134, IR!$A$2:$A2026, 0), 
    MATCH(F$1, IR!$B$1:$E$1, 0) ), "")
</f>
        <v>0.00334</v>
      </c>
      <c r="G134" s="14"/>
      <c r="H134" s="9">
        <f t="array" ref="H134">IFERROR(
  INDEX(
    SR!$B$2:$D2026,            
    MATCH($A134, SR!$A$2:$A2026, 0),  
    MATCH(H$1, SR!$B$1:$D$1, 0) ), "")
</f>
        <v>0.00194</v>
      </c>
      <c r="I134" s="9">
        <f t="array" ref="I134">IFERROR(
  INDEX(
    SR!$B$2:$D2026,            
    MATCH($A134, SR!$A$2:$A2026, 0),  
    MATCH(I$1, SR!$B$1:$D$1, 0) ), "")
</f>
        <v>0.002553</v>
      </c>
      <c r="J134" s="9">
        <f t="array" ref="J134">IFERROR(
  INDEX(
    SR!$B$2:$D2026,            
    MATCH($A134, SR!$A$2:$A2026, 0),  
    MATCH(J$1, SR!$B$1:$D$1, 0) ), "")
</f>
        <v>0.004511</v>
      </c>
      <c r="K134" s="14"/>
      <c r="L134" s="9">
        <v>121.03</v>
      </c>
      <c r="M134" s="9">
        <v>24.57</v>
      </c>
      <c r="N134" s="9">
        <v>113.05</v>
      </c>
      <c r="O134" s="9">
        <v>120.48</v>
      </c>
      <c r="P134" s="9">
        <v>130.06</v>
      </c>
      <c r="Q134" s="9">
        <v>1334.6162</v>
      </c>
      <c r="R134" s="14"/>
      <c r="S134" s="12">
        <f t="shared" si="2"/>
        <v>0.001572813088</v>
      </c>
      <c r="T134" s="12">
        <f t="shared" si="3"/>
        <v>1.001572813</v>
      </c>
      <c r="U134" s="16">
        <f t="shared" si="7"/>
        <v>100.4006901</v>
      </c>
      <c r="V134" s="17"/>
      <c r="W134" s="12">
        <f t="array" ref="W134">SQRT(252/20) *  SQRT( SUMSQ( LN(U113:U132 / U112:U131) )  - (1/20) * ( SUM( LN(U113:U132 / U112:U131) ) ^ 2 ) )</f>
        <v>0.01877082208</v>
      </c>
      <c r="X134" s="9">
        <f t="shared" si="4"/>
        <v>1.5</v>
      </c>
      <c r="Y134" s="14"/>
      <c r="Z134" s="12">
        <f t="shared" si="5"/>
        <v>1.002358928</v>
      </c>
      <c r="AA134" s="16">
        <f t="shared" si="8"/>
        <v>100.5688685</v>
      </c>
      <c r="AB134" s="14"/>
      <c r="AC134" s="9">
        <f t="shared" si="6"/>
        <v>0</v>
      </c>
    </row>
    <row r="135">
      <c r="A135" s="8">
        <v>41919.0</v>
      </c>
      <c r="B135" s="14"/>
      <c r="C135" s="9">
        <f t="array" ref="C135">IFERROR(
  INDEX(
    IR!$B$2:$E2026,                
    MATCH($A135, IR!$A$2:$A2026, 0), 
    MATCH(C$1, IR!$B$1:$E$1, 0) ), "")
</f>
        <v>0.00006</v>
      </c>
      <c r="D135" s="9">
        <f t="array" ref="D135">IFERROR(
  INDEX(
    IR!$B$2:$E2026,                
    MATCH($A135, IR!$A$2:$A2026, 0), 
    MATCH(D$1, IR!$B$1:$E$1, 0) ), "")
</f>
        <v>0.00079</v>
      </c>
      <c r="E135" s="9">
        <f t="array" ref="E135">IFERROR(
  INDEX(
    IR!$B$2:$E2026,                
    MATCH($A135, IR!$A$2:$A2026, 0), 
    MATCH(E$1, IR!$B$1:$E$1, 0) ), "")
</f>
        <v>0.00178</v>
      </c>
      <c r="F135" s="9">
        <f t="array" ref="F135">IFERROR(
  INDEX(
    IR!$B$2:$E2026,                
    MATCH($A135, IR!$A$2:$A2026, 0), 
    MATCH(F$1, IR!$B$1:$E$1, 0) ), "")
</f>
        <v>0.00333</v>
      </c>
      <c r="G135" s="14"/>
      <c r="H135" s="9">
        <f t="array" ref="H135">IFERROR(
  INDEX(
    SR!$B$2:$D2026,            
    MATCH($A135, SR!$A$2:$A2026, 0),  
    MATCH(H$1, SR!$B$1:$D$1, 0) ), "")
</f>
        <v>0.001955</v>
      </c>
      <c r="I135" s="9">
        <f t="array" ref="I135">IFERROR(
  INDEX(
    SR!$B$2:$D2026,            
    MATCH($A135, SR!$A$2:$A2026, 0),  
    MATCH(I$1, SR!$B$1:$D$1, 0) ), "")
</f>
        <v>0.002528</v>
      </c>
      <c r="J135" s="9">
        <f t="array" ref="J135">IFERROR(
  INDEX(
    SR!$B$2:$D2026,            
    MATCH($A135, SR!$A$2:$A2026, 0),  
    MATCH(J$1, SR!$B$1:$D$1, 0) ), "")
</f>
        <v>0.004441</v>
      </c>
      <c r="K135" s="14"/>
      <c r="L135" s="9">
        <v>120.61</v>
      </c>
      <c r="M135" s="9">
        <v>24.56</v>
      </c>
      <c r="N135" s="9">
        <v>112.96</v>
      </c>
      <c r="O135" s="9">
        <v>120.43</v>
      </c>
      <c r="P135" s="9">
        <v>129.91</v>
      </c>
      <c r="Q135" s="9">
        <v>1333.4445</v>
      </c>
      <c r="R135" s="14"/>
      <c r="S135" s="12">
        <f t="shared" si="2"/>
        <v>-0.001186208674</v>
      </c>
      <c r="T135" s="12">
        <f t="shared" si="3"/>
        <v>0.9988137913</v>
      </c>
      <c r="U135" s="16">
        <f t="shared" si="7"/>
        <v>100.2815939</v>
      </c>
      <c r="V135" s="17"/>
      <c r="W135" s="12">
        <f t="array" ref="W135">SQRT(252/20) *  SQRT( SUMSQ( LN(U114:U133 / U113:U132) )  - (1/20) * ( SUM( LN(U114:U133 / U113:U132) ) ^ 2 ) )</f>
        <v>0.01875812669</v>
      </c>
      <c r="X135" s="9">
        <f t="shared" si="4"/>
        <v>1.5</v>
      </c>
      <c r="Y135" s="14"/>
      <c r="Z135" s="12">
        <f t="shared" si="5"/>
        <v>0.9982205898</v>
      </c>
      <c r="AA135" s="16">
        <f t="shared" si="8"/>
        <v>100.3899152</v>
      </c>
      <c r="AB135" s="14"/>
      <c r="AC135" s="9">
        <f t="shared" si="6"/>
        <v>0</v>
      </c>
    </row>
    <row r="136">
      <c r="A136" s="8">
        <v>41920.0</v>
      </c>
      <c r="B136" s="14"/>
      <c r="C136" s="9">
        <f t="array" ref="C136">IFERROR(
  INDEX(
    IR!$B$2:$E2026,                
    MATCH($A136, IR!$A$2:$A2026, 0), 
    MATCH(C$1, IR!$B$1:$E$1, 0) ), "")
</f>
        <v>0.00006</v>
      </c>
      <c r="D136" s="9">
        <f t="array" ref="D136">IFERROR(
  INDEX(
    IR!$B$2:$E2026,                
    MATCH($A136, IR!$A$2:$A2026, 0), 
    MATCH(D$1, IR!$B$1:$E$1, 0) ), "")
</f>
        <v>0.0008</v>
      </c>
      <c r="E136" s="9">
        <f t="array" ref="E136">IFERROR(
  INDEX(
    IR!$B$2:$E2026,                
    MATCH($A136, IR!$A$2:$A2026, 0), 
    MATCH(E$1, IR!$B$1:$E$1, 0) ), "")
</f>
        <v>0.0018</v>
      </c>
      <c r="F136" s="9">
        <f t="array" ref="F136">IFERROR(
  INDEX(
    IR!$B$2:$E2026,                
    MATCH($A136, IR!$A$2:$A2026, 0), 
    MATCH(F$1, IR!$B$1:$E$1, 0) ), "")
</f>
        <v>0.00333</v>
      </c>
      <c r="G136" s="14"/>
      <c r="H136" s="9">
        <f t="array" ref="H136">IFERROR(
  INDEX(
    SR!$B$2:$D2026,            
    MATCH($A136, SR!$A$2:$A2026, 0),  
    MATCH(H$1, SR!$B$1:$D$1, 0) ), "")
</f>
        <v>0.00198</v>
      </c>
      <c r="I136" s="9">
        <f t="array" ref="I136">IFERROR(
  INDEX(
    SR!$B$2:$D2026,            
    MATCH($A136, SR!$A$2:$A2026, 0),  
    MATCH(I$1, SR!$B$1:$D$1, 0) ), "")
</f>
        <v>0.002517</v>
      </c>
      <c r="J136" s="9">
        <f t="array" ref="J136">IFERROR(
  INDEX(
    SR!$B$2:$D2026,            
    MATCH($A136, SR!$A$2:$A2026, 0),  
    MATCH(J$1, SR!$B$1:$D$1, 0) ), "")
</f>
        <v>0.004475</v>
      </c>
      <c r="K136" s="14"/>
      <c r="L136" s="9">
        <v>120.35</v>
      </c>
      <c r="M136" s="9">
        <v>24.53</v>
      </c>
      <c r="N136" s="9">
        <v>112.94</v>
      </c>
      <c r="O136" s="9">
        <v>120.04</v>
      </c>
      <c r="P136" s="9">
        <v>129.48</v>
      </c>
      <c r="Q136" s="9">
        <v>1325.2734</v>
      </c>
      <c r="R136" s="14"/>
      <c r="S136" s="12">
        <f t="shared" si="2"/>
        <v>-0.002704606477</v>
      </c>
      <c r="T136" s="12">
        <f t="shared" si="3"/>
        <v>0.9972953935</v>
      </c>
      <c r="U136" s="16">
        <f t="shared" si="7"/>
        <v>100.0103717</v>
      </c>
      <c r="V136" s="17"/>
      <c r="W136" s="12">
        <f t="array" ref="W136">SQRT(252/20) *  SQRT( SUMSQ( LN(U115:U134 / U114:U133) )  - (1/20) * ( SUM( LN(U115:U134 / U114:U133) ) ^ 2 ) )</f>
        <v>0.02037477006</v>
      </c>
      <c r="X136" s="9">
        <f t="shared" si="4"/>
        <v>1.5</v>
      </c>
      <c r="Y136" s="14"/>
      <c r="Z136" s="12">
        <f t="shared" si="5"/>
        <v>0.995943007</v>
      </c>
      <c r="AA136" s="16">
        <f t="shared" si="8"/>
        <v>99.98263404</v>
      </c>
      <c r="AB136" s="14"/>
      <c r="AC136" s="9">
        <f t="shared" si="6"/>
        <v>0</v>
      </c>
    </row>
    <row r="137">
      <c r="A137" s="8">
        <v>41921.0</v>
      </c>
      <c r="B137" s="14"/>
      <c r="C137" s="9">
        <f t="array" ref="C137">IFERROR(
  INDEX(
    IR!$B$2:$E2026,                
    MATCH($A137, IR!$A$2:$A2026, 0), 
    MATCH(C$1, IR!$B$1:$E$1, 0) ), "")
</f>
        <v>0.00006</v>
      </c>
      <c r="D137" s="9">
        <f t="array" ref="D137">IFERROR(
  INDEX(
    IR!$B$2:$E2026,                
    MATCH($A137, IR!$A$2:$A2026, 0), 
    MATCH(D$1, IR!$B$1:$E$1, 0) ), "")
</f>
        <v>0.00079</v>
      </c>
      <c r="E137" s="9">
        <f t="array" ref="E137">IFERROR(
  INDEX(
    IR!$B$2:$E2026,                
    MATCH($A137, IR!$A$2:$A2026, 0), 
    MATCH(E$1, IR!$B$1:$E$1, 0) ), "")
</f>
        <v>0.00179</v>
      </c>
      <c r="F137" s="9">
        <f t="array" ref="F137">IFERROR(
  INDEX(
    IR!$B$2:$E2026,                
    MATCH($A137, IR!$A$2:$A2026, 0), 
    MATCH(F$1, IR!$B$1:$E$1, 0) ), "")
</f>
        <v>0.00332</v>
      </c>
      <c r="G137" s="14"/>
      <c r="H137" s="9">
        <f t="array" ref="H137">IFERROR(
  INDEX(
    SR!$B$2:$D2026,            
    MATCH($A137, SR!$A$2:$A2026, 0),  
    MATCH(H$1, SR!$B$1:$D$1, 0) ), "")
</f>
        <v>0.00201</v>
      </c>
      <c r="I137" s="9">
        <f t="array" ref="I137">IFERROR(
  INDEX(
    SR!$B$2:$D2026,            
    MATCH($A137, SR!$A$2:$A2026, 0),  
    MATCH(I$1, SR!$B$1:$D$1, 0) ), "")
</f>
        <v>0.002605</v>
      </c>
      <c r="J137" s="9">
        <f t="array" ref="J137">IFERROR(
  INDEX(
    SR!$B$2:$D2026,            
    MATCH($A137, SR!$A$2:$A2026, 0),  
    MATCH(J$1, SR!$B$1:$D$1, 0) ), "")
</f>
        <v>0.004586</v>
      </c>
      <c r="K137" s="14"/>
      <c r="L137" s="9">
        <v>120.31</v>
      </c>
      <c r="M137" s="9">
        <v>24.54</v>
      </c>
      <c r="N137" s="9">
        <v>112.91</v>
      </c>
      <c r="O137" s="9">
        <v>119.97</v>
      </c>
      <c r="P137" s="9">
        <v>129.43</v>
      </c>
      <c r="Q137" s="9">
        <v>1325.5927</v>
      </c>
      <c r="R137" s="14"/>
      <c r="S137" s="12">
        <f t="shared" si="2"/>
        <v>-0.000153030524</v>
      </c>
      <c r="T137" s="12">
        <f t="shared" si="3"/>
        <v>0.9998469695</v>
      </c>
      <c r="U137" s="16">
        <f t="shared" si="7"/>
        <v>99.99506706</v>
      </c>
      <c r="V137" s="17"/>
      <c r="W137" s="12">
        <f t="array" ref="W137">SQRT(252/20) *  SQRT( SUMSQ( LN(U116:U135 / U115:U134) )  - (1/20) * ( SUM( LN(U116:U135 / U115:U134) ) ^ 2 ) )</f>
        <v>0.02043622164</v>
      </c>
      <c r="X137" s="9">
        <f t="shared" si="4"/>
        <v>1.5</v>
      </c>
      <c r="Y137" s="14"/>
      <c r="Z137" s="12">
        <f t="shared" si="5"/>
        <v>0.9997703709</v>
      </c>
      <c r="AA137" s="16">
        <f t="shared" si="8"/>
        <v>99.95967512</v>
      </c>
      <c r="AB137" s="14"/>
      <c r="AC137" s="9">
        <f t="shared" si="6"/>
        <v>0</v>
      </c>
    </row>
    <row r="138">
      <c r="A138" s="8">
        <v>41922.0</v>
      </c>
      <c r="B138" s="14"/>
      <c r="C138" s="9">
        <f t="array" ref="C138">IFERROR(
  INDEX(
    IR!$B$2:$E2026,                
    MATCH($A138, IR!$A$2:$A2026, 0), 
    MATCH(C$1, IR!$B$1:$E$1, 0) ), "")
</f>
        <v>0.00006</v>
      </c>
      <c r="D138" s="9">
        <f t="array" ref="D138">IFERROR(
  INDEX(
    IR!$B$2:$E2026,                
    MATCH($A138, IR!$A$2:$A2026, 0), 
    MATCH(D$1, IR!$B$1:$E$1, 0) ), "")
</f>
        <v>0.00079</v>
      </c>
      <c r="E138" s="9">
        <f t="array" ref="E138">IFERROR(
  INDEX(
    IR!$B$2:$E2026,                
    MATCH($A138, IR!$A$2:$A2026, 0), 
    MATCH(E$1, IR!$B$1:$E$1, 0) ), "")
</f>
        <v>0.00178</v>
      </c>
      <c r="F138" s="9">
        <f t="array" ref="F138">IFERROR(
  INDEX(
    IR!$B$2:$E2026,                
    MATCH($A138, IR!$A$2:$A2026, 0), 
    MATCH(F$1, IR!$B$1:$E$1, 0) ), "")
</f>
        <v>0.00333</v>
      </c>
      <c r="G138" s="14"/>
      <c r="H138" s="9">
        <f t="array" ref="H138">IFERROR(
  INDEX(
    SR!$B$2:$D2026,            
    MATCH($A138, SR!$A$2:$A2026, 0),  
    MATCH(H$1, SR!$B$1:$D$1, 0) ), "")
</f>
        <v>0.00213</v>
      </c>
      <c r="I138" s="9">
        <f t="array" ref="I138">IFERROR(
  INDEX(
    SR!$B$2:$D2026,            
    MATCH($A138, SR!$A$2:$A2026, 0),  
    MATCH(I$1, SR!$B$1:$D$1, 0) ), "")
</f>
        <v>0.00268</v>
      </c>
      <c r="J138" s="9">
        <f t="array" ref="J138">IFERROR(
  INDEX(
    SR!$B$2:$D2026,            
    MATCH($A138, SR!$A$2:$A2026, 0),  
    MATCH(J$1, SR!$B$1:$D$1, 0) ), "")
</f>
        <v>0.00454</v>
      </c>
      <c r="K138" s="14"/>
      <c r="L138" s="9">
        <v>119.88</v>
      </c>
      <c r="M138" s="9">
        <v>24.55</v>
      </c>
      <c r="N138" s="9">
        <v>112.81</v>
      </c>
      <c r="O138" s="9">
        <v>119.93</v>
      </c>
      <c r="P138" s="9">
        <v>129.24</v>
      </c>
      <c r="Q138" s="9">
        <v>1318.5486</v>
      </c>
      <c r="R138" s="14"/>
      <c r="S138" s="12">
        <f t="shared" si="2"/>
        <v>-0.00186105021</v>
      </c>
      <c r="T138" s="12">
        <f t="shared" si="3"/>
        <v>0.9981389498</v>
      </c>
      <c r="U138" s="16">
        <f t="shared" si="7"/>
        <v>99.80897122</v>
      </c>
      <c r="V138" s="17"/>
      <c r="W138" s="12">
        <f t="array" ref="W138">SQRT(252/20) *  SQRT( SUMSQ( LN(U117:U136 / U116:U135) )  - (1/20) * ( SUM( LN(U117:U136 / U116:U135) ) ^ 2 ) )</f>
        <v>0.02128241782</v>
      </c>
      <c r="X138" s="9">
        <f t="shared" si="4"/>
        <v>1.5</v>
      </c>
      <c r="Y138" s="14"/>
      <c r="Z138" s="12">
        <f t="shared" si="5"/>
        <v>0.9972083414</v>
      </c>
      <c r="AA138" s="16">
        <f t="shared" si="8"/>
        <v>99.68062183</v>
      </c>
      <c r="AB138" s="14"/>
      <c r="AC138" s="9">
        <f t="shared" si="6"/>
        <v>0</v>
      </c>
    </row>
    <row r="139">
      <c r="A139" s="8">
        <v>41925.0</v>
      </c>
      <c r="B139" s="14"/>
      <c r="C139" s="9">
        <f t="array" ref="C139">IFERROR(
  INDEX(
    IR!$B$2:$E2026,                
    MATCH($A139, IR!$A$2:$A2026, 0), 
    MATCH(C$1, IR!$B$1:$E$1, 0) ), "")
</f>
        <v>0.00006</v>
      </c>
      <c r="D139" s="9">
        <f t="array" ref="D139">IFERROR(
  INDEX(
    IR!$B$2:$E2026,                
    MATCH($A139, IR!$A$2:$A2026, 0), 
    MATCH(D$1, IR!$B$1:$E$1, 0) ), "")
</f>
        <v>0.00082</v>
      </c>
      <c r="E139" s="9">
        <f t="array" ref="E139">IFERROR(
  INDEX(
    IR!$B$2:$E2026,                
    MATCH($A139, IR!$A$2:$A2026, 0), 
    MATCH(E$1, IR!$B$1:$E$1, 0) ), "")
</f>
        <v>0.00182</v>
      </c>
      <c r="F139" s="9">
        <f t="array" ref="F139">IFERROR(
  INDEX(
    IR!$B$2:$E2026,                
    MATCH($A139, IR!$A$2:$A2026, 0), 
    MATCH(F$1, IR!$B$1:$E$1, 0) ), "")
</f>
        <v>0.00336</v>
      </c>
      <c r="G139" s="14"/>
      <c r="H139" s="9">
        <f t="array" ref="H139">IFERROR(
  INDEX(
    SR!$B$2:$D2026,            
    MATCH($A139, SR!$A$2:$A2026, 0),  
    MATCH(H$1, SR!$B$1:$D$1, 0) ), "")
</f>
        <v>0.002215</v>
      </c>
      <c r="I139" s="9">
        <f t="array" ref="I139">IFERROR(
  INDEX(
    SR!$B$2:$D2026,            
    MATCH($A139, SR!$A$2:$A2026, 0),  
    MATCH(I$1, SR!$B$1:$D$1, 0) ), "")
</f>
        <v>0.00277</v>
      </c>
      <c r="J139" s="9">
        <f t="array" ref="J139">IFERROR(
  INDEX(
    SR!$B$2:$D2026,            
    MATCH($A139, SR!$A$2:$A2026, 0),  
    MATCH(J$1, SR!$B$1:$D$1, 0) ), "")
</f>
        <v>0.004649</v>
      </c>
      <c r="K139" s="14"/>
      <c r="L139" s="9">
        <v>119.79</v>
      </c>
      <c r="M139" s="9">
        <v>24.54</v>
      </c>
      <c r="N139" s="9">
        <v>112.78</v>
      </c>
      <c r="O139" s="9">
        <v>119.93</v>
      </c>
      <c r="P139" s="9">
        <v>129.48</v>
      </c>
      <c r="Q139" s="9">
        <v>1304.9262</v>
      </c>
      <c r="R139" s="14"/>
      <c r="S139" s="12">
        <f t="shared" si="2"/>
        <v>-0.001650100942</v>
      </c>
      <c r="T139" s="12">
        <f t="shared" si="3"/>
        <v>0.9983498991</v>
      </c>
      <c r="U139" s="16">
        <f t="shared" si="7"/>
        <v>99.64427634</v>
      </c>
      <c r="V139" s="17"/>
      <c r="W139" s="12">
        <f t="array" ref="W139">SQRT(252/20) *  SQRT( SUMSQ( LN(U118:U137 / U117:U136) )  - (1/20) * ( SUM( LN(U118:U137 / U117:U136) ) ^ 2 ) )</f>
        <v>0.02138088652</v>
      </c>
      <c r="X139" s="9">
        <f t="shared" si="4"/>
        <v>1.5</v>
      </c>
      <c r="Y139" s="14"/>
      <c r="Z139" s="12">
        <f t="shared" si="5"/>
        <v>0.9975245986</v>
      </c>
      <c r="AA139" s="16">
        <f t="shared" si="8"/>
        <v>99.43387228</v>
      </c>
      <c r="AB139" s="14"/>
      <c r="AC139" s="9">
        <f t="shared" si="6"/>
        <v>0</v>
      </c>
    </row>
    <row r="140">
      <c r="A140" s="8">
        <v>41926.0</v>
      </c>
      <c r="B140" s="14"/>
      <c r="C140" s="9">
        <f t="array" ref="C140">IFERROR(
  INDEX(
    IR!$B$2:$E2026,                
    MATCH($A140, IR!$A$2:$A2026, 0), 
    MATCH(C$1, IR!$B$1:$E$1, 0) ), "")
</f>
        <v>0.00008</v>
      </c>
      <c r="D140" s="9">
        <f t="array" ref="D140">IFERROR(
  INDEX(
    IR!$B$2:$E2026,                
    MATCH($A140, IR!$A$2:$A2026, 0), 
    MATCH(D$1, IR!$B$1:$E$1, 0) ), "")
</f>
        <v>0.00082</v>
      </c>
      <c r="E140" s="9">
        <f t="array" ref="E140">IFERROR(
  INDEX(
    IR!$B$2:$E2026,                
    MATCH($A140, IR!$A$2:$A2026, 0), 
    MATCH(E$1, IR!$B$1:$E$1, 0) ), "")
</f>
        <v>0.00182</v>
      </c>
      <c r="F140" s="9">
        <f t="array" ref="F140">IFERROR(
  INDEX(
    IR!$B$2:$E2026,                
    MATCH($A140, IR!$A$2:$A2026, 0), 
    MATCH(F$1, IR!$B$1:$E$1, 0) ), "")
</f>
        <v>0.0034</v>
      </c>
      <c r="G140" s="14"/>
      <c r="H140" s="9">
        <f t="array" ref="H140">IFERROR(
  INDEX(
    SR!$B$2:$D2026,            
    MATCH($A140, SR!$A$2:$A2026, 0),  
    MATCH(H$1, SR!$B$1:$D$1, 0) ), "")
</f>
        <v>0.00212</v>
      </c>
      <c r="I140" s="9">
        <f t="array" ref="I140">IFERROR(
  INDEX(
    SR!$B$2:$D2026,            
    MATCH($A140, SR!$A$2:$A2026, 0),  
    MATCH(I$1, SR!$B$1:$D$1, 0) ), "")
</f>
        <v>0.002624</v>
      </c>
      <c r="J140" s="9">
        <f t="array" ref="J140">IFERROR(
  INDEX(
    SR!$B$2:$D2026,            
    MATCH($A140, SR!$A$2:$A2026, 0),  
    MATCH(J$1, SR!$B$1:$D$1, 0) ), "")
</f>
        <v>0.004375</v>
      </c>
      <c r="K140" s="14"/>
      <c r="L140" s="9">
        <v>119.75</v>
      </c>
      <c r="M140" s="9">
        <v>24.53</v>
      </c>
      <c r="N140" s="9">
        <v>112.81</v>
      </c>
      <c r="O140" s="9">
        <v>119.81</v>
      </c>
      <c r="P140" s="9">
        <v>129.17</v>
      </c>
      <c r="Q140" s="9">
        <v>1298.2236</v>
      </c>
      <c r="R140" s="14"/>
      <c r="S140" s="12">
        <f t="shared" si="2"/>
        <v>-0.001501008083</v>
      </c>
      <c r="T140" s="12">
        <f t="shared" si="3"/>
        <v>0.9984989919</v>
      </c>
      <c r="U140" s="16">
        <f t="shared" si="7"/>
        <v>99.49470948</v>
      </c>
      <c r="V140" s="17"/>
      <c r="W140" s="12">
        <f t="array" ref="W140">SQRT(252/20) *  SQRT( SUMSQ( LN(U119:U138 / U118:U137) )  - (1/20) * ( SUM( LN(U119:U138 / U118:U137) ) ^ 2 ) )</f>
        <v>0.0217072939</v>
      </c>
      <c r="X140" s="9">
        <f t="shared" si="4"/>
        <v>1.5</v>
      </c>
      <c r="Y140" s="14"/>
      <c r="Z140" s="12">
        <f t="shared" si="5"/>
        <v>0.9977484045</v>
      </c>
      <c r="AA140" s="16">
        <f t="shared" si="8"/>
        <v>99.20998742</v>
      </c>
      <c r="AB140" s="14"/>
      <c r="AC140" s="9">
        <f t="shared" si="6"/>
        <v>0</v>
      </c>
    </row>
    <row r="141">
      <c r="A141" s="8">
        <v>41927.0</v>
      </c>
      <c r="B141" s="14"/>
      <c r="C141" s="9">
        <f t="array" ref="C141">IFERROR(
  INDEX(
    IR!$B$2:$E2026,                
    MATCH($A141, IR!$A$2:$A2026, 0), 
    MATCH(C$1, IR!$B$1:$E$1, 0) ), "")
</f>
        <v>0.00006</v>
      </c>
      <c r="D141" s="9">
        <f t="array" ref="D141">IFERROR(
  INDEX(
    IR!$B$2:$E2026,                
    MATCH($A141, IR!$A$2:$A2026, 0), 
    MATCH(D$1, IR!$B$1:$E$1, 0) ), "")
</f>
        <v>0.00081</v>
      </c>
      <c r="E141" s="9">
        <f t="array" ref="E141">IFERROR(
  INDEX(
    IR!$B$2:$E2026,                
    MATCH($A141, IR!$A$2:$A2026, 0), 
    MATCH(E$1, IR!$B$1:$E$1, 0) ), "")
</f>
        <v>0.00181</v>
      </c>
      <c r="F141" s="9">
        <f t="array" ref="F141">IFERROR(
  INDEX(
    IR!$B$2:$E2026,                
    MATCH($A141, IR!$A$2:$A2026, 0), 
    MATCH(F$1, IR!$B$1:$E$1, 0) ), "")
</f>
        <v>0.00338</v>
      </c>
      <c r="G141" s="14"/>
      <c r="H141" s="9">
        <f t="array" ref="H141">IFERROR(
  INDEX(
    SR!$B$2:$D2026,            
    MATCH($A141, SR!$A$2:$A2026, 0),  
    MATCH(H$1, SR!$B$1:$D$1, 0) ), "")
</f>
        <v>0.002063</v>
      </c>
      <c r="I141" s="9">
        <f t="array" ref="I141">IFERROR(
  INDEX(
    SR!$B$2:$D2026,            
    MATCH($A141, SR!$A$2:$A2026, 0),  
    MATCH(I$1, SR!$B$1:$D$1, 0) ), "")
</f>
        <v>0.00258</v>
      </c>
      <c r="J141" s="9">
        <f t="array" ref="J141">IFERROR(
  INDEX(
    SR!$B$2:$D2026,            
    MATCH($A141, SR!$A$2:$A2026, 0),  
    MATCH(J$1, SR!$B$1:$D$1, 0) ), "")
</f>
        <v>0.00402</v>
      </c>
      <c r="K141" s="14"/>
      <c r="L141" s="9">
        <v>119.28</v>
      </c>
      <c r="M141" s="9">
        <v>24.5</v>
      </c>
      <c r="N141" s="9">
        <v>112.57</v>
      </c>
      <c r="O141" s="9">
        <v>120.0</v>
      </c>
      <c r="P141" s="9">
        <v>129.24</v>
      </c>
      <c r="Q141" s="9">
        <v>1299.859</v>
      </c>
      <c r="R141" s="14"/>
      <c r="S141" s="12">
        <f t="shared" si="2"/>
        <v>-0.0006475847622</v>
      </c>
      <c r="T141" s="12">
        <f t="shared" si="3"/>
        <v>0.9993524152</v>
      </c>
      <c r="U141" s="16">
        <f t="shared" si="7"/>
        <v>99.43027822</v>
      </c>
      <c r="V141" s="17"/>
      <c r="W141" s="12">
        <f t="array" ref="W141">SQRT(252/20) *  SQRT( SUMSQ( LN(U120:U139 / U119:U138) )  - (1/20) * ( SUM( LN(U120:U139 / U119:U138) ) ^ 2 ) )</f>
        <v>0.02176669219</v>
      </c>
      <c r="X141" s="9">
        <f t="shared" si="4"/>
        <v>1.5</v>
      </c>
      <c r="Y141" s="14"/>
      <c r="Z141" s="12">
        <f t="shared" si="5"/>
        <v>0.9990285117</v>
      </c>
      <c r="AA141" s="16">
        <f t="shared" si="8"/>
        <v>99.11360608</v>
      </c>
      <c r="AB141" s="14"/>
      <c r="AC141" s="9">
        <f t="shared" si="6"/>
        <v>0</v>
      </c>
    </row>
    <row r="142">
      <c r="A142" s="8">
        <v>41928.0</v>
      </c>
      <c r="B142" s="14"/>
      <c r="C142" s="9">
        <f t="array" ref="C142">IFERROR(
  INDEX(
    IR!$B$2:$E2026,                
    MATCH($A142, IR!$A$2:$A2026, 0), 
    MATCH(C$1, IR!$B$1:$E$1, 0) ), "")
</f>
        <v>0.00006</v>
      </c>
      <c r="D142" s="9">
        <f t="array" ref="D142">IFERROR(
  INDEX(
    IR!$B$2:$E2026,                
    MATCH($A142, IR!$A$2:$A2026, 0), 
    MATCH(D$1, IR!$B$1:$E$1, 0) ), "")
</f>
        <v>0.00081</v>
      </c>
      <c r="E142" s="9">
        <f t="array" ref="E142">IFERROR(
  INDEX(
    IR!$B$2:$E2026,                
    MATCH($A142, IR!$A$2:$A2026, 0), 
    MATCH(E$1, IR!$B$1:$E$1, 0) ), "")
</f>
        <v>0.00182</v>
      </c>
      <c r="F142" s="9">
        <f t="array" ref="F142">IFERROR(
  INDEX(
    IR!$B$2:$E2026,                
    MATCH($A142, IR!$A$2:$A2026, 0), 
    MATCH(F$1, IR!$B$1:$E$1, 0) ), "")
</f>
        <v>0.00339</v>
      </c>
      <c r="G142" s="14"/>
      <c r="H142" s="9">
        <f t="array" ref="H142">IFERROR(
  INDEX(
    SR!$B$2:$D2026,            
    MATCH($A142, SR!$A$2:$A2026, 0),  
    MATCH(H$1, SR!$B$1:$D$1, 0) ), "")
</f>
        <v>0.002345</v>
      </c>
      <c r="I142" s="9">
        <f t="array" ref="I142">IFERROR(
  INDEX(
    SR!$B$2:$D2026,            
    MATCH($A142, SR!$A$2:$A2026, 0),  
    MATCH(I$1, SR!$B$1:$D$1, 0) ), "")
</f>
        <v>0.00289</v>
      </c>
      <c r="J142" s="9">
        <f t="array" ref="J142">IFERROR(
  INDEX(
    SR!$B$2:$D2026,            
    MATCH($A142, SR!$A$2:$A2026, 0),  
    MATCH(J$1, SR!$B$1:$D$1, 0) ), "")
</f>
        <v>0.004692</v>
      </c>
      <c r="K142" s="14"/>
      <c r="L142" s="9">
        <v>119.1</v>
      </c>
      <c r="M142" s="9">
        <v>24.48</v>
      </c>
      <c r="N142" s="9">
        <v>112.55</v>
      </c>
      <c r="O142" s="9">
        <v>120.13</v>
      </c>
      <c r="P142" s="9">
        <v>128.87</v>
      </c>
      <c r="Q142" s="9">
        <v>1296.0784</v>
      </c>
      <c r="R142" s="14"/>
      <c r="S142" s="12">
        <f t="shared" si="2"/>
        <v>-0.001198323909</v>
      </c>
      <c r="T142" s="12">
        <f t="shared" si="3"/>
        <v>0.9988016761</v>
      </c>
      <c r="U142" s="16">
        <f t="shared" si="7"/>
        <v>99.31112854</v>
      </c>
      <c r="V142" s="17"/>
      <c r="W142" s="12">
        <f t="array" ref="W142">SQRT(252/20) *  SQRT( SUMSQ( LN(U121:U140 / U120:U139) )  - (1/20) * ( SUM( LN(U121:U140 / U120:U139) ) ^ 2 ) )</f>
        <v>0.02186010018</v>
      </c>
      <c r="X142" s="9">
        <f t="shared" si="4"/>
        <v>1.5</v>
      </c>
      <c r="Y142" s="14"/>
      <c r="Z142" s="12">
        <f t="shared" si="5"/>
        <v>0.9982024308</v>
      </c>
      <c r="AA142" s="16">
        <f t="shared" si="8"/>
        <v>98.93544252</v>
      </c>
      <c r="AB142" s="14"/>
      <c r="AC142" s="9">
        <f t="shared" si="6"/>
        <v>0</v>
      </c>
    </row>
    <row r="143">
      <c r="A143" s="8">
        <v>41929.0</v>
      </c>
      <c r="B143" s="14"/>
      <c r="C143" s="9">
        <f t="array" ref="C143">IFERROR(
  INDEX(
    IR!$B$2:$E2026,                
    MATCH($A143, IR!$A$2:$A2026, 0), 
    MATCH(C$1, IR!$B$1:$E$1, 0) ), "")
</f>
        <v>0.00006</v>
      </c>
      <c r="D143" s="9">
        <f t="array" ref="D143">IFERROR(
  INDEX(
    IR!$B$2:$E2026,                
    MATCH($A143, IR!$A$2:$A2026, 0), 
    MATCH(D$1, IR!$B$1:$E$1, 0) ), "")
</f>
        <v>0.00081</v>
      </c>
      <c r="E143" s="9">
        <f t="array" ref="E143">IFERROR(
  INDEX(
    IR!$B$2:$E2026,                
    MATCH($A143, IR!$A$2:$A2026, 0), 
    MATCH(E$1, IR!$B$1:$E$1, 0) ), "")
</f>
        <v>0.00185</v>
      </c>
      <c r="F143" s="9">
        <f t="array" ref="F143">IFERROR(
  INDEX(
    IR!$B$2:$E2026,                
    MATCH($A143, IR!$A$2:$A2026, 0), 
    MATCH(F$1, IR!$B$1:$E$1, 0) ), "")
</f>
        <v>0.0034</v>
      </c>
      <c r="G143" s="14"/>
      <c r="H143" s="9">
        <f t="array" ref="H143">IFERROR(
  INDEX(
    SR!$B$2:$D2026,            
    MATCH($A143, SR!$A$2:$A2026, 0),  
    MATCH(H$1, SR!$B$1:$D$1, 0) ), "")
</f>
        <v>0.00228</v>
      </c>
      <c r="I143" s="9">
        <f t="array" ref="I143">IFERROR(
  INDEX(
    SR!$B$2:$D2026,            
    MATCH($A143, SR!$A$2:$A2026, 0),  
    MATCH(I$1, SR!$B$1:$D$1, 0) ), "")
</f>
        <v>0.00285</v>
      </c>
      <c r="J143" s="9">
        <f t="array" ref="J143">IFERROR(
  INDEX(
    SR!$B$2:$D2026,            
    MATCH($A143, SR!$A$2:$A2026, 0),  
    MATCH(J$1, SR!$B$1:$D$1, 0) ), "")
</f>
        <v>0.00468</v>
      </c>
      <c r="K143" s="14"/>
      <c r="L143" s="9">
        <v>119.66</v>
      </c>
      <c r="M143" s="9">
        <v>24.49</v>
      </c>
      <c r="N143" s="9">
        <v>112.67</v>
      </c>
      <c r="O143" s="9">
        <v>119.97</v>
      </c>
      <c r="P143" s="9">
        <v>128.66</v>
      </c>
      <c r="Q143" s="9">
        <v>1296.4823</v>
      </c>
      <c r="R143" s="14"/>
      <c r="S143" s="12">
        <f t="shared" si="2"/>
        <v>0.0005875982854</v>
      </c>
      <c r="T143" s="12">
        <f t="shared" si="3"/>
        <v>1.000587598</v>
      </c>
      <c r="U143" s="16">
        <f t="shared" si="7"/>
        <v>99.36948359</v>
      </c>
      <c r="V143" s="17"/>
      <c r="W143" s="12">
        <f t="array" ref="W143">SQRT(252/20) *  SQRT( SUMSQ( LN(U122:U141 / U121:U140) )  - (1/20) * ( SUM( LN(U122:U141 / U121:U140) ) ^ 2 ) )</f>
        <v>0.02156837552</v>
      </c>
      <c r="X143" s="9">
        <f t="shared" si="4"/>
        <v>1.5</v>
      </c>
      <c r="Y143" s="14"/>
      <c r="Z143" s="12">
        <f t="shared" si="5"/>
        <v>1.000881314</v>
      </c>
      <c r="AA143" s="16">
        <f t="shared" si="8"/>
        <v>99.02263572</v>
      </c>
      <c r="AB143" s="14"/>
      <c r="AC143" s="9">
        <f t="shared" si="6"/>
        <v>0</v>
      </c>
    </row>
    <row r="144">
      <c r="A144" s="8">
        <v>41932.0</v>
      </c>
      <c r="B144" s="14"/>
      <c r="C144" s="9">
        <f t="array" ref="C144">IFERROR(
  INDEX(
    IR!$B$2:$E2026,                
    MATCH($A144, IR!$A$2:$A2026, 0), 
    MATCH(C$1, IR!$B$1:$E$1, 0) ), "")
</f>
        <v>0.00006</v>
      </c>
      <c r="D144" s="9">
        <f t="array" ref="D144">IFERROR(
  INDEX(
    IR!$B$2:$E2026,                
    MATCH($A144, IR!$A$2:$A2026, 0), 
    MATCH(D$1, IR!$B$1:$E$1, 0) ), "")
</f>
        <v>0.00081</v>
      </c>
      <c r="E144" s="9">
        <f t="array" ref="E144">IFERROR(
  INDEX(
    IR!$B$2:$E2026,                
    MATCH($A144, IR!$A$2:$A2026, 0), 
    MATCH(E$1, IR!$B$1:$E$1, 0) ), "")
</f>
        <v>0.00184</v>
      </c>
      <c r="F144" s="9">
        <f t="array" ref="F144">IFERROR(
  INDEX(
    IR!$B$2:$E2026,                
    MATCH($A144, IR!$A$2:$A2026, 0), 
    MATCH(F$1, IR!$B$1:$E$1, 0) ), "")
</f>
        <v>0.00337</v>
      </c>
      <c r="G144" s="14"/>
      <c r="H144" s="9">
        <f t="array" ref="H144">IFERROR(
  INDEX(
    SR!$B$2:$D2026,            
    MATCH($A144, SR!$A$2:$A2026, 0),  
    MATCH(H$1, SR!$B$1:$D$1, 0) ), "")
</f>
        <v>0.002255</v>
      </c>
      <c r="I144" s="9">
        <f t="array" ref="I144">IFERROR(
  INDEX(
    SR!$B$2:$D2026,            
    MATCH($A144, SR!$A$2:$A2026, 0),  
    MATCH(I$1, SR!$B$1:$D$1, 0) ), "")
</f>
        <v>0.00279</v>
      </c>
      <c r="J144" s="9">
        <f t="array" ref="J144">IFERROR(
  INDEX(
    SR!$B$2:$D2026,            
    MATCH($A144, SR!$A$2:$A2026, 0),  
    MATCH(J$1, SR!$B$1:$D$1, 0) ), "")
</f>
        <v>0.00458</v>
      </c>
      <c r="K144" s="14"/>
      <c r="L144" s="9">
        <v>119.6</v>
      </c>
      <c r="M144" s="9">
        <v>24.49</v>
      </c>
      <c r="N144" s="9">
        <v>112.7</v>
      </c>
      <c r="O144" s="9">
        <v>119.89</v>
      </c>
      <c r="P144" s="9">
        <v>129.16</v>
      </c>
      <c r="Q144" s="9">
        <v>1308.1715</v>
      </c>
      <c r="R144" s="14"/>
      <c r="S144" s="12">
        <f t="shared" si="2"/>
        <v>0.002000153441</v>
      </c>
      <c r="T144" s="12">
        <f t="shared" si="3"/>
        <v>1.002000153</v>
      </c>
      <c r="U144" s="16">
        <f t="shared" si="7"/>
        <v>99.56823781</v>
      </c>
      <c r="V144" s="17"/>
      <c r="W144" s="12">
        <f t="array" ref="W144">SQRT(252/20) *  SQRT( SUMSQ( LN(U123:U142 / U122:U141) )  - (1/20) * ( SUM( LN(U123:U142 / U122:U141) ) ^ 2 ) )</f>
        <v>0.02097956274</v>
      </c>
      <c r="X144" s="9">
        <f t="shared" si="4"/>
        <v>1.5</v>
      </c>
      <c r="Y144" s="14"/>
      <c r="Z144" s="12">
        <f t="shared" si="5"/>
        <v>1.00299998</v>
      </c>
      <c r="AA144" s="16">
        <f t="shared" si="8"/>
        <v>99.31970166</v>
      </c>
      <c r="AB144" s="14"/>
      <c r="AC144" s="9">
        <f t="shared" si="6"/>
        <v>0</v>
      </c>
    </row>
    <row r="145">
      <c r="A145" s="8">
        <v>41933.0</v>
      </c>
      <c r="B145" s="14"/>
      <c r="C145" s="9">
        <f t="array" ref="C145">IFERROR(
  INDEX(
    IR!$B$2:$E2026,                
    MATCH($A145, IR!$A$2:$A2026, 0), 
    MATCH(C$1, IR!$B$1:$E$1, 0) ), "")
</f>
        <v>0.00008</v>
      </c>
      <c r="D145" s="9">
        <f t="array" ref="D145">IFERROR(
  INDEX(
    IR!$B$2:$E2026,                
    MATCH($A145, IR!$A$2:$A2026, 0), 
    MATCH(D$1, IR!$B$1:$E$1, 0) ), "")
</f>
        <v>0.00082</v>
      </c>
      <c r="E145" s="9">
        <f t="array" ref="E145">IFERROR(
  INDEX(
    IR!$B$2:$E2026,                
    MATCH($A145, IR!$A$2:$A2026, 0), 
    MATCH(E$1, IR!$B$1:$E$1, 0) ), "")
</f>
        <v>0.00186</v>
      </c>
      <c r="F145" s="9">
        <f t="array" ref="F145">IFERROR(
  INDEX(
    IR!$B$2:$E2026,                
    MATCH($A145, IR!$A$2:$A2026, 0), 
    MATCH(F$1, IR!$B$1:$E$1, 0) ), "")
</f>
        <v>0.00339</v>
      </c>
      <c r="G145" s="14"/>
      <c r="H145" s="9">
        <f t="array" ref="H145">IFERROR(
  INDEX(
    SR!$B$2:$D2026,            
    MATCH($A145, SR!$A$2:$A2026, 0),  
    MATCH(H$1, SR!$B$1:$D$1, 0) ), "")
</f>
        <v>0.002325</v>
      </c>
      <c r="I145" s="9">
        <f t="array" ref="I145">IFERROR(
  INDEX(
    SR!$B$2:$D2026,            
    MATCH($A145, SR!$A$2:$A2026, 0),  
    MATCH(I$1, SR!$B$1:$D$1, 0) ), "")
</f>
        <v>0.002895</v>
      </c>
      <c r="J145" s="9">
        <f t="array" ref="J145">IFERROR(
  INDEX(
    SR!$B$2:$D2026,            
    MATCH($A145, SR!$A$2:$A2026, 0),  
    MATCH(J$1, SR!$B$1:$D$1, 0) ), "")
</f>
        <v>0.00478</v>
      </c>
      <c r="K145" s="14"/>
      <c r="L145" s="9">
        <v>120.07</v>
      </c>
      <c r="M145" s="9">
        <v>24.51</v>
      </c>
      <c r="N145" s="9">
        <v>112.66</v>
      </c>
      <c r="O145" s="9">
        <v>119.93</v>
      </c>
      <c r="P145" s="9">
        <v>129.23</v>
      </c>
      <c r="Q145" s="9">
        <v>1312.1115</v>
      </c>
      <c r="R145" s="14"/>
      <c r="S145" s="12">
        <f t="shared" si="2"/>
        <v>0.001379572806</v>
      </c>
      <c r="T145" s="12">
        <f t="shared" si="3"/>
        <v>1.001379573</v>
      </c>
      <c r="U145" s="16">
        <f t="shared" si="7"/>
        <v>99.70559944</v>
      </c>
      <c r="V145" s="17"/>
      <c r="W145" s="12">
        <f t="array" ref="W145">SQRT(252/20) *  SQRT( SUMSQ( LN(U124:U143 / U123:U142) )  - (1/20) * ( SUM( LN(U124:U143 / U123:U142) ) ^ 2 ) )</f>
        <v>0.02039712887</v>
      </c>
      <c r="X145" s="9">
        <f t="shared" si="4"/>
        <v>1.5</v>
      </c>
      <c r="Y145" s="14"/>
      <c r="Z145" s="12">
        <f t="shared" si="5"/>
        <v>1.002069276</v>
      </c>
      <c r="AA145" s="16">
        <f t="shared" si="8"/>
        <v>99.52522152</v>
      </c>
      <c r="AB145" s="14"/>
      <c r="AC145" s="9">
        <f t="shared" si="6"/>
        <v>0</v>
      </c>
    </row>
    <row r="146">
      <c r="A146" s="8">
        <v>41934.0</v>
      </c>
      <c r="B146" s="14"/>
      <c r="C146" s="9">
        <f t="array" ref="C146">IFERROR(
  INDEX(
    IR!$B$2:$E2026,                
    MATCH($A146, IR!$A$2:$A2026, 0), 
    MATCH(C$1, IR!$B$1:$E$1, 0) ), "")
</f>
        <v>0.00009</v>
      </c>
      <c r="D146" s="9">
        <f t="array" ref="D146">IFERROR(
  INDEX(
    IR!$B$2:$E2026,                
    MATCH($A146, IR!$A$2:$A2026, 0), 
    MATCH(D$1, IR!$B$1:$E$1, 0) ), "")
</f>
        <v>0.00084</v>
      </c>
      <c r="E146" s="9">
        <f t="array" ref="E146">IFERROR(
  INDEX(
    IR!$B$2:$E2026,                
    MATCH($A146, IR!$A$2:$A2026, 0), 
    MATCH(E$1, IR!$B$1:$E$1, 0) ), "")
</f>
        <v>0.00187</v>
      </c>
      <c r="F146" s="9">
        <f t="array" ref="F146">IFERROR(
  INDEX(
    IR!$B$2:$E2026,                
    MATCH($A146, IR!$A$2:$A2026, 0), 
    MATCH(F$1, IR!$B$1:$E$1, 0) ), "")
</f>
        <v>0.00341</v>
      </c>
      <c r="G146" s="14"/>
      <c r="H146" s="9">
        <f t="array" ref="H146">IFERROR(
  INDEX(
    SR!$B$2:$D2026,            
    MATCH($A146, SR!$A$2:$A2026, 0),  
    MATCH(H$1, SR!$B$1:$D$1, 0) ), "")
</f>
        <v>0.002333</v>
      </c>
      <c r="I146" s="9">
        <f t="array" ref="I146">IFERROR(
  INDEX(
    SR!$B$2:$D2026,            
    MATCH($A146, SR!$A$2:$A2026, 0),  
    MATCH(I$1, SR!$B$1:$D$1, 0) ), "")
</f>
        <v>0.00285</v>
      </c>
      <c r="J146" s="9">
        <f t="array" ref="J146">IFERROR(
  INDEX(
    SR!$B$2:$D2026,            
    MATCH($A146, SR!$A$2:$A2026, 0),  
    MATCH(J$1, SR!$B$1:$D$1, 0) ), "")
</f>
        <v>0.00467</v>
      </c>
      <c r="K146" s="14"/>
      <c r="L146" s="9">
        <v>120.29</v>
      </c>
      <c r="M146" s="9">
        <v>24.54</v>
      </c>
      <c r="N146" s="9">
        <v>112.69</v>
      </c>
      <c r="O146" s="9">
        <v>119.95</v>
      </c>
      <c r="P146" s="9">
        <v>129.8</v>
      </c>
      <c r="Q146" s="9">
        <v>1324.856</v>
      </c>
      <c r="R146" s="14"/>
      <c r="S146" s="12">
        <f t="shared" si="2"/>
        <v>0.002935300001</v>
      </c>
      <c r="T146" s="12">
        <f t="shared" si="3"/>
        <v>1.0029353</v>
      </c>
      <c r="U146" s="16">
        <f t="shared" si="7"/>
        <v>99.99826528</v>
      </c>
      <c r="V146" s="17"/>
      <c r="W146" s="12">
        <f t="array" ref="W146">SQRT(252/20) *  SQRT( SUMSQ( LN(U125:U144 / U124:U143) )  - (1/20) * ( SUM( LN(U125:U144 / U124:U143) ) ^ 2 ) )</f>
        <v>0.02271259251</v>
      </c>
      <c r="X146" s="9">
        <f t="shared" si="4"/>
        <v>1.5</v>
      </c>
      <c r="Y146" s="14"/>
      <c r="Z146" s="12">
        <f t="shared" si="5"/>
        <v>1.004402839</v>
      </c>
      <c r="AA146" s="16">
        <f t="shared" si="8"/>
        <v>99.96341504</v>
      </c>
      <c r="AB146" s="14"/>
      <c r="AC146" s="9">
        <f t="shared" si="6"/>
        <v>0</v>
      </c>
    </row>
    <row r="147">
      <c r="A147" s="8">
        <v>41935.0</v>
      </c>
      <c r="B147" s="14"/>
      <c r="C147" s="9">
        <f t="array" ref="C147">IFERROR(
  INDEX(
    IR!$B$2:$E2026,                
    MATCH($A147, IR!$A$2:$A2026, 0), 
    MATCH(C$1, IR!$B$1:$E$1, 0) ), "")
</f>
        <v>0.00011</v>
      </c>
      <c r="D147" s="9">
        <f t="array" ref="D147">IFERROR(
  INDEX(
    IR!$B$2:$E2026,                
    MATCH($A147, IR!$A$2:$A2026, 0), 
    MATCH(D$1, IR!$B$1:$E$1, 0) ), "")
</f>
        <v>0.00085</v>
      </c>
      <c r="E147" s="9">
        <f t="array" ref="E147">IFERROR(
  INDEX(
    IR!$B$2:$E2026,                
    MATCH($A147, IR!$A$2:$A2026, 0), 
    MATCH(E$1, IR!$B$1:$E$1, 0) ), "")
</f>
        <v>0.00188</v>
      </c>
      <c r="F147" s="9">
        <f t="array" ref="F147">IFERROR(
  INDEX(
    IR!$B$2:$E2026,                
    MATCH($A147, IR!$A$2:$A2026, 0), 
    MATCH(F$1, IR!$B$1:$E$1, 0) ), "")
</f>
        <v>0.00341</v>
      </c>
      <c r="G147" s="14"/>
      <c r="H147" s="9">
        <f t="array" ref="H147">IFERROR(
  INDEX(
    SR!$B$2:$D2026,            
    MATCH($A147, SR!$A$2:$A2026, 0),  
    MATCH(H$1, SR!$B$1:$D$1, 0) ), "")
</f>
        <v>0.00233</v>
      </c>
      <c r="I147" s="9">
        <f t="array" ref="I147">IFERROR(
  INDEX(
    SR!$B$2:$D2026,            
    MATCH($A147, SR!$A$2:$A2026, 0),  
    MATCH(I$1, SR!$B$1:$D$1, 0) ), "")
</f>
        <v>0.002935</v>
      </c>
      <c r="J147" s="9">
        <f t="array" ref="J147">IFERROR(
  INDEX(
    SR!$B$2:$D2026,            
    MATCH($A147, SR!$A$2:$A2026, 0),  
    MATCH(J$1, SR!$B$1:$D$1, 0) ), "")
</f>
        <v>0.00488</v>
      </c>
      <c r="K147" s="14"/>
      <c r="L147" s="9">
        <v>120.6</v>
      </c>
      <c r="M147" s="9">
        <v>24.54</v>
      </c>
      <c r="N147" s="9">
        <v>112.74</v>
      </c>
      <c r="O147" s="9">
        <v>119.93</v>
      </c>
      <c r="P147" s="9">
        <v>129.87</v>
      </c>
      <c r="Q147" s="9">
        <v>1325.4424</v>
      </c>
      <c r="R147" s="14"/>
      <c r="S147" s="12">
        <f t="shared" si="2"/>
        <v>0.0006391168033</v>
      </c>
      <c r="T147" s="12">
        <f t="shared" si="3"/>
        <v>1.000639117</v>
      </c>
      <c r="U147" s="16">
        <f t="shared" si="7"/>
        <v>100.0621759</v>
      </c>
      <c r="V147" s="17"/>
      <c r="W147" s="12">
        <f t="array" ref="W147">SQRT(252/20) *  SQRT( SUMSQ( LN(U126:U145 / U125:U144) )  - (1/20) * ( SUM( LN(U126:U145 / U125:U144) ) ^ 2 ) )</f>
        <v>0.02350267793</v>
      </c>
      <c r="X147" s="9">
        <f t="shared" si="4"/>
        <v>1.5</v>
      </c>
      <c r="Y147" s="14"/>
      <c r="Z147" s="12">
        <f t="shared" si="5"/>
        <v>1.00095855</v>
      </c>
      <c r="AA147" s="16">
        <f t="shared" si="8"/>
        <v>100.059235</v>
      </c>
      <c r="AB147" s="14"/>
      <c r="AC147" s="9">
        <f t="shared" si="6"/>
        <v>0</v>
      </c>
    </row>
    <row r="148">
      <c r="A148" s="8">
        <v>41936.0</v>
      </c>
      <c r="B148" s="14"/>
      <c r="C148" s="9">
        <f t="array" ref="C148">IFERROR(
  INDEX(
    IR!$B$2:$E2026,                
    MATCH($A148, IR!$A$2:$A2026, 0), 
    MATCH(C$1, IR!$B$1:$E$1, 0) ), "")
</f>
        <v>0.00012</v>
      </c>
      <c r="D148" s="9">
        <f t="array" ref="D148">IFERROR(
  INDEX(
    IR!$B$2:$E2026,                
    MATCH($A148, IR!$A$2:$A2026, 0), 
    MATCH(D$1, IR!$B$1:$E$1, 0) ), "")
</f>
        <v>0.00085</v>
      </c>
      <c r="E148" s="9">
        <f t="array" ref="E148">IFERROR(
  INDEX(
    IR!$B$2:$E2026,                
    MATCH($A148, IR!$A$2:$A2026, 0), 
    MATCH(E$1, IR!$B$1:$E$1, 0) ), "")
</f>
        <v>0.00188</v>
      </c>
      <c r="F148" s="9">
        <f t="array" ref="F148">IFERROR(
  INDEX(
    IR!$B$2:$E2026,                
    MATCH($A148, IR!$A$2:$A2026, 0), 
    MATCH(F$1, IR!$B$1:$E$1, 0) ), "")
</f>
        <v>0.00341</v>
      </c>
      <c r="G148" s="14"/>
      <c r="H148" s="9">
        <f t="array" ref="H148">IFERROR(
  INDEX(
    SR!$B$2:$D2026,            
    MATCH($A148, SR!$A$2:$A2026, 0),  
    MATCH(H$1, SR!$B$1:$D$1, 0) ), "")
</f>
        <v>0.00239</v>
      </c>
      <c r="I148" s="9">
        <f t="array" ref="I148">IFERROR(
  INDEX(
    SR!$B$2:$D2026,            
    MATCH($A148, SR!$A$2:$A2026, 0),  
    MATCH(I$1, SR!$B$1:$D$1, 0) ), "")
</f>
        <v>0.00296</v>
      </c>
      <c r="J148" s="9">
        <f t="array" ref="J148">IFERROR(
  INDEX(
    SR!$B$2:$D2026,            
    MATCH($A148, SR!$A$2:$A2026, 0),  
    MATCH(J$1, SR!$B$1:$D$1, 0) ), "")
</f>
        <v>0.004895</v>
      </c>
      <c r="K148" s="14"/>
      <c r="L148" s="9">
        <v>120.69</v>
      </c>
      <c r="M148" s="9">
        <v>24.54</v>
      </c>
      <c r="N148" s="9">
        <v>112.79</v>
      </c>
      <c r="O148" s="9">
        <v>119.79</v>
      </c>
      <c r="P148" s="9">
        <v>129.99</v>
      </c>
      <c r="Q148" s="9">
        <v>1332.8339</v>
      </c>
      <c r="R148" s="14"/>
      <c r="S148" s="12">
        <f t="shared" si="2"/>
        <v>0.001087297606</v>
      </c>
      <c r="T148" s="12">
        <f t="shared" si="3"/>
        <v>1.001087298</v>
      </c>
      <c r="U148" s="16">
        <f t="shared" si="7"/>
        <v>100.1709732</v>
      </c>
      <c r="V148" s="17"/>
      <c r="W148" s="12">
        <f t="array" ref="W148">SQRT(252/20) *  SQRT( SUMSQ( LN(U127:U146 / U126:U145) )  - (1/20) * ( SUM( LN(U127:U146 / U126:U145) ) ^ 2 ) )</f>
        <v>0.02620446697</v>
      </c>
      <c r="X148" s="9">
        <f t="shared" si="4"/>
        <v>1.5</v>
      </c>
      <c r="Y148" s="14"/>
      <c r="Z148" s="12">
        <f t="shared" si="5"/>
        <v>1.001630794</v>
      </c>
      <c r="AA148" s="16">
        <f t="shared" si="8"/>
        <v>100.222411</v>
      </c>
      <c r="AB148" s="14"/>
      <c r="AC148" s="9">
        <f t="shared" si="6"/>
        <v>0</v>
      </c>
    </row>
    <row r="149">
      <c r="A149" s="8">
        <v>41939.0</v>
      </c>
      <c r="B149" s="14"/>
      <c r="C149" s="9">
        <f t="array" ref="C149">IFERROR(
  INDEX(
    IR!$B$2:$E2026,                
    MATCH($A149, IR!$A$2:$A2026, 0), 
    MATCH(C$1, IR!$B$1:$E$1, 0) ), "")
</f>
        <v>0.00012</v>
      </c>
      <c r="D149" s="9">
        <f t="array" ref="D149">IFERROR(
  INDEX(
    IR!$B$2:$E2026,                
    MATCH($A149, IR!$A$2:$A2026, 0), 
    MATCH(D$1, IR!$B$1:$E$1, 0) ), "")
</f>
        <v>0.00088</v>
      </c>
      <c r="E149" s="9">
        <f t="array" ref="E149">IFERROR(
  INDEX(
    IR!$B$2:$E2026,                
    MATCH($A149, IR!$A$2:$A2026, 0), 
    MATCH(E$1, IR!$B$1:$E$1, 0) ), "")
</f>
        <v>0.00189</v>
      </c>
      <c r="F149" s="9">
        <f t="array" ref="F149">IFERROR(
  INDEX(
    IR!$B$2:$E2026,                
    MATCH($A149, IR!$A$2:$A2026, 0), 
    MATCH(F$1, IR!$B$1:$E$1, 0) ), "")
</f>
        <v>0.00341</v>
      </c>
      <c r="G149" s="14"/>
      <c r="H149" s="9">
        <f t="array" ref="H149">IFERROR(
  INDEX(
    SR!$B$2:$D2026,            
    MATCH($A149, SR!$A$2:$A2026, 0),  
    MATCH(H$1, SR!$B$1:$D$1, 0) ), "")
</f>
        <v>0.00237</v>
      </c>
      <c r="I149" s="9">
        <f t="array" ref="I149">IFERROR(
  INDEX(
    SR!$B$2:$D2026,            
    MATCH($A149, SR!$A$2:$A2026, 0),  
    MATCH(I$1, SR!$B$1:$D$1, 0) ), "")
</f>
        <v>0.00293</v>
      </c>
      <c r="J149" s="9">
        <f t="array" ref="J149">IFERROR(
  INDEX(
    SR!$B$2:$D2026,            
    MATCH($A149, SR!$A$2:$A2026, 0),  
    MATCH(J$1, SR!$B$1:$D$1, 0) ), "")
</f>
        <v>0.004821</v>
      </c>
      <c r="K149" s="14"/>
      <c r="L149" s="9">
        <v>120.58</v>
      </c>
      <c r="M149" s="9">
        <v>24.52</v>
      </c>
      <c r="N149" s="9">
        <v>112.83</v>
      </c>
      <c r="O149" s="9">
        <v>119.82</v>
      </c>
      <c r="P149" s="9">
        <v>130.07</v>
      </c>
      <c r="Q149" s="9">
        <v>1335.3568</v>
      </c>
      <c r="R149" s="14"/>
      <c r="S149" s="12">
        <f t="shared" si="2"/>
        <v>0.0002312591113</v>
      </c>
      <c r="T149" s="12">
        <f t="shared" si="3"/>
        <v>1.000231259</v>
      </c>
      <c r="U149" s="16">
        <f t="shared" si="7"/>
        <v>100.1941387</v>
      </c>
      <c r="V149" s="17"/>
      <c r="W149" s="12">
        <f t="array" ref="W149">SQRT(252/20) *  SQRT( SUMSQ( LN(U128:U147 / U127:U146) )  - (1/20) * ( SUM( LN(U128:U147 / U127:U146) ) ^ 2 ) )</f>
        <v>0.02561509106</v>
      </c>
      <c r="X149" s="9">
        <f t="shared" si="4"/>
        <v>1.5</v>
      </c>
      <c r="Y149" s="14"/>
      <c r="Z149" s="12">
        <f t="shared" si="5"/>
        <v>1.000346389</v>
      </c>
      <c r="AA149" s="16">
        <f t="shared" si="8"/>
        <v>100.2571269</v>
      </c>
      <c r="AB149" s="14"/>
      <c r="AC149" s="9">
        <f t="shared" si="6"/>
        <v>0</v>
      </c>
    </row>
    <row r="150">
      <c r="A150" s="8">
        <v>41940.0</v>
      </c>
      <c r="B150" s="14"/>
      <c r="C150" s="9">
        <f t="array" ref="C150">IFERROR(
  INDEX(
    IR!$B$2:$E2026,                
    MATCH($A150, IR!$A$2:$A2026, 0), 
    MATCH(C$1, IR!$B$1:$E$1, 0) ), "")
</f>
        <v>0.00012</v>
      </c>
      <c r="D150" s="9">
        <f t="array" ref="D150">IFERROR(
  INDEX(
    IR!$B$2:$E2026,                
    MATCH($A150, IR!$A$2:$A2026, 0), 
    MATCH(D$1, IR!$B$1:$E$1, 0) ), "")
</f>
        <v>0.00088</v>
      </c>
      <c r="E150" s="9">
        <f t="array" ref="E150">IFERROR(
  INDEX(
    IR!$B$2:$E2026,                
    MATCH($A150, IR!$A$2:$A2026, 0), 
    MATCH(E$1, IR!$B$1:$E$1, 0) ), "")
</f>
        <v>0.00189</v>
      </c>
      <c r="F150" s="9">
        <f t="array" ref="F150">IFERROR(
  INDEX(
    IR!$B$2:$E2026,                
    MATCH($A150, IR!$A$2:$A2026, 0), 
    MATCH(F$1, IR!$B$1:$E$1, 0) ), "")
</f>
        <v>0.0034</v>
      </c>
      <c r="G150" s="14"/>
      <c r="H150" s="9">
        <f t="array" ref="H150">IFERROR(
  INDEX(
    SR!$B$2:$D2026,            
    MATCH($A150, SR!$A$2:$A2026, 0),  
    MATCH(H$1, SR!$B$1:$D$1, 0) ), "")
</f>
        <v>0.002345</v>
      </c>
      <c r="I150" s="9">
        <f t="array" ref="I150">IFERROR(
  INDEX(
    SR!$B$2:$D2026,            
    MATCH($A150, SR!$A$2:$A2026, 0),  
    MATCH(I$1, SR!$B$1:$D$1, 0) ), "")
</f>
        <v>0.002948</v>
      </c>
      <c r="J150" s="9">
        <f t="array" ref="J150">IFERROR(
  INDEX(
    SR!$B$2:$D2026,            
    MATCH($A150, SR!$A$2:$A2026, 0),  
    MATCH(J$1, SR!$B$1:$D$1, 0) ), "")
</f>
        <v>0.004845</v>
      </c>
      <c r="K150" s="14"/>
      <c r="L150" s="9">
        <v>120.92</v>
      </c>
      <c r="M150" s="9">
        <v>24.52</v>
      </c>
      <c r="N150" s="9">
        <v>112.87</v>
      </c>
      <c r="O150" s="9">
        <v>119.9</v>
      </c>
      <c r="P150" s="9">
        <v>129.91</v>
      </c>
      <c r="Q150" s="9">
        <v>1334.8765</v>
      </c>
      <c r="R150" s="14"/>
      <c r="S150" s="12">
        <f t="shared" si="2"/>
        <v>0.0003751643179</v>
      </c>
      <c r="T150" s="12">
        <f t="shared" si="3"/>
        <v>1.000375164</v>
      </c>
      <c r="U150" s="16">
        <f t="shared" si="7"/>
        <v>100.2317279</v>
      </c>
      <c r="V150" s="17"/>
      <c r="W150" s="12">
        <f t="array" ref="W150">SQRT(252/20) *  SQRT( SUMSQ( LN(U129:U148 / U128:U147) )  - (1/20) * ( SUM( LN(U129:U148 / U128:U147) ) ^ 2 ) )</f>
        <v>0.02519317903</v>
      </c>
      <c r="X150" s="9">
        <f t="shared" si="4"/>
        <v>1.5</v>
      </c>
      <c r="Y150" s="14"/>
      <c r="Z150" s="12">
        <f t="shared" si="5"/>
        <v>1.00056258</v>
      </c>
      <c r="AA150" s="16">
        <f t="shared" si="8"/>
        <v>100.3135295</v>
      </c>
      <c r="AB150" s="14"/>
      <c r="AC150" s="9">
        <f t="shared" si="6"/>
        <v>0</v>
      </c>
    </row>
    <row r="151">
      <c r="A151" s="8">
        <v>41941.0</v>
      </c>
      <c r="B151" s="14"/>
      <c r="C151" s="9">
        <f t="array" ref="C151">IFERROR(
  INDEX(
    IR!$B$2:$E2026,                
    MATCH($A151, IR!$A$2:$A2026, 0), 
    MATCH(C$1, IR!$B$1:$E$1, 0) ), "")
</f>
        <v>0.0001</v>
      </c>
      <c r="D151" s="9">
        <f t="array" ref="D151">IFERROR(
  INDEX(
    IR!$B$2:$E2026,                
    MATCH($A151, IR!$A$2:$A2026, 0), 
    MATCH(D$1, IR!$B$1:$E$1, 0) ), "")
</f>
        <v>0.00088</v>
      </c>
      <c r="E151" s="9">
        <f t="array" ref="E151">IFERROR(
  INDEX(
    IR!$B$2:$E2026,                
    MATCH($A151, IR!$A$2:$A2026, 0), 
    MATCH(E$1, IR!$B$1:$E$1, 0) ), "")
</f>
        <v>0.00188</v>
      </c>
      <c r="F151" s="9">
        <f t="array" ref="F151">IFERROR(
  INDEX(
    IR!$B$2:$E2026,                
    MATCH($A151, IR!$A$2:$A2026, 0), 
    MATCH(F$1, IR!$B$1:$E$1, 0) ), "")
</f>
        <v>0.0034</v>
      </c>
      <c r="G151" s="14"/>
      <c r="H151" s="9">
        <f t="array" ref="H151">IFERROR(
  INDEX(
    SR!$B$2:$D2026,            
    MATCH($A151, SR!$A$2:$A2026, 0),  
    MATCH(H$1, SR!$B$1:$D$1, 0) ), "")
</f>
        <v>0.00241</v>
      </c>
      <c r="I151" s="9">
        <f t="array" ref="I151">IFERROR(
  INDEX(
    SR!$B$2:$D2026,            
    MATCH($A151, SR!$A$2:$A2026, 0),  
    MATCH(I$1, SR!$B$1:$D$1, 0) ), "")
</f>
        <v>0.00301</v>
      </c>
      <c r="J151" s="9">
        <f t="array" ref="J151">IFERROR(
  INDEX(
    SR!$B$2:$D2026,            
    MATCH($A151, SR!$A$2:$A2026, 0),  
    MATCH(J$1, SR!$B$1:$D$1, 0) ), "")
</f>
        <v>0.00494</v>
      </c>
      <c r="K151" s="14"/>
      <c r="L151" s="9">
        <v>120.9</v>
      </c>
      <c r="M151" s="9">
        <v>24.52</v>
      </c>
      <c r="N151" s="9">
        <v>112.85</v>
      </c>
      <c r="O151" s="9">
        <v>119.88</v>
      </c>
      <c r="P151" s="9">
        <v>130.17</v>
      </c>
      <c r="Q151" s="9">
        <v>1343.6811</v>
      </c>
      <c r="R151" s="14"/>
      <c r="S151" s="12">
        <f t="shared" si="2"/>
        <v>0.001348087471</v>
      </c>
      <c r="T151" s="12">
        <f t="shared" si="3"/>
        <v>1.001348087</v>
      </c>
      <c r="U151" s="16">
        <f t="shared" si="7"/>
        <v>100.3668491</v>
      </c>
      <c r="V151" s="17"/>
      <c r="W151" s="12">
        <f t="array" ref="W151">SQRT(252/20) *  SQRT( SUMSQ( LN(U130:U149 / U129:U148) )  - (1/20) * ( SUM( LN(U130:U149 / U129:U148) ) ^ 2 ) )</f>
        <v>0.02526881295</v>
      </c>
      <c r="X151" s="9">
        <f t="shared" si="4"/>
        <v>1.5</v>
      </c>
      <c r="Y151" s="14"/>
      <c r="Z151" s="12">
        <f t="shared" si="5"/>
        <v>1.002021965</v>
      </c>
      <c r="AA151" s="16">
        <f t="shared" si="8"/>
        <v>100.5163599</v>
      </c>
      <c r="AB151" s="14"/>
      <c r="AC151" s="9">
        <f t="shared" si="6"/>
        <v>0</v>
      </c>
    </row>
    <row r="152">
      <c r="A152" s="8">
        <v>41942.0</v>
      </c>
      <c r="B152" s="14"/>
      <c r="C152" s="9">
        <f t="array" ref="C152">IFERROR(
  INDEX(
    IR!$B$2:$E2026,                
    MATCH($A152, IR!$A$2:$A2026, 0), 
    MATCH(C$1, IR!$B$1:$E$1, 0) ), "")
</f>
        <v>0.0001</v>
      </c>
      <c r="D152" s="9">
        <f t="array" ref="D152">IFERROR(
  INDEX(
    IR!$B$2:$E2026,                
    MATCH($A152, IR!$A$2:$A2026, 0), 
    MATCH(D$1, IR!$B$1:$E$1, 0) ), "")
</f>
        <v>0.00086</v>
      </c>
      <c r="E152" s="9">
        <f t="array" ref="E152">IFERROR(
  INDEX(
    IR!$B$2:$E2026,                
    MATCH($A152, IR!$A$2:$A2026, 0), 
    MATCH(E$1, IR!$B$1:$E$1, 0) ), "")
</f>
        <v>0.00188</v>
      </c>
      <c r="F152" s="9">
        <f t="array" ref="F152">IFERROR(
  INDEX(
    IR!$B$2:$E2026,                
    MATCH($A152, IR!$A$2:$A2026, 0), 
    MATCH(F$1, IR!$B$1:$E$1, 0) ), "")
</f>
        <v>0.0034</v>
      </c>
      <c r="G152" s="14"/>
      <c r="H152" s="9">
        <f t="array" ref="H152">IFERROR(
  INDEX(
    SR!$B$2:$D2026,            
    MATCH($A152, SR!$A$2:$A2026, 0),  
    MATCH(H$1, SR!$B$1:$D$1, 0) ), "")
</f>
        <v>0.00229</v>
      </c>
      <c r="I152" s="9">
        <f t="array" ref="I152">IFERROR(
  INDEX(
    SR!$B$2:$D2026,            
    MATCH($A152, SR!$A$2:$A2026, 0),  
    MATCH(I$1, SR!$B$1:$D$1, 0) ), "")
</f>
        <v>0.00283</v>
      </c>
      <c r="J152" s="9">
        <f t="array" ref="J152">IFERROR(
  INDEX(
    SR!$B$2:$D2026,            
    MATCH($A152, SR!$A$2:$A2026, 0),  
    MATCH(J$1, SR!$B$1:$D$1, 0) ), "")
</f>
        <v>0.004635</v>
      </c>
      <c r="K152" s="14"/>
      <c r="L152" s="9">
        <v>120.97</v>
      </c>
      <c r="M152" s="9">
        <v>24.56</v>
      </c>
      <c r="N152" s="9">
        <v>112.82</v>
      </c>
      <c r="O152" s="9">
        <v>119.87</v>
      </c>
      <c r="P152" s="9">
        <v>130.13</v>
      </c>
      <c r="Q152" s="9">
        <v>1342.9153</v>
      </c>
      <c r="R152" s="14"/>
      <c r="S152" s="12">
        <f t="shared" si="2"/>
        <v>0.0001638505095</v>
      </c>
      <c r="T152" s="12">
        <f t="shared" si="3"/>
        <v>1.000163851</v>
      </c>
      <c r="U152" s="16">
        <f t="shared" si="7"/>
        <v>100.3832942</v>
      </c>
      <c r="V152" s="17"/>
      <c r="W152" s="12">
        <f t="array" ref="W152">SQRT(252/20) *  SQRT( SUMSQ( LN(U131:U150 / U130:U149) )  - (1/20) * ( SUM( LN(U131:U150 / U130:U149) ) ^ 2 ) )</f>
        <v>0.0253303949</v>
      </c>
      <c r="X152" s="9">
        <f t="shared" si="4"/>
        <v>1.5</v>
      </c>
      <c r="Y152" s="14"/>
      <c r="Z152" s="12">
        <f t="shared" si="5"/>
        <v>1.000245637</v>
      </c>
      <c r="AA152" s="16">
        <f t="shared" si="8"/>
        <v>100.5410504</v>
      </c>
      <c r="AB152" s="14"/>
      <c r="AC152" s="9">
        <f t="shared" si="6"/>
        <v>0</v>
      </c>
    </row>
    <row r="153">
      <c r="A153" s="8">
        <v>41943.0</v>
      </c>
      <c r="B153" s="14"/>
      <c r="C153" s="9">
        <f t="array" ref="C153">IFERROR(
  INDEX(
    IR!$B$2:$E2026,                
    MATCH($A153, IR!$A$2:$A2026, 0), 
    MATCH(C$1, IR!$B$1:$E$1, 0) ), "")
</f>
        <v>0.0001</v>
      </c>
      <c r="D153" s="9">
        <f t="array" ref="D153">IFERROR(
  INDEX(
    IR!$B$2:$E2026,                
    MATCH($A153, IR!$A$2:$A2026, 0), 
    MATCH(D$1, IR!$B$1:$E$1, 0) ), "")
</f>
        <v>0.00086</v>
      </c>
      <c r="E153" s="9">
        <f t="array" ref="E153">IFERROR(
  INDEX(
    IR!$B$2:$E2026,                
    MATCH($A153, IR!$A$2:$A2026, 0), 
    MATCH(E$1, IR!$B$1:$E$1, 0) ), "")
</f>
        <v>0.00189</v>
      </c>
      <c r="F153" s="9">
        <f t="array" ref="F153">IFERROR(
  INDEX(
    IR!$B$2:$E2026,                
    MATCH($A153, IR!$A$2:$A2026, 0), 
    MATCH(F$1, IR!$B$1:$E$1, 0) ), "")
</f>
        <v>0.0034</v>
      </c>
      <c r="G153" s="14"/>
      <c r="H153" s="9">
        <f t="array" ref="H153">IFERROR(
  INDEX(
    SR!$B$2:$D2026,            
    MATCH($A153, SR!$A$2:$A2026, 0),  
    MATCH(H$1, SR!$B$1:$D$1, 0) ), "")
</f>
        <v>0.00218</v>
      </c>
      <c r="I153" s="9">
        <f t="array" ref="I153">IFERROR(
  INDEX(
    SR!$B$2:$D2026,            
    MATCH($A153, SR!$A$2:$A2026, 0),  
    MATCH(I$1, SR!$B$1:$D$1, 0) ), "")
</f>
        <v>0.002689</v>
      </c>
      <c r="J153" s="9">
        <f t="array" ref="J153">IFERROR(
  INDEX(
    SR!$B$2:$D2026,            
    MATCH($A153, SR!$A$2:$A2026, 0),  
    MATCH(J$1, SR!$B$1:$D$1, 0) ), "")
</f>
        <v>0.00437</v>
      </c>
      <c r="K153" s="14"/>
      <c r="L153" s="9">
        <v>121.48</v>
      </c>
      <c r="M153" s="9">
        <v>24.59</v>
      </c>
      <c r="N153" s="9">
        <v>112.83</v>
      </c>
      <c r="O153" s="9">
        <v>120.06</v>
      </c>
      <c r="P153" s="9">
        <v>130.62</v>
      </c>
      <c r="Q153" s="9">
        <v>1349.8279</v>
      </c>
      <c r="R153" s="14"/>
      <c r="S153" s="12">
        <f t="shared" si="2"/>
        <v>0.002670118167</v>
      </c>
      <c r="T153" s="12">
        <f t="shared" si="3"/>
        <v>1.002670118</v>
      </c>
      <c r="U153" s="16">
        <f t="shared" si="7"/>
        <v>100.6513295</v>
      </c>
      <c r="V153" s="17"/>
      <c r="W153" s="12">
        <f t="array" ref="W153">SQRT(252/20) *  SQRT( SUMSQ( LN(U132:U151 / U131:U150) )  - (1/20) * ( SUM( LN(U132:U151 / U131:U150) ) ^ 2 ) )</f>
        <v>0.02588423494</v>
      </c>
      <c r="X153" s="9">
        <f t="shared" si="4"/>
        <v>1.5</v>
      </c>
      <c r="Y153" s="14"/>
      <c r="Z153" s="12">
        <f t="shared" si="5"/>
        <v>1.004005038</v>
      </c>
      <c r="AA153" s="16">
        <f t="shared" si="8"/>
        <v>100.9437212</v>
      </c>
      <c r="AB153" s="14"/>
      <c r="AC153" s="9">
        <f t="shared" si="6"/>
        <v>0</v>
      </c>
    </row>
    <row r="154">
      <c r="A154" s="8">
        <v>41946.0</v>
      </c>
      <c r="B154" s="14"/>
      <c r="C154" s="9">
        <f t="array" ref="C154">IFERROR(
  INDEX(
    IR!$B$2:$E2026,                
    MATCH($A154, IR!$A$2:$A2026, 0), 
    MATCH(C$1, IR!$B$1:$E$1, 0) ), "")
</f>
        <v>0.0001</v>
      </c>
      <c r="D154" s="9">
        <f t="array" ref="D154">IFERROR(
  INDEX(
    IR!$B$2:$E2026,                
    MATCH($A154, IR!$A$2:$A2026, 0), 
    MATCH(D$1, IR!$B$1:$E$1, 0) ), "")
</f>
        <v>0.00085</v>
      </c>
      <c r="E154" s="9">
        <f t="array" ref="E154">IFERROR(
  INDEX(
    IR!$B$2:$E2026,                
    MATCH($A154, IR!$A$2:$A2026, 0), 
    MATCH(E$1, IR!$B$1:$E$1, 0) ), "")
</f>
        <v>0.00189</v>
      </c>
      <c r="F154" s="9">
        <f t="array" ref="F154">IFERROR(
  INDEX(
    IR!$B$2:$E2026,                
    MATCH($A154, IR!$A$2:$A2026, 0), 
    MATCH(F$1, IR!$B$1:$E$1, 0) ), "")
</f>
        <v>0.00339</v>
      </c>
      <c r="G154" s="14"/>
      <c r="H154" s="9">
        <f t="array" ref="H154">IFERROR(
  INDEX(
    SR!$B$2:$D2026,            
    MATCH($A154, SR!$A$2:$A2026, 0),  
    MATCH(H$1, SR!$B$1:$D$1, 0) ), "")
</f>
        <v>0.00219</v>
      </c>
      <c r="I154" s="9">
        <f t="array" ref="I154">IFERROR(
  INDEX(
    SR!$B$2:$D2026,            
    MATCH($A154, SR!$A$2:$A2026, 0),  
    MATCH(I$1, SR!$B$1:$D$1, 0) ), "")
</f>
        <v>0.002782</v>
      </c>
      <c r="J154" s="9">
        <f t="array" ref="J154">IFERROR(
  INDEX(
    SR!$B$2:$D2026,            
    MATCH($A154, SR!$A$2:$A2026, 0),  
    MATCH(J$1, SR!$B$1:$D$1, 0) ), "")
</f>
        <v>0.004525</v>
      </c>
      <c r="K154" s="14"/>
      <c r="L154" s="9">
        <v>121.39</v>
      </c>
      <c r="M154" s="9">
        <v>24.59</v>
      </c>
      <c r="N154" s="9">
        <v>112.85</v>
      </c>
      <c r="O154" s="9">
        <v>120.06</v>
      </c>
      <c r="P154" s="9">
        <v>131.06</v>
      </c>
      <c r="Q154" s="9">
        <v>1358.9608</v>
      </c>
      <c r="R154" s="14"/>
      <c r="S154" s="12">
        <f t="shared" si="2"/>
        <v>0.001595191664</v>
      </c>
      <c r="T154" s="12">
        <f t="shared" si="3"/>
        <v>1.001595192</v>
      </c>
      <c r="U154" s="16">
        <f t="shared" si="7"/>
        <v>100.8118877</v>
      </c>
      <c r="V154" s="17"/>
      <c r="W154" s="12">
        <f t="array" ref="W154">SQRT(252/20) *  SQRT( SUMSQ( LN(U133:U152 / U132:U151) )  - (1/20) * ( SUM( LN(U133:U152 / U132:U151) ) ^ 2 ) )</f>
        <v>0.02398647409</v>
      </c>
      <c r="X154" s="9">
        <f t="shared" si="4"/>
        <v>1.5</v>
      </c>
      <c r="Y154" s="14"/>
      <c r="Z154" s="12">
        <f t="shared" si="5"/>
        <v>1.002392371</v>
      </c>
      <c r="AA154" s="16">
        <f t="shared" si="8"/>
        <v>101.185216</v>
      </c>
      <c r="AB154" s="14"/>
      <c r="AC154" s="9">
        <f t="shared" si="6"/>
        <v>0</v>
      </c>
    </row>
    <row r="155">
      <c r="A155" s="8">
        <v>41947.0</v>
      </c>
      <c r="B155" s="14"/>
      <c r="C155" s="9">
        <f t="array" ref="C155">IFERROR(
  INDEX(
    IR!$B$2:$E2026,                
    MATCH($A155, IR!$A$2:$A2026, 0), 
    MATCH(C$1, IR!$B$1:$E$1, 0) ), "")
</f>
        <v>0.00009</v>
      </c>
      <c r="D155" s="9">
        <f t="array" ref="D155">IFERROR(
  INDEX(
    IR!$B$2:$E2026,                
    MATCH($A155, IR!$A$2:$A2026, 0), 
    MATCH(D$1, IR!$B$1:$E$1, 0) ), "")
</f>
        <v>0.00084</v>
      </c>
      <c r="E155" s="9">
        <f t="array" ref="E155">IFERROR(
  INDEX(
    IR!$B$2:$E2026,                
    MATCH($A155, IR!$A$2:$A2026, 0), 
    MATCH(E$1, IR!$B$1:$E$1, 0) ), "")
</f>
        <v>0.00186</v>
      </c>
      <c r="F155" s="9">
        <f t="array" ref="F155">IFERROR(
  INDEX(
    IR!$B$2:$E2026,                
    MATCH($A155, IR!$A$2:$A2026, 0), 
    MATCH(F$1, IR!$B$1:$E$1, 0) ), "")
</f>
        <v>0.00338</v>
      </c>
      <c r="G155" s="14"/>
      <c r="H155" s="9">
        <f t="array" ref="H155">IFERROR(
  INDEX(
    SR!$B$2:$D2026,            
    MATCH($A155, SR!$A$2:$A2026, 0),  
    MATCH(H$1, SR!$B$1:$D$1, 0) ), "")
</f>
        <v>0.00216</v>
      </c>
      <c r="I155" s="9">
        <f t="array" ref="I155">IFERROR(
  INDEX(
    SR!$B$2:$D2026,            
    MATCH($A155, SR!$A$2:$A2026, 0),  
    MATCH(I$1, SR!$B$1:$D$1, 0) ), "")
</f>
        <v>0.00262</v>
      </c>
      <c r="J155" s="9">
        <f t="array" ref="J155">IFERROR(
  INDEX(
    SR!$B$2:$D2026,            
    MATCH($A155, SR!$A$2:$A2026, 0),  
    MATCH(J$1, SR!$B$1:$D$1, 0) ), "")
</f>
        <v>0.004263</v>
      </c>
      <c r="K155" s="14"/>
      <c r="L155" s="9">
        <v>121.3</v>
      </c>
      <c r="M155" s="9">
        <v>24.57</v>
      </c>
      <c r="N155" s="9">
        <v>112.87</v>
      </c>
      <c r="O155" s="9">
        <v>120.0</v>
      </c>
      <c r="P155" s="9">
        <v>130.88</v>
      </c>
      <c r="Q155" s="9">
        <v>1359.9108</v>
      </c>
      <c r="R155" s="14"/>
      <c r="S155" s="12">
        <f t="shared" si="2"/>
        <v>-0.0004250312566</v>
      </c>
      <c r="T155" s="12">
        <f t="shared" si="3"/>
        <v>0.9995749687</v>
      </c>
      <c r="U155" s="16">
        <f t="shared" si="7"/>
        <v>100.7690394</v>
      </c>
      <c r="V155" s="17"/>
      <c r="W155" s="12">
        <f t="array" ref="W155">SQRT(252/20) *  SQRT( SUMSQ( LN(U134:U153 / U133:U152) )  - (1/20) * ( SUM( LN(U134:U153 / U133:U152) ) ^ 2 ) )</f>
        <v>0.02414968823</v>
      </c>
      <c r="X155" s="9">
        <f t="shared" si="4"/>
        <v>1.5</v>
      </c>
      <c r="Y155" s="14"/>
      <c r="Z155" s="12">
        <f t="shared" si="5"/>
        <v>0.9993623142</v>
      </c>
      <c r="AA155" s="16">
        <f t="shared" si="8"/>
        <v>101.1206916</v>
      </c>
      <c r="AB155" s="14"/>
      <c r="AC155" s="9">
        <f t="shared" si="6"/>
        <v>0</v>
      </c>
    </row>
    <row r="156">
      <c r="A156" s="8">
        <v>41948.0</v>
      </c>
      <c r="B156" s="14"/>
      <c r="C156" s="9">
        <f t="array" ref="C156">IFERROR(
  INDEX(
    IR!$B$2:$E2026,                
    MATCH($A156, IR!$A$2:$A2026, 0), 
    MATCH(C$1, IR!$B$1:$E$1, 0) ), "")
</f>
        <v>0.00009</v>
      </c>
      <c r="D156" s="9">
        <f t="array" ref="D156">IFERROR(
  INDEX(
    IR!$B$2:$E2026,                
    MATCH($A156, IR!$A$2:$A2026, 0), 
    MATCH(D$1, IR!$B$1:$E$1, 0) ), "")
</f>
        <v>0.00081</v>
      </c>
      <c r="E156" s="9">
        <f t="array" ref="E156">IFERROR(
  INDEX(
    IR!$B$2:$E2026,                
    MATCH($A156, IR!$A$2:$A2026, 0), 
    MATCH(E$1, IR!$B$1:$E$1, 0) ), "")
</f>
        <v>0.00184</v>
      </c>
      <c r="F156" s="9">
        <f t="array" ref="F156">IFERROR(
  INDEX(
    IR!$B$2:$E2026,                
    MATCH($A156, IR!$A$2:$A2026, 0), 
    MATCH(F$1, IR!$B$1:$E$1, 0) ), "")
</f>
        <v>0.00337</v>
      </c>
      <c r="G156" s="14"/>
      <c r="H156" s="9">
        <f t="array" ref="H156">IFERROR(
  INDEX(
    SR!$B$2:$D2026,            
    MATCH($A156, SR!$A$2:$A2026, 0),  
    MATCH(H$1, SR!$B$1:$D$1, 0) ), "")
</f>
        <v>0.00217</v>
      </c>
      <c r="I156" s="9">
        <f t="array" ref="I156">IFERROR(
  INDEX(
    SR!$B$2:$D2026,            
    MATCH($A156, SR!$A$2:$A2026, 0),  
    MATCH(I$1, SR!$B$1:$D$1, 0) ), "")
</f>
        <v>0.002646</v>
      </c>
      <c r="J156" s="9">
        <f t="array" ref="J156">IFERROR(
  INDEX(
    SR!$B$2:$D2026,            
    MATCH($A156, SR!$A$2:$A2026, 0),  
    MATCH(J$1, SR!$B$1:$D$1, 0) ), "")
</f>
        <v>0.00431</v>
      </c>
      <c r="K156" s="14"/>
      <c r="L156" s="9">
        <v>121.41</v>
      </c>
      <c r="M156" s="9">
        <v>24.58</v>
      </c>
      <c r="N156" s="9">
        <v>112.76</v>
      </c>
      <c r="O156" s="9">
        <v>120.23</v>
      </c>
      <c r="P156" s="9">
        <v>130.51</v>
      </c>
      <c r="Q156" s="9">
        <v>1356.4186</v>
      </c>
      <c r="R156" s="14"/>
      <c r="S156" s="12">
        <f t="shared" si="2"/>
        <v>-0.0005232212876</v>
      </c>
      <c r="T156" s="12">
        <f t="shared" si="3"/>
        <v>0.9994767787</v>
      </c>
      <c r="U156" s="16">
        <f t="shared" si="7"/>
        <v>100.7163149</v>
      </c>
      <c r="V156" s="17"/>
      <c r="W156" s="12">
        <f t="array" ref="W156">SQRT(252/20) *  SQRT( SUMSQ( LN(U135:U154 / U134:U153) )  - (1/20) * ( SUM( LN(U135:U154 / U134:U153) ) ^ 2 ) )</f>
        <v>0.02416575792</v>
      </c>
      <c r="X156" s="9">
        <f t="shared" si="4"/>
        <v>1.5</v>
      </c>
      <c r="Y156" s="14"/>
      <c r="Z156" s="12">
        <f t="shared" si="5"/>
        <v>0.9992150431</v>
      </c>
      <c r="AA156" s="16">
        <f t="shared" si="8"/>
        <v>101.0413162</v>
      </c>
      <c r="AB156" s="14"/>
      <c r="AC156" s="9">
        <f t="shared" si="6"/>
        <v>0</v>
      </c>
    </row>
    <row r="157">
      <c r="A157" s="8">
        <v>41949.0</v>
      </c>
      <c r="B157" s="14"/>
      <c r="C157" s="9">
        <f t="array" ref="C157">IFERROR(
  INDEX(
    IR!$B$2:$E2026,                
    MATCH($A157, IR!$A$2:$A2026, 0), 
    MATCH(C$1, IR!$B$1:$E$1, 0) ), "")
</f>
        <v>0.00009</v>
      </c>
      <c r="D157" s="9">
        <f t="array" ref="D157">IFERROR(
  INDEX(
    IR!$B$2:$E2026,                
    MATCH($A157, IR!$A$2:$A2026, 0), 
    MATCH(D$1, IR!$B$1:$E$1, 0) ), "")
</f>
        <v>0.00081</v>
      </c>
      <c r="E157" s="9">
        <f t="array" ref="E157">IFERROR(
  INDEX(
    IR!$B$2:$E2026,                
    MATCH($A157, IR!$A$2:$A2026, 0), 
    MATCH(E$1, IR!$B$1:$E$1, 0) ), "")
</f>
        <v>0.00182</v>
      </c>
      <c r="F157" s="9">
        <f t="array" ref="F157">IFERROR(
  INDEX(
    IR!$B$2:$E2026,                
    MATCH($A157, IR!$A$2:$A2026, 0), 
    MATCH(F$1, IR!$B$1:$E$1, 0) ), "")
</f>
        <v>0.00337</v>
      </c>
      <c r="G157" s="14"/>
      <c r="H157" s="9">
        <f t="array" ref="H157">IFERROR(
  INDEX(
    SR!$B$2:$D2026,            
    MATCH($A157, SR!$A$2:$A2026, 0),  
    MATCH(H$1, SR!$B$1:$D$1, 0) ), "")
</f>
        <v>0.00211</v>
      </c>
      <c r="I157" s="9">
        <f t="array" ref="I157">IFERROR(
  INDEX(
    SR!$B$2:$D2026,            
    MATCH($A157, SR!$A$2:$A2026, 0),  
    MATCH(I$1, SR!$B$1:$D$1, 0) ), "")
</f>
        <v>0.00261</v>
      </c>
      <c r="J157" s="9">
        <f t="array" ref="J157">IFERROR(
  INDEX(
    SR!$B$2:$D2026,            
    MATCH($A157, SR!$A$2:$A2026, 0),  
    MATCH(J$1, SR!$B$1:$D$1, 0) ), "")
</f>
        <v>0.004315</v>
      </c>
      <c r="K157" s="14"/>
      <c r="L157" s="9">
        <v>121.43</v>
      </c>
      <c r="M157" s="9">
        <v>24.6</v>
      </c>
      <c r="N157" s="9">
        <v>112.72</v>
      </c>
      <c r="O157" s="9">
        <v>120.1</v>
      </c>
      <c r="P157" s="9">
        <v>131.06</v>
      </c>
      <c r="Q157" s="9">
        <v>1354.5809</v>
      </c>
      <c r="R157" s="14"/>
      <c r="S157" s="12">
        <f t="shared" si="2"/>
        <v>0.0004000081954</v>
      </c>
      <c r="T157" s="12">
        <f t="shared" si="3"/>
        <v>1.000400008</v>
      </c>
      <c r="U157" s="16">
        <f t="shared" si="7"/>
        <v>100.7566023</v>
      </c>
      <c r="V157" s="17"/>
      <c r="W157" s="12">
        <f t="array" ref="W157">SQRT(252/20) *  SQRT( SUMSQ( LN(U136:U155 / U135:U154) )  - (1/20) * ( SUM( LN(U136:U155 / U135:U154) ) ^ 2 ) )</f>
        <v>0.02375335555</v>
      </c>
      <c r="X157" s="9">
        <f t="shared" si="4"/>
        <v>1.5</v>
      </c>
      <c r="Y157" s="14"/>
      <c r="Z157" s="12">
        <f t="shared" si="5"/>
        <v>1.000599887</v>
      </c>
      <c r="AA157" s="16">
        <f t="shared" si="8"/>
        <v>101.1019296</v>
      </c>
      <c r="AB157" s="14"/>
      <c r="AC157" s="9">
        <f t="shared" si="6"/>
        <v>0</v>
      </c>
    </row>
    <row r="158">
      <c r="A158" s="8">
        <v>41950.0</v>
      </c>
      <c r="B158" s="14"/>
      <c r="C158" s="9">
        <f t="array" ref="C158">IFERROR(
  INDEX(
    IR!$B$2:$E2026,                
    MATCH($A158, IR!$A$2:$A2026, 0), 
    MATCH(C$1, IR!$B$1:$E$1, 0) ), "")
</f>
        <v>0.00008</v>
      </c>
      <c r="D158" s="9">
        <f t="array" ref="D158">IFERROR(
  INDEX(
    IR!$B$2:$E2026,                
    MATCH($A158, IR!$A$2:$A2026, 0), 
    MATCH(D$1, IR!$B$1:$E$1, 0) ), "")
</f>
        <v>0.0008</v>
      </c>
      <c r="E158" s="9">
        <f t="array" ref="E158">IFERROR(
  INDEX(
    IR!$B$2:$E2026,                
    MATCH($A158, IR!$A$2:$A2026, 0), 
    MATCH(E$1, IR!$B$1:$E$1, 0) ), "")
</f>
        <v>0.00181</v>
      </c>
      <c r="F158" s="9">
        <f t="array" ref="F158">IFERROR(
  INDEX(
    IR!$B$2:$E2026,                
    MATCH($A158, IR!$A$2:$A2026, 0), 
    MATCH(F$1, IR!$B$1:$E$1, 0) ), "")
</f>
        <v>0.00336</v>
      </c>
      <c r="G158" s="14"/>
      <c r="H158" s="9">
        <f t="array" ref="H158">IFERROR(
  INDEX(
    SR!$B$2:$D2026,            
    MATCH($A158, SR!$A$2:$A2026, 0),  
    MATCH(H$1, SR!$B$1:$D$1, 0) ), "")
</f>
        <v>0.00209</v>
      </c>
      <c r="I158" s="9">
        <f t="array" ref="I158">IFERROR(
  INDEX(
    SR!$B$2:$D2026,            
    MATCH($A158, SR!$A$2:$A2026, 0),  
    MATCH(I$1, SR!$B$1:$D$1, 0) ), "")
</f>
        <v>0.00257</v>
      </c>
      <c r="J158" s="9">
        <f t="array" ref="J158">IFERROR(
  INDEX(
    SR!$B$2:$D2026,            
    MATCH($A158, SR!$A$2:$A2026, 0),  
    MATCH(J$1, SR!$B$1:$D$1, 0) ), "")
</f>
        <v>0.00419</v>
      </c>
      <c r="K158" s="14"/>
      <c r="L158" s="9">
        <v>121.25</v>
      </c>
      <c r="M158" s="9">
        <v>24.59</v>
      </c>
      <c r="N158" s="9">
        <v>112.75</v>
      </c>
      <c r="O158" s="9">
        <v>120.12</v>
      </c>
      <c r="P158" s="9">
        <v>131.2</v>
      </c>
      <c r="Q158" s="9">
        <v>1357.0192</v>
      </c>
      <c r="R158" s="14"/>
      <c r="S158" s="12">
        <f t="shared" si="2"/>
        <v>0.000235433816</v>
      </c>
      <c r="T158" s="12">
        <f t="shared" si="3"/>
        <v>1.000235434</v>
      </c>
      <c r="U158" s="16">
        <f t="shared" si="7"/>
        <v>100.7803238</v>
      </c>
      <c r="V158" s="17"/>
      <c r="W158" s="12">
        <f t="array" ref="W158">SQRT(252/20) *  SQRT( SUMSQ( LN(U137:U156 / U136:U155) )  - (1/20) * ( SUM( LN(U137:U156 / U136:U155) ) ^ 2 ) )</f>
        <v>0.02142192229</v>
      </c>
      <c r="X158" s="9">
        <f t="shared" si="4"/>
        <v>1.5</v>
      </c>
      <c r="Y158" s="14"/>
      <c r="Z158" s="12">
        <f t="shared" si="5"/>
        <v>1.000353026</v>
      </c>
      <c r="AA158" s="16">
        <f t="shared" si="8"/>
        <v>101.1376212</v>
      </c>
      <c r="AB158" s="14"/>
      <c r="AC158" s="9">
        <f t="shared" si="6"/>
        <v>0</v>
      </c>
    </row>
    <row r="159">
      <c r="A159" s="8">
        <v>41953.0</v>
      </c>
      <c r="B159" s="14"/>
      <c r="C159" s="9">
        <f t="array" ref="C159">IFERROR(
  INDEX(
    IR!$B$2:$E2026,                
    MATCH($A159, IR!$A$2:$A2026, 0), 
    MATCH(C$1, IR!$B$1:$E$1, 0) ), "")
</f>
        <v>0.00009</v>
      </c>
      <c r="D159" s="9">
        <f t="array" ref="D159">IFERROR(
  INDEX(
    IR!$B$2:$E2026,                
    MATCH($A159, IR!$A$2:$A2026, 0), 
    MATCH(D$1, IR!$B$1:$E$1, 0) ), "")
</f>
        <v>0.0008</v>
      </c>
      <c r="E159" s="9">
        <f t="array" ref="E159">IFERROR(
  INDEX(
    IR!$B$2:$E2026,                
    MATCH($A159, IR!$A$2:$A2026, 0), 
    MATCH(E$1, IR!$B$1:$E$1, 0) ), "")
</f>
        <v>0.00181</v>
      </c>
      <c r="F159" s="9">
        <f t="array" ref="F159">IFERROR(
  INDEX(
    IR!$B$2:$E2026,                
    MATCH($A159, IR!$A$2:$A2026, 0), 
    MATCH(F$1, IR!$B$1:$E$1, 0) ), "")
</f>
        <v>0.00336</v>
      </c>
      <c r="G159" s="14"/>
      <c r="H159" s="9">
        <f t="array" ref="H159">IFERROR(
  INDEX(
    SR!$B$2:$D2026,            
    MATCH($A159, SR!$A$2:$A2026, 0),  
    MATCH(H$1, SR!$B$1:$D$1, 0) ), "")
</f>
        <v>0.002128</v>
      </c>
      <c r="I159" s="9">
        <f t="array" ref="I159">IFERROR(
  INDEX(
    SR!$B$2:$D2026,            
    MATCH($A159, SR!$A$2:$A2026, 0),  
    MATCH(I$1, SR!$B$1:$D$1, 0) ), "")
</f>
        <v>0.00263</v>
      </c>
      <c r="J159" s="9">
        <f t="array" ref="J159">IFERROR(
  INDEX(
    SR!$B$2:$D2026,            
    MATCH($A159, SR!$A$2:$A2026, 0),  
    MATCH(J$1, SR!$B$1:$D$1, 0) ), "")
</f>
        <v>0.00435</v>
      </c>
      <c r="K159" s="14"/>
      <c r="L159" s="9">
        <v>121.35</v>
      </c>
      <c r="M159" s="9">
        <v>24.6</v>
      </c>
      <c r="N159" s="9">
        <v>112.77</v>
      </c>
      <c r="O159" s="9">
        <v>120.15</v>
      </c>
      <c r="P159" s="9">
        <v>131.19</v>
      </c>
      <c r="Q159" s="9">
        <v>1356.0558</v>
      </c>
      <c r="R159" s="14"/>
      <c r="S159" s="12">
        <f t="shared" si="2"/>
        <v>0.0001452687811</v>
      </c>
      <c r="T159" s="12">
        <f t="shared" si="3"/>
        <v>1.000145269</v>
      </c>
      <c r="U159" s="16">
        <f t="shared" si="7"/>
        <v>100.794964</v>
      </c>
      <c r="V159" s="17"/>
      <c r="W159" s="12">
        <f t="array" ref="W159">SQRT(252/20) *  SQRT( SUMSQ( LN(U138:U157 / U137:U156) )  - (1/20) * ( SUM( LN(U138:U157 / U137:U156) ) ^ 2 ) )</f>
        <v>0.02134304229</v>
      </c>
      <c r="X159" s="9">
        <f t="shared" si="4"/>
        <v>1.5</v>
      </c>
      <c r="Y159" s="14"/>
      <c r="Z159" s="12">
        <f t="shared" si="5"/>
        <v>1.00021757</v>
      </c>
      <c r="AA159" s="16">
        <f t="shared" si="8"/>
        <v>101.1596257</v>
      </c>
      <c r="AB159" s="14"/>
      <c r="AC159" s="9">
        <f t="shared" si="6"/>
        <v>0</v>
      </c>
    </row>
    <row r="160">
      <c r="A160" s="8">
        <v>41954.0</v>
      </c>
      <c r="B160" s="14"/>
      <c r="C160" s="9">
        <f t="array" ref="C160">IFERROR(
  INDEX(
    IR!$B$2:$E2026,                
    MATCH($A160, IR!$A$2:$A2026, 0), 
    MATCH(C$1, IR!$B$1:$E$1, 0) ), "")
</f>
        <v>0.00009</v>
      </c>
      <c r="D160" s="9">
        <f t="array" ref="D160">IFERROR(
  INDEX(
    IR!$B$2:$E2026,                
    MATCH($A160, IR!$A$2:$A2026, 0), 
    MATCH(D$1, IR!$B$1:$E$1, 0) ), "")
</f>
        <v>0.00079</v>
      </c>
      <c r="E160" s="9">
        <f t="array" ref="E160">IFERROR(
  INDEX(
    IR!$B$2:$E2026,                
    MATCH($A160, IR!$A$2:$A2026, 0), 
    MATCH(E$1, IR!$B$1:$E$1, 0) ), "")
</f>
        <v>0.00181</v>
      </c>
      <c r="F160" s="9">
        <f t="array" ref="F160">IFERROR(
  INDEX(
    IR!$B$2:$E2026,                
    MATCH($A160, IR!$A$2:$A2026, 0), 
    MATCH(F$1, IR!$B$1:$E$1, 0) ), "")
</f>
        <v>0.00336</v>
      </c>
      <c r="G160" s="14"/>
      <c r="H160" s="9">
        <f t="array" ref="H160">IFERROR(
  INDEX(
    SR!$B$2:$D2026,            
    MATCH($A160, SR!$A$2:$A2026, 0),  
    MATCH(H$1, SR!$B$1:$D$1, 0) ), "")
</f>
        <v>0.002125</v>
      </c>
      <c r="I160" s="9">
        <f t="array" ref="I160">IFERROR(
  INDEX(
    SR!$B$2:$D2026,            
    MATCH($A160, SR!$A$2:$A2026, 0),  
    MATCH(I$1, SR!$B$1:$D$1, 0) ), "")
</f>
        <v>0.002625</v>
      </c>
      <c r="J160" s="9">
        <f t="array" ref="J160">IFERROR(
  INDEX(
    SR!$B$2:$D2026,            
    MATCH($A160, SR!$A$2:$A2026, 0),  
    MATCH(J$1, SR!$B$1:$D$1, 0) ), "")
</f>
        <v>0.004314</v>
      </c>
      <c r="K160" s="14"/>
      <c r="L160" s="23">
        <v>121.35</v>
      </c>
      <c r="M160" s="9">
        <v>24.61</v>
      </c>
      <c r="N160" s="9">
        <v>112.79</v>
      </c>
      <c r="O160" s="9">
        <v>120.15</v>
      </c>
      <c r="P160" s="9">
        <v>131.34</v>
      </c>
      <c r="Q160" s="9">
        <v>1360.6794</v>
      </c>
      <c r="R160" s="14"/>
      <c r="S160" s="12">
        <f t="shared" si="2"/>
        <v>0.0008561368766</v>
      </c>
      <c r="T160" s="12">
        <f t="shared" si="3"/>
        <v>1.000856137</v>
      </c>
      <c r="U160" s="16">
        <f t="shared" si="7"/>
        <v>100.8812583</v>
      </c>
      <c r="V160" s="17"/>
      <c r="W160" s="12">
        <f t="array" ref="W160">SQRT(252/20) *  SQRT( SUMSQ( LN(U139:U158 / U138:U157) )  - (1/20) * ( SUM( LN(U139:U158 / U138:U157) ) ^ 2 ) )</f>
        <v>0.01974008759</v>
      </c>
      <c r="X160" s="9">
        <f t="shared" si="4"/>
        <v>1.5</v>
      </c>
      <c r="Y160" s="14"/>
      <c r="Z160" s="12">
        <f t="shared" si="5"/>
        <v>1.00128408</v>
      </c>
      <c r="AA160" s="16">
        <f t="shared" si="8"/>
        <v>101.2895228</v>
      </c>
      <c r="AB160" s="14"/>
      <c r="AC160" s="9">
        <f t="shared" si="6"/>
        <v>0</v>
      </c>
    </row>
    <row r="161">
      <c r="A161" s="8">
        <v>41955.0</v>
      </c>
      <c r="B161" s="14"/>
      <c r="C161" s="9">
        <f t="array" ref="C161">IFERROR(
  INDEX(
    IR!$B$2:$E2026,                
    MATCH($A161, IR!$A$2:$A2026, 0), 
    MATCH(C$1, IR!$B$1:$E$1, 0) ), "")
</f>
        <v>0.00009</v>
      </c>
      <c r="D161" s="9">
        <f t="array" ref="D161">IFERROR(
  INDEX(
    IR!$B$2:$E2026,                
    MATCH($A161, IR!$A$2:$A2026, 0), 
    MATCH(D$1, IR!$B$1:$E$1, 0) ), "")
</f>
        <v>0.00079</v>
      </c>
      <c r="E161" s="9">
        <f t="array" ref="E161">IFERROR(
  INDEX(
    IR!$B$2:$E2026,                
    MATCH($A161, IR!$A$2:$A2026, 0), 
    MATCH(E$1, IR!$B$1:$E$1, 0) ), "")
</f>
        <v>0.00181</v>
      </c>
      <c r="F161" s="9">
        <f t="array" ref="F161">IFERROR(
  INDEX(
    IR!$B$2:$E2026,                
    MATCH($A161, IR!$A$2:$A2026, 0), 
    MATCH(F$1, IR!$B$1:$E$1, 0) ), "")
</f>
        <v>0.00336</v>
      </c>
      <c r="G161" s="14"/>
      <c r="H161" s="9">
        <f t="array" ref="H161">IFERROR(
  INDEX(
    SR!$B$2:$D2026,            
    MATCH($A161, SR!$A$2:$A2026, 0),  
    MATCH(H$1, SR!$B$1:$D$1, 0) ), "")
</f>
        <v>0.00209</v>
      </c>
      <c r="I161" s="9">
        <f t="array" ref="I161">IFERROR(
  INDEX(
    SR!$B$2:$D2026,            
    MATCH($A161, SR!$A$2:$A2026, 0),  
    MATCH(I$1, SR!$B$1:$D$1, 0) ), "")
</f>
        <v>0.002562</v>
      </c>
      <c r="J161" s="9">
        <f t="array" ref="J161">IFERROR(
  INDEX(
    SR!$B$2:$D2026,            
    MATCH($A161, SR!$A$2:$A2026, 0),  
    MATCH(J$1, SR!$B$1:$D$1, 0) ), "")
</f>
        <v>0.00422</v>
      </c>
      <c r="K161" s="14"/>
      <c r="L161" s="9">
        <v>121.25</v>
      </c>
      <c r="M161" s="9">
        <v>24.6</v>
      </c>
      <c r="N161" s="9">
        <v>112.8</v>
      </c>
      <c r="O161" s="9">
        <v>120.15</v>
      </c>
      <c r="P161" s="9">
        <v>131.34</v>
      </c>
      <c r="Q161" s="9">
        <v>1361.0833</v>
      </c>
      <c r="R161" s="14"/>
      <c r="S161" s="12">
        <f t="shared" si="2"/>
        <v>-0.0001407313505</v>
      </c>
      <c r="T161" s="12">
        <f t="shared" si="3"/>
        <v>0.9998592686</v>
      </c>
      <c r="U161" s="16">
        <f t="shared" si="7"/>
        <v>100.8670612</v>
      </c>
      <c r="V161" s="17"/>
      <c r="W161" s="12">
        <f t="array" ref="W161">SQRT(252/20) *  SQRT( SUMSQ( LN(U140:U159 / U139:U158) )  - (1/20) * ( SUM( LN(U140:U159 / U139:U158) ) ^ 2 ) )</f>
        <v>0.01821024503</v>
      </c>
      <c r="X161" s="9">
        <f t="shared" si="4"/>
        <v>1.5</v>
      </c>
      <c r="Y161" s="14"/>
      <c r="Z161" s="12">
        <f t="shared" si="5"/>
        <v>0.999788778</v>
      </c>
      <c r="AA161" s="16">
        <f t="shared" si="8"/>
        <v>101.2681282</v>
      </c>
      <c r="AB161" s="14"/>
      <c r="AC161" s="9">
        <f t="shared" si="6"/>
        <v>0</v>
      </c>
    </row>
    <row r="162">
      <c r="A162" s="8">
        <v>41956.0</v>
      </c>
      <c r="B162" s="14"/>
      <c r="C162" s="9">
        <f t="array" ref="C162">IFERROR(
  INDEX(
    IR!$B$2:$E2026,                
    MATCH($A162, IR!$A$2:$A2026, 0), 
    MATCH(C$1, IR!$B$1:$E$1, 0) ), "")
</f>
        <v>0.00008</v>
      </c>
      <c r="D162" s="9">
        <f t="array" ref="D162">IFERROR(
  INDEX(
    IR!$B$2:$E2026,                
    MATCH($A162, IR!$A$2:$A2026, 0), 
    MATCH(D$1, IR!$B$1:$E$1, 0) ), "")
</f>
        <v>0.00078</v>
      </c>
      <c r="E162" s="9">
        <f t="array" ref="E162">IFERROR(
  INDEX(
    IR!$B$2:$E2026,                
    MATCH($A162, IR!$A$2:$A2026, 0), 
    MATCH(E$1, IR!$B$1:$E$1, 0) ), "")
</f>
        <v>0.00178</v>
      </c>
      <c r="F162" s="9">
        <f t="array" ref="F162">IFERROR(
  INDEX(
    IR!$B$2:$E2026,                
    MATCH($A162, IR!$A$2:$A2026, 0), 
    MATCH(F$1, IR!$B$1:$E$1, 0) ), "")
</f>
        <v>0.00334</v>
      </c>
      <c r="G162" s="14"/>
      <c r="H162" s="9">
        <f t="array" ref="H162">IFERROR(
  INDEX(
    SR!$B$2:$D2026,            
    MATCH($A162, SR!$A$2:$A2026, 0),  
    MATCH(H$1, SR!$B$1:$D$1, 0) ), "")
</f>
        <v>0.002095</v>
      </c>
      <c r="I162" s="9">
        <f t="array" ref="I162">IFERROR(
  INDEX(
    SR!$B$2:$D2026,            
    MATCH($A162, SR!$A$2:$A2026, 0),  
    MATCH(I$1, SR!$B$1:$D$1, 0) ), "")
</f>
        <v>0.00254</v>
      </c>
      <c r="J162" s="9">
        <f t="array" ref="J162">IFERROR(
  INDEX(
    SR!$B$2:$D2026,            
    MATCH($A162, SR!$A$2:$A2026, 0),  
    MATCH(J$1, SR!$B$1:$D$1, 0) ), "")
</f>
        <v>0.00406</v>
      </c>
      <c r="K162" s="14"/>
      <c r="L162" s="9">
        <v>121.08</v>
      </c>
      <c r="M162" s="9">
        <v>24.6</v>
      </c>
      <c r="N162" s="9">
        <v>112.73</v>
      </c>
      <c r="O162" s="9">
        <v>120.24</v>
      </c>
      <c r="P162" s="9">
        <v>131.04</v>
      </c>
      <c r="Q162" s="9">
        <v>1359.4919</v>
      </c>
      <c r="R162" s="14"/>
      <c r="S162" s="12">
        <f t="shared" si="2"/>
        <v>-0.0007876233431</v>
      </c>
      <c r="T162" s="12">
        <f t="shared" si="3"/>
        <v>0.9992123767</v>
      </c>
      <c r="U162" s="16">
        <f t="shared" si="7"/>
        <v>100.7876159</v>
      </c>
      <c r="V162" s="17"/>
      <c r="W162" s="12">
        <f t="array" ref="W162">SQRT(252/20) *  SQRT( SUMSQ( LN(U141:U160 / U140:U159) )  - (1/20) * ( SUM( LN(U141:U160 / U140:U159) ) ^ 2 ) )</f>
        <v>0.01657694738</v>
      </c>
      <c r="X162" s="9">
        <f t="shared" si="4"/>
        <v>1.5</v>
      </c>
      <c r="Y162" s="14"/>
      <c r="Z162" s="12">
        <f t="shared" si="5"/>
        <v>0.99881844</v>
      </c>
      <c r="AA162" s="16">
        <f t="shared" si="8"/>
        <v>101.1484739</v>
      </c>
      <c r="AB162" s="14"/>
      <c r="AC162" s="9">
        <f t="shared" si="6"/>
        <v>0</v>
      </c>
    </row>
    <row r="163">
      <c r="A163" s="8">
        <v>41957.0</v>
      </c>
      <c r="B163" s="14"/>
      <c r="C163" s="9">
        <f t="array" ref="C163">IFERROR(
  INDEX(
    IR!$B$2:$E2026,                
    MATCH($A163, IR!$A$2:$A2026, 0), 
    MATCH(C$1, IR!$B$1:$E$1, 0) ), "")
</f>
        <v>0.00008</v>
      </c>
      <c r="D163" s="9">
        <f t="array" ref="D163">IFERROR(
  INDEX(
    IR!$B$2:$E2026,                
    MATCH($A163, IR!$A$2:$A2026, 0), 
    MATCH(D$1, IR!$B$1:$E$1, 0) ), "")
</f>
        <v>0.00079</v>
      </c>
      <c r="E163" s="9">
        <f t="array" ref="E163">IFERROR(
  INDEX(
    IR!$B$2:$E2026,                
    MATCH($A163, IR!$A$2:$A2026, 0), 
    MATCH(E$1, IR!$B$1:$E$1, 0) ), "")
</f>
        <v>0.0018</v>
      </c>
      <c r="F163" s="9">
        <f t="array" ref="F163">IFERROR(
  INDEX(
    IR!$B$2:$E2026,                
    MATCH($A163, IR!$A$2:$A2026, 0), 
    MATCH(F$1, IR!$B$1:$E$1, 0) ), "")
</f>
        <v>0.00333</v>
      </c>
      <c r="G163" s="14"/>
      <c r="H163" s="9">
        <f t="array" ref="H163">IFERROR(
  INDEX(
    SR!$B$2:$D2026,            
    MATCH($A163, SR!$A$2:$A2026, 0),  
    MATCH(H$1, SR!$B$1:$D$1, 0) ), "")
</f>
        <v>0.002125</v>
      </c>
      <c r="I163" s="9">
        <f t="array" ref="I163">IFERROR(
  INDEX(
    SR!$B$2:$D2026,            
    MATCH($A163, SR!$A$2:$A2026, 0),  
    MATCH(I$1, SR!$B$1:$D$1, 0) ), "")
</f>
        <v>0.00258</v>
      </c>
      <c r="J163" s="9">
        <f t="array" ref="J163">IFERROR(
  INDEX(
    SR!$B$2:$D2026,            
    MATCH($A163, SR!$A$2:$A2026, 0),  
    MATCH(J$1, SR!$B$1:$D$1, 0) ), "")
</f>
        <v>0.004</v>
      </c>
      <c r="K163" s="14"/>
      <c r="L163" s="9">
        <v>120.69</v>
      </c>
      <c r="M163" s="9">
        <v>24.59</v>
      </c>
      <c r="N163" s="9">
        <v>112.3</v>
      </c>
      <c r="O163" s="9">
        <v>120.22</v>
      </c>
      <c r="P163" s="9">
        <v>131.2</v>
      </c>
      <c r="Q163" s="9">
        <v>1360.551</v>
      </c>
      <c r="R163" s="14"/>
      <c r="S163" s="12">
        <f t="shared" si="2"/>
        <v>-0.0009342533034</v>
      </c>
      <c r="T163" s="12">
        <f t="shared" si="3"/>
        <v>0.9990657467</v>
      </c>
      <c r="U163" s="16">
        <f t="shared" si="7"/>
        <v>100.6934548</v>
      </c>
      <c r="V163" s="17"/>
      <c r="W163" s="12">
        <f t="array" ref="W163">SQRT(252/20) *  SQRT( SUMSQ( LN(U142:U161 / U141:U160) )  - (1/20) * ( SUM( LN(U142:U161 / U141:U160) ) ^ 2 ) )</f>
        <v>0.01614785911</v>
      </c>
      <c r="X163" s="9">
        <f t="shared" si="4"/>
        <v>1.5</v>
      </c>
      <c r="Y163" s="14"/>
      <c r="Z163" s="12">
        <f t="shared" si="5"/>
        <v>0.9985985089</v>
      </c>
      <c r="AA163" s="16">
        <f t="shared" si="8"/>
        <v>101.0067152</v>
      </c>
      <c r="AB163" s="14"/>
      <c r="AC163" s="9">
        <f t="shared" si="6"/>
        <v>0</v>
      </c>
    </row>
    <row r="164">
      <c r="A164" s="8">
        <v>41960.0</v>
      </c>
      <c r="B164" s="14"/>
      <c r="C164" s="9">
        <f t="array" ref="C164">IFERROR(
  INDEX(
    IR!$B$2:$E2026,                
    MATCH($A164, IR!$A$2:$A2026, 0), 
    MATCH(C$1, IR!$B$1:$E$1, 0) ), "")
</f>
        <v>0.00008</v>
      </c>
      <c r="D164" s="9">
        <f t="array" ref="D164">IFERROR(
  INDEX(
    IR!$B$2:$E2026,                
    MATCH($A164, IR!$A$2:$A2026, 0), 
    MATCH(D$1, IR!$B$1:$E$1, 0) ), "")
</f>
        <v>0.0008</v>
      </c>
      <c r="E164" s="9">
        <f t="array" ref="E164">IFERROR(
  INDEX(
    IR!$B$2:$E2026,                
    MATCH($A164, IR!$A$2:$A2026, 0), 
    MATCH(E$1, IR!$B$1:$E$1, 0) ), "")
</f>
        <v>0.00182</v>
      </c>
      <c r="F164" s="9">
        <f t="array" ref="F164">IFERROR(
  INDEX(
    IR!$B$2:$E2026,                
    MATCH($A164, IR!$A$2:$A2026, 0), 
    MATCH(F$1, IR!$B$1:$E$1, 0) ), "")
</f>
        <v>0.00332</v>
      </c>
      <c r="G164" s="14"/>
      <c r="H164" s="9">
        <f t="array" ref="H164">IFERROR(
  INDEX(
    SR!$B$2:$D2026,            
    MATCH($A164, SR!$A$2:$A2026, 0),  
    MATCH(H$1, SR!$B$1:$D$1, 0) ), "")
</f>
        <v>0.00215</v>
      </c>
      <c r="I164" s="9">
        <f t="array" ref="I164">IFERROR(
  INDEX(
    SR!$B$2:$D2026,            
    MATCH($A164, SR!$A$2:$A2026, 0),  
    MATCH(I$1, SR!$B$1:$D$1, 0) ), "")
</f>
        <v>0.002637</v>
      </c>
      <c r="J164" s="9">
        <f t="array" ref="J164">IFERROR(
  INDEX(
    SR!$B$2:$D2026,            
    MATCH($A164, SR!$A$2:$A2026, 0),  
    MATCH(J$1, SR!$B$1:$D$1, 0) ), "")
</f>
        <v>0.00423</v>
      </c>
      <c r="K164" s="14"/>
      <c r="L164" s="9">
        <v>120.93</v>
      </c>
      <c r="M164" s="9">
        <v>24.6</v>
      </c>
      <c r="N164" s="9">
        <v>112.61</v>
      </c>
      <c r="O164" s="9">
        <v>120.21</v>
      </c>
      <c r="P164" s="9">
        <v>131.22</v>
      </c>
      <c r="Q164" s="9">
        <v>1359.6392</v>
      </c>
      <c r="R164" s="14"/>
      <c r="S164" s="12">
        <f t="shared" si="2"/>
        <v>0.0007587604473</v>
      </c>
      <c r="T164" s="12">
        <f t="shared" si="3"/>
        <v>1.00075876</v>
      </c>
      <c r="U164" s="16">
        <f t="shared" si="7"/>
        <v>100.769857</v>
      </c>
      <c r="V164" s="17"/>
      <c r="W164" s="12">
        <f t="array" ref="W164">SQRT(252/20) *  SQRT( SUMSQ( LN(U143:U162 / U142:U161) )  - (1/20) * ( SUM( LN(U143:U162 / U142:U161) ) ^ 2 ) )</f>
        <v>0.01558598172</v>
      </c>
      <c r="X164" s="9">
        <f t="shared" si="4"/>
        <v>1.5</v>
      </c>
      <c r="Y164" s="14"/>
      <c r="Z164" s="12">
        <f t="shared" si="5"/>
        <v>1.001137807</v>
      </c>
      <c r="AA164" s="16">
        <f t="shared" si="8"/>
        <v>101.1216414</v>
      </c>
      <c r="AB164" s="14"/>
      <c r="AC164" s="9">
        <f t="shared" si="6"/>
        <v>0</v>
      </c>
    </row>
    <row r="165">
      <c r="A165" s="8">
        <v>41961.0</v>
      </c>
      <c r="B165" s="14"/>
      <c r="C165" s="9">
        <f t="array" ref="C165">IFERROR(
  INDEX(
    IR!$B$2:$E2026,                
    MATCH($A165, IR!$A$2:$A2026, 0), 
    MATCH(C$1, IR!$B$1:$E$1, 0) ), "")
</f>
        <v>0.00009</v>
      </c>
      <c r="D165" s="9">
        <f t="array" ref="D165">IFERROR(
  INDEX(
    IR!$B$2:$E2026,                
    MATCH($A165, IR!$A$2:$A2026, 0), 
    MATCH(D$1, IR!$B$1:$E$1, 0) ), "")
</f>
        <v>0.00081</v>
      </c>
      <c r="E165" s="9">
        <f t="array" ref="E165">IFERROR(
  INDEX(
    IR!$B$2:$E2026,                
    MATCH($A165, IR!$A$2:$A2026, 0), 
    MATCH(E$1, IR!$B$1:$E$1, 0) ), "")
</f>
        <v>0.00181</v>
      </c>
      <c r="F165" s="9">
        <f t="array" ref="F165">IFERROR(
  INDEX(
    IR!$B$2:$E2026,                
    MATCH($A165, IR!$A$2:$A2026, 0), 
    MATCH(F$1, IR!$B$1:$E$1, 0) ), "")
</f>
        <v>0.00334</v>
      </c>
      <c r="G165" s="14"/>
      <c r="H165" s="9">
        <f t="array" ref="H165">IFERROR(
  INDEX(
    SR!$B$2:$D2026,            
    MATCH($A165, SR!$A$2:$A2026, 0),  
    MATCH(H$1, SR!$B$1:$D$1, 0) ), "")
</f>
        <v>0.002233</v>
      </c>
      <c r="I165" s="9">
        <f t="array" ref="I165">IFERROR(
  INDEX(
    SR!$B$2:$D2026,            
    MATCH($A165, SR!$A$2:$A2026, 0),  
    MATCH(I$1, SR!$B$1:$D$1, 0) ), "")
</f>
        <v>0.00275</v>
      </c>
      <c r="J165" s="9">
        <f t="array" ref="J165">IFERROR(
  INDEX(
    SR!$B$2:$D2026,            
    MATCH($A165, SR!$A$2:$A2026, 0),  
    MATCH(J$1, SR!$B$1:$D$1, 0) ), "")
</f>
        <v>0.00433</v>
      </c>
      <c r="K165" s="14"/>
      <c r="L165" s="9">
        <v>121.19</v>
      </c>
      <c r="M165" s="9">
        <v>24.59</v>
      </c>
      <c r="N165" s="9">
        <v>112.67</v>
      </c>
      <c r="O165" s="9">
        <v>120.12</v>
      </c>
      <c r="P165" s="9">
        <v>131.32</v>
      </c>
      <c r="Q165" s="9">
        <v>1361.2726</v>
      </c>
      <c r="R165" s="14"/>
      <c r="S165" s="12">
        <f t="shared" si="2"/>
        <v>0.0005817290168</v>
      </c>
      <c r="T165" s="12">
        <f t="shared" si="3"/>
        <v>1.000581729</v>
      </c>
      <c r="U165" s="16">
        <f t="shared" si="7"/>
        <v>100.8284777</v>
      </c>
      <c r="V165" s="17"/>
      <c r="W165" s="12">
        <f t="array" ref="W165">SQRT(252/20) *  SQRT( SUMSQ( LN(U144:U163 / U143:U162) )  - (1/20) * ( SUM( LN(U144:U163 / U143:U162) ) ^ 2 ) )</f>
        <v>0.01662608998</v>
      </c>
      <c r="X165" s="9">
        <f t="shared" si="4"/>
        <v>1.5</v>
      </c>
      <c r="Y165" s="14"/>
      <c r="Z165" s="12">
        <f t="shared" si="5"/>
        <v>1.000872482</v>
      </c>
      <c r="AA165" s="16">
        <f t="shared" si="8"/>
        <v>101.2098682</v>
      </c>
      <c r="AB165" s="14"/>
      <c r="AC165" s="9">
        <f t="shared" si="6"/>
        <v>0</v>
      </c>
    </row>
    <row r="166">
      <c r="A166" s="8">
        <v>41962.0</v>
      </c>
      <c r="B166" s="14"/>
      <c r="C166" s="9">
        <f t="array" ref="C166">IFERROR(
  INDEX(
    IR!$B$2:$E2026,                
    MATCH($A166, IR!$A$2:$A2026, 0), 
    MATCH(C$1, IR!$B$1:$E$1, 0) ), "")
</f>
        <v>0.00009</v>
      </c>
      <c r="D166" s="9">
        <f t="array" ref="D166">IFERROR(
  INDEX(
    IR!$B$2:$E2026,                
    MATCH($A166, IR!$A$2:$A2026, 0), 
    MATCH(D$1, IR!$B$1:$E$1, 0) ), "")
</f>
        <v>0.00081</v>
      </c>
      <c r="E166" s="9">
        <f t="array" ref="E166">IFERROR(
  INDEX(
    IR!$B$2:$E2026,                
    MATCH($A166, IR!$A$2:$A2026, 0), 
    MATCH(E$1, IR!$B$1:$E$1, 0) ), "")
</f>
        <v>0.00181</v>
      </c>
      <c r="F166" s="9">
        <f t="array" ref="F166">IFERROR(
  INDEX(
    IR!$B$2:$E2026,                
    MATCH($A166, IR!$A$2:$A2026, 0), 
    MATCH(F$1, IR!$B$1:$E$1, 0) ), "")
</f>
        <v>0.00336</v>
      </c>
      <c r="G166" s="14"/>
      <c r="H166" s="9">
        <f t="array" ref="H166">IFERROR(
  INDEX(
    SR!$B$2:$D2026,            
    MATCH($A166, SR!$A$2:$A2026, 0),  
    MATCH(H$1, SR!$B$1:$D$1, 0) ), "")
</f>
        <v>0.002318</v>
      </c>
      <c r="I166" s="9">
        <f t="array" ref="I166">IFERROR(
  INDEX(
    SR!$B$2:$D2026,            
    MATCH($A166, SR!$A$2:$A2026, 0),  
    MATCH(I$1, SR!$B$1:$D$1, 0) ), "")
</f>
        <v>0.002873</v>
      </c>
      <c r="J166" s="9">
        <f t="array" ref="J166">IFERROR(
  INDEX(
    SR!$B$2:$D2026,            
    MATCH($A166, SR!$A$2:$A2026, 0),  
    MATCH(J$1, SR!$B$1:$D$1, 0) ), "")
</f>
        <v>0.004608</v>
      </c>
      <c r="K166" s="14"/>
      <c r="L166" s="9">
        <v>121.22</v>
      </c>
      <c r="M166" s="9">
        <v>24.57</v>
      </c>
      <c r="N166" s="9">
        <v>112.67</v>
      </c>
      <c r="O166" s="9">
        <v>120.13</v>
      </c>
      <c r="P166" s="9">
        <v>131.25</v>
      </c>
      <c r="Q166" s="9">
        <v>1364.9674</v>
      </c>
      <c r="R166" s="14"/>
      <c r="S166" s="12">
        <f t="shared" si="2"/>
        <v>0.000283263576</v>
      </c>
      <c r="T166" s="12">
        <f t="shared" si="3"/>
        <v>1.000283264</v>
      </c>
      <c r="U166" s="16">
        <f t="shared" si="7"/>
        <v>100.8570388</v>
      </c>
      <c r="V166" s="17"/>
      <c r="W166" s="12">
        <f t="array" ref="W166">SQRT(252/20) *  SQRT( SUMSQ( LN(U145:U164 / U144:U163) )  - (1/20) * ( SUM( LN(U145:U164 / U144:U163) ) ^ 2 ) )</f>
        <v>0.01590831083</v>
      </c>
      <c r="X166" s="9">
        <f t="shared" si="4"/>
        <v>1.5</v>
      </c>
      <c r="Y166" s="14"/>
      <c r="Z166" s="12">
        <f t="shared" si="5"/>
        <v>1.00042477</v>
      </c>
      <c r="AA166" s="16">
        <f t="shared" si="8"/>
        <v>101.2528592</v>
      </c>
      <c r="AB166" s="14"/>
      <c r="AC166" s="9">
        <f t="shared" si="6"/>
        <v>0</v>
      </c>
    </row>
    <row r="167">
      <c r="A167" s="8">
        <v>41963.0</v>
      </c>
      <c r="B167" s="14"/>
      <c r="C167" s="9">
        <f t="array" ref="C167">IFERROR(
  INDEX(
    IR!$B$2:$E2026,                
    MATCH($A167, IR!$A$2:$A2026, 0), 
    MATCH(C$1, IR!$B$1:$E$1, 0) ), "")
</f>
        <v>0.00009</v>
      </c>
      <c r="D167" s="9">
        <f t="array" ref="D167">IFERROR(
  INDEX(
    IR!$B$2:$E2026,                
    MATCH($A167, IR!$A$2:$A2026, 0), 
    MATCH(D$1, IR!$B$1:$E$1, 0) ), "")
</f>
        <v>0.00081</v>
      </c>
      <c r="E167" s="9">
        <f t="array" ref="E167">IFERROR(
  INDEX(
    IR!$B$2:$E2026,                
    MATCH($A167, IR!$A$2:$A2026, 0), 
    MATCH(E$1, IR!$B$1:$E$1, 0) ), "")
</f>
        <v>0.00181</v>
      </c>
      <c r="F167" s="9">
        <f t="array" ref="F167">IFERROR(
  INDEX(
    IR!$B$2:$E2026,                
    MATCH($A167, IR!$A$2:$A2026, 0), 
    MATCH(F$1, IR!$B$1:$E$1, 0) ), "")
</f>
        <v>0.00336</v>
      </c>
      <c r="G167" s="14"/>
      <c r="H167" s="9">
        <f t="array" ref="H167">IFERROR(
  INDEX(
    SR!$B$2:$D2026,            
    MATCH($A167, SR!$A$2:$A2026, 0),  
    MATCH(H$1, SR!$B$1:$D$1, 0) ), "")
</f>
        <v>0.00221</v>
      </c>
      <c r="I167" s="9">
        <f t="array" ref="I167">IFERROR(
  INDEX(
    SR!$B$2:$D2026,            
    MATCH($A167, SR!$A$2:$A2026, 0),  
    MATCH(I$1, SR!$B$1:$D$1, 0) ), "")
</f>
        <v>0.002735</v>
      </c>
      <c r="J167" s="9">
        <f t="array" ref="J167">IFERROR(
  INDEX(
    SR!$B$2:$D2026,            
    MATCH($A167, SR!$A$2:$A2026, 0),  
    MATCH(J$1, SR!$B$1:$D$1, 0) ), "")
</f>
        <v>0.00429</v>
      </c>
      <c r="K167" s="14"/>
      <c r="L167" s="9">
        <v>121.29</v>
      </c>
      <c r="M167" s="9">
        <v>24.57</v>
      </c>
      <c r="N167" s="9">
        <v>112.66</v>
      </c>
      <c r="O167" s="9">
        <v>119.9</v>
      </c>
      <c r="P167" s="9">
        <v>131.15</v>
      </c>
      <c r="Q167" s="9">
        <v>1362.2194</v>
      </c>
      <c r="R167" s="14"/>
      <c r="S167" s="12">
        <f t="shared" si="2"/>
        <v>-0.000700092003</v>
      </c>
      <c r="T167" s="12">
        <f t="shared" si="3"/>
        <v>0.999299908</v>
      </c>
      <c r="U167" s="16">
        <f t="shared" si="7"/>
        <v>100.7864295</v>
      </c>
      <c r="V167" s="17"/>
      <c r="W167" s="12">
        <f t="array" ref="W167">SQRT(252/20) *  SQRT( SUMSQ( LN(U146:U165 / U145:U164) )  - (1/20) * ( SUM( LN(U146:U165 / U145:U164) ) ^ 2 ) )</f>
        <v>0.01565361473</v>
      </c>
      <c r="X167" s="9">
        <f t="shared" si="4"/>
        <v>1.5</v>
      </c>
      <c r="Y167" s="14"/>
      <c r="Z167" s="12">
        <f t="shared" si="5"/>
        <v>0.998949737</v>
      </c>
      <c r="AA167" s="16">
        <f t="shared" si="8"/>
        <v>101.146517</v>
      </c>
      <c r="AB167" s="14"/>
      <c r="AC167" s="9">
        <f t="shared" si="6"/>
        <v>0</v>
      </c>
    </row>
    <row r="168">
      <c r="A168" s="8">
        <v>41964.0</v>
      </c>
      <c r="B168" s="14"/>
      <c r="C168" s="9">
        <f t="array" ref="C168">IFERROR(
  INDEX(
    IR!$B$2:$E2026,                
    MATCH($A168, IR!$A$2:$A2026, 0), 
    MATCH(C$1, IR!$B$1:$E$1, 0) ), "")
</f>
        <v>0.00009</v>
      </c>
      <c r="D168" s="9">
        <f t="array" ref="D168">IFERROR(
  INDEX(
    IR!$B$2:$E2026,                
    MATCH($A168, IR!$A$2:$A2026, 0), 
    MATCH(D$1, IR!$B$1:$E$1, 0) ), "")
</f>
        <v>0.00081</v>
      </c>
      <c r="E168" s="9">
        <f t="array" ref="E168">IFERROR(
  INDEX(
    IR!$B$2:$E2026,                
    MATCH($A168, IR!$A$2:$A2026, 0), 
    MATCH(E$1, IR!$B$1:$E$1, 0) ), "")
</f>
        <v>0.00181</v>
      </c>
      <c r="F168" s="9">
        <f t="array" ref="F168">IFERROR(
  INDEX(
    IR!$B$2:$E2026,                
    MATCH($A168, IR!$A$2:$A2026, 0), 
    MATCH(F$1, IR!$B$1:$E$1, 0) ), "")
</f>
        <v>0.00334</v>
      </c>
      <c r="G168" s="14"/>
      <c r="H168" s="9">
        <f t="array" ref="H168">IFERROR(
  INDEX(
    SR!$B$2:$D2026,            
    MATCH($A168, SR!$A$2:$A2026, 0),  
    MATCH(H$1, SR!$B$1:$D$1, 0) ), "")
</f>
        <v>0.0021</v>
      </c>
      <c r="I168" s="9">
        <f t="array" ref="I168">IFERROR(
  INDEX(
    SR!$B$2:$D2026,            
    MATCH($A168, SR!$A$2:$A2026, 0),  
    MATCH(I$1, SR!$B$1:$D$1, 0) ), "")
</f>
        <v>0.00259</v>
      </c>
      <c r="J168" s="9">
        <f t="array" ref="J168">IFERROR(
  INDEX(
    SR!$B$2:$D2026,            
    MATCH($A168, SR!$A$2:$A2026, 0),  
    MATCH(J$1, SR!$B$1:$D$1, 0) ), "")
</f>
        <v>0.00413</v>
      </c>
      <c r="K168" s="14"/>
      <c r="L168" s="9">
        <v>121.72</v>
      </c>
      <c r="M168" s="9">
        <v>24.61</v>
      </c>
      <c r="N168" s="9">
        <v>112.71</v>
      </c>
      <c r="O168" s="9">
        <v>120.07</v>
      </c>
      <c r="P168" s="9">
        <v>131.28</v>
      </c>
      <c r="Q168" s="9">
        <v>1363.0768</v>
      </c>
      <c r="R168" s="14"/>
      <c r="S168" s="12">
        <f t="shared" si="2"/>
        <v>0.001442074359</v>
      </c>
      <c r="T168" s="12">
        <f t="shared" si="3"/>
        <v>1.001442074</v>
      </c>
      <c r="U168" s="16">
        <f t="shared" si="7"/>
        <v>100.9317711</v>
      </c>
      <c r="V168" s="17"/>
      <c r="W168" s="12">
        <f t="array" ref="W168">SQRT(252/20) *  SQRT( SUMSQ( LN(U147:U166 / U146:U165) )  - (1/20) * ( SUM( LN(U147:U166 / U146:U165) ) ^ 2 ) )</f>
        <v>0.01306706045</v>
      </c>
      <c r="X168" s="9">
        <f t="shared" si="4"/>
        <v>1.5</v>
      </c>
      <c r="Y168" s="14"/>
      <c r="Z168" s="12">
        <f t="shared" si="5"/>
        <v>1.002162987</v>
      </c>
      <c r="AA168" s="16">
        <f t="shared" si="8"/>
        <v>101.3652956</v>
      </c>
      <c r="AB168" s="14"/>
      <c r="AC168" s="9">
        <f t="shared" si="6"/>
        <v>0</v>
      </c>
    </row>
    <row r="169">
      <c r="A169" s="8">
        <v>41967.0</v>
      </c>
      <c r="B169" s="14"/>
      <c r="C169" s="9">
        <f t="array" ref="C169">IFERROR(
  INDEX(
    IR!$B$2:$E2026,                
    MATCH($A169, IR!$A$2:$A2026, 0), 
    MATCH(C$1, IR!$B$1:$E$1, 0) ), "")
</f>
        <v>0.00009</v>
      </c>
      <c r="D169" s="9">
        <f t="array" ref="D169">IFERROR(
  INDEX(
    IR!$B$2:$E2026,                
    MATCH($A169, IR!$A$2:$A2026, 0), 
    MATCH(D$1, IR!$B$1:$E$1, 0) ), "")
</f>
        <v>0.00081</v>
      </c>
      <c r="E169" s="9">
        <f t="array" ref="E169">IFERROR(
  INDEX(
    IR!$B$2:$E2026,                
    MATCH($A169, IR!$A$2:$A2026, 0), 
    MATCH(E$1, IR!$B$1:$E$1, 0) ), "")
</f>
        <v>0.00182</v>
      </c>
      <c r="F169" s="9">
        <f t="array" ref="F169">IFERROR(
  INDEX(
    IR!$B$2:$E2026,                
    MATCH($A169, IR!$A$2:$A2026, 0), 
    MATCH(F$1, IR!$B$1:$E$1, 0) ), "")
</f>
        <v>0.00332</v>
      </c>
      <c r="G169" s="14"/>
      <c r="H169" s="9">
        <f t="array" ref="H169">IFERROR(
  INDEX(
    SR!$B$2:$D2026,            
    MATCH($A169, SR!$A$2:$A2026, 0),  
    MATCH(H$1, SR!$B$1:$D$1, 0) ), "")
</f>
        <v>0.002055</v>
      </c>
      <c r="I169" s="9">
        <f t="array" ref="I169">IFERROR(
  INDEX(
    SR!$B$2:$D2026,            
    MATCH($A169, SR!$A$2:$A2026, 0),  
    MATCH(I$1, SR!$B$1:$D$1, 0) ), "")
</f>
        <v>0.002555</v>
      </c>
      <c r="J169" s="9">
        <f t="array" ref="J169">IFERROR(
  INDEX(
    SR!$B$2:$D2026,            
    MATCH($A169, SR!$A$2:$A2026, 0),  
    MATCH(J$1, SR!$B$1:$D$1, 0) ), "")
</f>
        <v>0.00411</v>
      </c>
      <c r="K169" s="14"/>
      <c r="L169" s="9">
        <v>121.76</v>
      </c>
      <c r="M169" s="9">
        <v>24.6</v>
      </c>
      <c r="N169" s="9">
        <v>112.72</v>
      </c>
      <c r="O169" s="9">
        <v>120.22</v>
      </c>
      <c r="P169" s="9">
        <v>132.07</v>
      </c>
      <c r="Q169" s="9">
        <v>1367.8206</v>
      </c>
      <c r="R169" s="14"/>
      <c r="S169" s="12">
        <f t="shared" si="2"/>
        <v>0.001792658415</v>
      </c>
      <c r="T169" s="12">
        <f t="shared" si="3"/>
        <v>1.001792658</v>
      </c>
      <c r="U169" s="16">
        <f t="shared" si="7"/>
        <v>101.1127073</v>
      </c>
      <c r="V169" s="17"/>
      <c r="W169" s="12">
        <f t="array" ref="W169">SQRT(252/20) *  SQRT( SUMSQ( LN(U148:U167 / U147:U166) )  - (1/20) * ( SUM( LN(U148:U167 / U147:U166) ) ^ 2 ) )</f>
        <v>0.01360457317</v>
      </c>
      <c r="X169" s="9">
        <f t="shared" si="4"/>
        <v>1.5</v>
      </c>
      <c r="Y169" s="14"/>
      <c r="Z169" s="12">
        <f t="shared" si="5"/>
        <v>1.002688613</v>
      </c>
      <c r="AA169" s="16">
        <f t="shared" si="8"/>
        <v>101.6378276</v>
      </c>
      <c r="AB169" s="14"/>
      <c r="AC169" s="9">
        <f t="shared" si="6"/>
        <v>0</v>
      </c>
    </row>
    <row r="170">
      <c r="A170" s="8">
        <v>41968.0</v>
      </c>
      <c r="B170" s="14"/>
      <c r="C170" s="9">
        <f t="array" ref="C170">IFERROR(
  INDEX(
    IR!$B$2:$E2026,                
    MATCH($A170, IR!$A$2:$A2026, 0), 
    MATCH(C$1, IR!$B$1:$E$1, 0) ), "")
</f>
        <v>0.00009</v>
      </c>
      <c r="D170" s="9">
        <f t="array" ref="D170">IFERROR(
  INDEX(
    IR!$B$2:$E2026,                
    MATCH($A170, IR!$A$2:$A2026, 0), 
    MATCH(D$1, IR!$B$1:$E$1, 0) ), "")
</f>
        <v>0.00081</v>
      </c>
      <c r="E170" s="9">
        <f t="array" ref="E170">IFERROR(
  INDEX(
    IR!$B$2:$E2026,                
    MATCH($A170, IR!$A$2:$A2026, 0), 
    MATCH(E$1, IR!$B$1:$E$1, 0) ), "")
</f>
        <v>0.00181</v>
      </c>
      <c r="F170" s="9">
        <f t="array" ref="F170">IFERROR(
  INDEX(
    IR!$B$2:$E2026,                
    MATCH($A170, IR!$A$2:$A2026, 0), 
    MATCH(F$1, IR!$B$1:$E$1, 0) ), "")
</f>
        <v>0.00332</v>
      </c>
      <c r="G170" s="14"/>
      <c r="H170" s="9">
        <f t="array" ref="H170">IFERROR(
  INDEX(
    SR!$B$2:$D2026,            
    MATCH($A170, SR!$A$2:$A2026, 0),  
    MATCH(H$1, SR!$B$1:$D$1, 0) ), "")
</f>
        <v>0.00209</v>
      </c>
      <c r="I170" s="9">
        <f t="array" ref="I170">IFERROR(
  INDEX(
    SR!$B$2:$D2026,            
    MATCH($A170, SR!$A$2:$A2026, 0),  
    MATCH(I$1, SR!$B$1:$D$1, 0) ), "")
</f>
        <v>0.00258</v>
      </c>
      <c r="J170" s="9">
        <f t="array" ref="J170">IFERROR(
  INDEX(
    SR!$B$2:$D2026,            
    MATCH($A170, SR!$A$2:$A2026, 0),  
    MATCH(J$1, SR!$B$1:$D$1, 0) ), "")
</f>
        <v>0.004014</v>
      </c>
      <c r="K170" s="14"/>
      <c r="L170" s="9">
        <v>121.9</v>
      </c>
      <c r="M170" s="9">
        <v>24.58</v>
      </c>
      <c r="N170" s="9">
        <v>112.71</v>
      </c>
      <c r="O170" s="9">
        <v>120.2</v>
      </c>
      <c r="P170" s="9">
        <v>131.95</v>
      </c>
      <c r="Q170" s="9">
        <v>1371.0885</v>
      </c>
      <c r="R170" s="14"/>
      <c r="S170" s="12">
        <f t="shared" si="2"/>
        <v>0.000260507717</v>
      </c>
      <c r="T170" s="12">
        <f t="shared" si="3"/>
        <v>1.000260508</v>
      </c>
      <c r="U170" s="16">
        <f t="shared" si="7"/>
        <v>101.1390479</v>
      </c>
      <c r="V170" s="17"/>
      <c r="W170" s="12">
        <f t="array" ref="W170">SQRT(252/20) *  SQRT( SUMSQ( LN(U149:U168 / U148:U167) )  - (1/20) * ( SUM( LN(U149:U168 / U148:U167) ) ^ 2 ) )</f>
        <v>0.01389498876</v>
      </c>
      <c r="X170" s="9">
        <f t="shared" si="4"/>
        <v>1.5</v>
      </c>
      <c r="Y170" s="14"/>
      <c r="Z170" s="12">
        <f t="shared" si="5"/>
        <v>1.000390637</v>
      </c>
      <c r="AA170" s="16">
        <f t="shared" si="8"/>
        <v>101.677531</v>
      </c>
      <c r="AB170" s="14"/>
      <c r="AC170" s="9">
        <f t="shared" si="6"/>
        <v>0</v>
      </c>
    </row>
    <row r="171">
      <c r="A171" s="8">
        <v>41969.0</v>
      </c>
      <c r="B171" s="14"/>
      <c r="C171" s="9">
        <f t="array" ref="C171">IFERROR(
  INDEX(
    IR!$B$2:$E2026,                
    MATCH($A171, IR!$A$2:$A2026, 0), 
    MATCH(C$1, IR!$B$1:$E$1, 0) ), "")
</f>
        <v>0.00009</v>
      </c>
      <c r="D171" s="9">
        <f t="array" ref="D171">IFERROR(
  INDEX(
    IR!$B$2:$E2026,                
    MATCH($A171, IR!$A$2:$A2026, 0), 
    MATCH(D$1, IR!$B$1:$E$1, 0) ), "")
</f>
        <v>0.00082</v>
      </c>
      <c r="E171" s="9">
        <f t="array" ref="E171">IFERROR(
  INDEX(
    IR!$B$2:$E2026,                
    MATCH($A171, IR!$A$2:$A2026, 0), 
    MATCH(E$1, IR!$B$1:$E$1, 0) ), "")
</f>
        <v>0.00182</v>
      </c>
      <c r="F171" s="9">
        <f t="array" ref="F171">IFERROR(
  INDEX(
    IR!$B$2:$E2026,                
    MATCH($A171, IR!$A$2:$A2026, 0), 
    MATCH(F$1, IR!$B$1:$E$1, 0) ), "")
</f>
        <v>0.00334</v>
      </c>
      <c r="G171" s="14"/>
      <c r="H171" s="9">
        <f t="array" ref="H171">IFERROR(
  INDEX(
    SR!$B$2:$D2026,            
    MATCH($A171, SR!$A$2:$A2026, 0),  
    MATCH(H$1, SR!$B$1:$D$1, 0) ), "")
</f>
        <v>0.00209</v>
      </c>
      <c r="I171" s="9">
        <f t="array" ref="I171">IFERROR(
  INDEX(
    SR!$B$2:$D2026,            
    MATCH($A171, SR!$A$2:$A2026, 0),  
    MATCH(I$1, SR!$B$1:$D$1, 0) ), "")
</f>
        <v>0.00258</v>
      </c>
      <c r="J171" s="9">
        <f t="array" ref="J171">IFERROR(
  INDEX(
    SR!$B$2:$D2026,            
    MATCH($A171, SR!$A$2:$A2026, 0),  
    MATCH(J$1, SR!$B$1:$D$1, 0) ), "")
</f>
        <v>0.004004</v>
      </c>
      <c r="K171" s="14"/>
      <c r="L171" s="9">
        <v>121.94</v>
      </c>
      <c r="M171" s="9">
        <v>24.58</v>
      </c>
      <c r="N171" s="9">
        <v>112.7</v>
      </c>
      <c r="O171" s="9">
        <v>120.36</v>
      </c>
      <c r="P171" s="9">
        <v>131.88</v>
      </c>
      <c r="Q171" s="9">
        <v>1374.5978</v>
      </c>
      <c r="R171" s="14"/>
      <c r="S171" s="12">
        <f t="shared" si="2"/>
        <v>0.0005999367541</v>
      </c>
      <c r="T171" s="12">
        <f t="shared" si="3"/>
        <v>1.000599937</v>
      </c>
      <c r="U171" s="16">
        <f t="shared" si="7"/>
        <v>101.1997249</v>
      </c>
      <c r="V171" s="17"/>
      <c r="W171" s="12">
        <f t="array" ref="W171">SQRT(252/20) *  SQRT( SUMSQ( LN(U150:U169 / U149:U168) )  - (1/20) * ( SUM( LN(U150:U169 / U149:U168) ) ^ 2 ) )</f>
        <v>0.01471097493</v>
      </c>
      <c r="X171" s="9">
        <f t="shared" si="4"/>
        <v>1.5</v>
      </c>
      <c r="Y171" s="14"/>
      <c r="Z171" s="12">
        <f t="shared" si="5"/>
        <v>1.00089978</v>
      </c>
      <c r="AA171" s="16">
        <f t="shared" si="8"/>
        <v>101.7690185</v>
      </c>
      <c r="AB171" s="14"/>
      <c r="AC171" s="9">
        <f t="shared" si="6"/>
        <v>0</v>
      </c>
    </row>
    <row r="172">
      <c r="A172" s="8">
        <v>41970.0</v>
      </c>
      <c r="B172" s="14"/>
      <c r="C172" s="9">
        <f t="array" ref="C172">IFERROR(
  INDEX(
    IR!$B$2:$E2026,                
    MATCH($A172, IR!$A$2:$A2026, 0), 
    MATCH(C$1, IR!$B$1:$E$1, 0) ), "")
</f>
        <v>0.00016</v>
      </c>
      <c r="D172" s="9">
        <f t="array" ref="D172">IFERROR(
  INDEX(
    IR!$B$2:$E2026,                
    MATCH($A172, IR!$A$2:$A2026, 0), 
    MATCH(D$1, IR!$B$1:$E$1, 0) ), "")
</f>
        <v>0.00082</v>
      </c>
      <c r="E172" s="9">
        <f t="array" ref="E172">IFERROR(
  INDEX(
    IR!$B$2:$E2026,                
    MATCH($A172, IR!$A$2:$A2026, 0), 
    MATCH(E$1, IR!$B$1:$E$1, 0) ), "")
</f>
        <v>0.00181</v>
      </c>
      <c r="F172" s="9">
        <f t="array" ref="F172">IFERROR(
  INDEX(
    IR!$B$2:$E2026,                
    MATCH($A172, IR!$A$2:$A2026, 0), 
    MATCH(F$1, IR!$B$1:$E$1, 0) ), "")
</f>
        <v>0.00331</v>
      </c>
      <c r="G172" s="14"/>
      <c r="H172" s="9">
        <f t="array" ref="H172">IFERROR(
  INDEX(
    SR!$B$2:$D2026,            
    MATCH($A172, SR!$A$2:$A2026, 0),  
    MATCH(H$1, SR!$B$1:$D$1, 0) ), "")
</f>
        <v>0.0021</v>
      </c>
      <c r="I172" s="9">
        <f t="array" ref="I172">IFERROR(
  INDEX(
    SR!$B$2:$D2026,            
    MATCH($A172, SR!$A$2:$A2026, 0),  
    MATCH(I$1, SR!$B$1:$D$1, 0) ), "")
</f>
        <v>0.00259</v>
      </c>
      <c r="J172" s="9">
        <f t="array" ref="J172">IFERROR(
  INDEX(
    SR!$B$2:$D2026,            
    MATCH($A172, SR!$A$2:$A2026, 0),  
    MATCH(J$1, SR!$B$1:$D$1, 0) ), "")
</f>
        <v>0.00396</v>
      </c>
      <c r="K172" s="14"/>
      <c r="L172" s="9">
        <v>122.06</v>
      </c>
      <c r="M172" s="9">
        <v>24.58</v>
      </c>
      <c r="N172" s="9">
        <v>112.68</v>
      </c>
      <c r="O172" s="9">
        <v>120.61</v>
      </c>
      <c r="P172" s="9">
        <v>131.97</v>
      </c>
      <c r="Q172" s="9">
        <v>1374.9258</v>
      </c>
      <c r="R172" s="14"/>
      <c r="S172" s="12">
        <f t="shared" si="2"/>
        <v>0.0006339008937</v>
      </c>
      <c r="T172" s="12">
        <f t="shared" si="3"/>
        <v>1.000633901</v>
      </c>
      <c r="U172" s="16">
        <f t="shared" si="7"/>
        <v>101.2638755</v>
      </c>
      <c r="V172" s="17"/>
      <c r="W172" s="12">
        <f t="array" ref="W172">SQRT(252/20) *  SQRT( SUMSQ( LN(U151:U170 / U150:U169) )  - (1/20) * ( SUM( LN(U151:U170 / U150:U169) ) ^ 2 ) )</f>
        <v>0.01472428666</v>
      </c>
      <c r="X172" s="9">
        <f t="shared" si="4"/>
        <v>1.5</v>
      </c>
      <c r="Y172" s="14"/>
      <c r="Z172" s="12">
        <f t="shared" si="5"/>
        <v>1.000950726</v>
      </c>
      <c r="AA172" s="16">
        <f t="shared" si="8"/>
        <v>101.865773</v>
      </c>
      <c r="AB172" s="14"/>
      <c r="AC172" s="9">
        <f t="shared" si="6"/>
        <v>0</v>
      </c>
    </row>
    <row r="173">
      <c r="A173" s="8">
        <v>41971.0</v>
      </c>
      <c r="B173" s="14"/>
      <c r="C173" s="9">
        <f t="array" ref="C173">IFERROR(
  INDEX(
    IR!$B$2:$E2026,                
    MATCH($A173, IR!$A$2:$A2026, 0), 
    MATCH(C$1, IR!$B$1:$E$1, 0) ), "")
</f>
        <v>0.0002</v>
      </c>
      <c r="D173" s="9">
        <f t="array" ref="D173">IFERROR(
  INDEX(
    IR!$B$2:$E2026,                
    MATCH($A173, IR!$A$2:$A2026, 0), 
    MATCH(D$1, IR!$B$1:$E$1, 0) ), "")
</f>
        <v>0.00082</v>
      </c>
      <c r="E173" s="9">
        <f t="array" ref="E173">IFERROR(
  INDEX(
    IR!$B$2:$E2026,                
    MATCH($A173, IR!$A$2:$A2026, 0), 
    MATCH(E$1, IR!$B$1:$E$1, 0) ), "")
</f>
        <v>0.0018</v>
      </c>
      <c r="F173" s="9">
        <f t="array" ref="F173">IFERROR(
  INDEX(
    IR!$B$2:$E2026,                
    MATCH($A173, IR!$A$2:$A2026, 0), 
    MATCH(F$1, IR!$B$1:$E$1, 0) ), "")
</f>
        <v>0.00331</v>
      </c>
      <c r="G173" s="14"/>
      <c r="H173" s="9">
        <f t="array" ref="H173">IFERROR(
  INDEX(
    SR!$B$2:$D2026,            
    MATCH($A173, SR!$A$2:$A2026, 0),  
    MATCH(H$1, SR!$B$1:$D$1, 0) ), "")
</f>
        <v>0.00208</v>
      </c>
      <c r="I173" s="9">
        <f t="array" ref="I173">IFERROR(
  INDEX(
    SR!$B$2:$D2026,            
    MATCH($A173, SR!$A$2:$A2026, 0),  
    MATCH(I$1, SR!$B$1:$D$1, 0) ), "")
</f>
        <v>0.00257</v>
      </c>
      <c r="J173" s="9">
        <f t="array" ref="J173">IFERROR(
  INDEX(
    SR!$B$2:$D2026,            
    MATCH($A173, SR!$A$2:$A2026, 0),  
    MATCH(J$1, SR!$B$1:$D$1, 0) ), "")
</f>
        <v>0.003969</v>
      </c>
      <c r="K173" s="14"/>
      <c r="L173" s="9">
        <v>122.07</v>
      </c>
      <c r="M173" s="9">
        <v>24.58</v>
      </c>
      <c r="N173" s="9">
        <v>112.64</v>
      </c>
      <c r="O173" s="9">
        <v>120.95</v>
      </c>
      <c r="P173" s="9">
        <v>132.16</v>
      </c>
      <c r="Q173" s="9">
        <v>1377.9036</v>
      </c>
      <c r="R173" s="14"/>
      <c r="S173" s="12">
        <f t="shared" si="2"/>
        <v>0.001025048731</v>
      </c>
      <c r="T173" s="12">
        <f t="shared" si="3"/>
        <v>1.001025049</v>
      </c>
      <c r="U173" s="16">
        <f t="shared" si="7"/>
        <v>101.3676759</v>
      </c>
      <c r="V173" s="17"/>
      <c r="W173" s="12">
        <f t="array" ref="W173">SQRT(252/20) *  SQRT( SUMSQ( LN(U152:U171 / U151:U170) )  - (1/20) * ( SUM( LN(U152:U171 / U151:U170) ) ^ 2 ) )</f>
        <v>0.01437372426</v>
      </c>
      <c r="X173" s="9">
        <f t="shared" si="4"/>
        <v>1.5</v>
      </c>
      <c r="Y173" s="14"/>
      <c r="Z173" s="12">
        <f t="shared" si="5"/>
        <v>1.001537351</v>
      </c>
      <c r="AA173" s="16">
        <f t="shared" si="8"/>
        <v>102.0223764</v>
      </c>
      <c r="AB173" s="14"/>
      <c r="AC173" s="9">
        <f t="shared" si="6"/>
        <v>0</v>
      </c>
    </row>
    <row r="174">
      <c r="A174" s="8">
        <v>41974.0</v>
      </c>
      <c r="B174" s="14"/>
      <c r="C174" s="9">
        <f t="array" ref="C174">IFERROR(
  INDEX(
    IR!$B$2:$E2026,                
    MATCH($A174, IR!$A$2:$A2026, 0), 
    MATCH(C$1, IR!$B$1:$E$1, 0) ), "")
</f>
        <v>0.00021</v>
      </c>
      <c r="D174" s="9">
        <f t="array" ref="D174">IFERROR(
  INDEX(
    IR!$B$2:$E2026,                
    MATCH($A174, IR!$A$2:$A2026, 0), 
    MATCH(D$1, IR!$B$1:$E$1, 0) ), "")
</f>
        <v>0.00082</v>
      </c>
      <c r="E174" s="9">
        <f t="array" ref="E174">IFERROR(
  INDEX(
    IR!$B$2:$E2026,                
    MATCH($A174, IR!$A$2:$A2026, 0), 
    MATCH(E$1, IR!$B$1:$E$1, 0) ), "")
</f>
        <v>0.00179</v>
      </c>
      <c r="F174" s="9">
        <f t="array" ref="F174">IFERROR(
  INDEX(
    IR!$B$2:$E2026,                
    MATCH($A174, IR!$A$2:$A2026, 0), 
    MATCH(F$1, IR!$B$1:$E$1, 0) ), "")
</f>
        <v>0.0033</v>
      </c>
      <c r="G174" s="14"/>
      <c r="H174" s="9">
        <f t="array" ref="H174">IFERROR(
  INDEX(
    SR!$B$2:$D2026,            
    MATCH($A174, SR!$A$2:$A2026, 0),  
    MATCH(H$1, SR!$B$1:$D$1, 0) ), "")
</f>
        <v>0.00222</v>
      </c>
      <c r="I174" s="9">
        <f t="array" ref="I174">IFERROR(
  INDEX(
    SR!$B$2:$D2026,            
    MATCH($A174, SR!$A$2:$A2026, 0),  
    MATCH(I$1, SR!$B$1:$D$1, 0) ), "")
</f>
        <v>0.002747</v>
      </c>
      <c r="J174" s="9">
        <f t="array" ref="J174">IFERROR(
  INDEX(
    SR!$B$2:$D2026,            
    MATCH($A174, SR!$A$2:$A2026, 0),  
    MATCH(J$1, SR!$B$1:$D$1, 0) ), "")
</f>
        <v>0.00441</v>
      </c>
      <c r="K174" s="14"/>
      <c r="L174" s="9">
        <v>122.24</v>
      </c>
      <c r="M174" s="9">
        <v>24.58</v>
      </c>
      <c r="N174" s="9">
        <v>112.62</v>
      </c>
      <c r="O174" s="9">
        <v>120.93</v>
      </c>
      <c r="P174" s="9">
        <v>132.23</v>
      </c>
      <c r="Q174" s="9">
        <v>1377.1292</v>
      </c>
      <c r="R174" s="14"/>
      <c r="S174" s="12">
        <f t="shared" si="2"/>
        <v>0.0001694388046</v>
      </c>
      <c r="T174" s="12">
        <f t="shared" si="3"/>
        <v>1.000169439</v>
      </c>
      <c r="U174" s="16">
        <f t="shared" si="7"/>
        <v>101.3848516</v>
      </c>
      <c r="V174" s="17"/>
      <c r="W174" s="12">
        <f t="array" ref="W174">SQRT(252/20) *  SQRT( SUMSQ( LN(U153:U172 / U152:U171) )  - (1/20) * ( SUM( LN(U153:U172 / U152:U171) ) ^ 2 ) )</f>
        <v>0.01436293644</v>
      </c>
      <c r="X174" s="9">
        <f t="shared" si="4"/>
        <v>1.5</v>
      </c>
      <c r="Y174" s="14"/>
      <c r="Z174" s="12">
        <f t="shared" si="5"/>
        <v>1.000253325</v>
      </c>
      <c r="AA174" s="16">
        <f t="shared" si="8"/>
        <v>102.0482212</v>
      </c>
      <c r="AB174" s="14"/>
      <c r="AC174" s="9">
        <f t="shared" si="6"/>
        <v>0</v>
      </c>
    </row>
    <row r="175">
      <c r="A175" s="8">
        <v>41975.0</v>
      </c>
      <c r="B175" s="14"/>
      <c r="C175" s="9">
        <f t="array" ref="C175">IFERROR(
  INDEX(
    IR!$B$2:$E2026,                
    MATCH($A175, IR!$A$2:$A2026, 0), 
    MATCH(C$1, IR!$B$1:$E$1, 0) ), "")
</f>
        <v>0.00022</v>
      </c>
      <c r="D175" s="9">
        <f t="array" ref="D175">IFERROR(
  INDEX(
    IR!$B$2:$E2026,                
    MATCH($A175, IR!$A$2:$A2026, 0), 
    MATCH(D$1, IR!$B$1:$E$1, 0) ), "")
</f>
        <v>0.00081</v>
      </c>
      <c r="E175" s="9">
        <f t="array" ref="E175">IFERROR(
  INDEX(
    IR!$B$2:$E2026,                
    MATCH($A175, IR!$A$2:$A2026, 0), 
    MATCH(E$1, IR!$B$1:$E$1, 0) ), "")
</f>
        <v>0.00178</v>
      </c>
      <c r="F175" s="9">
        <f t="array" ref="F175">IFERROR(
  INDEX(
    IR!$B$2:$E2026,                
    MATCH($A175, IR!$A$2:$A2026, 0), 
    MATCH(F$1, IR!$B$1:$E$1, 0) ), "")
</f>
        <v>0.00331</v>
      </c>
      <c r="G175" s="14"/>
      <c r="H175" s="9">
        <f t="array" ref="H175">IFERROR(
  INDEX(
    SR!$B$2:$D2026,            
    MATCH($A175, SR!$A$2:$A2026, 0),  
    MATCH(H$1, SR!$B$1:$D$1, 0) ), "")
</f>
        <v>0.00211</v>
      </c>
      <c r="I175" s="9">
        <f t="array" ref="I175">IFERROR(
  INDEX(
    SR!$B$2:$D2026,            
    MATCH($A175, SR!$A$2:$A2026, 0),  
    MATCH(I$1, SR!$B$1:$D$1, 0) ), "")
</f>
        <v>0.002681</v>
      </c>
      <c r="J175" s="9">
        <f t="array" ref="J175">IFERROR(
  INDEX(
    SR!$B$2:$D2026,            
    MATCH($A175, SR!$A$2:$A2026, 0),  
    MATCH(J$1, SR!$B$1:$D$1, 0) ), "")
</f>
        <v>0.004243</v>
      </c>
      <c r="K175" s="14"/>
      <c r="L175" s="9">
        <v>122.36</v>
      </c>
      <c r="M175" s="9">
        <v>24.59</v>
      </c>
      <c r="N175" s="9">
        <v>112.65</v>
      </c>
      <c r="O175" s="9">
        <v>120.7</v>
      </c>
      <c r="P175" s="9">
        <v>131.96</v>
      </c>
      <c r="Q175" s="9">
        <v>1372.2202</v>
      </c>
      <c r="R175" s="14"/>
      <c r="S175" s="12">
        <f t="shared" si="2"/>
        <v>-0.0009755649923</v>
      </c>
      <c r="T175" s="12">
        <f t="shared" si="3"/>
        <v>0.999024435</v>
      </c>
      <c r="U175" s="16">
        <f t="shared" si="7"/>
        <v>101.285944</v>
      </c>
      <c r="V175" s="17"/>
      <c r="W175" s="12">
        <f t="array" ref="W175">SQRT(252/20) *  SQRT( SUMSQ( LN(U154:U173 / U153:U172) )  - (1/20) * ( SUM( LN(U154:U173 / U153:U172) ) ^ 2 ) )</f>
        <v>0.01209538181</v>
      </c>
      <c r="X175" s="9">
        <f t="shared" si="4"/>
        <v>1.5</v>
      </c>
      <c r="Y175" s="14"/>
      <c r="Z175" s="12">
        <f t="shared" si="5"/>
        <v>0.9985363608</v>
      </c>
      <c r="AA175" s="16">
        <f t="shared" si="8"/>
        <v>101.8988594</v>
      </c>
      <c r="AB175" s="14"/>
      <c r="AC175" s="9">
        <f t="shared" si="6"/>
        <v>0</v>
      </c>
    </row>
    <row r="176">
      <c r="A176" s="8">
        <v>41976.0</v>
      </c>
      <c r="B176" s="14"/>
      <c r="C176" s="9">
        <f t="array" ref="C176">IFERROR(
  INDEX(
    IR!$B$2:$E2026,                
    MATCH($A176, IR!$A$2:$A2026, 0), 
    MATCH(C$1, IR!$B$1:$E$1, 0) ), "")
</f>
        <v>0.00022</v>
      </c>
      <c r="D176" s="9">
        <f t="array" ref="D176">IFERROR(
  INDEX(
    IR!$B$2:$E2026,                
    MATCH($A176, IR!$A$2:$A2026, 0), 
    MATCH(D$1, IR!$B$1:$E$1, 0) ), "")
</f>
        <v>0.00081</v>
      </c>
      <c r="E176" s="9">
        <f t="array" ref="E176">IFERROR(
  INDEX(
    IR!$B$2:$E2026,                
    MATCH($A176, IR!$A$2:$A2026, 0), 
    MATCH(E$1, IR!$B$1:$E$1, 0) ), "")
</f>
        <v>0.00176</v>
      </c>
      <c r="F176" s="9">
        <f t="array" ref="F176">IFERROR(
  INDEX(
    IR!$B$2:$E2026,                
    MATCH($A176, IR!$A$2:$A2026, 0), 
    MATCH(F$1, IR!$B$1:$E$1, 0) ), "")
</f>
        <v>0.00328</v>
      </c>
      <c r="G176" s="14"/>
      <c r="H176" s="9">
        <f t="array" ref="H176">IFERROR(
  INDEX(
    SR!$B$2:$D2026,            
    MATCH($A176, SR!$A$2:$A2026, 0),  
    MATCH(H$1, SR!$B$1:$D$1, 0) ), "")
</f>
        <v>0.00205</v>
      </c>
      <c r="I176" s="9">
        <f t="array" ref="I176">IFERROR(
  INDEX(
    SR!$B$2:$D2026,            
    MATCH($A176, SR!$A$2:$A2026, 0),  
    MATCH(I$1, SR!$B$1:$D$1, 0) ), "")
</f>
        <v>0.00256</v>
      </c>
      <c r="J176" s="9">
        <f t="array" ref="J176">IFERROR(
  INDEX(
    SR!$B$2:$D2026,            
    MATCH($A176, SR!$A$2:$A2026, 0),  
    MATCH(J$1, SR!$B$1:$D$1, 0) ), "")
</f>
        <v>0.00404</v>
      </c>
      <c r="K176" s="14"/>
      <c r="L176" s="9">
        <v>122.45</v>
      </c>
      <c r="M176" s="9">
        <v>24.61</v>
      </c>
      <c r="N176" s="9">
        <v>112.61</v>
      </c>
      <c r="O176" s="9">
        <v>120.52</v>
      </c>
      <c r="P176" s="9">
        <v>132.13</v>
      </c>
      <c r="Q176" s="9">
        <v>1372.4721</v>
      </c>
      <c r="R176" s="14"/>
      <c r="S176" s="12">
        <f t="shared" si="2"/>
        <v>0.0001956618482</v>
      </c>
      <c r="T176" s="12">
        <f t="shared" si="3"/>
        <v>1.000195662</v>
      </c>
      <c r="U176" s="16">
        <f t="shared" si="7"/>
        <v>101.3057618</v>
      </c>
      <c r="V176" s="17"/>
      <c r="W176" s="12">
        <f t="array" ref="W176">SQRT(252/20) *  SQRT( SUMSQ( LN(U155:U174 / U154:U173) )  - (1/20) * ( SUM( LN(U155:U174 / U154:U173) ) ^ 2 ) )</f>
        <v>0.01122939045</v>
      </c>
      <c r="X176" s="9">
        <f t="shared" si="4"/>
        <v>1.5</v>
      </c>
      <c r="Y176" s="14"/>
      <c r="Z176" s="12">
        <f t="shared" si="5"/>
        <v>1.000293187</v>
      </c>
      <c r="AA176" s="16">
        <f t="shared" si="8"/>
        <v>101.9287349</v>
      </c>
      <c r="AB176" s="14"/>
      <c r="AC176" s="9">
        <f t="shared" si="6"/>
        <v>0</v>
      </c>
    </row>
    <row r="177">
      <c r="A177" s="8">
        <v>41977.0</v>
      </c>
      <c r="B177" s="14"/>
      <c r="C177" s="9">
        <f t="array" ref="C177">IFERROR(
  INDEX(
    IR!$B$2:$E2026,                
    MATCH($A177, IR!$A$2:$A2026, 0), 
    MATCH(C$1, IR!$B$1:$E$1, 0) ), "")
</f>
        <v>0.00022</v>
      </c>
      <c r="D177" s="9">
        <f t="array" ref="D177">IFERROR(
  INDEX(
    IR!$B$2:$E2026,                
    MATCH($A177, IR!$A$2:$A2026, 0), 
    MATCH(D$1, IR!$B$1:$E$1, 0) ), "")
</f>
        <v>0.00082</v>
      </c>
      <c r="E177" s="9">
        <f t="array" ref="E177">IFERROR(
  INDEX(
    IR!$B$2:$E2026,                
    MATCH($A177, IR!$A$2:$A2026, 0), 
    MATCH(E$1, IR!$B$1:$E$1, 0) ), "")
</f>
        <v>0.00177</v>
      </c>
      <c r="F177" s="9">
        <f t="array" ref="F177">IFERROR(
  INDEX(
    IR!$B$2:$E2026,                
    MATCH($A177, IR!$A$2:$A2026, 0), 
    MATCH(F$1, IR!$B$1:$E$1, 0) ), "")
</f>
        <v>0.00328</v>
      </c>
      <c r="G177" s="14"/>
      <c r="H177" s="9">
        <f t="array" ref="H177">IFERROR(
  INDEX(
    SR!$B$2:$D2026,            
    MATCH($A177, SR!$A$2:$A2026, 0),  
    MATCH(H$1, SR!$B$1:$D$1, 0) ), "")
</f>
        <v>0.00211</v>
      </c>
      <c r="I177" s="9">
        <f t="array" ref="I177">IFERROR(
  INDEX(
    SR!$B$2:$D2026,            
    MATCH($A177, SR!$A$2:$A2026, 0),  
    MATCH(I$1, SR!$B$1:$D$1, 0) ), "")
</f>
        <v>0.00261</v>
      </c>
      <c r="J177" s="9">
        <f t="array" ref="J177">IFERROR(
  INDEX(
    SR!$B$2:$D2026,            
    MATCH($A177, SR!$A$2:$A2026, 0),  
    MATCH(J$1, SR!$B$1:$D$1, 0) ), "")
</f>
        <v>0.004116</v>
      </c>
      <c r="K177" s="14"/>
      <c r="L177" s="9">
        <v>122.31</v>
      </c>
      <c r="M177" s="9">
        <v>24.57</v>
      </c>
      <c r="N177" s="9">
        <v>112.61</v>
      </c>
      <c r="O177" s="9">
        <v>120.74</v>
      </c>
      <c r="P177" s="9">
        <v>132.25</v>
      </c>
      <c r="Q177" s="9">
        <v>1375.8257</v>
      </c>
      <c r="R177" s="14"/>
      <c r="S177" s="12">
        <f t="shared" si="2"/>
        <v>0.0004014861808</v>
      </c>
      <c r="T177" s="12">
        <f t="shared" si="3"/>
        <v>1.000401486</v>
      </c>
      <c r="U177" s="16">
        <f t="shared" si="7"/>
        <v>101.3464347</v>
      </c>
      <c r="V177" s="17"/>
      <c r="W177" s="12">
        <f t="array" ref="W177">SQRT(252/20) *  SQRT( SUMSQ( LN(U156:U175 / U155:U174) )  - (1/20) * ( SUM( LN(U156:U175 / U155:U174) ) ^ 2 ) )</f>
        <v>0.0118139057</v>
      </c>
      <c r="X177" s="9">
        <f t="shared" si="4"/>
        <v>1.5</v>
      </c>
      <c r="Y177" s="14"/>
      <c r="Z177" s="12">
        <f t="shared" si="5"/>
        <v>1.000601924</v>
      </c>
      <c r="AA177" s="16">
        <f t="shared" si="8"/>
        <v>101.9900882</v>
      </c>
      <c r="AB177" s="14"/>
      <c r="AC177" s="9">
        <f t="shared" si="6"/>
        <v>0</v>
      </c>
    </row>
    <row r="178">
      <c r="A178" s="8">
        <v>41978.0</v>
      </c>
      <c r="B178" s="14"/>
      <c r="C178" s="9">
        <f t="array" ref="C178">IFERROR(
  INDEX(
    IR!$B$2:$E2026,                
    MATCH($A178, IR!$A$2:$A2026, 0), 
    MATCH(C$1, IR!$B$1:$E$1, 0) ), "")
</f>
        <v>0.00022</v>
      </c>
      <c r="D178" s="9">
        <f t="array" ref="D178">IFERROR(
  INDEX(
    IR!$B$2:$E2026,                
    MATCH($A178, IR!$A$2:$A2026, 0), 
    MATCH(D$1, IR!$B$1:$E$1, 0) ), "")
</f>
        <v>0.00082</v>
      </c>
      <c r="E178" s="9">
        <f t="array" ref="E178">IFERROR(
  INDEX(
    IR!$B$2:$E2026,                
    MATCH($A178, IR!$A$2:$A2026, 0), 
    MATCH(E$1, IR!$B$1:$E$1, 0) ), "")
</f>
        <v>0.00179</v>
      </c>
      <c r="F178" s="9">
        <f t="array" ref="F178">IFERROR(
  INDEX(
    IR!$B$2:$E2026,                
    MATCH($A178, IR!$A$2:$A2026, 0), 
    MATCH(F$1, IR!$B$1:$E$1, 0) ), "")
</f>
        <v>0.00329</v>
      </c>
      <c r="G178" s="14"/>
      <c r="H178" s="9">
        <f t="array" ref="H178">IFERROR(
  INDEX(
    SR!$B$2:$D2026,            
    MATCH($A178, SR!$A$2:$A2026, 0),  
    MATCH(H$1, SR!$B$1:$D$1, 0) ), "")
</f>
        <v>0.00217</v>
      </c>
      <c r="I178" s="9">
        <f t="array" ref="I178">IFERROR(
  INDEX(
    SR!$B$2:$D2026,            
    MATCH($A178, SR!$A$2:$A2026, 0),  
    MATCH(I$1, SR!$B$1:$D$1, 0) ), "")
</f>
        <v>0.00269</v>
      </c>
      <c r="J178" s="9">
        <f t="array" ref="J178">IFERROR(
  INDEX(
    SR!$B$2:$D2026,            
    MATCH($A178, SR!$A$2:$A2026, 0),  
    MATCH(J$1, SR!$B$1:$D$1, 0) ), "")
</f>
        <v>0.00426</v>
      </c>
      <c r="K178" s="14"/>
      <c r="L178" s="9">
        <v>122.68</v>
      </c>
      <c r="M178" s="9">
        <v>24.59</v>
      </c>
      <c r="N178" s="9">
        <v>112.63</v>
      </c>
      <c r="O178" s="9">
        <v>120.03</v>
      </c>
      <c r="P178" s="9">
        <v>131.69</v>
      </c>
      <c r="Q178" s="9">
        <v>1373.7911</v>
      </c>
      <c r="R178" s="14"/>
      <c r="S178" s="12">
        <f t="shared" si="2"/>
        <v>-0.001262463532</v>
      </c>
      <c r="T178" s="12">
        <f t="shared" si="3"/>
        <v>0.9987375365</v>
      </c>
      <c r="U178" s="16">
        <f t="shared" si="7"/>
        <v>101.2184885</v>
      </c>
      <c r="V178" s="17"/>
      <c r="W178" s="12">
        <f t="array" ref="W178">SQRT(252/20) *  SQRT( SUMSQ( LN(U157:U176 / U156:U175) )  - (1/20) * ( SUM( LN(U157:U176 / U156:U175) ) ^ 2 ) )</f>
        <v>0.01147338385</v>
      </c>
      <c r="X178" s="9">
        <f t="shared" si="4"/>
        <v>1.5</v>
      </c>
      <c r="Y178" s="14"/>
      <c r="Z178" s="12">
        <f t="shared" si="5"/>
        <v>0.9981059991</v>
      </c>
      <c r="AA178" s="16">
        <f t="shared" si="8"/>
        <v>101.7969189</v>
      </c>
      <c r="AB178" s="14"/>
      <c r="AC178" s="9">
        <f t="shared" si="6"/>
        <v>0</v>
      </c>
    </row>
    <row r="179">
      <c r="A179" s="8">
        <v>41981.0</v>
      </c>
      <c r="B179" s="14"/>
      <c r="C179" s="9">
        <f t="array" ref="C179">IFERROR(
  INDEX(
    IR!$B$2:$E2026,                
    MATCH($A179, IR!$A$2:$A2026, 0), 
    MATCH(C$1, IR!$B$1:$E$1, 0) ), "")
</f>
        <v>0.00022</v>
      </c>
      <c r="D179" s="9">
        <f t="array" ref="D179">IFERROR(
  INDEX(
    IR!$B$2:$E2026,                
    MATCH($A179, IR!$A$2:$A2026, 0), 
    MATCH(D$1, IR!$B$1:$E$1, 0) ), "")
</f>
        <v>0.00082</v>
      </c>
      <c r="E179" s="9">
        <f t="array" ref="E179">IFERROR(
  INDEX(
    IR!$B$2:$E2026,                
    MATCH($A179, IR!$A$2:$A2026, 0), 
    MATCH(E$1, IR!$B$1:$E$1, 0) ), "")
</f>
        <v>0.00179</v>
      </c>
      <c r="F179" s="9">
        <f t="array" ref="F179">IFERROR(
  INDEX(
    IR!$B$2:$E2026,                
    MATCH($A179, IR!$A$2:$A2026, 0), 
    MATCH(F$1, IR!$B$1:$E$1, 0) ), "")
</f>
        <v>0.00329</v>
      </c>
      <c r="G179" s="14"/>
      <c r="H179" s="9">
        <f t="array" ref="H179">IFERROR(
  INDEX(
    SR!$B$2:$D2026,            
    MATCH($A179, SR!$A$2:$A2026, 0),  
    MATCH(H$1, SR!$B$1:$D$1, 0) ), "")
</f>
        <v>0.0021</v>
      </c>
      <c r="I179" s="9">
        <f t="array" ref="I179">IFERROR(
  INDEX(
    SR!$B$2:$D2026,            
    MATCH($A179, SR!$A$2:$A2026, 0),  
    MATCH(I$1, SR!$B$1:$D$1, 0) ), "")
</f>
        <v>0.0026</v>
      </c>
      <c r="J179" s="9">
        <f t="array" ref="J179">IFERROR(
  INDEX(
    SR!$B$2:$D2026,            
    MATCH($A179, SR!$A$2:$A2026, 0),  
    MATCH(J$1, SR!$B$1:$D$1, 0) ), "")
</f>
        <v>0.004044</v>
      </c>
      <c r="K179" s="14"/>
      <c r="L179" s="9">
        <v>122.55</v>
      </c>
      <c r="M179" s="9">
        <v>24.58</v>
      </c>
      <c r="N179" s="9">
        <v>112.6</v>
      </c>
      <c r="O179" s="9">
        <v>121.12</v>
      </c>
      <c r="P179" s="9">
        <v>132.72</v>
      </c>
      <c r="Q179" s="9">
        <v>1378.5557</v>
      </c>
      <c r="R179" s="14"/>
      <c r="S179" s="12">
        <f t="shared" si="2"/>
        <v>0.003105434125</v>
      </c>
      <c r="T179" s="12">
        <f t="shared" si="3"/>
        <v>1.003105434</v>
      </c>
      <c r="U179" s="16">
        <f t="shared" si="7"/>
        <v>101.5328159</v>
      </c>
      <c r="V179" s="17"/>
      <c r="W179" s="12">
        <f t="array" ref="W179">SQRT(252/20) *  SQRT( SUMSQ( LN(U158:U177 / U157:U176) )  - (1/20) * ( SUM( LN(U158:U177 / U157:U176) ) ^ 2 ) )</f>
        <v>0.01147356046</v>
      </c>
      <c r="X179" s="9">
        <f t="shared" si="4"/>
        <v>1.5</v>
      </c>
      <c r="Y179" s="14"/>
      <c r="Z179" s="12">
        <f t="shared" si="5"/>
        <v>1.004657235</v>
      </c>
      <c r="AA179" s="16">
        <f t="shared" si="8"/>
        <v>102.271011</v>
      </c>
      <c r="AB179" s="14"/>
      <c r="AC179" s="9">
        <f t="shared" si="6"/>
        <v>0</v>
      </c>
    </row>
    <row r="180">
      <c r="A180" s="8">
        <v>41982.0</v>
      </c>
      <c r="B180" s="14"/>
      <c r="C180" s="9">
        <f t="array" ref="C180">IFERROR(
  INDEX(
    IR!$B$2:$E2026,                
    MATCH($A180, IR!$A$2:$A2026, 0), 
    MATCH(C$1, IR!$B$1:$E$1, 0) ), "")
</f>
        <v>0.00024</v>
      </c>
      <c r="D180" s="9">
        <f t="array" ref="D180">IFERROR(
  INDEX(
    IR!$B$2:$E2026,                
    MATCH($A180, IR!$A$2:$A2026, 0), 
    MATCH(D$1, IR!$B$1:$E$1, 0) ), "")
</f>
        <v>0.00082</v>
      </c>
      <c r="E180" s="9">
        <f t="array" ref="E180">IFERROR(
  INDEX(
    IR!$B$2:$E2026,                
    MATCH($A180, IR!$A$2:$A2026, 0), 
    MATCH(E$1, IR!$B$1:$E$1, 0) ), "")
</f>
        <v>0.00177</v>
      </c>
      <c r="F180" s="9">
        <f t="array" ref="F180">IFERROR(
  INDEX(
    IR!$B$2:$E2026,                
    MATCH($A180, IR!$A$2:$A2026, 0), 
    MATCH(F$1, IR!$B$1:$E$1, 0) ), "")
</f>
        <v>0.00329</v>
      </c>
      <c r="G180" s="14"/>
      <c r="H180" s="9">
        <f t="array" ref="H180">IFERROR(
  INDEX(
    SR!$B$2:$D2026,            
    MATCH($A180, SR!$A$2:$A2026, 0),  
    MATCH(H$1, SR!$B$1:$D$1, 0) ), "")
</f>
        <v>0.002088</v>
      </c>
      <c r="I180" s="9">
        <f t="array" ref="I180">IFERROR(
  INDEX(
    SR!$B$2:$D2026,            
    MATCH($A180, SR!$A$2:$A2026, 0),  
    MATCH(I$1, SR!$B$1:$D$1, 0) ), "")
</f>
        <v>0.002645</v>
      </c>
      <c r="J180" s="9">
        <f t="array" ref="J180">IFERROR(
  INDEX(
    SR!$B$2:$D2026,            
    MATCH($A180, SR!$A$2:$A2026, 0),  
    MATCH(J$1, SR!$B$1:$D$1, 0) ), "")
</f>
        <v>0.00411</v>
      </c>
      <c r="K180" s="14"/>
      <c r="L180" s="9">
        <v>122.18</v>
      </c>
      <c r="M180" s="9">
        <v>24.57</v>
      </c>
      <c r="N180" s="9">
        <v>112.55</v>
      </c>
      <c r="O180" s="9">
        <v>121.0</v>
      </c>
      <c r="P180" s="9">
        <v>132.42</v>
      </c>
      <c r="Q180" s="9">
        <v>1375.0776</v>
      </c>
      <c r="R180" s="14"/>
      <c r="S180" s="12">
        <f t="shared" si="2"/>
        <v>-0.001606978367</v>
      </c>
      <c r="T180" s="12">
        <f t="shared" si="3"/>
        <v>0.9983930216</v>
      </c>
      <c r="U180" s="16">
        <f t="shared" si="7"/>
        <v>101.3696548</v>
      </c>
      <c r="V180" s="17"/>
      <c r="W180" s="12">
        <f t="array" ref="W180">SQRT(252/20) *  SQRT( SUMSQ( LN(U159:U178 / U158:U177) )  - (1/20) * ( SUM( LN(U159:U178 / U158:U177) ) ^ 2 ) )</f>
        <v>0.01267512786</v>
      </c>
      <c r="X180" s="9">
        <f t="shared" si="4"/>
        <v>1.5</v>
      </c>
      <c r="Y180" s="14"/>
      <c r="Z180" s="12">
        <f t="shared" si="5"/>
        <v>0.9975892269</v>
      </c>
      <c r="AA180" s="16">
        <f t="shared" si="8"/>
        <v>102.0244588</v>
      </c>
      <c r="AB180" s="14"/>
      <c r="AC180" s="9">
        <f t="shared" si="6"/>
        <v>0</v>
      </c>
    </row>
    <row r="181">
      <c r="A181" s="8">
        <v>41983.0</v>
      </c>
      <c r="B181" s="14"/>
      <c r="C181" s="9">
        <f t="array" ref="C181">IFERROR(
  INDEX(
    IR!$B$2:$E2026,                
    MATCH($A181, IR!$A$2:$A2026, 0), 
    MATCH(C$1, IR!$B$1:$E$1, 0) ), "")
</f>
        <v>0.00022</v>
      </c>
      <c r="D181" s="9">
        <f t="array" ref="D181">IFERROR(
  INDEX(
    IR!$B$2:$E2026,                
    MATCH($A181, IR!$A$2:$A2026, 0), 
    MATCH(D$1, IR!$B$1:$E$1, 0) ), "")
</f>
        <v>0.00083</v>
      </c>
      <c r="E181" s="9">
        <f t="array" ref="E181">IFERROR(
  INDEX(
    IR!$B$2:$E2026,                
    MATCH($A181, IR!$A$2:$A2026, 0), 
    MATCH(E$1, IR!$B$1:$E$1, 0) ), "")
</f>
        <v>0.00179</v>
      </c>
      <c r="F181" s="9">
        <f t="array" ref="F181">IFERROR(
  INDEX(
    IR!$B$2:$E2026,                
    MATCH($A181, IR!$A$2:$A2026, 0), 
    MATCH(F$1, IR!$B$1:$E$1, 0) ), "")
</f>
        <v>0.00328</v>
      </c>
      <c r="G181" s="14"/>
      <c r="H181" s="9">
        <f t="array" ref="H181">IFERROR(
  INDEX(
    SR!$B$2:$D2026,            
    MATCH($A181, SR!$A$2:$A2026, 0),  
    MATCH(H$1, SR!$B$1:$D$1, 0) ), "")
</f>
        <v>0.00212</v>
      </c>
      <c r="I181" s="9">
        <f t="array" ref="I181">IFERROR(
  INDEX(
    SR!$B$2:$D2026,            
    MATCH($A181, SR!$A$2:$A2026, 0),  
    MATCH(I$1, SR!$B$1:$D$1, 0) ), "")
</f>
        <v>0.00263</v>
      </c>
      <c r="J181" s="9">
        <f t="array" ref="J181">IFERROR(
  INDEX(
    SR!$B$2:$D2026,            
    MATCH($A181, SR!$A$2:$A2026, 0),  
    MATCH(J$1, SR!$B$1:$D$1, 0) ), "")
</f>
        <v>0.00403</v>
      </c>
      <c r="K181" s="14"/>
      <c r="L181" s="9">
        <v>122.09</v>
      </c>
      <c r="M181" s="9">
        <v>24.56</v>
      </c>
      <c r="N181" s="9">
        <v>112.51</v>
      </c>
      <c r="O181" s="9">
        <v>120.08</v>
      </c>
      <c r="P181" s="9">
        <v>131.72</v>
      </c>
      <c r="Q181" s="9">
        <v>1369.1581</v>
      </c>
      <c r="R181" s="14"/>
      <c r="S181" s="12">
        <f t="shared" si="2"/>
        <v>-0.003114747659</v>
      </c>
      <c r="T181" s="12">
        <f t="shared" si="3"/>
        <v>0.9968852523</v>
      </c>
      <c r="U181" s="16">
        <f t="shared" si="7"/>
        <v>101.0539139</v>
      </c>
      <c r="V181" s="17"/>
      <c r="W181" s="12">
        <f t="array" ref="W181">SQRT(252/20) *  SQRT( SUMSQ( LN(U160:U179 / U159:U178) )  - (1/20) * ( SUM( LN(U160:U179 / U159:U178) ) ^ 2 ) )</f>
        <v>0.01612049374</v>
      </c>
      <c r="X181" s="9">
        <f t="shared" si="4"/>
        <v>1.5</v>
      </c>
      <c r="Y181" s="14"/>
      <c r="Z181" s="12">
        <f t="shared" si="5"/>
        <v>0.9953275452</v>
      </c>
      <c r="AA181" s="16">
        <f t="shared" si="8"/>
        <v>101.5477541</v>
      </c>
      <c r="AB181" s="14"/>
      <c r="AC181" s="9">
        <f t="shared" si="6"/>
        <v>0</v>
      </c>
    </row>
    <row r="182">
      <c r="A182" s="8">
        <v>41984.0</v>
      </c>
      <c r="B182" s="14"/>
      <c r="C182" s="9">
        <f t="array" ref="C182">IFERROR(
  INDEX(
    IR!$B$2:$E2026,                
    MATCH($A182, IR!$A$2:$A2026, 0), 
    MATCH(C$1, IR!$B$1:$E$1, 0) ), "")
</f>
        <v>0.00022</v>
      </c>
      <c r="D182" s="9">
        <f t="array" ref="D182">IFERROR(
  INDEX(
    IR!$B$2:$E2026,                
    MATCH($A182, IR!$A$2:$A2026, 0), 
    MATCH(D$1, IR!$B$1:$E$1, 0) ), "")
</f>
        <v>0.00082</v>
      </c>
      <c r="E182" s="9">
        <f t="array" ref="E182">IFERROR(
  INDEX(
    IR!$B$2:$E2026,                
    MATCH($A182, IR!$A$2:$A2026, 0), 
    MATCH(E$1, IR!$B$1:$E$1, 0) ), "")
</f>
        <v>0.00179</v>
      </c>
      <c r="F182" s="9">
        <f t="array" ref="F182">IFERROR(
  INDEX(
    IR!$B$2:$E2026,                
    MATCH($A182, IR!$A$2:$A2026, 0), 
    MATCH(F$1, IR!$B$1:$E$1, 0) ), "")
</f>
        <v>0.00328</v>
      </c>
      <c r="G182" s="14"/>
      <c r="H182" s="9">
        <f t="array" ref="H182">IFERROR(
  INDEX(
    SR!$B$2:$D2026,            
    MATCH($A182, SR!$A$2:$A2026, 0),  
    MATCH(H$1, SR!$B$1:$D$1, 0) ), "")
</f>
        <v>0.00209</v>
      </c>
      <c r="I182" s="9">
        <f t="array" ref="I182">IFERROR(
  INDEX(
    SR!$B$2:$D2026,            
    MATCH($A182, SR!$A$2:$A2026, 0),  
    MATCH(I$1, SR!$B$1:$D$1, 0) ), "")
</f>
        <v>0.00259</v>
      </c>
      <c r="J182" s="9">
        <f t="array" ref="J182">IFERROR(
  INDEX(
    SR!$B$2:$D2026,            
    MATCH($A182, SR!$A$2:$A2026, 0),  
    MATCH(J$1, SR!$B$1:$D$1, 0) ), "")
</f>
        <v>0.004033</v>
      </c>
      <c r="K182" s="14"/>
      <c r="L182" s="9">
        <v>121.96</v>
      </c>
      <c r="M182" s="9">
        <v>24.55</v>
      </c>
      <c r="N182" s="9">
        <v>112.46</v>
      </c>
      <c r="O182" s="9">
        <v>120.01</v>
      </c>
      <c r="P182" s="9">
        <v>131.49</v>
      </c>
      <c r="Q182" s="9">
        <v>1363.3554</v>
      </c>
      <c r="R182" s="14"/>
      <c r="S182" s="12">
        <f t="shared" si="2"/>
        <v>-0.001413788924</v>
      </c>
      <c r="T182" s="12">
        <f t="shared" si="3"/>
        <v>0.9985862111</v>
      </c>
      <c r="U182" s="16">
        <f t="shared" si="7"/>
        <v>100.911045</v>
      </c>
      <c r="V182" s="17"/>
      <c r="W182" s="12">
        <f t="array" ref="W182">SQRT(252/20) *  SQRT( SUMSQ( LN(U161:U180 / U160:U179) )  - (1/20) * ( SUM( LN(U161:U180 / U160:U179) ) ^ 2 ) )</f>
        <v>0.01737966244</v>
      </c>
      <c r="X182" s="9">
        <f t="shared" si="4"/>
        <v>1.5</v>
      </c>
      <c r="Y182" s="14"/>
      <c r="Z182" s="12">
        <f t="shared" si="5"/>
        <v>0.9978790111</v>
      </c>
      <c r="AA182" s="16">
        <f t="shared" si="8"/>
        <v>101.3323725</v>
      </c>
      <c r="AB182" s="14"/>
      <c r="AC182" s="9">
        <f t="shared" si="6"/>
        <v>0</v>
      </c>
    </row>
    <row r="183">
      <c r="A183" s="8">
        <v>41985.0</v>
      </c>
      <c r="B183" s="14"/>
      <c r="C183" s="9">
        <f t="array" ref="C183">IFERROR(
  INDEX(
    IR!$B$2:$E2026,                
    MATCH($A183, IR!$A$2:$A2026, 0), 
    MATCH(C$1, IR!$B$1:$E$1, 0) ), "")
</f>
        <v>0.00023</v>
      </c>
      <c r="D183" s="9">
        <f t="array" ref="D183">IFERROR(
  INDEX(
    IR!$B$2:$E2026,                
    MATCH($A183, IR!$A$2:$A2026, 0), 
    MATCH(D$1, IR!$B$1:$E$1, 0) ), "")
</f>
        <v>0.00082</v>
      </c>
      <c r="E183" s="9">
        <f t="array" ref="E183">IFERROR(
  INDEX(
    IR!$B$2:$E2026,                
    MATCH($A183, IR!$A$2:$A2026, 0), 
    MATCH(E$1, IR!$B$1:$E$1, 0) ), "")
</f>
        <v>0.00178</v>
      </c>
      <c r="F183" s="9">
        <f t="array" ref="F183">IFERROR(
  INDEX(
    IR!$B$2:$E2026,                
    MATCH($A183, IR!$A$2:$A2026, 0), 
    MATCH(F$1, IR!$B$1:$E$1, 0) ), "")
</f>
        <v>0.00329</v>
      </c>
      <c r="G183" s="14"/>
      <c r="H183" s="9">
        <f t="array" ref="H183">IFERROR(
  INDEX(
    SR!$B$2:$D2026,            
    MATCH($A183, SR!$A$2:$A2026, 0),  
    MATCH(H$1, SR!$B$1:$D$1, 0) ), "")
</f>
        <v>0.00206</v>
      </c>
      <c r="I183" s="9">
        <f t="array" ref="I183">IFERROR(
  INDEX(
    SR!$B$2:$D2026,            
    MATCH($A183, SR!$A$2:$A2026, 0),  
    MATCH(I$1, SR!$B$1:$D$1, 0) ), "")
</f>
        <v>0.00255</v>
      </c>
      <c r="J183" s="9">
        <f t="array" ref="J183">IFERROR(
  INDEX(
    SR!$B$2:$D2026,            
    MATCH($A183, SR!$A$2:$A2026, 0),  
    MATCH(J$1, SR!$B$1:$D$1, 0) ), "")
</f>
        <v>0.00388</v>
      </c>
      <c r="K183" s="14"/>
      <c r="L183" s="9">
        <v>121.42</v>
      </c>
      <c r="M183" s="9">
        <v>24.53</v>
      </c>
      <c r="N183" s="9">
        <v>112.38</v>
      </c>
      <c r="O183" s="9">
        <v>120.25</v>
      </c>
      <c r="P183" s="9">
        <v>131.86</v>
      </c>
      <c r="Q183" s="9">
        <v>1364.9927</v>
      </c>
      <c r="R183" s="14"/>
      <c r="S183" s="12">
        <f t="shared" si="2"/>
        <v>0.00001027610498</v>
      </c>
      <c r="T183" s="12">
        <f t="shared" si="3"/>
        <v>1.000010276</v>
      </c>
      <c r="U183" s="16">
        <f t="shared" si="7"/>
        <v>100.912082</v>
      </c>
      <c r="V183" s="17"/>
      <c r="W183" s="12">
        <f t="array" ref="W183">SQRT(252/20) *  SQRT( SUMSQ( LN(U162:U181 / U161:U180) )  - (1/20) * ( SUM( LN(U162:U181 / U161:U180) ) ^ 2 ) )</f>
        <v>0.02090365311</v>
      </c>
      <c r="X183" s="9">
        <f t="shared" si="4"/>
        <v>1.5</v>
      </c>
      <c r="Y183" s="14"/>
      <c r="Z183" s="12">
        <f t="shared" si="5"/>
        <v>1.000015109</v>
      </c>
      <c r="AA183" s="16">
        <f t="shared" si="8"/>
        <v>101.3339035</v>
      </c>
      <c r="AB183" s="14"/>
      <c r="AC183" s="9">
        <f t="shared" si="6"/>
        <v>0</v>
      </c>
    </row>
    <row r="184">
      <c r="A184" s="8">
        <v>41988.0</v>
      </c>
      <c r="B184" s="14"/>
      <c r="C184" s="9">
        <f t="array" ref="C184">IFERROR(
  INDEX(
    IR!$B$2:$E2026,                
    MATCH($A184, IR!$A$2:$A2026, 0), 
    MATCH(C$1, IR!$B$1:$E$1, 0) ), "")
</f>
        <v>0.00024</v>
      </c>
      <c r="D184" s="9">
        <f t="array" ref="D184">IFERROR(
  INDEX(
    IR!$B$2:$E2026,                
    MATCH($A184, IR!$A$2:$A2026, 0), 
    MATCH(D$1, IR!$B$1:$E$1, 0) ), "")
</f>
        <v>0.00082</v>
      </c>
      <c r="E184" s="9">
        <f t="array" ref="E184">IFERROR(
  INDEX(
    IR!$B$2:$E2026,                
    MATCH($A184, IR!$A$2:$A2026, 0), 
    MATCH(E$1, IR!$B$1:$E$1, 0) ), "")
</f>
        <v>0.00178</v>
      </c>
      <c r="F184" s="9">
        <f t="array" ref="F184">IFERROR(
  INDEX(
    IR!$B$2:$E2026,                
    MATCH($A184, IR!$A$2:$A2026, 0), 
    MATCH(F$1, IR!$B$1:$E$1, 0) ), "")
</f>
        <v>0.00329</v>
      </c>
      <c r="G184" s="14"/>
      <c r="H184" s="9">
        <f t="array" ref="H184">IFERROR(
  INDEX(
    SR!$B$2:$D2026,            
    MATCH($A184, SR!$A$2:$A2026, 0),  
    MATCH(H$1, SR!$B$1:$D$1, 0) ), "")
</f>
        <v>0.00199</v>
      </c>
      <c r="I184" s="9">
        <f t="array" ref="I184">IFERROR(
  INDEX(
    SR!$B$2:$D2026,            
    MATCH($A184, SR!$A$2:$A2026, 0),  
    MATCH(I$1, SR!$B$1:$D$1, 0) ), "")
</f>
        <v>0.0025</v>
      </c>
      <c r="J184" s="9">
        <f t="array" ref="J184">IFERROR(
  INDEX(
    SR!$B$2:$D2026,            
    MATCH($A184, SR!$A$2:$A2026, 0),  
    MATCH(J$1, SR!$B$1:$D$1, 0) ), "")
</f>
        <v>0.00391</v>
      </c>
      <c r="K184" s="14"/>
      <c r="L184" s="9">
        <v>120.65</v>
      </c>
      <c r="M184" s="9">
        <v>24.52</v>
      </c>
      <c r="N184" s="9">
        <v>112.31</v>
      </c>
      <c r="O184" s="9">
        <v>119.0</v>
      </c>
      <c r="P184" s="9">
        <v>130.91</v>
      </c>
      <c r="Q184" s="9">
        <v>1357.3644</v>
      </c>
      <c r="R184" s="14"/>
      <c r="S184" s="12">
        <f t="shared" si="2"/>
        <v>-0.005091908871</v>
      </c>
      <c r="T184" s="12">
        <f t="shared" si="3"/>
        <v>0.9949080911</v>
      </c>
      <c r="U184" s="16">
        <f t="shared" si="7"/>
        <v>100.3982469</v>
      </c>
      <c r="V184" s="17"/>
      <c r="W184" s="12">
        <f t="array" ref="W184">SQRT(252/20) *  SQRT( SUMSQ( LN(U163:U182 / U162:U181) )  - (1/20) * ( SUM( LN(U163:U182 / U162:U181) ) ^ 2 ) )</f>
        <v>0.02134420048</v>
      </c>
      <c r="X184" s="9">
        <f t="shared" si="4"/>
        <v>1.5</v>
      </c>
      <c r="Y184" s="14"/>
      <c r="Z184" s="12">
        <f t="shared" si="5"/>
        <v>0.9923611784</v>
      </c>
      <c r="AA184" s="16">
        <f t="shared" si="8"/>
        <v>100.5598318</v>
      </c>
      <c r="AB184" s="14"/>
      <c r="AC184" s="9">
        <f t="shared" si="6"/>
        <v>0</v>
      </c>
    </row>
    <row r="185">
      <c r="A185" s="8">
        <v>41989.0</v>
      </c>
      <c r="B185" s="14"/>
      <c r="C185" s="9">
        <f t="array" ref="C185">IFERROR(
  INDEX(
    IR!$B$2:$E2026,                
    MATCH($A185, IR!$A$2:$A2026, 0), 
    MATCH(C$1, IR!$B$1:$E$1, 0) ), "")
</f>
        <v>0.00025</v>
      </c>
      <c r="D185" s="9">
        <f t="array" ref="D185">IFERROR(
  INDEX(
    IR!$B$2:$E2026,                
    MATCH($A185, IR!$A$2:$A2026, 0), 
    MATCH(D$1, IR!$B$1:$E$1, 0) ), "")
</f>
        <v>0.00082</v>
      </c>
      <c r="E185" s="9">
        <f t="array" ref="E185">IFERROR(
  INDEX(
    IR!$B$2:$E2026,                
    MATCH($A185, IR!$A$2:$A2026, 0), 
    MATCH(E$1, IR!$B$1:$E$1, 0) ), "")
</f>
        <v>0.00179</v>
      </c>
      <c r="F185" s="9">
        <f t="array" ref="F185">IFERROR(
  INDEX(
    IR!$B$2:$E2026,                
    MATCH($A185, IR!$A$2:$A2026, 0), 
    MATCH(F$1, IR!$B$1:$E$1, 0) ), "")
</f>
        <v>0.00329</v>
      </c>
      <c r="G185" s="14"/>
      <c r="H185" s="9">
        <f t="array" ref="H185">IFERROR(
  INDEX(
    SR!$B$2:$D2026,            
    MATCH($A185, SR!$A$2:$A2026, 0),  
    MATCH(H$1, SR!$B$1:$D$1, 0) ), "")
</f>
        <v>0.00206</v>
      </c>
      <c r="I185" s="9">
        <f t="array" ref="I185">IFERROR(
  INDEX(
    SR!$B$2:$D2026,            
    MATCH($A185, SR!$A$2:$A2026, 0),  
    MATCH(I$1, SR!$B$1:$D$1, 0) ), "")
</f>
        <v>0.00245</v>
      </c>
      <c r="J185" s="9">
        <f t="array" ref="J185">IFERROR(
  INDEX(
    SR!$B$2:$D2026,            
    MATCH($A185, SR!$A$2:$A2026, 0),  
    MATCH(J$1, SR!$B$1:$D$1, 0) ), "")
</f>
        <v>0.003846</v>
      </c>
      <c r="K185" s="14"/>
      <c r="L185" s="9">
        <v>120.65</v>
      </c>
      <c r="M185" s="9">
        <v>24.5</v>
      </c>
      <c r="N185" s="9">
        <v>112.08</v>
      </c>
      <c r="O185" s="9">
        <v>117.77</v>
      </c>
      <c r="P185" s="9">
        <v>130.45</v>
      </c>
      <c r="Q185" s="9">
        <v>1351.2267</v>
      </c>
      <c r="R185" s="14"/>
      <c r="S185" s="12">
        <f t="shared" si="2"/>
        <v>-0.003538259888</v>
      </c>
      <c r="T185" s="12">
        <f t="shared" si="3"/>
        <v>0.9964617401</v>
      </c>
      <c r="U185" s="16">
        <f t="shared" si="7"/>
        <v>100.0430118</v>
      </c>
      <c r="V185" s="17"/>
      <c r="W185" s="12">
        <f t="array" ref="W185">SQRT(252/20) *  SQRT( SUMSQ( LN(U164:U183 / U163:U182) )  - (1/20) * ( SUM( LN(U164:U183 / U163:U182) ) ^ 2 ) )</f>
        <v>0.02103683642</v>
      </c>
      <c r="X185" s="9">
        <f t="shared" si="4"/>
        <v>1.5</v>
      </c>
      <c r="Y185" s="14"/>
      <c r="Z185" s="12">
        <f t="shared" si="5"/>
        <v>0.9946922768</v>
      </c>
      <c r="AA185" s="16">
        <f t="shared" si="8"/>
        <v>100.0260881</v>
      </c>
      <c r="AB185" s="14"/>
      <c r="AC185" s="9">
        <f t="shared" si="6"/>
        <v>0</v>
      </c>
    </row>
    <row r="186">
      <c r="A186" s="8">
        <v>41990.0</v>
      </c>
      <c r="B186" s="14"/>
      <c r="C186" s="9">
        <f t="array" ref="C186">IFERROR(
  INDEX(
    IR!$B$2:$E2026,                
    MATCH($A186, IR!$A$2:$A2026, 0), 
    MATCH(C$1, IR!$B$1:$E$1, 0) ), "")
</f>
        <v>0.00026</v>
      </c>
      <c r="D186" s="9">
        <f t="array" ref="D186">IFERROR(
  INDEX(
    IR!$B$2:$E2026,                
    MATCH($A186, IR!$A$2:$A2026, 0), 
    MATCH(D$1, IR!$B$1:$E$1, 0) ), "")
</f>
        <v>0.00081</v>
      </c>
      <c r="E186" s="9">
        <f t="array" ref="E186">IFERROR(
  INDEX(
    IR!$B$2:$E2026,                
    MATCH($A186, IR!$A$2:$A2026, 0), 
    MATCH(E$1, IR!$B$1:$E$1, 0) ), "")
</f>
        <v>0.00178</v>
      </c>
      <c r="F186" s="9">
        <f t="array" ref="F186">IFERROR(
  INDEX(
    IR!$B$2:$E2026,                
    MATCH($A186, IR!$A$2:$A2026, 0), 
    MATCH(F$1, IR!$B$1:$E$1, 0) ), "")
</f>
        <v>0.0033</v>
      </c>
      <c r="G186" s="14"/>
      <c r="H186" s="9">
        <f t="array" ref="H186">IFERROR(
  INDEX(
    SR!$B$2:$D2026,            
    MATCH($A186, SR!$A$2:$A2026, 0),  
    MATCH(H$1, SR!$B$1:$D$1, 0) ), "")
</f>
        <v>0.00201</v>
      </c>
      <c r="I186" s="9">
        <f t="array" ref="I186">IFERROR(
  INDEX(
    SR!$B$2:$D2026,            
    MATCH($A186, SR!$A$2:$A2026, 0),  
    MATCH(I$1, SR!$B$1:$D$1, 0) ), "")
</f>
        <v>0.002523</v>
      </c>
      <c r="J186" s="9">
        <f t="array" ref="J186">IFERROR(
  INDEX(
    SR!$B$2:$D2026,            
    MATCH($A186, SR!$A$2:$A2026, 0),  
    MATCH(J$1, SR!$B$1:$D$1, 0) ), "")
</f>
        <v>0.003958</v>
      </c>
      <c r="K186" s="14"/>
      <c r="L186" s="9">
        <v>120.69</v>
      </c>
      <c r="M186" s="9">
        <v>24.51</v>
      </c>
      <c r="N186" s="9">
        <v>112.08</v>
      </c>
      <c r="O186" s="9">
        <v>118.95</v>
      </c>
      <c r="P186" s="9">
        <v>130.31</v>
      </c>
      <c r="Q186" s="9">
        <v>1349.1486</v>
      </c>
      <c r="R186" s="14"/>
      <c r="S186" s="12">
        <f t="shared" si="2"/>
        <v>0.001357317396</v>
      </c>
      <c r="T186" s="12">
        <f t="shared" si="3"/>
        <v>1.001357317</v>
      </c>
      <c r="U186" s="16">
        <f t="shared" si="7"/>
        <v>100.1788019</v>
      </c>
      <c r="V186" s="17"/>
      <c r="W186" s="12">
        <f t="array" ref="W186">SQRT(252/20) *  SQRT( SUMSQ( LN(U165:U184 / U164:U183) )  - (1/20) * ( SUM( LN(U165:U184 / U164:U183) ) ^ 2 ) )</f>
        <v>0.02753220757</v>
      </c>
      <c r="X186" s="9">
        <f t="shared" si="4"/>
        <v>1.5</v>
      </c>
      <c r="Y186" s="14"/>
      <c r="Z186" s="12">
        <f t="shared" si="5"/>
        <v>1.002035629</v>
      </c>
      <c r="AA186" s="16">
        <f t="shared" si="8"/>
        <v>100.2297041</v>
      </c>
      <c r="AB186" s="14"/>
      <c r="AC186" s="9">
        <f t="shared" si="6"/>
        <v>0</v>
      </c>
    </row>
    <row r="187">
      <c r="A187" s="8">
        <v>41991.0</v>
      </c>
      <c r="B187" s="14"/>
      <c r="C187" s="9">
        <f t="array" ref="C187">IFERROR(
  INDEX(
    IR!$B$2:$E2026,                
    MATCH($A187, IR!$A$2:$A2026, 0), 
    MATCH(C$1, IR!$B$1:$E$1, 0) ), "")
</f>
        <v>0.00025</v>
      </c>
      <c r="D187" s="9">
        <f t="array" ref="D187">IFERROR(
  INDEX(
    IR!$B$2:$E2026,                
    MATCH($A187, IR!$A$2:$A2026, 0), 
    MATCH(D$1, IR!$B$1:$E$1, 0) ), "")
</f>
        <v>0.00079</v>
      </c>
      <c r="E187" s="9">
        <f t="array" ref="E187">IFERROR(
  INDEX(
    IR!$B$2:$E2026,                
    MATCH($A187, IR!$A$2:$A2026, 0), 
    MATCH(E$1, IR!$B$1:$E$1, 0) ), "")
</f>
        <v>0.00176</v>
      </c>
      <c r="F187" s="9">
        <f t="array" ref="F187">IFERROR(
  INDEX(
    IR!$B$2:$E2026,                
    MATCH($A187, IR!$A$2:$A2026, 0), 
    MATCH(F$1, IR!$B$1:$E$1, 0) ), "")
</f>
        <v>0.00328</v>
      </c>
      <c r="G187" s="14"/>
      <c r="H187" s="9">
        <f t="array" ref="H187">IFERROR(
  INDEX(
    SR!$B$2:$D2026,            
    MATCH($A187, SR!$A$2:$A2026, 0),  
    MATCH(H$1, SR!$B$1:$D$1, 0) ), "")
</f>
        <v>0.001988</v>
      </c>
      <c r="I187" s="9">
        <f t="array" ref="I187">IFERROR(
  INDEX(
    SR!$B$2:$D2026,            
    MATCH($A187, SR!$A$2:$A2026, 0),  
    MATCH(I$1, SR!$B$1:$D$1, 0) ), "")
</f>
        <v>0.002529</v>
      </c>
      <c r="J187" s="9">
        <f t="array" ref="J187">IFERROR(
  INDEX(
    SR!$B$2:$D2026,            
    MATCH($A187, SR!$A$2:$A2026, 0),  
    MATCH(J$1, SR!$B$1:$D$1, 0) ), "")
</f>
        <v>0.004033</v>
      </c>
      <c r="K187" s="14"/>
      <c r="L187" s="9">
        <v>121.36</v>
      </c>
      <c r="M187" s="9">
        <v>24.54</v>
      </c>
      <c r="N187" s="9">
        <v>112.09</v>
      </c>
      <c r="O187" s="9">
        <v>119.02</v>
      </c>
      <c r="P187" s="9">
        <v>130.96</v>
      </c>
      <c r="Q187" s="9">
        <v>1355.7125</v>
      </c>
      <c r="R187" s="14"/>
      <c r="S187" s="12">
        <f t="shared" si="2"/>
        <v>0.00288373763</v>
      </c>
      <c r="T187" s="12">
        <f t="shared" si="3"/>
        <v>1.002883738</v>
      </c>
      <c r="U187" s="16">
        <f t="shared" si="7"/>
        <v>100.4676913</v>
      </c>
      <c r="V187" s="17"/>
      <c r="W187" s="12">
        <f t="array" ref="W187">SQRT(252/20) *  SQRT( SUMSQ( LN(U166:U185 / U165:U184) )  - (1/20) * ( SUM( LN(U166:U185 / U165:U184) ) ^ 2 ) )</f>
        <v>0.02970068975</v>
      </c>
      <c r="X187" s="9">
        <f t="shared" si="4"/>
        <v>1.5</v>
      </c>
      <c r="Y187" s="14"/>
      <c r="Z187" s="12">
        <f t="shared" si="5"/>
        <v>1.004325245</v>
      </c>
      <c r="AA187" s="16">
        <f t="shared" si="8"/>
        <v>100.6632221</v>
      </c>
      <c r="AB187" s="14"/>
      <c r="AC187" s="9">
        <f t="shared" si="6"/>
        <v>0</v>
      </c>
    </row>
    <row r="188">
      <c r="A188" s="8">
        <v>41992.0</v>
      </c>
      <c r="B188" s="14"/>
      <c r="C188" s="9">
        <f t="array" ref="C188">IFERROR(
  INDEX(
    IR!$B$2:$E2026,                
    MATCH($A188, IR!$A$2:$A2026, 0), 
    MATCH(C$1, IR!$B$1:$E$1, 0) ), "")
</f>
        <v>0.00026</v>
      </c>
      <c r="D188" s="9">
        <f t="array" ref="D188">IFERROR(
  INDEX(
    IR!$B$2:$E2026,                
    MATCH($A188, IR!$A$2:$A2026, 0), 
    MATCH(D$1, IR!$B$1:$E$1, 0) ), "")
</f>
        <v>0.00081</v>
      </c>
      <c r="E188" s="9">
        <f t="array" ref="E188">IFERROR(
  INDEX(
    IR!$B$2:$E2026,                
    MATCH($A188, IR!$A$2:$A2026, 0), 
    MATCH(E$1, IR!$B$1:$E$1, 0) ), "")
</f>
        <v>0.00177</v>
      </c>
      <c r="F188" s="9">
        <f t="array" ref="F188">IFERROR(
  INDEX(
    IR!$B$2:$E2026,                
    MATCH($A188, IR!$A$2:$A2026, 0), 
    MATCH(F$1, IR!$B$1:$E$1, 0) ), "")
</f>
        <v>0.00329</v>
      </c>
      <c r="G188" s="14"/>
      <c r="H188" s="9">
        <f t="array" ref="H188">IFERROR(
  INDEX(
    SR!$B$2:$D2026,            
    MATCH($A188, SR!$A$2:$A2026, 0),  
    MATCH(H$1, SR!$B$1:$D$1, 0) ), "")
</f>
        <v>0.00192</v>
      </c>
      <c r="I188" s="9">
        <f t="array" ref="I188">IFERROR(
  INDEX(
    SR!$B$2:$D2026,            
    MATCH($A188, SR!$A$2:$A2026, 0),  
    MATCH(I$1, SR!$B$1:$D$1, 0) ), "")
</f>
        <v>0.00244</v>
      </c>
      <c r="J188" s="9">
        <f t="array" ref="J188">IFERROR(
  INDEX(
    SR!$B$2:$D2026,            
    MATCH($A188, SR!$A$2:$A2026, 0),  
    MATCH(J$1, SR!$B$1:$D$1, 0) ), "")
</f>
        <v>0.00389</v>
      </c>
      <c r="K188" s="14"/>
      <c r="L188" s="9">
        <v>121.43</v>
      </c>
      <c r="M188" s="9">
        <v>24.54</v>
      </c>
      <c r="N188" s="9">
        <v>112.22</v>
      </c>
      <c r="O188" s="9">
        <v>119.96</v>
      </c>
      <c r="P188" s="9">
        <v>132.13</v>
      </c>
      <c r="Q188" s="9">
        <v>1369.3917</v>
      </c>
      <c r="R188" s="14"/>
      <c r="S188" s="12">
        <f t="shared" si="2"/>
        <v>0.00477551202</v>
      </c>
      <c r="T188" s="12">
        <f t="shared" si="3"/>
        <v>1.004775512</v>
      </c>
      <c r="U188" s="16">
        <f t="shared" si="7"/>
        <v>100.947476</v>
      </c>
      <c r="V188" s="17"/>
      <c r="W188" s="12">
        <f t="array" ref="W188">SQRT(252/20) *  SQRT( SUMSQ( LN(U167:U186 / U166:U185) )  - (1/20) * ( SUM( LN(U167:U186 / U166:U185) ) ^ 2 ) )</f>
        <v>0.03023493613</v>
      </c>
      <c r="X188" s="9">
        <f t="shared" si="4"/>
        <v>1.5</v>
      </c>
      <c r="Y188" s="14"/>
      <c r="Z188" s="12">
        <f t="shared" si="5"/>
        <v>1.007162921</v>
      </c>
      <c r="AA188" s="16">
        <f t="shared" si="8"/>
        <v>101.3842648</v>
      </c>
      <c r="AB188" s="14"/>
      <c r="AC188" s="9">
        <f t="shared" si="6"/>
        <v>0</v>
      </c>
    </row>
    <row r="189">
      <c r="A189" s="8">
        <v>41995.0</v>
      </c>
      <c r="B189" s="14"/>
      <c r="C189" s="9">
        <f t="array" ref="C189">IFERROR(
  INDEX(
    IR!$B$2:$E2026,                
    MATCH($A189, IR!$A$2:$A2026, 0), 
    MATCH(C$1, IR!$B$1:$E$1, 0) ), "")
</f>
        <v>0.00026</v>
      </c>
      <c r="D189" s="9">
        <f t="array" ref="D189">IFERROR(
  INDEX(
    IR!$B$2:$E2026,                
    MATCH($A189, IR!$A$2:$A2026, 0), 
    MATCH(D$1, IR!$B$1:$E$1, 0) ), "")
</f>
        <v>0.00081</v>
      </c>
      <c r="E189" s="9">
        <f t="array" ref="E189">IFERROR(
  INDEX(
    IR!$B$2:$E2026,                
    MATCH($A189, IR!$A$2:$A2026, 0), 
    MATCH(E$1, IR!$B$1:$E$1, 0) ), "")
</f>
        <v>0.00176</v>
      </c>
      <c r="F189" s="9">
        <f t="array" ref="F189">IFERROR(
  INDEX(
    IR!$B$2:$E2026,                
    MATCH($A189, IR!$A$2:$A2026, 0), 
    MATCH(F$1, IR!$B$1:$E$1, 0) ), "")
</f>
        <v>0.00329</v>
      </c>
      <c r="G189" s="14"/>
      <c r="H189" s="9">
        <f t="array" ref="H189">IFERROR(
  INDEX(
    SR!$B$2:$D2026,            
    MATCH($A189, SR!$A$2:$A2026, 0),  
    MATCH(H$1, SR!$B$1:$D$1, 0) ), "")
</f>
        <v>0.00188</v>
      </c>
      <c r="I189" s="9">
        <f t="array" ref="I189">IFERROR(
  INDEX(
    SR!$B$2:$D2026,            
    MATCH($A189, SR!$A$2:$A2026, 0),  
    MATCH(I$1, SR!$B$1:$D$1, 0) ), "")
</f>
        <v>0.00241</v>
      </c>
      <c r="J189" s="9">
        <f t="array" ref="J189">IFERROR(
  INDEX(
    SR!$B$2:$D2026,            
    MATCH($A189, SR!$A$2:$A2026, 0),  
    MATCH(J$1, SR!$B$1:$D$1, 0) ), "")
</f>
        <v>0.00391</v>
      </c>
      <c r="K189" s="14"/>
      <c r="L189" s="9">
        <v>121.6</v>
      </c>
      <c r="M189" s="9">
        <v>24.54</v>
      </c>
      <c r="N189" s="9">
        <v>112.25</v>
      </c>
      <c r="O189" s="9">
        <v>120.01</v>
      </c>
      <c r="P189" s="9">
        <v>132.14</v>
      </c>
      <c r="Q189" s="9">
        <v>1373.5512</v>
      </c>
      <c r="R189" s="14"/>
      <c r="S189" s="12">
        <f t="shared" si="2"/>
        <v>0.0008661713073</v>
      </c>
      <c r="T189" s="12">
        <f t="shared" si="3"/>
        <v>1.000866171</v>
      </c>
      <c r="U189" s="16">
        <f t="shared" si="7"/>
        <v>101.0349138</v>
      </c>
      <c r="V189" s="17"/>
      <c r="W189" s="12">
        <f t="array" ref="W189">SQRT(252/20) *  SQRT( SUMSQ( LN(U168:U187 / U167:U186) )  - (1/20) * ( SUM( LN(U168:U187 / U167:U186) ) ^ 2 ) )</f>
        <v>0.03216850452</v>
      </c>
      <c r="X189" s="9">
        <f t="shared" si="4"/>
        <v>1.5</v>
      </c>
      <c r="Y189" s="14"/>
      <c r="Z189" s="12">
        <f t="shared" si="5"/>
        <v>1.001298174</v>
      </c>
      <c r="AA189" s="16">
        <f t="shared" si="8"/>
        <v>101.5158792</v>
      </c>
      <c r="AB189" s="14"/>
      <c r="AC189" s="9">
        <f t="shared" si="6"/>
        <v>0</v>
      </c>
    </row>
    <row r="190">
      <c r="A190" s="8">
        <v>41996.0</v>
      </c>
      <c r="B190" s="14"/>
      <c r="C190" s="9">
        <f t="array" ref="C190">IFERROR(
  INDEX(
    IR!$B$2:$E2026,                
    MATCH($A190, IR!$A$2:$A2026, 0), 
    MATCH(C$1, IR!$B$1:$E$1, 0) ), "")
</f>
        <v>0.00024</v>
      </c>
      <c r="D190" s="9">
        <f t="array" ref="D190">IFERROR(
  INDEX(
    IR!$B$2:$E2026,                
    MATCH($A190, IR!$A$2:$A2026, 0), 
    MATCH(D$1, IR!$B$1:$E$1, 0) ), "")
</f>
        <v>0.00079</v>
      </c>
      <c r="E190" s="9">
        <f t="array" ref="E190">IFERROR(
  INDEX(
    IR!$B$2:$E2026,                
    MATCH($A190, IR!$A$2:$A2026, 0), 
    MATCH(E$1, IR!$B$1:$E$1, 0) ), "")
</f>
        <v>0.00174</v>
      </c>
      <c r="F190" s="9">
        <f t="array" ref="F190">IFERROR(
  INDEX(
    IR!$B$2:$E2026,                
    MATCH($A190, IR!$A$2:$A2026, 0), 
    MATCH(F$1, IR!$B$1:$E$1, 0) ), "")
</f>
        <v>0.00328</v>
      </c>
      <c r="G190" s="14"/>
      <c r="H190" s="9">
        <f t="array" ref="H190">IFERROR(
  INDEX(
    SR!$B$2:$D2026,            
    MATCH($A190, SR!$A$2:$A2026, 0),  
    MATCH(H$1, SR!$B$1:$D$1, 0) ), "")
</f>
        <v>0.00191</v>
      </c>
      <c r="I190" s="9">
        <f t="array" ref="I190">IFERROR(
  INDEX(
    SR!$B$2:$D2026,            
    MATCH($A190, SR!$A$2:$A2026, 0),  
    MATCH(I$1, SR!$B$1:$D$1, 0) ), "")
</f>
        <v>0.002435</v>
      </c>
      <c r="J190" s="9">
        <f t="array" ref="J190">IFERROR(
  INDEX(
    SR!$B$2:$D2026,            
    MATCH($A190, SR!$A$2:$A2026, 0),  
    MATCH(J$1, SR!$B$1:$D$1, 0) ), "")
</f>
        <v>0.003953</v>
      </c>
      <c r="K190" s="14"/>
      <c r="L190" s="9">
        <v>121.87</v>
      </c>
      <c r="M190" s="9">
        <v>24.55</v>
      </c>
      <c r="N190" s="9">
        <v>112.25</v>
      </c>
      <c r="O190" s="9">
        <v>120.55</v>
      </c>
      <c r="P190" s="9">
        <v>132.17</v>
      </c>
      <c r="Q190" s="9">
        <v>1376.4219</v>
      </c>
      <c r="R190" s="14"/>
      <c r="S190" s="12">
        <f t="shared" si="2"/>
        <v>0.001573668303</v>
      </c>
      <c r="T190" s="12">
        <f t="shared" si="3"/>
        <v>1.001573668</v>
      </c>
      <c r="U190" s="16">
        <f t="shared" si="7"/>
        <v>101.1939092</v>
      </c>
      <c r="V190" s="17"/>
      <c r="W190" s="12">
        <f t="array" ref="W190">SQRT(252/20) *  SQRT( SUMSQ( LN(U169:U188 / U168:U187) )  - (1/20) * ( SUM( LN(U169:U188 / U168:U187) ) ^ 2 ) )</f>
        <v>0.03606849909</v>
      </c>
      <c r="X190" s="9">
        <f t="shared" si="4"/>
        <v>1.5</v>
      </c>
      <c r="Y190" s="14"/>
      <c r="Z190" s="12">
        <f t="shared" si="5"/>
        <v>1.002360141</v>
      </c>
      <c r="AA190" s="16">
        <f t="shared" si="8"/>
        <v>101.755471</v>
      </c>
      <c r="AB190" s="14"/>
      <c r="AC190" s="9">
        <f t="shared" si="6"/>
        <v>0</v>
      </c>
    </row>
    <row r="191">
      <c r="A191" s="8">
        <v>42002.0</v>
      </c>
      <c r="B191" s="14"/>
      <c r="C191" s="9">
        <f t="array" ref="C191">IFERROR(
  INDEX(
    IR!$B$2:$E2026,                
    MATCH($A191, IR!$A$2:$A2026, 0), 
    MATCH(C$1, IR!$B$1:$E$1, 0) ), "")
</f>
        <v>0.00024</v>
      </c>
      <c r="D191" s="9">
        <f t="array" ref="D191">IFERROR(
  INDEX(
    IR!$B$2:$E2026,                
    MATCH($A191, IR!$A$2:$A2026, 0), 
    MATCH(D$1, IR!$B$1:$E$1, 0) ), "")
</f>
        <v>0.00079</v>
      </c>
      <c r="E191" s="9">
        <f t="array" ref="E191">IFERROR(
  INDEX(
    IR!$B$2:$E2026,                
    MATCH($A191, IR!$A$2:$A2026, 0), 
    MATCH(E$1, IR!$B$1:$E$1, 0) ), "")
</f>
        <v>0.00172</v>
      </c>
      <c r="F191" s="9">
        <f t="array" ref="F191">IFERROR(
  INDEX(
    IR!$B$2:$E2026,                
    MATCH($A191, IR!$A$2:$A2026, 0), 
    MATCH(F$1, IR!$B$1:$E$1, 0) ), "")
</f>
        <v>0.00328</v>
      </c>
      <c r="G191" s="14"/>
      <c r="H191" s="9">
        <f t="array" ref="H191">IFERROR(
  INDEX(
    SR!$B$2:$D2026,            
    MATCH($A191, SR!$A$2:$A2026, 0),  
    MATCH(H$1, SR!$B$1:$D$1, 0) ), "")
</f>
        <v>0.00183</v>
      </c>
      <c r="I191" s="9">
        <f t="array" ref="I191">IFERROR(
  INDEX(
    SR!$B$2:$D2026,            
    MATCH($A191, SR!$A$2:$A2026, 0),  
    MATCH(I$1, SR!$B$1:$D$1, 0) ), "")
</f>
        <v>0.00229</v>
      </c>
      <c r="J191" s="9">
        <f t="array" ref="J191">IFERROR(
  INDEX(
    SR!$B$2:$D2026,            
    MATCH($A191, SR!$A$2:$A2026, 0),  
    MATCH(J$1, SR!$B$1:$D$1, 0) ), "")
</f>
        <v>0.00367</v>
      </c>
      <c r="K191" s="14"/>
      <c r="L191" s="9">
        <v>121.83</v>
      </c>
      <c r="M191" s="9">
        <v>24.55</v>
      </c>
      <c r="N191" s="9">
        <v>112.3</v>
      </c>
      <c r="O191" s="9">
        <v>120.76</v>
      </c>
      <c r="P191" s="9">
        <v>132.64</v>
      </c>
      <c r="Q191" s="9">
        <v>1379.4612</v>
      </c>
      <c r="R191" s="14"/>
      <c r="S191" s="12">
        <f t="shared" si="2"/>
        <v>0.00127027498</v>
      </c>
      <c r="T191" s="12">
        <f t="shared" si="3"/>
        <v>1.001270275</v>
      </c>
      <c r="U191" s="16">
        <f t="shared" si="7"/>
        <v>101.3224533</v>
      </c>
      <c r="V191" s="17"/>
      <c r="W191" s="12">
        <f t="array" ref="W191">SQRT(252/20) *  SQRT( SUMSQ( LN(U170:U189 / U169:U188) )  - (1/20) * ( SUM( LN(U170:U189 / U169:U188) ) ^ 2 ) )</f>
        <v>0.03563150961</v>
      </c>
      <c r="X191" s="9">
        <f t="shared" si="4"/>
        <v>1.5</v>
      </c>
      <c r="Y191" s="14"/>
      <c r="Z191" s="12">
        <f t="shared" si="5"/>
        <v>1.001903412</v>
      </c>
      <c r="AA191" s="16">
        <f t="shared" si="8"/>
        <v>101.9491537</v>
      </c>
      <c r="AB191" s="14"/>
      <c r="AC191" s="9">
        <f t="shared" si="6"/>
        <v>0</v>
      </c>
    </row>
    <row r="192">
      <c r="A192" s="8">
        <v>42003.0</v>
      </c>
      <c r="B192" s="14"/>
      <c r="C192" s="9">
        <f t="array" ref="C192">IFERROR(
  INDEX(
    IR!$B$2:$E2026,                
    MATCH($A192, IR!$A$2:$A2026, 0), 
    MATCH(C$1, IR!$B$1:$E$1, 0) ), "")
</f>
        <v>0.00019</v>
      </c>
      <c r="D192" s="9">
        <f t="array" ref="D192">IFERROR(
  INDEX(
    IR!$B$2:$E2026,                
    MATCH($A192, IR!$A$2:$A2026, 0), 
    MATCH(D$1, IR!$B$1:$E$1, 0) ), "")
</f>
        <v>0.00078</v>
      </c>
      <c r="E192" s="9">
        <f t="array" ref="E192">IFERROR(
  INDEX(
    IR!$B$2:$E2026,                
    MATCH($A192, IR!$A$2:$A2026, 0), 
    MATCH(E$1, IR!$B$1:$E$1, 0) ), "")
</f>
        <v>0.00171</v>
      </c>
      <c r="F192" s="9">
        <f t="array" ref="F192">IFERROR(
  INDEX(
    IR!$B$2:$E2026,                
    MATCH($A192, IR!$A$2:$A2026, 0), 
    MATCH(F$1, IR!$B$1:$E$1, 0) ), "")
</f>
        <v>0.00327</v>
      </c>
      <c r="G192" s="14"/>
      <c r="H192" s="9">
        <f t="array" ref="H192">IFERROR(
  INDEX(
    SR!$B$2:$D2026,            
    MATCH($A192, SR!$A$2:$A2026, 0),  
    MATCH(H$1, SR!$B$1:$D$1, 0) ), "")
</f>
        <v>0.00178</v>
      </c>
      <c r="I192" s="9">
        <f t="array" ref="I192">IFERROR(
  INDEX(
    SR!$B$2:$D2026,            
    MATCH($A192, SR!$A$2:$A2026, 0),  
    MATCH(I$1, SR!$B$1:$D$1, 0) ), "")
</f>
        <v>0.00224</v>
      </c>
      <c r="J192" s="9">
        <f t="array" ref="J192">IFERROR(
  INDEX(
    SR!$B$2:$D2026,            
    MATCH($A192, SR!$A$2:$A2026, 0),  
    MATCH(J$1, SR!$B$1:$D$1, 0) ), "")
</f>
        <v>0.00359</v>
      </c>
      <c r="K192" s="14"/>
      <c r="L192" s="9">
        <v>121.49</v>
      </c>
      <c r="M192" s="9">
        <v>24.56</v>
      </c>
      <c r="N192" s="9">
        <v>112.31</v>
      </c>
      <c r="O192" s="9">
        <v>121.15</v>
      </c>
      <c r="P192" s="9">
        <v>133.05</v>
      </c>
      <c r="Q192" s="9">
        <v>1379.5378</v>
      </c>
      <c r="R192" s="14"/>
      <c r="S192" s="12">
        <f t="shared" si="2"/>
        <v>0.0006800257456</v>
      </c>
      <c r="T192" s="12">
        <f t="shared" si="3"/>
        <v>1.000680026</v>
      </c>
      <c r="U192" s="16">
        <f t="shared" si="7"/>
        <v>101.3913552</v>
      </c>
      <c r="V192" s="17"/>
      <c r="W192" s="12">
        <f t="array" ref="W192">SQRT(252/20) *  SQRT( SUMSQ( LN(U171:U190 / U170:U189) )  - (1/20) * ( SUM( LN(U171:U190 / U170:U189) ) ^ 2 ) )</f>
        <v>0.03605678243</v>
      </c>
      <c r="X192" s="9">
        <f t="shared" si="4"/>
        <v>1.5</v>
      </c>
      <c r="Y192" s="14"/>
      <c r="Z192" s="12">
        <f t="shared" si="5"/>
        <v>1.001019705</v>
      </c>
      <c r="AA192" s="16">
        <f t="shared" si="8"/>
        <v>102.0531118</v>
      </c>
      <c r="AB192" s="14"/>
      <c r="AC192" s="9">
        <f t="shared" si="6"/>
        <v>0</v>
      </c>
    </row>
    <row r="193">
      <c r="A193" s="8">
        <v>42004.0</v>
      </c>
      <c r="B193" s="14"/>
      <c r="C193" s="9">
        <f t="array" ref="C193">IFERROR(
  INDEX(
    IR!$B$2:$E2026,                
    MATCH($A193, IR!$A$2:$A2026, 0), 
    MATCH(C$1, IR!$B$1:$E$1, 0) ), "")
</f>
        <v>0.00018</v>
      </c>
      <c r="D193" s="9">
        <f t="array" ref="D193">IFERROR(
  INDEX(
    IR!$B$2:$E2026,                
    MATCH($A193, IR!$A$2:$A2026, 0), 
    MATCH(D$1, IR!$B$1:$E$1, 0) ), "")
</f>
        <v>0.00078</v>
      </c>
      <c r="E193" s="9">
        <f t="array" ref="E193">IFERROR(
  INDEX(
    IR!$B$2:$E2026,                
    MATCH($A193, IR!$A$2:$A2026, 0), 
    MATCH(E$1, IR!$B$1:$E$1, 0) ), "")
</f>
        <v>0.00171</v>
      </c>
      <c r="F193" s="9">
        <f t="array" ref="F193">IFERROR(
  INDEX(
    IR!$B$2:$E2026,                
    MATCH($A193, IR!$A$2:$A2026, 0), 
    MATCH(F$1, IR!$B$1:$E$1, 0) ), "")
</f>
        <v>0.00325</v>
      </c>
      <c r="G193" s="14"/>
      <c r="H193" s="9">
        <f t="array" ref="H193">IFERROR(
  INDEX(
    SR!$B$2:$D2026,            
    MATCH($A193, SR!$A$2:$A2026, 0),  
    MATCH(H$1, SR!$B$1:$D$1, 0) ), "")
</f>
        <v>0.00182</v>
      </c>
      <c r="I193" s="9">
        <f t="array" ref="I193">IFERROR(
  INDEX(
    SR!$B$2:$D2026,            
    MATCH($A193, SR!$A$2:$A2026, 0),  
    MATCH(I$1, SR!$B$1:$D$1, 0) ), "")
</f>
        <v>0.002204</v>
      </c>
      <c r="J193" s="9">
        <f t="array" ref="J193">IFERROR(
  INDEX(
    SR!$B$2:$D2026,            
    MATCH($A193, SR!$A$2:$A2026, 0),  
    MATCH(J$1, SR!$B$1:$D$1, 0) ), "")
</f>
        <v>0.003581</v>
      </c>
      <c r="K193" s="14"/>
      <c r="L193" s="9">
        <v>121.51</v>
      </c>
      <c r="M193" s="9">
        <v>24.57</v>
      </c>
      <c r="N193" s="9">
        <v>112.24</v>
      </c>
      <c r="O193" s="23">
        <v>121.15</v>
      </c>
      <c r="P193" s="23">
        <v>133.05</v>
      </c>
      <c r="Q193" s="9">
        <v>1376.5746</v>
      </c>
      <c r="R193" s="14"/>
      <c r="S193" s="12">
        <f t="shared" si="2"/>
        <v>-0.0003666434877</v>
      </c>
      <c r="T193" s="12">
        <f t="shared" si="3"/>
        <v>0.9996333565</v>
      </c>
      <c r="U193" s="16">
        <f t="shared" si="7"/>
        <v>101.3541807</v>
      </c>
      <c r="V193" s="17"/>
      <c r="W193" s="12">
        <f t="array" ref="W193">SQRT(252/20) *  SQRT( SUMSQ( LN(U172:U191 / U171:U190) )  - (1/20) * ( SUM( LN(U172:U191 / U171:U190) ) ^ 2 ) )</f>
        <v>0.03626464688</v>
      </c>
      <c r="X193" s="9">
        <f t="shared" si="4"/>
        <v>1.5</v>
      </c>
      <c r="Y193" s="14"/>
      <c r="Z193" s="12">
        <f t="shared" si="5"/>
        <v>0.9994497709</v>
      </c>
      <c r="AA193" s="16">
        <f t="shared" si="8"/>
        <v>101.9969592</v>
      </c>
      <c r="AB193" s="14"/>
      <c r="AC193" s="9">
        <f t="shared" si="6"/>
        <v>0</v>
      </c>
    </row>
    <row r="194">
      <c r="A194" s="8">
        <v>42006.0</v>
      </c>
      <c r="B194" s="14"/>
      <c r="C194" s="9">
        <f t="array" ref="C194">IFERROR(
  INDEX(
    IR!$B$2:$E2026,                
    MATCH($A194, IR!$A$2:$A2026, 0), 
    MATCH(C$1, IR!$B$1:$E$1, 0) ), "")
</f>
        <v>0.00016</v>
      </c>
      <c r="D194" s="9">
        <f t="array" ref="D194">IFERROR(
  INDEX(
    IR!$B$2:$E2026,                
    MATCH($A194, IR!$A$2:$A2026, 0), 
    MATCH(D$1, IR!$B$1:$E$1, 0) ), "")
</f>
        <v>0.00076</v>
      </c>
      <c r="E194" s="9">
        <f t="array" ref="E194">IFERROR(
  INDEX(
    IR!$B$2:$E2026,                
    MATCH($A194, IR!$A$2:$A2026, 0), 
    MATCH(E$1, IR!$B$1:$E$1, 0) ), "")
</f>
        <v>0.00169</v>
      </c>
      <c r="F194" s="9">
        <f t="array" ref="F194">IFERROR(
  INDEX(
    IR!$B$2:$E2026,                
    MATCH($A194, IR!$A$2:$A2026, 0), 
    MATCH(F$1, IR!$B$1:$E$1, 0) ), "")
</f>
        <v>0.00323</v>
      </c>
      <c r="G194" s="14"/>
      <c r="H194" s="9">
        <f t="array" ref="H194">IFERROR(
  INDEX(
    SR!$B$2:$D2026,            
    MATCH($A194, SR!$A$2:$A2026, 0),  
    MATCH(H$1, SR!$B$1:$D$1, 0) ), "")
</f>
        <v>0.00165</v>
      </c>
      <c r="I194" s="9">
        <f t="array" ref="I194">IFERROR(
  INDEX(
    SR!$B$2:$D2026,            
    MATCH($A194, SR!$A$2:$A2026, 0),  
    MATCH(I$1, SR!$B$1:$D$1, 0) ), "")
</f>
        <v>0.00205</v>
      </c>
      <c r="J194" s="9">
        <f t="array" ref="J194">IFERROR(
  INDEX(
    SR!$B$2:$D2026,            
    MATCH($A194, SR!$A$2:$A2026, 0),  
    MATCH(J$1, SR!$B$1:$D$1, 0) ), "")
</f>
        <v>0.00342</v>
      </c>
      <c r="K194" s="14"/>
      <c r="L194" s="9">
        <v>121.63</v>
      </c>
      <c r="M194" s="9">
        <v>24.57</v>
      </c>
      <c r="N194" s="9">
        <v>112.3</v>
      </c>
      <c r="O194" s="9">
        <v>120.57</v>
      </c>
      <c r="P194" s="9">
        <v>132.85</v>
      </c>
      <c r="Q194" s="9">
        <v>1375.8154</v>
      </c>
      <c r="R194" s="14"/>
      <c r="S194" s="12">
        <f t="shared" si="2"/>
        <v>-0.0008863704698</v>
      </c>
      <c r="T194" s="12">
        <f t="shared" si="3"/>
        <v>0.9991136295</v>
      </c>
      <c r="U194" s="16">
        <f t="shared" si="7"/>
        <v>101.2643433</v>
      </c>
      <c r="V194" s="17"/>
      <c r="W194" s="12">
        <f t="array" ref="W194">SQRT(252/20) *  SQRT( SUMSQ( LN(U173:U192 / U172:U191) )  - (1/20) * ( SUM( LN(U173:U192 / U172:U191) ) ^ 2 ) )</f>
        <v>0.03627417469</v>
      </c>
      <c r="X194" s="9">
        <f t="shared" si="4"/>
        <v>1.5</v>
      </c>
      <c r="Y194" s="14"/>
      <c r="Z194" s="12">
        <f t="shared" si="5"/>
        <v>0.9986699443</v>
      </c>
      <c r="AA194" s="16">
        <f t="shared" si="8"/>
        <v>101.8612975</v>
      </c>
      <c r="AB194" s="14"/>
      <c r="AC194" s="9">
        <f t="shared" si="6"/>
        <v>0</v>
      </c>
    </row>
    <row r="195">
      <c r="A195" s="8">
        <v>42009.0</v>
      </c>
      <c r="B195" s="14"/>
      <c r="C195" s="9">
        <f t="array" ref="C195">IFERROR(
  INDEX(
    IR!$B$2:$E2026,                
    MATCH($A195, IR!$A$2:$A2026, 0), 
    MATCH(C$1, IR!$B$1:$E$1, 0) ), "")
</f>
        <v>0.00015</v>
      </c>
      <c r="D195" s="9">
        <f t="array" ref="D195">IFERROR(
  INDEX(
    IR!$B$2:$E2026,                
    MATCH($A195, IR!$A$2:$A2026, 0), 
    MATCH(D$1, IR!$B$1:$E$1, 0) ), "")
</f>
        <v>0.00075</v>
      </c>
      <c r="E195" s="9">
        <f t="array" ref="E195">IFERROR(
  INDEX(
    IR!$B$2:$E2026,                
    MATCH($A195, IR!$A$2:$A2026, 0), 
    MATCH(E$1, IR!$B$1:$E$1, 0) ), "")
</f>
        <v>0.00169</v>
      </c>
      <c r="F195" s="9">
        <f t="array" ref="F195">IFERROR(
  INDEX(
    IR!$B$2:$E2026,                
    MATCH($A195, IR!$A$2:$A2026, 0), 
    MATCH(F$1, IR!$B$1:$E$1, 0) ), "")
</f>
        <v>0.00321</v>
      </c>
      <c r="G195" s="14"/>
      <c r="H195" s="9">
        <f t="array" ref="H195">IFERROR(
  INDEX(
    SR!$B$2:$D2026,            
    MATCH($A195, SR!$A$2:$A2026, 0),  
    MATCH(H$1, SR!$B$1:$D$1, 0) ), "")
</f>
        <v>0.00167</v>
      </c>
      <c r="I195" s="9">
        <f t="array" ref="I195">IFERROR(
  INDEX(
    SR!$B$2:$D2026,            
    MATCH($A195, SR!$A$2:$A2026, 0),  
    MATCH(I$1, SR!$B$1:$D$1, 0) ), "")
</f>
        <v>0.002094</v>
      </c>
      <c r="J195" s="9">
        <f t="array" ref="J195">IFERROR(
  INDEX(
    SR!$B$2:$D2026,            
    MATCH($A195, SR!$A$2:$A2026, 0),  
    MATCH(J$1, SR!$B$1:$D$1, 0) ), "")
</f>
        <v>0.00345</v>
      </c>
      <c r="K195" s="14"/>
      <c r="L195" s="9">
        <v>120.98</v>
      </c>
      <c r="M195" s="9">
        <v>24.59</v>
      </c>
      <c r="N195" s="9">
        <v>112.28</v>
      </c>
      <c r="O195" s="9">
        <v>120.5</v>
      </c>
      <c r="P195" s="9">
        <v>132.93</v>
      </c>
      <c r="Q195" s="9">
        <v>1374.6865</v>
      </c>
      <c r="R195" s="14"/>
      <c r="S195" s="12">
        <f t="shared" si="2"/>
        <v>-0.0009175639387</v>
      </c>
      <c r="T195" s="12">
        <f t="shared" si="3"/>
        <v>0.9990824361</v>
      </c>
      <c r="U195" s="16">
        <f t="shared" si="7"/>
        <v>101.1714268</v>
      </c>
      <c r="V195" s="17"/>
      <c r="W195" s="12">
        <f t="array" ref="W195">SQRT(252/20) *  SQRT( SUMSQ( LN(U174:U193 / U173:U192) )  - (1/20) * ( SUM( LN(U174:U193 / U173:U192) ) ^ 2 ) )</f>
        <v>0.03612852858</v>
      </c>
      <c r="X195" s="9">
        <f t="shared" si="4"/>
        <v>1.5</v>
      </c>
      <c r="Y195" s="14"/>
      <c r="Z195" s="12">
        <f t="shared" si="5"/>
        <v>0.9986229874</v>
      </c>
      <c r="AA195" s="16">
        <f t="shared" si="8"/>
        <v>101.7210332</v>
      </c>
      <c r="AB195" s="14"/>
      <c r="AC195" s="9">
        <f t="shared" si="6"/>
        <v>0</v>
      </c>
    </row>
    <row r="196">
      <c r="A196" s="8">
        <v>42010.0</v>
      </c>
      <c r="B196" s="14"/>
      <c r="C196" s="9">
        <f t="array" ref="C196">IFERROR(
  INDEX(
    IR!$B$2:$E2026,                
    MATCH($A196, IR!$A$2:$A2026, 0), 
    MATCH(C$1, IR!$B$1:$E$1, 0) ), "")
</f>
        <v>0.00015</v>
      </c>
      <c r="D196" s="9">
        <f t="array" ref="D196">IFERROR(
  INDEX(
    IR!$B$2:$E2026,                
    MATCH($A196, IR!$A$2:$A2026, 0), 
    MATCH(D$1, IR!$B$1:$E$1, 0) ), "")
</f>
        <v>0.00073</v>
      </c>
      <c r="E196" s="9">
        <f t="array" ref="E196">IFERROR(
  INDEX(
    IR!$B$2:$E2026,                
    MATCH($A196, IR!$A$2:$A2026, 0), 
    MATCH(E$1, IR!$B$1:$E$1, 0) ), "")
</f>
        <v>0.00168</v>
      </c>
      <c r="F196" s="9">
        <f t="array" ref="F196">IFERROR(
  INDEX(
    IR!$B$2:$E2026,                
    MATCH($A196, IR!$A$2:$A2026, 0), 
    MATCH(F$1, IR!$B$1:$E$1, 0) ), "")
</f>
        <v>0.00319</v>
      </c>
      <c r="G196" s="14"/>
      <c r="H196" s="9">
        <f t="array" ref="H196">IFERROR(
  INDEX(
    SR!$B$2:$D2026,            
    MATCH($A196, SR!$A$2:$A2026, 0),  
    MATCH(H$1, SR!$B$1:$D$1, 0) ), "")
</f>
        <v>0.00165</v>
      </c>
      <c r="I196" s="9">
        <f t="array" ref="I196">IFERROR(
  INDEX(
    SR!$B$2:$D2026,            
    MATCH($A196, SR!$A$2:$A2026, 0),  
    MATCH(I$1, SR!$B$1:$D$1, 0) ), "")
</f>
        <v>0.002066</v>
      </c>
      <c r="J196" s="9">
        <f t="array" ref="J196">IFERROR(
  INDEX(
    SR!$B$2:$D2026,            
    MATCH($A196, SR!$A$2:$A2026, 0),  
    MATCH(J$1, SR!$B$1:$D$1, 0) ), "")
</f>
        <v>0.003349</v>
      </c>
      <c r="K196" s="14"/>
      <c r="L196" s="9">
        <v>120.82</v>
      </c>
      <c r="M196" s="9">
        <v>24.59</v>
      </c>
      <c r="N196" s="9">
        <v>112.21</v>
      </c>
      <c r="O196" s="9">
        <v>118.91</v>
      </c>
      <c r="P196" s="9">
        <v>132.48</v>
      </c>
      <c r="Q196" s="9">
        <v>1365.5316</v>
      </c>
      <c r="R196" s="14"/>
      <c r="S196" s="12">
        <f t="shared" si="2"/>
        <v>-0.004196630677</v>
      </c>
      <c r="T196" s="12">
        <f t="shared" si="3"/>
        <v>0.9958033693</v>
      </c>
      <c r="U196" s="16">
        <f t="shared" si="7"/>
        <v>100.7468477</v>
      </c>
      <c r="V196" s="17"/>
      <c r="W196" s="12">
        <f t="array" ref="W196">SQRT(252/20) *  SQRT( SUMSQ( LN(U175:U194 / U174:U193) )  - (1/20) * ( SUM( LN(U175:U194 / U174:U193) ) ^ 2 ) )</f>
        <v>0.03624826803</v>
      </c>
      <c r="X196" s="9">
        <f t="shared" si="4"/>
        <v>1.5</v>
      </c>
      <c r="Y196" s="14"/>
      <c r="Z196" s="12">
        <f t="shared" si="5"/>
        <v>0.9937048457</v>
      </c>
      <c r="AA196" s="16">
        <f t="shared" si="8"/>
        <v>101.0806836</v>
      </c>
      <c r="AB196" s="14"/>
      <c r="AC196" s="9">
        <f t="shared" si="6"/>
        <v>0</v>
      </c>
    </row>
    <row r="197">
      <c r="A197" s="8">
        <v>42011.0</v>
      </c>
      <c r="B197" s="14"/>
      <c r="C197" s="9">
        <f t="array" ref="C197">IFERROR(
  INDEX(
    IR!$B$2:$E2026,                
    MATCH($A197, IR!$A$2:$A2026, 0), 
    MATCH(C$1, IR!$B$1:$E$1, 0) ), "")
</f>
        <v>0.00012</v>
      </c>
      <c r="D197" s="9">
        <f t="array" ref="D197">IFERROR(
  INDEX(
    IR!$B$2:$E2026,                
    MATCH($A197, IR!$A$2:$A2026, 0), 
    MATCH(D$1, IR!$B$1:$E$1, 0) ), "")
</f>
        <v>0.0007</v>
      </c>
      <c r="E197" s="9">
        <f t="array" ref="E197">IFERROR(
  INDEX(
    IR!$B$2:$E2026,                
    MATCH($A197, IR!$A$2:$A2026, 0), 
    MATCH(E$1, IR!$B$1:$E$1, 0) ), "")
</f>
        <v>0.00168</v>
      </c>
      <c r="F197" s="9">
        <f t="array" ref="F197">IFERROR(
  INDEX(
    IR!$B$2:$E2026,                
    MATCH($A197, IR!$A$2:$A2026, 0), 
    MATCH(F$1, IR!$B$1:$E$1, 0) ), "")
</f>
        <v>0.00319</v>
      </c>
      <c r="G197" s="14"/>
      <c r="H197" s="9">
        <f t="array" ref="H197">IFERROR(
  INDEX(
    SR!$B$2:$D2026,            
    MATCH($A197, SR!$A$2:$A2026, 0),  
    MATCH(H$1, SR!$B$1:$D$1, 0) ), "")
</f>
        <v>0.00165</v>
      </c>
      <c r="I197" s="9">
        <f t="array" ref="I197">IFERROR(
  INDEX(
    SR!$B$2:$D2026,            
    MATCH($A197, SR!$A$2:$A2026, 0),  
    MATCH(I$1, SR!$B$1:$D$1, 0) ), "")
</f>
        <v>0.002092</v>
      </c>
      <c r="J197" s="9">
        <f t="array" ref="J197">IFERROR(
  INDEX(
    SR!$B$2:$D2026,            
    MATCH($A197, SR!$A$2:$A2026, 0),  
    MATCH(J$1, SR!$B$1:$D$1, 0) ), "")
</f>
        <v>0.003435</v>
      </c>
      <c r="K197" s="14"/>
      <c r="L197" s="9">
        <v>120.89</v>
      </c>
      <c r="M197" s="9">
        <v>24.61</v>
      </c>
      <c r="N197" s="9">
        <v>112.19</v>
      </c>
      <c r="O197" s="9">
        <v>119.21</v>
      </c>
      <c r="P197" s="9">
        <v>132.2</v>
      </c>
      <c r="Q197" s="9">
        <v>1362.1461</v>
      </c>
      <c r="R197" s="14"/>
      <c r="S197" s="12">
        <f t="shared" si="2"/>
        <v>-0.0001427556519</v>
      </c>
      <c r="T197" s="12">
        <f t="shared" si="3"/>
        <v>0.9998572443</v>
      </c>
      <c r="U197" s="16">
        <f t="shared" si="7"/>
        <v>100.7324655</v>
      </c>
      <c r="V197" s="17"/>
      <c r="W197" s="12">
        <f t="array" ref="W197">SQRT(252/20) *  SQRT( SUMSQ( LN(U176:U195 / U175:U194) )  - (1/20) * ( SUM( LN(U176:U195 / U175:U194) ) ^ 2 ) )</f>
        <v>0.03623032322</v>
      </c>
      <c r="X197" s="9">
        <f t="shared" si="4"/>
        <v>1.5</v>
      </c>
      <c r="Y197" s="14"/>
      <c r="Z197" s="12">
        <f t="shared" si="5"/>
        <v>0.9997856582</v>
      </c>
      <c r="AA197" s="16">
        <f t="shared" si="8"/>
        <v>101.0590178</v>
      </c>
      <c r="AB197" s="14"/>
      <c r="AC197" s="9">
        <f t="shared" si="6"/>
        <v>0</v>
      </c>
    </row>
    <row r="198">
      <c r="A198" s="8">
        <v>42012.0</v>
      </c>
      <c r="B198" s="14"/>
      <c r="C198" s="9">
        <f t="array" ref="C198">IFERROR(
  INDEX(
    IR!$B$2:$E2026,                
    MATCH($A198, IR!$A$2:$A2026, 0), 
    MATCH(C$1, IR!$B$1:$E$1, 0) ), "")
</f>
        <v>0.0001</v>
      </c>
      <c r="D198" s="9">
        <f t="array" ref="D198">IFERROR(
  INDEX(
    IR!$B$2:$E2026,                
    MATCH($A198, IR!$A$2:$A2026, 0), 
    MATCH(D$1, IR!$B$1:$E$1, 0) ), "")
</f>
        <v>0.0007</v>
      </c>
      <c r="E198" s="9">
        <f t="array" ref="E198">IFERROR(
  INDEX(
    IR!$B$2:$E2026,                
    MATCH($A198, IR!$A$2:$A2026, 0), 
    MATCH(E$1, IR!$B$1:$E$1, 0) ), "")
</f>
        <v>0.00167</v>
      </c>
      <c r="F198" s="9">
        <f t="array" ref="F198">IFERROR(
  INDEX(
    IR!$B$2:$E2026,                
    MATCH($A198, IR!$A$2:$A2026, 0), 
    MATCH(F$1, IR!$B$1:$E$1, 0) ), "")
</f>
        <v>0.00319</v>
      </c>
      <c r="G198" s="14"/>
      <c r="H198" s="9">
        <f t="array" ref="H198">IFERROR(
  INDEX(
    SR!$B$2:$D2026,            
    MATCH($A198, SR!$A$2:$A2026, 0),  
    MATCH(H$1, SR!$B$1:$D$1, 0) ), "")
</f>
        <v>0.00171</v>
      </c>
      <c r="I198" s="9">
        <f t="array" ref="I198">IFERROR(
  INDEX(
    SR!$B$2:$D2026,            
    MATCH($A198, SR!$A$2:$A2026, 0),  
    MATCH(I$1, SR!$B$1:$D$1, 0) ), "")
</f>
        <v>0.00216</v>
      </c>
      <c r="J198" s="9">
        <f t="array" ref="J198">IFERROR(
  INDEX(
    SR!$B$2:$D2026,            
    MATCH($A198, SR!$A$2:$A2026, 0),  
    MATCH(J$1, SR!$B$1:$D$1, 0) ), "")
</f>
        <v>0.0035</v>
      </c>
      <c r="K198" s="14"/>
      <c r="L198" s="9">
        <v>121.62</v>
      </c>
      <c r="M198" s="9">
        <v>24.59</v>
      </c>
      <c r="N198" s="9">
        <v>112.2</v>
      </c>
      <c r="O198" s="9">
        <v>119.14</v>
      </c>
      <c r="P198" s="9">
        <v>132.84</v>
      </c>
      <c r="Q198" s="9">
        <v>1367.692</v>
      </c>
      <c r="R198" s="14"/>
      <c r="S198" s="12">
        <f t="shared" si="2"/>
        <v>0.002272897407</v>
      </c>
      <c r="T198" s="12">
        <f t="shared" si="3"/>
        <v>1.002272897</v>
      </c>
      <c r="U198" s="16">
        <f t="shared" si="7"/>
        <v>100.9614201</v>
      </c>
      <c r="V198" s="17"/>
      <c r="W198" s="12">
        <f t="array" ref="W198">SQRT(252/20) *  SQRT( SUMSQ( LN(U177:U196 / U176:U195) )  - (1/20) * ( SUM( LN(U177:U196 / U176:U195) ) ^ 2 ) )</f>
        <v>0.03894252389</v>
      </c>
      <c r="X198" s="9">
        <f t="shared" si="4"/>
        <v>1.5</v>
      </c>
      <c r="Y198" s="14"/>
      <c r="Z198" s="12">
        <f t="shared" si="5"/>
        <v>1.003409179</v>
      </c>
      <c r="AA198" s="16">
        <f t="shared" si="8"/>
        <v>101.4035461</v>
      </c>
      <c r="AB198" s="14"/>
      <c r="AC198" s="9">
        <f t="shared" si="6"/>
        <v>0</v>
      </c>
    </row>
    <row r="199">
      <c r="A199" s="8">
        <v>42013.0</v>
      </c>
      <c r="B199" s="14"/>
      <c r="C199" s="9">
        <f t="array" ref="C199">IFERROR(
  INDEX(
    IR!$B$2:$E2026,                
    MATCH($A199, IR!$A$2:$A2026, 0), 
    MATCH(C$1, IR!$B$1:$E$1, 0) ), "")
</f>
        <v>0.00009</v>
      </c>
      <c r="D199" s="9">
        <f t="array" ref="D199">IFERROR(
  INDEX(
    IR!$B$2:$E2026,                
    MATCH($A199, IR!$A$2:$A2026, 0), 
    MATCH(D$1, IR!$B$1:$E$1, 0) ), "")
</f>
        <v>0.0007</v>
      </c>
      <c r="E199" s="9">
        <f t="array" ref="E199">IFERROR(
  INDEX(
    IR!$B$2:$E2026,                
    MATCH($A199, IR!$A$2:$A2026, 0), 
    MATCH(E$1, IR!$B$1:$E$1, 0) ), "")
</f>
        <v>0.00168</v>
      </c>
      <c r="F199" s="9">
        <f t="array" ref="F199">IFERROR(
  INDEX(
    IR!$B$2:$E2026,                
    MATCH($A199, IR!$A$2:$A2026, 0), 
    MATCH(F$1, IR!$B$1:$E$1, 0) ), "")
</f>
        <v>0.00318</v>
      </c>
      <c r="G199" s="14"/>
      <c r="H199" s="9">
        <f t="array" ref="H199">IFERROR(
  INDEX(
    SR!$B$2:$D2026,            
    MATCH($A199, SR!$A$2:$A2026, 0),  
    MATCH(H$1, SR!$B$1:$D$1, 0) ), "")
</f>
        <v>0.00164</v>
      </c>
      <c r="I199" s="9">
        <f t="array" ref="I199">IFERROR(
  INDEX(
    SR!$B$2:$D2026,            
    MATCH($A199, SR!$A$2:$A2026, 0),  
    MATCH(I$1, SR!$B$1:$D$1, 0) ), "")
</f>
        <v>0.00213</v>
      </c>
      <c r="J199" s="9">
        <f t="array" ref="J199">IFERROR(
  INDEX(
    SR!$B$2:$D2026,            
    MATCH($A199, SR!$A$2:$A2026, 0),  
    MATCH(J$1, SR!$B$1:$D$1, 0) ), "")
</f>
        <v>0.003455</v>
      </c>
      <c r="K199" s="14"/>
      <c r="L199" s="9">
        <v>121.23</v>
      </c>
      <c r="M199" s="9">
        <v>24.6</v>
      </c>
      <c r="N199" s="9">
        <v>112.21</v>
      </c>
      <c r="O199" s="9">
        <v>120.72</v>
      </c>
      <c r="P199" s="9">
        <v>133.72</v>
      </c>
      <c r="Q199" s="9">
        <v>1377.7803</v>
      </c>
      <c r="R199" s="14"/>
      <c r="S199" s="12">
        <f t="shared" si="2"/>
        <v>0.00409101004</v>
      </c>
      <c r="T199" s="12">
        <f t="shared" si="3"/>
        <v>1.00409101</v>
      </c>
      <c r="U199" s="16">
        <f t="shared" si="7"/>
        <v>101.3744543</v>
      </c>
      <c r="V199" s="17"/>
      <c r="W199" s="12">
        <f t="array" ref="W199">SQRT(252/20) *  SQRT( SUMSQ( LN(U178:U197 / U177:U196) )  - (1/20) * ( SUM( LN(U178:U197 / U177:U196) ) ^ 2 ) )</f>
        <v>0.0388685853</v>
      </c>
      <c r="X199" s="9">
        <f t="shared" si="4"/>
        <v>1.5</v>
      </c>
      <c r="Y199" s="14"/>
      <c r="Z199" s="12">
        <f t="shared" si="5"/>
        <v>1.006136376</v>
      </c>
      <c r="AA199" s="16">
        <f t="shared" si="8"/>
        <v>102.0257964</v>
      </c>
      <c r="AB199" s="14"/>
      <c r="AC199" s="9">
        <f t="shared" si="6"/>
        <v>0</v>
      </c>
    </row>
    <row r="200">
      <c r="A200" s="8">
        <v>42016.0</v>
      </c>
      <c r="B200" s="14"/>
      <c r="C200" s="9">
        <f t="array" ref="C200">IFERROR(
  INDEX(
    IR!$B$2:$E2026,                
    MATCH($A200, IR!$A$2:$A2026, 0), 
    MATCH(C$1, IR!$B$1:$E$1, 0) ), "")
</f>
        <v>0.00009</v>
      </c>
      <c r="D200" s="9">
        <f t="array" ref="D200">IFERROR(
  INDEX(
    IR!$B$2:$E2026,                
    MATCH($A200, IR!$A$2:$A2026, 0), 
    MATCH(D$1, IR!$B$1:$E$1, 0) ), "")
</f>
        <v>0.00071</v>
      </c>
      <c r="E200" s="9">
        <f t="array" ref="E200">IFERROR(
  INDEX(
    IR!$B$2:$E2026,                
    MATCH($A200, IR!$A$2:$A2026, 0), 
    MATCH(E$1, IR!$B$1:$E$1, 0) ), "")
</f>
        <v>0.00167</v>
      </c>
      <c r="F200" s="9">
        <f t="array" ref="F200">IFERROR(
  INDEX(
    IR!$B$2:$E2026,                
    MATCH($A200, IR!$A$2:$A2026, 0), 
    MATCH(F$1, IR!$B$1:$E$1, 0) ), "")
</f>
        <v>0.00317</v>
      </c>
      <c r="G200" s="14"/>
      <c r="H200" s="9">
        <f t="array" ref="H200">IFERROR(
  INDEX(
    SR!$B$2:$D2026,            
    MATCH($A200, SR!$A$2:$A2026, 0),  
    MATCH(H$1, SR!$B$1:$D$1, 0) ), "")
</f>
        <v>0.00163</v>
      </c>
      <c r="I200" s="9">
        <f t="array" ref="I200">IFERROR(
  INDEX(
    SR!$B$2:$D2026,            
    MATCH($A200, SR!$A$2:$A2026, 0),  
    MATCH(I$1, SR!$B$1:$D$1, 0) ), "")
</f>
        <v>0.002051</v>
      </c>
      <c r="J200" s="9">
        <f t="array" ref="J200">IFERROR(
  INDEX(
    SR!$B$2:$D2026,            
    MATCH($A200, SR!$A$2:$A2026, 0),  
    MATCH(J$1, SR!$B$1:$D$1, 0) ), "")
</f>
        <v>0.003333</v>
      </c>
      <c r="K200" s="14"/>
      <c r="L200" s="9">
        <v>121.55</v>
      </c>
      <c r="M200" s="9">
        <v>24.6</v>
      </c>
      <c r="N200" s="9">
        <v>112.26</v>
      </c>
      <c r="O200" s="9">
        <v>119.7</v>
      </c>
      <c r="P200" s="9">
        <v>133.14</v>
      </c>
      <c r="Q200" s="9">
        <v>1374.4652</v>
      </c>
      <c r="R200" s="14"/>
      <c r="S200" s="12">
        <f t="shared" si="2"/>
        <v>-0.002017373181</v>
      </c>
      <c r="T200" s="12">
        <f t="shared" si="3"/>
        <v>0.9979826268</v>
      </c>
      <c r="U200" s="16">
        <f t="shared" si="7"/>
        <v>101.1699442</v>
      </c>
      <c r="V200" s="17"/>
      <c r="W200" s="12">
        <f t="array" ref="W200">SQRT(252/20) *  SQRT( SUMSQ( LN(U179:U198 / U178:U197) )  - (1/20) * ( SUM( LN(U179:U198 / U178:U197) ) ^ 2 ) )</f>
        <v>0.03968365672</v>
      </c>
      <c r="X200" s="9">
        <f t="shared" si="4"/>
        <v>1.5</v>
      </c>
      <c r="Y200" s="14"/>
      <c r="Z200" s="12">
        <f t="shared" si="5"/>
        <v>0.9969735652</v>
      </c>
      <c r="AA200" s="16">
        <f t="shared" si="8"/>
        <v>101.717022</v>
      </c>
      <c r="AB200" s="14"/>
      <c r="AC200" s="9">
        <f t="shared" si="6"/>
        <v>0</v>
      </c>
    </row>
    <row r="201">
      <c r="A201" s="8">
        <v>42017.0</v>
      </c>
      <c r="B201" s="14"/>
      <c r="C201" s="9">
        <f t="array" ref="C201">IFERROR(
  INDEX(
    IR!$B$2:$E2026,                
    MATCH($A201, IR!$A$2:$A2026, 0), 
    MATCH(C$1, IR!$B$1:$E$1, 0) ), "")
</f>
        <v>0.00008</v>
      </c>
      <c r="D201" s="9">
        <f t="array" ref="D201">IFERROR(
  INDEX(
    IR!$B$2:$E2026,                
    MATCH($A201, IR!$A$2:$A2026, 0), 
    MATCH(D$1, IR!$B$1:$E$1, 0) ), "")
</f>
        <v>0.00071</v>
      </c>
      <c r="E201" s="9">
        <f t="array" ref="E201">IFERROR(
  INDEX(
    IR!$B$2:$E2026,                
    MATCH($A201, IR!$A$2:$A2026, 0), 
    MATCH(E$1, IR!$B$1:$E$1, 0) ), "")
</f>
        <v>0.00166</v>
      </c>
      <c r="F201" s="9">
        <f t="array" ref="F201">IFERROR(
  INDEX(
    IR!$B$2:$E2026,                
    MATCH($A201, IR!$A$2:$A2026, 0), 
    MATCH(F$1, IR!$B$1:$E$1, 0) ), "")
</f>
        <v>0.00318</v>
      </c>
      <c r="G201" s="14"/>
      <c r="H201" s="9">
        <f t="array" ref="H201">IFERROR(
  INDEX(
    SR!$B$2:$D2026,            
    MATCH($A201, SR!$A$2:$A2026, 0),  
    MATCH(H$1, SR!$B$1:$D$1, 0) ), "")
</f>
        <v>0.00161</v>
      </c>
      <c r="I201" s="9">
        <f t="array" ref="I201">IFERROR(
  INDEX(
    SR!$B$2:$D2026,            
    MATCH($A201, SR!$A$2:$A2026, 0),  
    MATCH(I$1, SR!$B$1:$D$1, 0) ), "")
</f>
        <v>0.001995</v>
      </c>
      <c r="J201" s="9">
        <f t="array" ref="J201">IFERROR(
  INDEX(
    SR!$B$2:$D2026,            
    MATCH($A201, SR!$A$2:$A2026, 0),  
    MATCH(J$1, SR!$B$1:$D$1, 0) ), "")
</f>
        <v>0.00334</v>
      </c>
      <c r="K201" s="14"/>
      <c r="L201" s="9">
        <v>121.87</v>
      </c>
      <c r="M201" s="9">
        <v>24.6</v>
      </c>
      <c r="N201" s="9">
        <v>112.27</v>
      </c>
      <c r="O201" s="9">
        <v>120.51</v>
      </c>
      <c r="P201" s="9">
        <v>133.22</v>
      </c>
      <c r="Q201" s="9">
        <v>1373.5571</v>
      </c>
      <c r="R201" s="14"/>
      <c r="S201" s="12">
        <f t="shared" si="2"/>
        <v>0.001570777942</v>
      </c>
      <c r="T201" s="12">
        <f t="shared" si="3"/>
        <v>1.001570778</v>
      </c>
      <c r="U201" s="16">
        <f t="shared" si="7"/>
        <v>101.3288597</v>
      </c>
      <c r="V201" s="17"/>
      <c r="W201" s="12">
        <f t="array" ref="W201">SQRT(252/20) *  SQRT( SUMSQ( LN(U180:U199 / U179:U198) )  - (1/20) * ( SUM( LN(U180:U199 / U179:U198) ) ^ 2 ) )</f>
        <v>0.04081930568</v>
      </c>
      <c r="X201" s="9">
        <f t="shared" si="4"/>
        <v>1.469892714</v>
      </c>
      <c r="Y201" s="14"/>
      <c r="Z201" s="12">
        <f t="shared" si="5"/>
        <v>1.002356042</v>
      </c>
      <c r="AA201" s="16">
        <f t="shared" si="8"/>
        <v>101.9566716</v>
      </c>
      <c r="AB201" s="14"/>
      <c r="AC201" s="9">
        <f t="shared" si="6"/>
        <v>0</v>
      </c>
    </row>
    <row r="202">
      <c r="A202" s="8">
        <v>42018.0</v>
      </c>
      <c r="B202" s="14"/>
      <c r="C202" s="9">
        <f t="array" ref="C202">IFERROR(
  INDEX(
    IR!$B$2:$E2026,                
    MATCH($A202, IR!$A$2:$A2026, 0), 
    MATCH(C$1, IR!$B$1:$E$1, 0) ), "")
</f>
        <v>0.00006</v>
      </c>
      <c r="D202" s="9">
        <f t="array" ref="D202">IFERROR(
  INDEX(
    IR!$B$2:$E2026,                
    MATCH($A202, IR!$A$2:$A2026, 0), 
    MATCH(D$1, IR!$B$1:$E$1, 0) ), "")
</f>
        <v>0.00069</v>
      </c>
      <c r="E202" s="9">
        <f t="array" ref="E202">IFERROR(
  INDEX(
    IR!$B$2:$E2026,                
    MATCH($A202, IR!$A$2:$A2026, 0), 
    MATCH(E$1, IR!$B$1:$E$1, 0) ), "")
</f>
        <v>0.00162</v>
      </c>
      <c r="F202" s="9">
        <f t="array" ref="F202">IFERROR(
  INDEX(
    IR!$B$2:$E2026,                
    MATCH($A202, IR!$A$2:$A2026, 0), 
    MATCH(F$1, IR!$B$1:$E$1, 0) ), "")
</f>
        <v>0.00315</v>
      </c>
      <c r="G202" s="14"/>
      <c r="H202" s="9">
        <f t="array" ref="H202">IFERROR(
  INDEX(
    SR!$B$2:$D2026,            
    MATCH($A202, SR!$A$2:$A2026, 0),  
    MATCH(H$1, SR!$B$1:$D$1, 0) ), "")
</f>
        <v>0.00153</v>
      </c>
      <c r="I202" s="9">
        <f t="array" ref="I202">IFERROR(
  INDEX(
    SR!$B$2:$D2026,            
    MATCH($A202, SR!$A$2:$A2026, 0),  
    MATCH(I$1, SR!$B$1:$D$1, 0) ), "")
</f>
        <v>0.001925</v>
      </c>
      <c r="J202" s="9">
        <f t="array" ref="J202">IFERROR(
  INDEX(
    SR!$B$2:$D2026,            
    MATCH($A202, SR!$A$2:$A2026, 0),  
    MATCH(J$1, SR!$B$1:$D$1, 0) ), "")
</f>
        <v>0.00316</v>
      </c>
      <c r="K202" s="14"/>
      <c r="L202" s="9">
        <v>121.24</v>
      </c>
      <c r="M202" s="9">
        <v>24.61</v>
      </c>
      <c r="N202" s="9">
        <v>112.27</v>
      </c>
      <c r="O202" s="9">
        <v>121.29</v>
      </c>
      <c r="P202" s="9">
        <v>133.52</v>
      </c>
      <c r="Q202" s="9">
        <v>1374.2325</v>
      </c>
      <c r="R202" s="14"/>
      <c r="S202" s="12">
        <f t="shared" si="2"/>
        <v>0.0007419495011</v>
      </c>
      <c r="T202" s="12">
        <f t="shared" si="3"/>
        <v>1.00074195</v>
      </c>
      <c r="U202" s="16">
        <f t="shared" si="7"/>
        <v>101.4040406</v>
      </c>
      <c r="V202" s="17"/>
      <c r="W202" s="12">
        <f t="array" ref="W202">SQRT(252/20) *  SQRT( SUMSQ( LN(U181:U200 / U180:U199) )  - (1/20) * ( SUM( LN(U181:U200 / U180:U199) ) ^ 2 ) )</f>
        <v>0.041037706</v>
      </c>
      <c r="X202" s="9">
        <f t="shared" si="4"/>
        <v>1.462070029</v>
      </c>
      <c r="Y202" s="14"/>
      <c r="Z202" s="12">
        <f t="shared" si="5"/>
        <v>1.001090482</v>
      </c>
      <c r="AA202" s="16">
        <f t="shared" si="8"/>
        <v>102.0678535</v>
      </c>
      <c r="AB202" s="14"/>
      <c r="AC202" s="9">
        <f t="shared" si="6"/>
        <v>0</v>
      </c>
    </row>
    <row r="203">
      <c r="A203" s="8">
        <v>42019.0</v>
      </c>
      <c r="B203" s="14"/>
      <c r="C203" s="9">
        <f t="array" ref="C203">IFERROR(
  INDEX(
    IR!$B$2:$E2026,                
    MATCH($A203, IR!$A$2:$A2026, 0), 
    MATCH(C$1, IR!$B$1:$E$1, 0) ), "")
</f>
        <v>0.00007</v>
      </c>
      <c r="D203" s="9">
        <f t="array" ref="D203">IFERROR(
  INDEX(
    IR!$B$2:$E2026,                
    MATCH($A203, IR!$A$2:$A2026, 0), 
    MATCH(D$1, IR!$B$1:$E$1, 0) ), "")
</f>
        <v>0.00069</v>
      </c>
      <c r="E203" s="9">
        <f t="array" ref="E203">IFERROR(
  INDEX(
    IR!$B$2:$E2026,                
    MATCH($A203, IR!$A$2:$A2026, 0), 
    MATCH(E$1, IR!$B$1:$E$1, 0) ), "")
</f>
        <v>0.00161</v>
      </c>
      <c r="F203" s="9">
        <f t="array" ref="F203">IFERROR(
  INDEX(
    IR!$B$2:$E2026,                
    MATCH($A203, IR!$A$2:$A2026, 0), 
    MATCH(F$1, IR!$B$1:$E$1, 0) ), "")
</f>
        <v>0.00313</v>
      </c>
      <c r="G203" s="14"/>
      <c r="H203" s="9">
        <f t="array" ref="H203">IFERROR(
  INDEX(
    SR!$B$2:$D2026,            
    MATCH($A203, SR!$A$2:$A2026, 0),  
    MATCH(H$1, SR!$B$1:$D$1, 0) ), "")
</f>
        <v>0.00127</v>
      </c>
      <c r="I203" s="9">
        <f t="array" ref="I203">IFERROR(
  INDEX(
    SR!$B$2:$D2026,            
    MATCH($A203, SR!$A$2:$A2026, 0),  
    MATCH(I$1, SR!$B$1:$D$1, 0) ), "")
</f>
        <v>0.001592</v>
      </c>
      <c r="J203" s="9">
        <f t="array" ref="J203">IFERROR(
  INDEX(
    SR!$B$2:$D2026,            
    MATCH($A203, SR!$A$2:$A2026, 0),  
    MATCH(J$1, SR!$B$1:$D$1, 0) ), "")
</f>
        <v>0.002827</v>
      </c>
      <c r="K203" s="14"/>
      <c r="L203" s="9">
        <v>121.72</v>
      </c>
      <c r="M203" s="9">
        <v>24.64</v>
      </c>
      <c r="N203" s="9">
        <v>112.29</v>
      </c>
      <c r="O203" s="9">
        <v>121.12</v>
      </c>
      <c r="P203" s="9">
        <v>133.21</v>
      </c>
      <c r="Q203" s="9">
        <v>1371.9418</v>
      </c>
      <c r="R203" s="14"/>
      <c r="S203" s="12">
        <f t="shared" si="2"/>
        <v>-0.000005830263205</v>
      </c>
      <c r="T203" s="12">
        <f t="shared" si="3"/>
        <v>0.9999941697</v>
      </c>
      <c r="U203" s="16">
        <f t="shared" si="7"/>
        <v>101.4034494</v>
      </c>
      <c r="V203" s="17"/>
      <c r="W203" s="12">
        <f t="array" ref="W203">SQRT(252/20) *  SQRT( SUMSQ( LN(U182:U201 / U181:U200) )  - (1/20) * ( SUM( LN(U182:U201 / U181:U200) ) ^ 2 ) )</f>
        <v>0.03987868465</v>
      </c>
      <c r="X203" s="9">
        <f t="shared" si="4"/>
        <v>1.5</v>
      </c>
      <c r="Y203" s="14"/>
      <c r="Z203" s="12">
        <f t="shared" si="5"/>
        <v>0.9999913987</v>
      </c>
      <c r="AA203" s="16">
        <f t="shared" si="8"/>
        <v>102.0669756</v>
      </c>
      <c r="AB203" s="14"/>
      <c r="AC203" s="9">
        <f t="shared" si="6"/>
        <v>0</v>
      </c>
    </row>
    <row r="204">
      <c r="A204" s="8">
        <v>42020.0</v>
      </c>
      <c r="B204" s="14"/>
      <c r="C204" s="9">
        <f t="array" ref="C204">IFERROR(
  INDEX(
    IR!$B$2:$E2026,                
    MATCH($A204, IR!$A$2:$A2026, 0), 
    MATCH(C$1, IR!$B$1:$E$1, 0) ), "")
</f>
        <v>0.00002</v>
      </c>
      <c r="D204" s="9">
        <f t="array" ref="D204">IFERROR(
  INDEX(
    IR!$B$2:$E2026,                
    MATCH($A204, IR!$A$2:$A2026, 0), 
    MATCH(D$1, IR!$B$1:$E$1, 0) ), "")
</f>
        <v>0.0006</v>
      </c>
      <c r="E204" s="9">
        <f t="array" ref="E204">IFERROR(
  INDEX(
    IR!$B$2:$E2026,                
    MATCH($A204, IR!$A$2:$A2026, 0), 
    MATCH(E$1, IR!$B$1:$E$1, 0) ), "")
</f>
        <v>0.00152</v>
      </c>
      <c r="F204" s="9">
        <f t="array" ref="F204">IFERROR(
  INDEX(
    IR!$B$2:$E2026,                
    MATCH($A204, IR!$A$2:$A2026, 0), 
    MATCH(F$1, IR!$B$1:$E$1, 0) ), "")
</f>
        <v>0.00299</v>
      </c>
      <c r="G204" s="14"/>
      <c r="H204" s="9">
        <f t="array" ref="H204">IFERROR(
  INDEX(
    SR!$B$2:$D2026,            
    MATCH($A204, SR!$A$2:$A2026, 0),  
    MATCH(H$1, SR!$B$1:$D$1, 0) ), "")
</f>
        <v>0.00117</v>
      </c>
      <c r="I204" s="9">
        <f t="array" ref="I204">IFERROR(
  INDEX(
    SR!$B$2:$D2026,            
    MATCH($A204, SR!$A$2:$A2026, 0),  
    MATCH(I$1, SR!$B$1:$D$1, 0) ), "")
</f>
        <v>0.001502</v>
      </c>
      <c r="J204" s="9">
        <f t="array" ref="J204">IFERROR(
  INDEX(
    SR!$B$2:$D2026,            
    MATCH($A204, SR!$A$2:$A2026, 0),  
    MATCH(J$1, SR!$B$1:$D$1, 0) ), "")
</f>
        <v>0.002859</v>
      </c>
      <c r="K204" s="14"/>
      <c r="L204" s="9">
        <v>122.12</v>
      </c>
      <c r="M204" s="9">
        <v>24.65</v>
      </c>
      <c r="N204" s="9">
        <v>112.33</v>
      </c>
      <c r="O204" s="9">
        <v>122.09</v>
      </c>
      <c r="P204" s="9">
        <v>132.69</v>
      </c>
      <c r="Q204" s="9">
        <v>1366.8561</v>
      </c>
      <c r="R204" s="14"/>
      <c r="S204" s="12">
        <f t="shared" si="2"/>
        <v>0.0007403887778</v>
      </c>
      <c r="T204" s="12">
        <f t="shared" si="3"/>
        <v>1.000740389</v>
      </c>
      <c r="U204" s="16">
        <f t="shared" si="7"/>
        <v>101.4785274</v>
      </c>
      <c r="V204" s="17"/>
      <c r="W204" s="12">
        <f t="array" ref="W204">SQRT(252/20) *  SQRT( SUMSQ( LN(U183:U202 / U182:U201) )  - (1/20) * ( SUM( LN(U183:U202 / U182:U201) ) ^ 2 ) )</f>
        <v>0.03951844577</v>
      </c>
      <c r="X204" s="9">
        <f t="shared" si="4"/>
        <v>1.5</v>
      </c>
      <c r="Y204" s="14"/>
      <c r="Z204" s="12">
        <f t="shared" si="5"/>
        <v>1.001110486</v>
      </c>
      <c r="AA204" s="16">
        <f t="shared" si="8"/>
        <v>102.1803195</v>
      </c>
      <c r="AB204" s="14"/>
      <c r="AC204" s="9">
        <f t="shared" si="6"/>
        <v>0</v>
      </c>
    </row>
    <row r="205">
      <c r="A205" s="8">
        <v>42023.0</v>
      </c>
      <c r="B205" s="14"/>
      <c r="C205" s="9">
        <f t="array" ref="C205">IFERROR(
  INDEX(
    IR!$B$2:$E2026,                
    MATCH($A205, IR!$A$2:$A2026, 0), 
    MATCH(C$1, IR!$B$1:$E$1, 0) ), "")
</f>
        <v>-0.00002</v>
      </c>
      <c r="D205" s="9">
        <f t="array" ref="D205">IFERROR(
  INDEX(
    IR!$B$2:$E2026,                
    MATCH($A205, IR!$A$2:$A2026, 0), 
    MATCH(D$1, IR!$B$1:$E$1, 0) ), "")
</f>
        <v>0.00056</v>
      </c>
      <c r="E205" s="9">
        <f t="array" ref="E205">IFERROR(
  INDEX(
    IR!$B$2:$E2026,                
    MATCH($A205, IR!$A$2:$A2026, 0), 
    MATCH(E$1, IR!$B$1:$E$1, 0) ), "")
</f>
        <v>0.00145</v>
      </c>
      <c r="F205" s="9">
        <f t="array" ref="F205">IFERROR(
  INDEX(
    IR!$B$2:$E2026,                
    MATCH($A205, IR!$A$2:$A2026, 0), 
    MATCH(F$1, IR!$B$1:$E$1, 0) ), "")
</f>
        <v>0.00289</v>
      </c>
      <c r="G205" s="14"/>
      <c r="H205" s="9">
        <f t="array" ref="H205">IFERROR(
  INDEX(
    SR!$B$2:$D2026,            
    MATCH($A205, SR!$A$2:$A2026, 0),  
    MATCH(H$1, SR!$B$1:$D$1, 0) ), "")
</f>
        <v>0.00115</v>
      </c>
      <c r="I205" s="9">
        <f t="array" ref="I205">IFERROR(
  INDEX(
    SR!$B$2:$D2026,            
    MATCH($A205, SR!$A$2:$A2026, 0),  
    MATCH(I$1, SR!$B$1:$D$1, 0) ), "")
</f>
        <v>0.00149</v>
      </c>
      <c r="J205" s="9">
        <f t="array" ref="J205">IFERROR(
  INDEX(
    SR!$B$2:$D2026,            
    MATCH($A205, SR!$A$2:$A2026, 0),  
    MATCH(J$1, SR!$B$1:$D$1, 0) ), "")
</f>
        <v>0.002785</v>
      </c>
      <c r="K205" s="14"/>
      <c r="L205" s="9">
        <v>122.39</v>
      </c>
      <c r="M205" s="9">
        <v>24.63</v>
      </c>
      <c r="N205" s="9">
        <v>112.35</v>
      </c>
      <c r="O205" s="9">
        <v>123.09</v>
      </c>
      <c r="P205" s="9">
        <v>132.71</v>
      </c>
      <c r="Q205" s="9">
        <v>1372.5122</v>
      </c>
      <c r="R205" s="14"/>
      <c r="S205" s="12">
        <f t="shared" si="2"/>
        <v>0.002342321717</v>
      </c>
      <c r="T205" s="12">
        <f t="shared" si="3"/>
        <v>1.002342322</v>
      </c>
      <c r="U205" s="16">
        <f t="shared" si="7"/>
        <v>101.7162227</v>
      </c>
      <c r="V205" s="17"/>
      <c r="W205" s="12">
        <f t="array" ref="W205">SQRT(252/20) *  SQRT( SUMSQ( LN(U184:U203 / U183:U202) )  - (1/20) * ( SUM( LN(U184:U203 / U183:U202) ) ^ 2 ) )</f>
        <v>0.03951968363</v>
      </c>
      <c r="X205" s="9">
        <f t="shared" si="4"/>
        <v>1.5</v>
      </c>
      <c r="Y205" s="14"/>
      <c r="Z205" s="12">
        <f t="shared" si="5"/>
        <v>1.003513399</v>
      </c>
      <c r="AA205" s="16">
        <f t="shared" si="8"/>
        <v>102.5393198</v>
      </c>
      <c r="AB205" s="14"/>
      <c r="AC205" s="9">
        <f t="shared" si="6"/>
        <v>0</v>
      </c>
    </row>
    <row r="206">
      <c r="A206" s="8">
        <v>42024.0</v>
      </c>
      <c r="B206" s="14"/>
      <c r="C206" s="9">
        <f t="array" ref="C206">IFERROR(
  INDEX(
    IR!$B$2:$E2026,                
    MATCH($A206, IR!$A$2:$A2026, 0), 
    MATCH(C$1, IR!$B$1:$E$1, 0) ), "")
</f>
        <v>-0.00005</v>
      </c>
      <c r="D206" s="9">
        <f t="array" ref="D206">IFERROR(
  INDEX(
    IR!$B$2:$E2026,                
    MATCH($A206, IR!$A$2:$A2026, 0), 
    MATCH(D$1, IR!$B$1:$E$1, 0) ), "")
</f>
        <v>0.00055</v>
      </c>
      <c r="E206" s="9">
        <f t="array" ref="E206">IFERROR(
  INDEX(
    IR!$B$2:$E2026,                
    MATCH($A206, IR!$A$2:$A2026, 0), 
    MATCH(E$1, IR!$B$1:$E$1, 0) ), "")
</f>
        <v>0.00142</v>
      </c>
      <c r="F206" s="9">
        <f t="array" ref="F206">IFERROR(
  INDEX(
    IR!$B$2:$E2026,                
    MATCH($A206, IR!$A$2:$A2026, 0), 
    MATCH(F$1, IR!$B$1:$E$1, 0) ), "")
</f>
        <v>0.00284</v>
      </c>
      <c r="G206" s="14"/>
      <c r="H206" s="9">
        <f t="array" ref="H206">IFERROR(
  INDEX(
    SR!$B$2:$D2026,            
    MATCH($A206, SR!$A$2:$A2026, 0),  
    MATCH(H$1, SR!$B$1:$D$1, 0) ), "")
</f>
        <v>0.00127</v>
      </c>
      <c r="I206" s="9">
        <f t="array" ref="I206">IFERROR(
  INDEX(
    SR!$B$2:$D2026,            
    MATCH($A206, SR!$A$2:$A2026, 0),  
    MATCH(I$1, SR!$B$1:$D$1, 0) ), "")
</f>
        <v>0.001665</v>
      </c>
      <c r="J206" s="9">
        <f t="array" ref="J206">IFERROR(
  INDEX(
    SR!$B$2:$D2026,            
    MATCH($A206, SR!$A$2:$A2026, 0),  
    MATCH(J$1, SR!$B$1:$D$1, 0) ), "")
</f>
        <v>0.002995</v>
      </c>
      <c r="K206" s="14"/>
      <c r="L206" s="9">
        <v>122.73</v>
      </c>
      <c r="M206" s="9">
        <v>24.63</v>
      </c>
      <c r="N206" s="9">
        <v>112.4</v>
      </c>
      <c r="O206" s="9">
        <v>123.49</v>
      </c>
      <c r="P206" s="9">
        <v>132.56</v>
      </c>
      <c r="Q206" s="9">
        <v>1375.5247</v>
      </c>
      <c r="R206" s="14"/>
      <c r="S206" s="12">
        <f t="shared" si="2"/>
        <v>0.001255932589</v>
      </c>
      <c r="T206" s="12">
        <f t="shared" si="3"/>
        <v>1.001255933</v>
      </c>
      <c r="U206" s="16">
        <f t="shared" si="7"/>
        <v>101.8439714</v>
      </c>
      <c r="V206" s="17"/>
      <c r="W206" s="12">
        <f t="array" ref="W206">SQRT(252/20) *  SQRT( SUMSQ( LN(U185:U204 / U184:U203) )  - (1/20) * ( SUM( LN(U185:U204 / U184:U203) ) ^ 2 ) )</f>
        <v>0.03439551847</v>
      </c>
      <c r="X206" s="9">
        <f t="shared" si="4"/>
        <v>1.5</v>
      </c>
      <c r="Y206" s="14"/>
      <c r="Z206" s="12">
        <f t="shared" si="5"/>
        <v>1.001883927</v>
      </c>
      <c r="AA206" s="16">
        <f t="shared" si="8"/>
        <v>102.7324963</v>
      </c>
      <c r="AB206" s="14"/>
      <c r="AC206" s="9">
        <f t="shared" si="6"/>
        <v>0</v>
      </c>
    </row>
    <row r="207">
      <c r="A207" s="8">
        <v>42025.0</v>
      </c>
      <c r="B207" s="14"/>
      <c r="C207" s="9">
        <f t="array" ref="C207">IFERROR(
  INDEX(
    IR!$B$2:$E2026,                
    MATCH($A207, IR!$A$2:$A2026, 0), 
    MATCH(C$1, IR!$B$1:$E$1, 0) ), "")
</f>
        <v>-0.00004</v>
      </c>
      <c r="D207" s="9">
        <f t="array" ref="D207">IFERROR(
  INDEX(
    IR!$B$2:$E2026,                
    MATCH($A207, IR!$A$2:$A2026, 0), 
    MATCH(D$1, IR!$B$1:$E$1, 0) ), "")
</f>
        <v>0.00055</v>
      </c>
      <c r="E207" s="9">
        <f t="array" ref="E207">IFERROR(
  INDEX(
    IR!$B$2:$E2026,                
    MATCH($A207, IR!$A$2:$A2026, 0), 
    MATCH(E$1, IR!$B$1:$E$1, 0) ), "")
</f>
        <v>0.00141</v>
      </c>
      <c r="F207" s="9">
        <f t="array" ref="F207">IFERROR(
  INDEX(
    IR!$B$2:$E2026,                
    MATCH($A207, IR!$A$2:$A2026, 0), 
    MATCH(F$1, IR!$B$1:$E$1, 0) ), "")
</f>
        <v>0.00283</v>
      </c>
      <c r="G207" s="14"/>
      <c r="H207" s="9">
        <f t="array" ref="H207">IFERROR(
  INDEX(
    SR!$B$2:$D2026,            
    MATCH($A207, SR!$A$2:$A2026, 0),  
    MATCH(H$1, SR!$B$1:$D$1, 0) ), "")
</f>
        <v>0.00133</v>
      </c>
      <c r="I207" s="9">
        <f t="array" ref="I207">IFERROR(
  INDEX(
    SR!$B$2:$D2026,            
    MATCH($A207, SR!$A$2:$A2026, 0),  
    MATCH(I$1, SR!$B$1:$D$1, 0) ), "")
</f>
        <v>0.00178</v>
      </c>
      <c r="J207" s="9">
        <f t="array" ref="J207">IFERROR(
  INDEX(
    SR!$B$2:$D2026,            
    MATCH($A207, SR!$A$2:$A2026, 0),  
    MATCH(J$1, SR!$B$1:$D$1, 0) ), "")
</f>
        <v>0.00332</v>
      </c>
      <c r="K207" s="14"/>
      <c r="L207" s="9">
        <v>123.1</v>
      </c>
      <c r="M207" s="9">
        <v>24.63</v>
      </c>
      <c r="N207" s="9">
        <v>112.44</v>
      </c>
      <c r="O207" s="9">
        <v>123.44</v>
      </c>
      <c r="P207" s="9">
        <v>132.64</v>
      </c>
      <c r="Q207" s="9">
        <v>1378.158</v>
      </c>
      <c r="R207" s="14"/>
      <c r="S207" s="12">
        <f t="shared" si="2"/>
        <v>0.0009137634751</v>
      </c>
      <c r="T207" s="12">
        <f t="shared" si="3"/>
        <v>1.000913763</v>
      </c>
      <c r="U207" s="16">
        <f t="shared" si="7"/>
        <v>101.9370327</v>
      </c>
      <c r="V207" s="17"/>
      <c r="W207" s="12">
        <f t="array" ref="W207">SQRT(252/20) *  SQRT( SUMSQ( LN(U186:U205 / U185:U204) )  - (1/20) * ( SUM( LN(U186:U205 / U185:U204) ) ^ 2 ) )</f>
        <v>0.03150486174</v>
      </c>
      <c r="X207" s="9">
        <f t="shared" si="4"/>
        <v>1.5</v>
      </c>
      <c r="Y207" s="14"/>
      <c r="Z207" s="12">
        <f t="shared" si="5"/>
        <v>1.001370715</v>
      </c>
      <c r="AA207" s="16">
        <f t="shared" si="8"/>
        <v>102.8733133</v>
      </c>
      <c r="AB207" s="14"/>
      <c r="AC207" s="9">
        <f t="shared" si="6"/>
        <v>0</v>
      </c>
    </row>
    <row r="208">
      <c r="A208" s="8">
        <v>42026.0</v>
      </c>
      <c r="B208" s="14"/>
      <c r="C208" s="9">
        <f t="array" ref="C208">IFERROR(
  INDEX(
    IR!$B$2:$E2026,                
    MATCH($A208, IR!$A$2:$A2026, 0), 
    MATCH(C$1, IR!$B$1:$E$1, 0) ), "")
</f>
        <v>-0.00001</v>
      </c>
      <c r="D208" s="9">
        <f t="array" ref="D208">IFERROR(
  INDEX(
    IR!$B$2:$E2026,                
    MATCH($A208, IR!$A$2:$A2026, 0), 
    MATCH(D$1, IR!$B$1:$E$1, 0) ), "")
</f>
        <v>0.00055</v>
      </c>
      <c r="E208" s="9">
        <f t="array" ref="E208">IFERROR(
  INDEX(
    IR!$B$2:$E2026,                
    MATCH($A208, IR!$A$2:$A2026, 0), 
    MATCH(E$1, IR!$B$1:$E$1, 0) ), "")
</f>
        <v>0.00141</v>
      </c>
      <c r="F208" s="9">
        <f t="array" ref="F208">IFERROR(
  INDEX(
    IR!$B$2:$E2026,                
    MATCH($A208, IR!$A$2:$A2026, 0), 
    MATCH(F$1, IR!$B$1:$E$1, 0) ), "")
</f>
        <v>0.00282</v>
      </c>
      <c r="G208" s="14"/>
      <c r="H208" s="9">
        <f t="array" ref="H208">IFERROR(
  INDEX(
    SR!$B$2:$D2026,            
    MATCH($A208, SR!$A$2:$A2026, 0),  
    MATCH(H$1, SR!$B$1:$D$1, 0) ), "")
</f>
        <v>0.0012</v>
      </c>
      <c r="I208" s="9">
        <f t="array" ref="I208">IFERROR(
  INDEX(
    SR!$B$2:$D2026,            
    MATCH($A208, SR!$A$2:$A2026, 0),  
    MATCH(I$1, SR!$B$1:$D$1, 0) ), "")
</f>
        <v>0.0016</v>
      </c>
      <c r="J208" s="9">
        <f t="array" ref="J208">IFERROR(
  INDEX(
    SR!$B$2:$D2026,            
    MATCH($A208, SR!$A$2:$A2026, 0),  
    MATCH(J$1, SR!$B$1:$D$1, 0) ), "")
</f>
        <v>0.003086</v>
      </c>
      <c r="K208" s="14"/>
      <c r="L208" s="9">
        <v>123.63</v>
      </c>
      <c r="M208" s="9">
        <v>24.65</v>
      </c>
      <c r="N208" s="9">
        <v>112.49</v>
      </c>
      <c r="O208" s="9">
        <v>123.28</v>
      </c>
      <c r="P208" s="9">
        <v>132.56</v>
      </c>
      <c r="Q208" s="9">
        <v>1380.8667</v>
      </c>
      <c r="R208" s="14"/>
      <c r="S208" s="12">
        <f t="shared" si="2"/>
        <v>0.000937867851</v>
      </c>
      <c r="T208" s="12">
        <f t="shared" si="3"/>
        <v>1.000937868</v>
      </c>
      <c r="U208" s="16">
        <f t="shared" si="7"/>
        <v>102.0326362</v>
      </c>
      <c r="V208" s="17"/>
      <c r="W208" s="12">
        <f t="array" ref="W208">SQRT(252/20) *  SQRT( SUMSQ( LN(U187:U206 / U186:U205) )  - (1/20) * ( SUM( LN(U187:U206 / U186:U205) ) ^ 2 ) )</f>
        <v>0.03148545989</v>
      </c>
      <c r="X208" s="9">
        <f t="shared" si="4"/>
        <v>1.5</v>
      </c>
      <c r="Y208" s="14"/>
      <c r="Z208" s="12">
        <f t="shared" si="5"/>
        <v>1.001406857</v>
      </c>
      <c r="AA208" s="16">
        <f t="shared" si="8"/>
        <v>103.0180413</v>
      </c>
      <c r="AB208" s="14"/>
      <c r="AC208" s="9">
        <f t="shared" si="6"/>
        <v>0</v>
      </c>
    </row>
    <row r="209">
      <c r="A209" s="8">
        <v>42027.0</v>
      </c>
      <c r="B209" s="14"/>
      <c r="C209" s="9">
        <f t="array" ref="C209">IFERROR(
  INDEX(
    IR!$B$2:$E2026,                
    MATCH($A209, IR!$A$2:$A2026, 0), 
    MATCH(C$1, IR!$B$1:$E$1, 0) ), "")
</f>
        <v>0.00001</v>
      </c>
      <c r="D209" s="9">
        <f t="array" ref="D209">IFERROR(
  INDEX(
    IR!$B$2:$E2026,                
    MATCH($A209, IR!$A$2:$A2026, 0), 
    MATCH(D$1, IR!$B$1:$E$1, 0) ), "")
</f>
        <v>0.00053</v>
      </c>
      <c r="E209" s="9">
        <f t="array" ref="E209">IFERROR(
  INDEX(
    IR!$B$2:$E2026,                
    MATCH($A209, IR!$A$2:$A2026, 0), 
    MATCH(E$1, IR!$B$1:$E$1, 0) ), "")
</f>
        <v>0.00137</v>
      </c>
      <c r="F209" s="9">
        <f t="array" ref="F209">IFERROR(
  INDEX(
    IR!$B$2:$E2026,                
    MATCH($A209, IR!$A$2:$A2026, 0), 
    MATCH(F$1, IR!$B$1:$E$1, 0) ), "")
</f>
        <v>0.00275</v>
      </c>
      <c r="G209" s="14"/>
      <c r="H209" s="9">
        <f t="array" ref="H209">IFERROR(
  INDEX(
    SR!$B$2:$D2026,            
    MATCH($A209, SR!$A$2:$A2026, 0),  
    MATCH(H$1, SR!$B$1:$D$1, 0) ), "")
</f>
        <v>0.001063</v>
      </c>
      <c r="I209" s="9">
        <f t="array" ref="I209">IFERROR(
  INDEX(
    SR!$B$2:$D2026,            
    MATCH($A209, SR!$A$2:$A2026, 0),  
    MATCH(I$1, SR!$B$1:$D$1, 0) ), "")
</f>
        <v>0.001422</v>
      </c>
      <c r="J209" s="9">
        <f t="array" ref="J209">IFERROR(
  INDEX(
    SR!$B$2:$D2026,            
    MATCH($A209, SR!$A$2:$A2026, 0),  
    MATCH(J$1, SR!$B$1:$D$1, 0) ), "")
</f>
        <v>0.002736</v>
      </c>
      <c r="K209" s="14"/>
      <c r="L209" s="9">
        <v>124.41</v>
      </c>
      <c r="M209" s="9">
        <v>24.67</v>
      </c>
      <c r="N209" s="9">
        <v>112.5</v>
      </c>
      <c r="O209" s="9">
        <v>124.46</v>
      </c>
      <c r="P209" s="9">
        <v>133.52</v>
      </c>
      <c r="Q209" s="9">
        <v>1390.0856</v>
      </c>
      <c r="R209" s="14"/>
      <c r="S209" s="12">
        <f t="shared" si="2"/>
        <v>0.005115168295</v>
      </c>
      <c r="T209" s="12">
        <f t="shared" si="3"/>
        <v>1.005115168</v>
      </c>
      <c r="U209" s="16">
        <f t="shared" si="7"/>
        <v>102.5545503</v>
      </c>
      <c r="V209" s="17"/>
      <c r="W209" s="12">
        <f t="array" ref="W209">SQRT(252/20) *  SQRT( SUMSQ( LN(U188:U207 / U187:U206) )  - (1/20) * ( SUM( LN(U188:U207 / U187:U206) ) ^ 2 ) )</f>
        <v>0.03059038745</v>
      </c>
      <c r="X209" s="9">
        <f t="shared" si="4"/>
        <v>1.5</v>
      </c>
      <c r="Y209" s="14"/>
      <c r="Z209" s="12">
        <f t="shared" si="5"/>
        <v>1.007672766</v>
      </c>
      <c r="AA209" s="16">
        <f t="shared" si="8"/>
        <v>103.8084747</v>
      </c>
      <c r="AB209" s="14"/>
      <c r="AC209" s="9">
        <f t="shared" si="6"/>
        <v>0</v>
      </c>
    </row>
    <row r="210">
      <c r="A210" s="8">
        <v>42030.0</v>
      </c>
      <c r="B210" s="14"/>
      <c r="C210" s="9">
        <f t="array" ref="C210">IFERROR(
  INDEX(
    IR!$B$2:$E2026,                
    MATCH($A210, IR!$A$2:$A2026, 0), 
    MATCH(C$1, IR!$B$1:$E$1, 0) ), "")
</f>
        <v>0.00002</v>
      </c>
      <c r="D210" s="9">
        <f t="array" ref="D210">IFERROR(
  INDEX(
    IR!$B$2:$E2026,                
    MATCH($A210, IR!$A$2:$A2026, 0), 
    MATCH(D$1, IR!$B$1:$E$1, 0) ), "")
</f>
        <v>0.00054</v>
      </c>
      <c r="E210" s="9">
        <f t="array" ref="E210">IFERROR(
  INDEX(
    IR!$B$2:$E2026,                
    MATCH($A210, IR!$A$2:$A2026, 0), 
    MATCH(E$1, IR!$B$1:$E$1, 0) ), "")
</f>
        <v>0.00138</v>
      </c>
      <c r="F210" s="9">
        <f t="array" ref="F210">IFERROR(
  INDEX(
    IR!$B$2:$E2026,                
    MATCH($A210, IR!$A$2:$A2026, 0), 
    MATCH(F$1, IR!$B$1:$E$1, 0) ), "")
</f>
        <v>0.00277</v>
      </c>
      <c r="G210" s="14"/>
      <c r="H210" s="9">
        <f t="array" ref="H210">IFERROR(
  INDEX(
    SR!$B$2:$D2026,            
    MATCH($A210, SR!$A$2:$A2026, 0),  
    MATCH(H$1, SR!$B$1:$D$1, 0) ), "")
</f>
        <v>0.00129</v>
      </c>
      <c r="I210" s="9">
        <f t="array" ref="I210">IFERROR(
  INDEX(
    SR!$B$2:$D2026,            
    MATCH($A210, SR!$A$2:$A2026, 0),  
    MATCH(I$1, SR!$B$1:$D$1, 0) ), "")
</f>
        <v>0.00172</v>
      </c>
      <c r="J210" s="9">
        <f t="array" ref="J210">IFERROR(
  INDEX(
    SR!$B$2:$D2026,            
    MATCH($A210, SR!$A$2:$A2026, 0),  
    MATCH(J$1, SR!$B$1:$D$1, 0) ), "")
</f>
        <v>0.00316</v>
      </c>
      <c r="K210" s="14"/>
      <c r="L210" s="9">
        <v>124.78</v>
      </c>
      <c r="M210" s="9">
        <v>24.67</v>
      </c>
      <c r="N210" s="9">
        <v>112.53</v>
      </c>
      <c r="O210" s="9">
        <v>126.0</v>
      </c>
      <c r="P210" s="9">
        <v>134.58</v>
      </c>
      <c r="Q210" s="9">
        <v>1393.6097</v>
      </c>
      <c r="R210" s="14"/>
      <c r="S210" s="12">
        <f t="shared" si="2"/>
        <v>0.004346549406</v>
      </c>
      <c r="T210" s="12">
        <f t="shared" si="3"/>
        <v>1.004346549</v>
      </c>
      <c r="U210" s="16">
        <f t="shared" si="7"/>
        <v>103.0003087</v>
      </c>
      <c r="V210" s="17"/>
      <c r="W210" s="12">
        <f t="array" ref="W210">SQRT(252/20) *  SQRT( SUMSQ( LN(U189:U208 / U188:U207) )  - (1/20) * ( SUM( LN(U189:U208 / U188:U207) ) ^ 2 ) )</f>
        <v>0.02686339044</v>
      </c>
      <c r="X210" s="9">
        <f t="shared" si="4"/>
        <v>1.5</v>
      </c>
      <c r="Y210" s="14"/>
      <c r="Z210" s="12">
        <f t="shared" si="5"/>
        <v>1.006519782</v>
      </c>
      <c r="AA210" s="16">
        <f t="shared" si="8"/>
        <v>104.4852834</v>
      </c>
      <c r="AB210" s="14"/>
      <c r="AC210" s="9">
        <f t="shared" si="6"/>
        <v>0</v>
      </c>
    </row>
    <row r="211">
      <c r="A211" s="8">
        <v>42031.0</v>
      </c>
      <c r="B211" s="14"/>
      <c r="C211" s="9">
        <f t="array" ref="C211">IFERROR(
  INDEX(
    IR!$B$2:$E2026,                
    MATCH($A211, IR!$A$2:$A2026, 0), 
    MATCH(C$1, IR!$B$1:$E$1, 0) ), "")
</f>
        <v>0.00005</v>
      </c>
      <c r="D211" s="9">
        <f t="array" ref="D211">IFERROR(
  INDEX(
    IR!$B$2:$E2026,                
    MATCH($A211, IR!$A$2:$A2026, 0), 
    MATCH(D$1, IR!$B$1:$E$1, 0) ), "")
</f>
        <v>0.00055</v>
      </c>
      <c r="E211" s="9">
        <f t="array" ref="E211">IFERROR(
  INDEX(
    IR!$B$2:$E2026,                
    MATCH($A211, IR!$A$2:$A2026, 0), 
    MATCH(E$1, IR!$B$1:$E$1, 0) ), "")
</f>
        <v>0.00138</v>
      </c>
      <c r="F211" s="9">
        <f t="array" ref="F211">IFERROR(
  INDEX(
    IR!$B$2:$E2026,                
    MATCH($A211, IR!$A$2:$A2026, 0), 
    MATCH(F$1, IR!$B$1:$E$1, 0) ), "")
</f>
        <v>0.00277</v>
      </c>
      <c r="G211" s="14"/>
      <c r="H211" s="9">
        <f t="array" ref="H211">IFERROR(
  INDEX(
    SR!$B$2:$D2026,            
    MATCH($A211, SR!$A$2:$A2026, 0),  
    MATCH(H$1, SR!$B$1:$D$1, 0) ), "")
</f>
        <v>0.00123</v>
      </c>
      <c r="I211" s="9">
        <f t="array" ref="I211">IFERROR(
  INDEX(
    SR!$B$2:$D2026,            
    MATCH($A211, SR!$A$2:$A2026, 0),  
    MATCH(I$1, SR!$B$1:$D$1, 0) ), "")
</f>
        <v>0.001645</v>
      </c>
      <c r="J211" s="9">
        <f t="array" ref="J211">IFERROR(
  INDEX(
    SR!$B$2:$D2026,            
    MATCH($A211, SR!$A$2:$A2026, 0),  
    MATCH(J$1, SR!$B$1:$D$1, 0) ), "")
</f>
        <v>0.003085</v>
      </c>
      <c r="K211" s="14"/>
      <c r="L211" s="9">
        <v>124.33</v>
      </c>
      <c r="M211" s="9">
        <v>24.65</v>
      </c>
      <c r="N211" s="9">
        <v>112.52</v>
      </c>
      <c r="O211" s="9">
        <v>126.38</v>
      </c>
      <c r="P211" s="9">
        <v>134.68</v>
      </c>
      <c r="Q211" s="9">
        <v>1399.7239</v>
      </c>
      <c r="R211" s="14"/>
      <c r="S211" s="12">
        <f t="shared" si="2"/>
        <v>0.0006069166187</v>
      </c>
      <c r="T211" s="12">
        <f t="shared" si="3"/>
        <v>1.000606917</v>
      </c>
      <c r="U211" s="16">
        <f t="shared" si="7"/>
        <v>103.0628213</v>
      </c>
      <c r="V211" s="17"/>
      <c r="W211" s="12">
        <f t="array" ref="W211">SQRT(252/20) *  SQRT( SUMSQ( LN(U190:U209 / U189:U208) )  - (1/20) * ( SUM( LN(U190:U209 / U189:U208) ) ^ 2 ) )</f>
        <v>0.03117397432</v>
      </c>
      <c r="X211" s="9">
        <f t="shared" si="4"/>
        <v>1.5</v>
      </c>
      <c r="Y211" s="14"/>
      <c r="Z211" s="12">
        <f t="shared" si="5"/>
        <v>1.000910347</v>
      </c>
      <c r="AA211" s="16">
        <f t="shared" si="8"/>
        <v>104.5804013</v>
      </c>
      <c r="AB211" s="14"/>
      <c r="AC211" s="9">
        <f t="shared" si="6"/>
        <v>0.55</v>
      </c>
    </row>
    <row r="212">
      <c r="A212" s="8">
        <v>42032.0</v>
      </c>
      <c r="B212" s="14"/>
      <c r="C212" s="9">
        <f t="array" ref="C212">IFERROR(
  INDEX(
    IR!$B$2:$E2026,                
    MATCH($A212, IR!$A$2:$A2026, 0), 
    MATCH(C$1, IR!$B$1:$E$1, 0) ), "")
</f>
        <v>0.00001</v>
      </c>
      <c r="D212" s="9">
        <f t="array" ref="D212">IFERROR(
  INDEX(
    IR!$B$2:$E2026,                
    MATCH($A212, IR!$A$2:$A2026, 0), 
    MATCH(D$1, IR!$B$1:$E$1, 0) ), "")
</f>
        <v>0.00053</v>
      </c>
      <c r="E212" s="9">
        <f t="array" ref="E212">IFERROR(
  INDEX(
    IR!$B$2:$E2026,                
    MATCH($A212, IR!$A$2:$A2026, 0), 
    MATCH(E$1, IR!$B$1:$E$1, 0) ), "")
</f>
        <v>0.00135</v>
      </c>
      <c r="F212" s="9">
        <f t="array" ref="F212">IFERROR(
  INDEX(
    IR!$B$2:$E2026,                
    MATCH($A212, IR!$A$2:$A2026, 0), 
    MATCH(F$1, IR!$B$1:$E$1, 0) ), "")
</f>
        <v>0.00273</v>
      </c>
      <c r="G212" s="14"/>
      <c r="H212" s="9">
        <f t="array" ref="H212">IFERROR(
  INDEX(
    SR!$B$2:$D2026,            
    MATCH($A212, SR!$A$2:$A2026, 0),  
    MATCH(H$1, SR!$B$1:$D$1, 0) ), "")
</f>
        <v>0.00121</v>
      </c>
      <c r="I212" s="9">
        <f t="array" ref="I212">IFERROR(
  INDEX(
    SR!$B$2:$D2026,            
    MATCH($A212, SR!$A$2:$A2026, 0),  
    MATCH(I$1, SR!$B$1:$D$1, 0) ), "")
</f>
        <v>0.001536</v>
      </c>
      <c r="J212" s="9">
        <f t="array" ref="J212">IFERROR(
  INDEX(
    SR!$B$2:$D2026,            
    MATCH($A212, SR!$A$2:$A2026, 0),  
    MATCH(J$1, SR!$B$1:$D$1, 0) ), "")
</f>
        <v>0.00273</v>
      </c>
      <c r="K212" s="14"/>
      <c r="L212" s="9">
        <v>124.35</v>
      </c>
      <c r="M212" s="9">
        <v>24.65</v>
      </c>
      <c r="N212" s="9">
        <v>112.53</v>
      </c>
      <c r="O212" s="9">
        <v>125.65</v>
      </c>
      <c r="P212" s="9">
        <v>134.07</v>
      </c>
      <c r="Q212" s="9">
        <v>1393.2924</v>
      </c>
      <c r="R212" s="14"/>
      <c r="S212" s="12">
        <f t="shared" si="2"/>
        <v>-0.00244124684</v>
      </c>
      <c r="T212" s="12">
        <f t="shared" si="3"/>
        <v>0.9975587532</v>
      </c>
      <c r="U212" s="16">
        <f t="shared" si="7"/>
        <v>102.8112195</v>
      </c>
      <c r="V212" s="17"/>
      <c r="W212" s="12">
        <f t="array" ref="W212">SQRT(252/20) *  SQRT( SUMSQ( LN(U191:U210 / U190:U209) )  - (1/20) * ( SUM( LN(U191:U210 / U190:U209) ) ^ 2 ) )</f>
        <v>0.03347921073</v>
      </c>
      <c r="X212" s="9">
        <f t="shared" si="4"/>
        <v>1.5</v>
      </c>
      <c r="Y212" s="14"/>
      <c r="Z212" s="12">
        <f t="shared" si="5"/>
        <v>0.9963380603</v>
      </c>
      <c r="AA212" s="16">
        <f t="shared" si="8"/>
        <v>104.1974341</v>
      </c>
      <c r="AB212" s="14"/>
      <c r="AC212" s="9">
        <f t="shared" si="6"/>
        <v>0</v>
      </c>
    </row>
    <row r="213">
      <c r="A213" s="8">
        <v>42033.0</v>
      </c>
      <c r="B213" s="14"/>
      <c r="C213" s="9">
        <f t="array" ref="C213">IFERROR(
  INDEX(
    IR!$B$2:$E2026,                
    MATCH($A213, IR!$A$2:$A2026, 0), 
    MATCH(C$1, IR!$B$1:$E$1, 0) ), "")
</f>
        <v>0.00001</v>
      </c>
      <c r="D213" s="9">
        <f t="array" ref="D213">IFERROR(
  INDEX(
    IR!$B$2:$E2026,                
    MATCH($A213, IR!$A$2:$A2026, 0), 
    MATCH(D$1, IR!$B$1:$E$1, 0) ), "")
</f>
        <v>0.00052</v>
      </c>
      <c r="E213" s="9">
        <f t="array" ref="E213">IFERROR(
  INDEX(
    IR!$B$2:$E2026,                
    MATCH($A213, IR!$A$2:$A2026, 0), 
    MATCH(E$1, IR!$B$1:$E$1, 0) ), "")
</f>
        <v>0.00132</v>
      </c>
      <c r="F213" s="9">
        <f t="array" ref="F213">IFERROR(
  INDEX(
    IR!$B$2:$E2026,                
    MATCH($A213, IR!$A$2:$A2026, 0), 
    MATCH(F$1, IR!$B$1:$E$1, 0) ), "")
</f>
        <v>0.00271</v>
      </c>
      <c r="G213" s="14"/>
      <c r="H213" s="9">
        <f t="array" ref="H213">IFERROR(
  INDEX(
    SR!$B$2:$D2026,            
    MATCH($A213, SR!$A$2:$A2026, 0),  
    MATCH(H$1, SR!$B$1:$D$1, 0) ), "")
</f>
        <v>0.00141</v>
      </c>
      <c r="I213" s="9">
        <f t="array" ref="I213">IFERROR(
  INDEX(
    SR!$B$2:$D2026,            
    MATCH($A213, SR!$A$2:$A2026, 0),  
    MATCH(I$1, SR!$B$1:$D$1, 0) ), "")
</f>
        <v>0.00178</v>
      </c>
      <c r="J213" s="9">
        <f t="array" ref="J213">IFERROR(
  INDEX(
    SR!$B$2:$D2026,            
    MATCH($A213, SR!$A$2:$A2026, 0),  
    MATCH(J$1, SR!$B$1:$D$1, 0) ), "")
</f>
        <v>0.00317</v>
      </c>
      <c r="K213" s="14"/>
      <c r="L213" s="9">
        <v>124.54</v>
      </c>
      <c r="M213" s="9">
        <v>24.63</v>
      </c>
      <c r="N213" s="9">
        <v>112.42</v>
      </c>
      <c r="O213" s="9">
        <v>126.04</v>
      </c>
      <c r="P213" s="9">
        <v>133.93</v>
      </c>
      <c r="Q213" s="9">
        <v>1389.0606</v>
      </c>
      <c r="R213" s="14"/>
      <c r="S213" s="12">
        <f t="shared" si="2"/>
        <v>-0.0002066491183</v>
      </c>
      <c r="T213" s="12">
        <f t="shared" si="3"/>
        <v>0.9997933509</v>
      </c>
      <c r="U213" s="16">
        <f t="shared" si="7"/>
        <v>102.7899737</v>
      </c>
      <c r="V213" s="17"/>
      <c r="W213" s="12">
        <f t="array" ref="W213">SQRT(252/20) *  SQRT( SUMSQ( LN(U192:U211 / U191:U210) )  - (1/20) * ( SUM( LN(U192:U211 / U191:U210) ) ^ 2 ) )</f>
        <v>0.033461747</v>
      </c>
      <c r="X213" s="9">
        <f t="shared" si="4"/>
        <v>1.5</v>
      </c>
      <c r="Y213" s="14"/>
      <c r="Z213" s="12">
        <f t="shared" si="5"/>
        <v>0.9996900124</v>
      </c>
      <c r="AA213" s="16">
        <f t="shared" si="8"/>
        <v>104.1651342</v>
      </c>
      <c r="AB213" s="14"/>
      <c r="AC213" s="9">
        <f t="shared" si="6"/>
        <v>0</v>
      </c>
    </row>
    <row r="214">
      <c r="A214" s="8">
        <v>42034.0</v>
      </c>
      <c r="B214" s="14"/>
      <c r="C214" s="9">
        <f t="array" ref="C214">IFERROR(
  INDEX(
    IR!$B$2:$E2026,                
    MATCH($A214, IR!$A$2:$A2026, 0), 
    MATCH(C$1, IR!$B$1:$E$1, 0) ), "")
</f>
        <v>0.00001</v>
      </c>
      <c r="D214" s="9">
        <f t="array" ref="D214">IFERROR(
  INDEX(
    IR!$B$2:$E2026,                
    MATCH($A214, IR!$A$2:$A2026, 0), 
    MATCH(D$1, IR!$B$1:$E$1, 0) ), "")
</f>
        <v>0.00054</v>
      </c>
      <c r="E214" s="9">
        <f t="array" ref="E214">IFERROR(
  INDEX(
    IR!$B$2:$E2026,                
    MATCH($A214, IR!$A$2:$A2026, 0), 
    MATCH(E$1, IR!$B$1:$E$1, 0) ), "")
</f>
        <v>0.00132</v>
      </c>
      <c r="F214" s="9">
        <f t="array" ref="F214">IFERROR(
  INDEX(
    IR!$B$2:$E2026,                
    MATCH($A214, IR!$A$2:$A2026, 0), 
    MATCH(F$1, IR!$B$1:$E$1, 0) ), "")
</f>
        <v>0.0027</v>
      </c>
      <c r="G214" s="14"/>
      <c r="H214" s="9">
        <f t="array" ref="H214">IFERROR(
  INDEX(
    SR!$B$2:$D2026,            
    MATCH($A214, SR!$A$2:$A2026, 0),  
    MATCH(H$1, SR!$B$1:$D$1, 0) ), "")
</f>
        <v>0.00152</v>
      </c>
      <c r="I214" s="9">
        <f t="array" ref="I214">IFERROR(
  INDEX(
    SR!$B$2:$D2026,            
    MATCH($A214, SR!$A$2:$A2026, 0),  
    MATCH(I$1, SR!$B$1:$D$1, 0) ), "")
</f>
        <v>0.001912</v>
      </c>
      <c r="J214" s="9">
        <f t="array" ref="J214">IFERROR(
  INDEX(
    SR!$B$2:$D2026,            
    MATCH($A214, SR!$A$2:$A2026, 0),  
    MATCH(J$1, SR!$B$1:$D$1, 0) ), "")
</f>
        <v>0.00301</v>
      </c>
      <c r="K214" s="14"/>
      <c r="L214" s="9">
        <v>124.37</v>
      </c>
      <c r="M214" s="9">
        <v>24.64</v>
      </c>
      <c r="N214" s="9">
        <v>112.46</v>
      </c>
      <c r="O214" s="9">
        <v>126.21</v>
      </c>
      <c r="P214" s="9">
        <v>134.27</v>
      </c>
      <c r="Q214" s="9">
        <v>1391.4165</v>
      </c>
      <c r="R214" s="14"/>
      <c r="S214" s="12">
        <f t="shared" si="2"/>
        <v>0.0008298793022</v>
      </c>
      <c r="T214" s="12">
        <f t="shared" si="3"/>
        <v>1.000829879</v>
      </c>
      <c r="U214" s="16">
        <f t="shared" si="7"/>
        <v>102.875277</v>
      </c>
      <c r="V214" s="17"/>
      <c r="W214" s="12">
        <f t="array" ref="W214">SQRT(252/20) *  SQRT( SUMSQ( LN(U193:U212 / U192:U211) )  - (1/20) * ( SUM( LN(U193:U212 / U192:U211) ) ^ 2 ) )</f>
        <v>0.03535576984</v>
      </c>
      <c r="X214" s="9">
        <f t="shared" si="4"/>
        <v>1.5</v>
      </c>
      <c r="Y214" s="14"/>
      <c r="Z214" s="12">
        <f t="shared" si="5"/>
        <v>1.001244805</v>
      </c>
      <c r="AA214" s="16">
        <f t="shared" si="8"/>
        <v>104.2947995</v>
      </c>
      <c r="AB214" s="14"/>
      <c r="AC214" s="9">
        <f t="shared" si="6"/>
        <v>0</v>
      </c>
    </row>
    <row r="215">
      <c r="A215" s="8">
        <v>42037.0</v>
      </c>
      <c r="B215" s="14"/>
      <c r="C215" s="9">
        <f t="array" ref="C215">IFERROR(
  INDEX(
    IR!$B$2:$E2026,                
    MATCH($A215, IR!$A$2:$A2026, 0), 
    MATCH(C$1, IR!$B$1:$E$1, 0) ), "")
</f>
        <v>0.00003</v>
      </c>
      <c r="D215" s="9">
        <f t="array" ref="D215">IFERROR(
  INDEX(
    IR!$B$2:$E2026,                
    MATCH($A215, IR!$A$2:$A2026, 0), 
    MATCH(D$1, IR!$B$1:$E$1, 0) ), "")
</f>
        <v>0.00055</v>
      </c>
      <c r="E215" s="9">
        <f t="array" ref="E215">IFERROR(
  INDEX(
    IR!$B$2:$E2026,                
    MATCH($A215, IR!$A$2:$A2026, 0), 
    MATCH(E$1, IR!$B$1:$E$1, 0) ), "")
</f>
        <v>0.00134</v>
      </c>
      <c r="F215" s="9">
        <f t="array" ref="F215">IFERROR(
  INDEX(
    IR!$B$2:$E2026,                
    MATCH($A215, IR!$A$2:$A2026, 0), 
    MATCH(F$1, IR!$B$1:$E$1, 0) ), "")
</f>
        <v>0.00271</v>
      </c>
      <c r="G215" s="14"/>
      <c r="H215" s="9">
        <f t="array" ref="H215">IFERROR(
  INDEX(
    SR!$B$2:$D2026,            
    MATCH($A215, SR!$A$2:$A2026, 0),  
    MATCH(H$1, SR!$B$1:$D$1, 0) ), "")
</f>
        <v>0.00148</v>
      </c>
      <c r="I215" s="9">
        <f t="array" ref="I215">IFERROR(
  INDEX(
    SR!$B$2:$D2026,            
    MATCH($A215, SR!$A$2:$A2026, 0),  
    MATCH(I$1, SR!$B$1:$D$1, 0) ), "")
</f>
        <v>0.00185</v>
      </c>
      <c r="J215" s="9">
        <f t="array" ref="J215">IFERROR(
  INDEX(
    SR!$B$2:$D2026,            
    MATCH($A215, SR!$A$2:$A2026, 0),  
    MATCH(J$1, SR!$B$1:$D$1, 0) ), "")
</f>
        <v>0.003091</v>
      </c>
      <c r="K215" s="14"/>
      <c r="L215" s="9">
        <v>124.6</v>
      </c>
      <c r="M215" s="9">
        <v>24.63</v>
      </c>
      <c r="N215" s="9">
        <v>112.48</v>
      </c>
      <c r="O215" s="9">
        <v>126.31</v>
      </c>
      <c r="P215" s="9">
        <v>134.42</v>
      </c>
      <c r="Q215" s="9">
        <v>1386.0518</v>
      </c>
      <c r="R215" s="14"/>
      <c r="S215" s="12">
        <f t="shared" si="2"/>
        <v>-0.00005449184718</v>
      </c>
      <c r="T215" s="12">
        <f t="shared" si="3"/>
        <v>0.9999455082</v>
      </c>
      <c r="U215" s="16">
        <f t="shared" si="7"/>
        <v>102.8696711</v>
      </c>
      <c r="V215" s="17"/>
      <c r="W215" s="12">
        <f t="array" ref="W215">SQRT(252/20) *  SQRT( SUMSQ( LN(U194:U213 / U193:U212) )  - (1/20) * ( SUM( LN(U194:U213 / U193:U212) ) ^ 2 ) )</f>
        <v>0.0352994874</v>
      </c>
      <c r="X215" s="9">
        <f t="shared" si="4"/>
        <v>1.5</v>
      </c>
      <c r="Y215" s="14"/>
      <c r="Z215" s="12">
        <f t="shared" si="5"/>
        <v>0.9999182206</v>
      </c>
      <c r="AA215" s="16">
        <f t="shared" si="8"/>
        <v>104.2862703</v>
      </c>
      <c r="AB215" s="14"/>
      <c r="AC215" s="9">
        <f t="shared" si="6"/>
        <v>0</v>
      </c>
    </row>
    <row r="216">
      <c r="A216" s="8">
        <v>42038.0</v>
      </c>
      <c r="B216" s="14"/>
      <c r="C216" s="9">
        <f t="array" ref="C216">IFERROR(
  INDEX(
    IR!$B$2:$E2026,                
    MATCH($A216, IR!$A$2:$A2026, 0), 
    MATCH(C$1, IR!$B$1:$E$1, 0) ), "")
</f>
        <v>0.00001</v>
      </c>
      <c r="D216" s="9">
        <f t="array" ref="D216">IFERROR(
  INDEX(
    IR!$B$2:$E2026,                
    MATCH($A216, IR!$A$2:$A2026, 0), 
    MATCH(D$1, IR!$B$1:$E$1, 0) ), "")
</f>
        <v>0.00055</v>
      </c>
      <c r="E216" s="9">
        <f t="array" ref="E216">IFERROR(
  INDEX(
    IR!$B$2:$E2026,                
    MATCH($A216, IR!$A$2:$A2026, 0), 
    MATCH(E$1, IR!$B$1:$E$1, 0) ), "")
</f>
        <v>0.00132</v>
      </c>
      <c r="F216" s="9">
        <f t="array" ref="F216">IFERROR(
  INDEX(
    IR!$B$2:$E2026,                
    MATCH($A216, IR!$A$2:$A2026, 0), 
    MATCH(F$1, IR!$B$1:$E$1, 0) ), "")
</f>
        <v>0.00266</v>
      </c>
      <c r="G216" s="14"/>
      <c r="H216" s="9">
        <f t="array" ref="H216">IFERROR(
  INDEX(
    SR!$B$2:$D2026,            
    MATCH($A216, SR!$A$2:$A2026, 0),  
    MATCH(H$1, SR!$B$1:$D$1, 0) ), "")
</f>
        <v>0.00134</v>
      </c>
      <c r="I216" s="9">
        <f t="array" ref="I216">IFERROR(
  INDEX(
    SR!$B$2:$D2026,            
    MATCH($A216, SR!$A$2:$A2026, 0),  
    MATCH(I$1, SR!$B$1:$D$1, 0) ), "")
</f>
        <v>0.00174</v>
      </c>
      <c r="J216" s="9">
        <f t="array" ref="J216">IFERROR(
  INDEX(
    SR!$B$2:$D2026,            
    MATCH($A216, SR!$A$2:$A2026, 0),  
    MATCH(J$1, SR!$B$1:$D$1, 0) ), "")
</f>
        <v>0.003122</v>
      </c>
      <c r="K216" s="14"/>
      <c r="L216" s="9">
        <v>125.14</v>
      </c>
      <c r="M216" s="9">
        <v>24.62</v>
      </c>
      <c r="N216" s="9">
        <v>112.5</v>
      </c>
      <c r="O216" s="9">
        <v>126.92</v>
      </c>
      <c r="P216" s="9">
        <v>134.82</v>
      </c>
      <c r="Q216" s="9">
        <v>1388.0237</v>
      </c>
      <c r="R216" s="14"/>
      <c r="S216" s="12">
        <f t="shared" si="2"/>
        <v>0.002221499803</v>
      </c>
      <c r="T216" s="12">
        <f t="shared" si="3"/>
        <v>1.0022215</v>
      </c>
      <c r="U216" s="16">
        <f t="shared" si="7"/>
        <v>103.098196</v>
      </c>
      <c r="V216" s="17"/>
      <c r="W216" s="12">
        <f t="array" ref="W216">SQRT(252/20) *  SQRT( SUMSQ( LN(U195:U214 / U194:U213) )  - (1/20) * ( SUM( LN(U195:U214 / U194:U213) ) ^ 2 ) )</f>
        <v>0.03482155526</v>
      </c>
      <c r="X216" s="9">
        <f t="shared" si="4"/>
        <v>1.5</v>
      </c>
      <c r="Y216" s="14"/>
      <c r="Z216" s="12">
        <f t="shared" si="5"/>
        <v>1.003332208</v>
      </c>
      <c r="AA216" s="16">
        <f t="shared" si="8"/>
        <v>104.6337739</v>
      </c>
      <c r="AB216" s="14"/>
      <c r="AC216" s="9">
        <f t="shared" si="6"/>
        <v>1.06</v>
      </c>
    </row>
    <row r="217">
      <c r="A217" s="8">
        <v>42039.0</v>
      </c>
      <c r="B217" s="14"/>
      <c r="C217" s="9">
        <f t="array" ref="C217">IFERROR(
  INDEX(
    IR!$B$2:$E2026,                
    MATCH($A217, IR!$A$2:$A2026, 0), 
    MATCH(C$1, IR!$B$1:$E$1, 0) ), "")
</f>
        <v>0.00001</v>
      </c>
      <c r="D217" s="9">
        <f t="array" ref="D217">IFERROR(
  INDEX(
    IR!$B$2:$E2026,                
    MATCH($A217, IR!$A$2:$A2026, 0), 
    MATCH(D$1, IR!$B$1:$E$1, 0) ), "")
</f>
        <v>0.00055</v>
      </c>
      <c r="E217" s="9">
        <f t="array" ref="E217">IFERROR(
  INDEX(
    IR!$B$2:$E2026,                
    MATCH($A217, IR!$A$2:$A2026, 0), 
    MATCH(E$1, IR!$B$1:$E$1, 0) ), "")
</f>
        <v>0.00132</v>
      </c>
      <c r="F217" s="9">
        <f t="array" ref="F217">IFERROR(
  INDEX(
    IR!$B$2:$E2026,                
    MATCH($A217, IR!$A$2:$A2026, 0), 
    MATCH(F$1, IR!$B$1:$E$1, 0) ), "")
</f>
        <v>0.00263</v>
      </c>
      <c r="G217" s="14"/>
      <c r="H217" s="9">
        <f t="array" ref="H217">IFERROR(
  INDEX(
    SR!$B$2:$D2026,            
    MATCH($A217, SR!$A$2:$A2026, 0),  
    MATCH(H$1, SR!$B$1:$D$1, 0) ), "")
</f>
        <v>0.00138</v>
      </c>
      <c r="I217" s="9">
        <f t="array" ref="I217">IFERROR(
  INDEX(
    SR!$B$2:$D2026,            
    MATCH($A217, SR!$A$2:$A2026, 0),  
    MATCH(I$1, SR!$B$1:$D$1, 0) ), "")
</f>
        <v>0.001779</v>
      </c>
      <c r="J217" s="9">
        <f t="array" ref="J217">IFERROR(
  INDEX(
    SR!$B$2:$D2026,            
    MATCH($A217, SR!$A$2:$A2026, 0),  
    MATCH(J$1, SR!$B$1:$D$1, 0) ), "")
</f>
        <v>0.00313</v>
      </c>
      <c r="K217" s="14"/>
      <c r="L217" s="9">
        <v>125.32</v>
      </c>
      <c r="M217" s="9">
        <v>24.62</v>
      </c>
      <c r="N217" s="9">
        <v>112.48</v>
      </c>
      <c r="O217" s="9">
        <v>127.17</v>
      </c>
      <c r="P217" s="9">
        <v>134.9</v>
      </c>
      <c r="Q217" s="9">
        <v>1395.3948</v>
      </c>
      <c r="R217" s="14"/>
      <c r="S217" s="12">
        <f t="shared" si="2"/>
        <v>0.001522295404</v>
      </c>
      <c r="T217" s="12">
        <f t="shared" si="3"/>
        <v>1.001522295</v>
      </c>
      <c r="U217" s="16">
        <f t="shared" si="7"/>
        <v>103.255142</v>
      </c>
      <c r="V217" s="17"/>
      <c r="W217" s="12">
        <f t="array" ref="W217">SQRT(252/20) *  SQRT( SUMSQ( LN(U196:U215 / U195:U214) )  - (1/20) * ( SUM( LN(U196:U215 / U195:U214) ) ^ 2 ) )</f>
        <v>0.03441392911</v>
      </c>
      <c r="X217" s="9">
        <f t="shared" si="4"/>
        <v>1.5</v>
      </c>
      <c r="Y217" s="14"/>
      <c r="Z217" s="12">
        <f t="shared" si="5"/>
        <v>1.002283429</v>
      </c>
      <c r="AA217" s="16">
        <f t="shared" si="8"/>
        <v>104.8726977</v>
      </c>
      <c r="AB217" s="14"/>
      <c r="AC217" s="9">
        <f t="shared" si="6"/>
        <v>3.34</v>
      </c>
    </row>
    <row r="218">
      <c r="A218" s="8">
        <v>42040.0</v>
      </c>
      <c r="B218" s="14"/>
      <c r="C218" s="9">
        <f t="array" ref="C218">IFERROR(
  INDEX(
    IR!$B$2:$E2026,                
    MATCH($A218, IR!$A$2:$A2026, 0), 
    MATCH(C$1, IR!$B$1:$E$1, 0) ), "")
</f>
        <v>0</v>
      </c>
      <c r="D218" s="9">
        <f t="array" ref="D218">IFERROR(
  INDEX(
    IR!$B$2:$E2026,                
    MATCH($A218, IR!$A$2:$A2026, 0), 
    MATCH(D$1, IR!$B$1:$E$1, 0) ), "")
</f>
        <v>0.00051</v>
      </c>
      <c r="E218" s="9">
        <f t="array" ref="E218">IFERROR(
  INDEX(
    IR!$B$2:$E2026,                
    MATCH($A218, IR!$A$2:$A2026, 0), 
    MATCH(E$1, IR!$B$1:$E$1, 0) ), "")
</f>
        <v>0.00132</v>
      </c>
      <c r="F218" s="9">
        <f t="array" ref="F218">IFERROR(
  INDEX(
    IR!$B$2:$E2026,                
    MATCH($A218, IR!$A$2:$A2026, 0), 
    MATCH(F$1, IR!$B$1:$E$1, 0) ), "")
</f>
        <v>0.00262</v>
      </c>
      <c r="G218" s="14"/>
      <c r="H218" s="9">
        <f t="array" ref="H218">IFERROR(
  INDEX(
    SR!$B$2:$D2026,            
    MATCH($A218, SR!$A$2:$A2026, 0),  
    MATCH(H$1, SR!$B$1:$D$1, 0) ), "")
</f>
        <v>0.00141</v>
      </c>
      <c r="I218" s="9">
        <f t="array" ref="I218">IFERROR(
  INDEX(
    SR!$B$2:$D2026,            
    MATCH($A218, SR!$A$2:$A2026, 0),  
    MATCH(I$1, SR!$B$1:$D$1, 0) ), "")
</f>
        <v>0.0018</v>
      </c>
      <c r="J218" s="9">
        <f t="array" ref="J218">IFERROR(
  INDEX(
    SR!$B$2:$D2026,            
    MATCH($A218, SR!$A$2:$A2026, 0),  
    MATCH(J$1, SR!$B$1:$D$1, 0) ), "")
</f>
        <v>0.00314</v>
      </c>
      <c r="K218" s="14"/>
      <c r="L218" s="9">
        <v>125.52</v>
      </c>
      <c r="M218" s="9">
        <v>24.62</v>
      </c>
      <c r="N218" s="9">
        <v>112.48</v>
      </c>
      <c r="O218" s="9">
        <v>126.97</v>
      </c>
      <c r="P218" s="9">
        <v>134.65</v>
      </c>
      <c r="Q218" s="9">
        <v>1394.4133</v>
      </c>
      <c r="R218" s="14"/>
      <c r="S218" s="12">
        <f t="shared" si="2"/>
        <v>-0.0004221336588</v>
      </c>
      <c r="T218" s="12">
        <f t="shared" si="3"/>
        <v>0.9995778663</v>
      </c>
      <c r="U218" s="16">
        <f t="shared" si="7"/>
        <v>103.2115545</v>
      </c>
      <c r="V218" s="17"/>
      <c r="W218" s="12">
        <f t="array" ref="W218">SQRT(252/20) *  SQRT( SUMSQ( LN(U197:U216 / U196:U215) )  - (1/20) * ( SUM( LN(U197:U216 / U196:U215) ) ^ 2 ) )</f>
        <v>0.02937288289</v>
      </c>
      <c r="X218" s="9">
        <f t="shared" si="4"/>
        <v>1.5</v>
      </c>
      <c r="Y218" s="14"/>
      <c r="Z218" s="12">
        <f t="shared" si="5"/>
        <v>0.9993667856</v>
      </c>
      <c r="AA218" s="16">
        <f t="shared" si="8"/>
        <v>104.8062908</v>
      </c>
      <c r="AB218" s="14"/>
      <c r="AC218" s="9">
        <f t="shared" si="6"/>
        <v>2.71</v>
      </c>
    </row>
    <row r="219">
      <c r="A219" s="8">
        <v>42041.0</v>
      </c>
      <c r="B219" s="14"/>
      <c r="C219" s="9">
        <f t="array" ref="C219">IFERROR(
  INDEX(
    IR!$B$2:$E2026,                
    MATCH($A219, IR!$A$2:$A2026, 0), 
    MATCH(C$1, IR!$B$1:$E$1, 0) ), "")
</f>
        <v>0.00002</v>
      </c>
      <c r="D219" s="9">
        <f t="array" ref="D219">IFERROR(
  INDEX(
    IR!$B$2:$E2026,                
    MATCH($A219, IR!$A$2:$A2026, 0), 
    MATCH(D$1, IR!$B$1:$E$1, 0) ), "")
</f>
        <v>0.00053</v>
      </c>
      <c r="E219" s="9">
        <f t="array" ref="E219">IFERROR(
  INDEX(
    IR!$B$2:$E2026,                
    MATCH($A219, IR!$A$2:$A2026, 0), 
    MATCH(E$1, IR!$B$1:$E$1, 0) ), "")
</f>
        <v>0.00132</v>
      </c>
      <c r="F219" s="9">
        <f t="array" ref="F219">IFERROR(
  INDEX(
    IR!$B$2:$E2026,                
    MATCH($A219, IR!$A$2:$A2026, 0), 
    MATCH(F$1, IR!$B$1:$E$1, 0) ), "")
</f>
        <v>0.00261</v>
      </c>
      <c r="G219" s="14"/>
      <c r="H219" s="9">
        <f t="array" ref="H219">IFERROR(
  INDEX(
    SR!$B$2:$D2026,            
    MATCH($A219, SR!$A$2:$A2026, 0),  
    MATCH(H$1, SR!$B$1:$D$1, 0) ), "")
</f>
        <v>0.001415</v>
      </c>
      <c r="I219" s="9">
        <f t="array" ref="I219">IFERROR(
  INDEX(
    SR!$B$2:$D2026,            
    MATCH($A219, SR!$A$2:$A2026, 0),  
    MATCH(I$1, SR!$B$1:$D$1, 0) ), "")
</f>
        <v>0.001788</v>
      </c>
      <c r="J219" s="9">
        <f t="array" ref="J219">IFERROR(
  INDEX(
    SR!$B$2:$D2026,            
    MATCH($A219, SR!$A$2:$A2026, 0),  
    MATCH(J$1, SR!$B$1:$D$1, 0) ), "")
</f>
        <v>0.00306</v>
      </c>
      <c r="K219" s="14"/>
      <c r="L219" s="9">
        <v>125.46</v>
      </c>
      <c r="M219" s="9">
        <v>24.63</v>
      </c>
      <c r="N219" s="9">
        <v>112.47</v>
      </c>
      <c r="O219" s="9">
        <v>127.0</v>
      </c>
      <c r="P219" s="9">
        <v>134.82</v>
      </c>
      <c r="Q219" s="9">
        <v>1398.8556</v>
      </c>
      <c r="R219" s="14"/>
      <c r="S219" s="12">
        <f t="shared" si="2"/>
        <v>0.0007539921141</v>
      </c>
      <c r="T219" s="12">
        <f t="shared" si="3"/>
        <v>1.000753992</v>
      </c>
      <c r="U219" s="16">
        <f t="shared" si="7"/>
        <v>103.2893752</v>
      </c>
      <c r="V219" s="17"/>
      <c r="W219" s="12">
        <f t="array" ref="W219">SQRT(252/20) *  SQRT( SUMSQ( LN(U198:U217 / U197:U216) )  - (1/20) * ( SUM( LN(U198:U217 / U197:U216) ) ^ 2 ) )</f>
        <v>0.02900950068</v>
      </c>
      <c r="X219" s="9">
        <f t="shared" si="4"/>
        <v>1.5</v>
      </c>
      <c r="Y219" s="14"/>
      <c r="Z219" s="12">
        <f t="shared" si="5"/>
        <v>1.001130988</v>
      </c>
      <c r="AA219" s="16">
        <f t="shared" si="8"/>
        <v>104.9248255</v>
      </c>
      <c r="AB219" s="14"/>
      <c r="AC219" s="9">
        <f t="shared" si="6"/>
        <v>3.84</v>
      </c>
    </row>
    <row r="220">
      <c r="A220" s="8">
        <v>42044.0</v>
      </c>
      <c r="B220" s="14"/>
      <c r="C220" s="9">
        <f t="array" ref="C220">IFERROR(
  INDEX(
    IR!$B$2:$E2026,                
    MATCH($A220, IR!$A$2:$A2026, 0), 
    MATCH(C$1, IR!$B$1:$E$1, 0) ), "")
</f>
        <v>-0.00001</v>
      </c>
      <c r="D220" s="9">
        <f t="array" ref="D220">IFERROR(
  INDEX(
    IR!$B$2:$E2026,                
    MATCH($A220, IR!$A$2:$A2026, 0), 
    MATCH(D$1, IR!$B$1:$E$1, 0) ), "")
</f>
        <v>0.00051</v>
      </c>
      <c r="E220" s="9">
        <f t="array" ref="E220">IFERROR(
  INDEX(
    IR!$B$2:$E2026,                
    MATCH($A220, IR!$A$2:$A2026, 0), 
    MATCH(E$1, IR!$B$1:$E$1, 0) ), "")
</f>
        <v>0.00131</v>
      </c>
      <c r="F220" s="9">
        <f t="array" ref="F220">IFERROR(
  INDEX(
    IR!$B$2:$E2026,                
    MATCH($A220, IR!$A$2:$A2026, 0), 
    MATCH(F$1, IR!$B$1:$E$1, 0) ), "")
</f>
        <v>0.00261</v>
      </c>
      <c r="G220" s="14"/>
      <c r="H220" s="9">
        <f t="array" ref="H220">IFERROR(
  INDEX(
    SR!$B$2:$D2026,            
    MATCH($A220, SR!$A$2:$A2026, 0),  
    MATCH(H$1, SR!$B$1:$D$1, 0) ), "")
</f>
        <v>0.0015</v>
      </c>
      <c r="I220" s="9">
        <f t="array" ref="I220">IFERROR(
  INDEX(
    SR!$B$2:$D2026,            
    MATCH($A220, SR!$A$2:$A2026, 0),  
    MATCH(I$1, SR!$B$1:$D$1, 0) ), "")
</f>
        <v>0.00188</v>
      </c>
      <c r="J220" s="9">
        <f t="array" ref="J220">IFERROR(
  INDEX(
    SR!$B$2:$D2026,            
    MATCH($A220, SR!$A$2:$A2026, 0),  
    MATCH(J$1, SR!$B$1:$D$1, 0) ), "")
</f>
        <v>0.003165</v>
      </c>
      <c r="K220" s="14"/>
      <c r="L220" s="9">
        <v>125.04</v>
      </c>
      <c r="M220" s="9">
        <v>24.63</v>
      </c>
      <c r="N220" s="9">
        <v>112.49</v>
      </c>
      <c r="O220" s="9">
        <v>126.63</v>
      </c>
      <c r="P220" s="9">
        <v>134.67</v>
      </c>
      <c r="Q220" s="9">
        <v>1398.1108</v>
      </c>
      <c r="R220" s="14"/>
      <c r="S220" s="12">
        <f t="shared" si="2"/>
        <v>-0.001287583186</v>
      </c>
      <c r="T220" s="12">
        <f t="shared" si="3"/>
        <v>0.9987124168</v>
      </c>
      <c r="U220" s="16">
        <f t="shared" si="7"/>
        <v>103.1563815</v>
      </c>
      <c r="V220" s="17"/>
      <c r="W220" s="12">
        <f t="array" ref="W220">SQRT(252/20) *  SQRT( SUMSQ( LN(U199:U218 / U198:U217) )  - (1/20) * ( SUM( LN(U199:U218 / U198:U217) ) ^ 2 ) )</f>
        <v>0.02929506554</v>
      </c>
      <c r="X220" s="9">
        <f t="shared" si="4"/>
        <v>1.5</v>
      </c>
      <c r="Y220" s="14"/>
      <c r="Z220" s="12">
        <f t="shared" si="5"/>
        <v>0.9980685419</v>
      </c>
      <c r="AA220" s="16">
        <f t="shared" si="8"/>
        <v>104.7221676</v>
      </c>
      <c r="AB220" s="14"/>
      <c r="AC220" s="9">
        <f t="shared" si="6"/>
        <v>1.9</v>
      </c>
    </row>
    <row r="221">
      <c r="A221" s="8">
        <v>42045.0</v>
      </c>
      <c r="B221" s="14"/>
      <c r="C221" s="9">
        <f t="array" ref="C221">IFERROR(
  INDEX(
    IR!$B$2:$E2026,                
    MATCH($A221, IR!$A$2:$A2026, 0), 
    MATCH(C$1, IR!$B$1:$E$1, 0) ), "")
</f>
        <v>0</v>
      </c>
      <c r="D221" s="9">
        <f t="array" ref="D221">IFERROR(
  INDEX(
    IR!$B$2:$E2026,                
    MATCH($A221, IR!$A$2:$A2026, 0), 
    MATCH(D$1, IR!$B$1:$E$1, 0) ), "")
</f>
        <v>0.0005</v>
      </c>
      <c r="E221" s="9">
        <f t="array" ref="E221">IFERROR(
  INDEX(
    IR!$B$2:$E2026,                
    MATCH($A221, IR!$A$2:$A2026, 0), 
    MATCH(E$1, IR!$B$1:$E$1, 0) ), "")
</f>
        <v>0.0013</v>
      </c>
      <c r="F221" s="9">
        <f t="array" ref="F221">IFERROR(
  INDEX(
    IR!$B$2:$E2026,                
    MATCH($A221, IR!$A$2:$A2026, 0), 
    MATCH(F$1, IR!$B$1:$E$1, 0) ), "")
</f>
        <v>0.00262</v>
      </c>
      <c r="G221" s="14"/>
      <c r="H221" s="9">
        <f t="array" ref="H221">IFERROR(
  INDEX(
    SR!$B$2:$D2026,            
    MATCH($A221, SR!$A$2:$A2026, 0),  
    MATCH(H$1, SR!$B$1:$D$1, 0) ), "")
</f>
        <v>0.00144</v>
      </c>
      <c r="I221" s="9">
        <f t="array" ref="I221">IFERROR(
  INDEX(
    SR!$B$2:$D2026,            
    MATCH($A221, SR!$A$2:$A2026, 0),  
    MATCH(I$1, SR!$B$1:$D$1, 0) ), "")
</f>
        <v>0.001829</v>
      </c>
      <c r="J221" s="9">
        <f t="array" ref="J221">IFERROR(
  INDEX(
    SR!$B$2:$D2026,            
    MATCH($A221, SR!$A$2:$A2026, 0),  
    MATCH(J$1, SR!$B$1:$D$1, 0) ), "")
</f>
        <v>0.003185</v>
      </c>
      <c r="K221" s="14"/>
      <c r="L221" s="9">
        <v>125.29</v>
      </c>
      <c r="M221" s="9">
        <v>24.63</v>
      </c>
      <c r="N221" s="9">
        <v>112.51</v>
      </c>
      <c r="O221" s="9">
        <v>126.02</v>
      </c>
      <c r="P221" s="9">
        <v>134.46</v>
      </c>
      <c r="Q221" s="9">
        <v>1392.7852</v>
      </c>
      <c r="R221" s="14"/>
      <c r="S221" s="12">
        <f t="shared" si="2"/>
        <v>-0.001334603285</v>
      </c>
      <c r="T221" s="12">
        <f t="shared" si="3"/>
        <v>0.9986653967</v>
      </c>
      <c r="U221" s="16">
        <f t="shared" si="7"/>
        <v>103.0187087</v>
      </c>
      <c r="V221" s="17"/>
      <c r="W221" s="12">
        <f t="array" ref="W221">SQRT(252/20) *  SQRT( SUMSQ( LN(U200:U219 / U199:U218) )  - (1/20) * ( SUM( LN(U200:U219 / U199:U218) ) ^ 2 ) )</f>
        <v>0.02721790927</v>
      </c>
      <c r="X221" s="9">
        <f t="shared" si="4"/>
        <v>1.5</v>
      </c>
      <c r="Y221" s="14"/>
      <c r="Z221" s="12">
        <f t="shared" si="5"/>
        <v>0.997998109</v>
      </c>
      <c r="AA221" s="16">
        <f t="shared" si="8"/>
        <v>104.5125252</v>
      </c>
      <c r="AB221" s="14"/>
      <c r="AC221" s="9">
        <f t="shared" si="6"/>
        <v>0</v>
      </c>
    </row>
    <row r="222">
      <c r="A222" s="8">
        <v>42046.0</v>
      </c>
      <c r="B222" s="14"/>
      <c r="C222" s="9">
        <f t="array" ref="C222">IFERROR(
  INDEX(
    IR!$B$2:$E2026,                
    MATCH($A222, IR!$A$2:$A2026, 0), 
    MATCH(C$1, IR!$B$1:$E$1, 0) ), "")
</f>
        <v>0.00001</v>
      </c>
      <c r="D222" s="9">
        <f t="array" ref="D222">IFERROR(
  INDEX(
    IR!$B$2:$E2026,                
    MATCH($A222, IR!$A$2:$A2026, 0), 
    MATCH(D$1, IR!$B$1:$E$1, 0) ), "")
</f>
        <v>0.00049</v>
      </c>
      <c r="E222" s="9">
        <f t="array" ref="E222">IFERROR(
  INDEX(
    IR!$B$2:$E2026,                
    MATCH($A222, IR!$A$2:$A2026, 0), 
    MATCH(E$1, IR!$B$1:$E$1, 0) ), "")
</f>
        <v>0.00129</v>
      </c>
      <c r="F222" s="9">
        <f t="array" ref="F222">IFERROR(
  INDEX(
    IR!$B$2:$E2026,                
    MATCH($A222, IR!$A$2:$A2026, 0), 
    MATCH(F$1, IR!$B$1:$E$1, 0) ), "")
</f>
        <v>0.0026</v>
      </c>
      <c r="G222" s="14"/>
      <c r="H222" s="9">
        <f t="array" ref="H222">IFERROR(
  INDEX(
    SR!$B$2:$D2026,            
    MATCH($A222, SR!$A$2:$A2026, 0),  
    MATCH(H$1, SR!$B$1:$D$1, 0) ), "")
</f>
        <v>0.001423</v>
      </c>
      <c r="I222" s="9">
        <f t="array" ref="I222">IFERROR(
  INDEX(
    SR!$B$2:$D2026,            
    MATCH($A222, SR!$A$2:$A2026, 0),  
    MATCH(I$1, SR!$B$1:$D$1, 0) ), "")
</f>
        <v>0.00181</v>
      </c>
      <c r="J222" s="9">
        <f t="array" ref="J222">IFERROR(
  INDEX(
    SR!$B$2:$D2026,            
    MATCH($A222, SR!$A$2:$A2026, 0),  
    MATCH(J$1, SR!$B$1:$D$1, 0) ), "")
</f>
        <v>0.00311</v>
      </c>
      <c r="K222" s="14"/>
      <c r="L222" s="9">
        <v>125.05</v>
      </c>
      <c r="M222" s="9">
        <v>24.62</v>
      </c>
      <c r="N222" s="9">
        <v>112.48</v>
      </c>
      <c r="O222" s="9">
        <v>126.07</v>
      </c>
      <c r="P222" s="9">
        <v>134.66</v>
      </c>
      <c r="Q222" s="9">
        <v>1396.5779</v>
      </c>
      <c r="R222" s="14"/>
      <c r="S222" s="12">
        <f t="shared" si="2"/>
        <v>0.0003366527997</v>
      </c>
      <c r="T222" s="12">
        <f t="shared" si="3"/>
        <v>1.000336653</v>
      </c>
      <c r="U222" s="16">
        <f t="shared" si="7"/>
        <v>103.0533902</v>
      </c>
      <c r="V222" s="17"/>
      <c r="W222" s="12">
        <f t="array" ref="W222">SQRT(252/20) *  SQRT( SUMSQ( LN(U201:U220 / U200:U219) )  - (1/20) * ( SUM( LN(U201:U220 / U200:U219) ) ^ 2 ) )</f>
        <v>0.02632061696</v>
      </c>
      <c r="X222" s="9">
        <f t="shared" si="4"/>
        <v>1.5</v>
      </c>
      <c r="Y222" s="14"/>
      <c r="Z222" s="12">
        <f t="shared" si="5"/>
        <v>1.000504979</v>
      </c>
      <c r="AA222" s="16">
        <f t="shared" si="8"/>
        <v>104.5653019</v>
      </c>
      <c r="AB222" s="14"/>
      <c r="AC222" s="9">
        <f t="shared" si="6"/>
        <v>0.4</v>
      </c>
    </row>
    <row r="223">
      <c r="A223" s="8">
        <v>42047.0</v>
      </c>
      <c r="B223" s="14"/>
      <c r="C223" s="9">
        <f t="array" ref="C223">IFERROR(
  INDEX(
    IR!$B$2:$E2026,                
    MATCH($A223, IR!$A$2:$A2026, 0), 
    MATCH(C$1, IR!$B$1:$E$1, 0) ), "")
</f>
        <v>0.00002</v>
      </c>
      <c r="D223" s="9">
        <f t="array" ref="D223">IFERROR(
  INDEX(
    IR!$B$2:$E2026,                
    MATCH($A223, IR!$A$2:$A2026, 0), 
    MATCH(D$1, IR!$B$1:$E$1, 0) ), "")
</f>
        <v>0.00048</v>
      </c>
      <c r="E223" s="9">
        <f t="array" ref="E223">IFERROR(
  INDEX(
    IR!$B$2:$E2026,                
    MATCH($A223, IR!$A$2:$A2026, 0), 
    MATCH(E$1, IR!$B$1:$E$1, 0) ), "")
</f>
        <v>0.00128</v>
      </c>
      <c r="F223" s="9">
        <f t="array" ref="F223">IFERROR(
  INDEX(
    IR!$B$2:$E2026,                
    MATCH($A223, IR!$A$2:$A2026, 0), 
    MATCH(F$1, IR!$B$1:$E$1, 0) ), "")
</f>
        <v>0.0026</v>
      </c>
      <c r="G223" s="14"/>
      <c r="H223" s="9">
        <f t="array" ref="H223">IFERROR(
  INDEX(
    SR!$B$2:$D2026,            
    MATCH($A223, SR!$A$2:$A2026, 0),  
    MATCH(H$1, SR!$B$1:$D$1, 0) ), "")
</f>
        <v>0.00131</v>
      </c>
      <c r="I223" s="9">
        <f t="array" ref="I223">IFERROR(
  INDEX(
    SR!$B$2:$D2026,            
    MATCH($A223, SR!$A$2:$A2026, 0),  
    MATCH(I$1, SR!$B$1:$D$1, 0) ), "")
</f>
        <v>0.00167</v>
      </c>
      <c r="J223" s="9">
        <f t="array" ref="J223">IFERROR(
  INDEX(
    SR!$B$2:$D2026,            
    MATCH($A223, SR!$A$2:$A2026, 0),  
    MATCH(J$1, SR!$B$1:$D$1, 0) ), "")
</f>
        <v>0.00294</v>
      </c>
      <c r="K223" s="14"/>
      <c r="L223" s="9">
        <v>125.52</v>
      </c>
      <c r="M223" s="9">
        <v>24.62</v>
      </c>
      <c r="N223" s="9">
        <v>112.47</v>
      </c>
      <c r="O223" s="9">
        <v>126.18</v>
      </c>
      <c r="P223" s="9">
        <v>134.59</v>
      </c>
      <c r="Q223" s="9">
        <v>1396.6436</v>
      </c>
      <c r="R223" s="14"/>
      <c r="S223" s="12">
        <f t="shared" si="2"/>
        <v>0.0006779565633</v>
      </c>
      <c r="T223" s="12">
        <f t="shared" si="3"/>
        <v>1.000677957</v>
      </c>
      <c r="U223" s="16">
        <f t="shared" si="7"/>
        <v>103.1232559</v>
      </c>
      <c r="V223" s="17"/>
      <c r="W223" s="12">
        <f t="array" ref="W223">SQRT(252/20) *  SQRT( SUMSQ( LN(U202:U221 / U201:U220) )  - (1/20) * ( SUM( LN(U202:U221 / U201:U220) ) ^ 2 ) )</f>
        <v>0.02738730236</v>
      </c>
      <c r="X223" s="9">
        <f t="shared" si="4"/>
        <v>1.5</v>
      </c>
      <c r="Y223" s="14"/>
      <c r="Z223" s="12">
        <f t="shared" si="5"/>
        <v>1.001016921</v>
      </c>
      <c r="AA223" s="16">
        <f t="shared" si="8"/>
        <v>104.6716365</v>
      </c>
      <c r="AB223" s="14"/>
      <c r="AC223" s="9">
        <f t="shared" si="6"/>
        <v>1.42</v>
      </c>
    </row>
    <row r="224">
      <c r="A224" s="8">
        <v>42048.0</v>
      </c>
      <c r="B224" s="14"/>
      <c r="C224" s="9">
        <f t="array" ref="C224">IFERROR(
  INDEX(
    IR!$B$2:$E2026,                
    MATCH($A224, IR!$A$2:$A2026, 0), 
    MATCH(C$1, IR!$B$1:$E$1, 0) ), "")
</f>
        <v>0.00002</v>
      </c>
      <c r="D224" s="9">
        <f t="array" ref="D224">IFERROR(
  INDEX(
    IR!$B$2:$E2026,                
    MATCH($A224, IR!$A$2:$A2026, 0), 
    MATCH(D$1, IR!$B$1:$E$1, 0) ), "")
</f>
        <v>0.00048</v>
      </c>
      <c r="E224" s="9">
        <f t="array" ref="E224">IFERROR(
  INDEX(
    IR!$B$2:$E2026,                
    MATCH($A224, IR!$A$2:$A2026, 0), 
    MATCH(E$1, IR!$B$1:$E$1, 0) ), "")
</f>
        <v>0.00127</v>
      </c>
      <c r="F224" s="9">
        <f t="array" ref="F224">IFERROR(
  INDEX(
    IR!$B$2:$E2026,                
    MATCH($A224, IR!$A$2:$A2026, 0), 
    MATCH(F$1, IR!$B$1:$E$1, 0) ), "")
</f>
        <v>0.00259</v>
      </c>
      <c r="G224" s="14"/>
      <c r="H224" s="9">
        <f t="array" ref="H224">IFERROR(
  INDEX(
    SR!$B$2:$D2026,            
    MATCH($A224, SR!$A$2:$A2026, 0),  
    MATCH(H$1, SR!$B$1:$D$1, 0) ), "")
</f>
        <v>0.00132</v>
      </c>
      <c r="I224" s="9">
        <f t="array" ref="I224">IFERROR(
  INDEX(
    SR!$B$2:$D2026,            
    MATCH($A224, SR!$A$2:$A2026, 0),  
    MATCH(I$1, SR!$B$1:$D$1, 0) ), "")
</f>
        <v>0.0017</v>
      </c>
      <c r="J224" s="9">
        <f t="array" ref="J224">IFERROR(
  INDEX(
    SR!$B$2:$D2026,            
    MATCH($A224, SR!$A$2:$A2026, 0),  
    MATCH(J$1, SR!$B$1:$D$1, 0) ), "")
</f>
        <v>0.00301</v>
      </c>
      <c r="K224" s="14"/>
      <c r="L224" s="9">
        <v>125.94</v>
      </c>
      <c r="M224" s="9">
        <v>24.62</v>
      </c>
      <c r="N224" s="9">
        <v>112.54</v>
      </c>
      <c r="O224" s="9">
        <v>127.13</v>
      </c>
      <c r="P224" s="9">
        <v>134.76</v>
      </c>
      <c r="Q224" s="9">
        <v>1404.7764</v>
      </c>
      <c r="R224" s="14"/>
      <c r="S224" s="12">
        <f t="shared" si="2"/>
        <v>0.003096609085</v>
      </c>
      <c r="T224" s="12">
        <f t="shared" si="3"/>
        <v>1.003096609</v>
      </c>
      <c r="U224" s="16">
        <f t="shared" si="7"/>
        <v>103.4425883</v>
      </c>
      <c r="V224" s="17"/>
      <c r="W224" s="12">
        <f t="array" ref="W224">SQRT(252/20) *  SQRT( SUMSQ( LN(U203:U222 / U202:U221) )  - (1/20) * ( SUM( LN(U203:U222 / U202:U221) ) ^ 2 ) )</f>
        <v>0.02743900756</v>
      </c>
      <c r="X224" s="9">
        <f t="shared" si="4"/>
        <v>1.5</v>
      </c>
      <c r="Y224" s="14"/>
      <c r="Z224" s="12">
        <f t="shared" si="5"/>
        <v>1.004644886</v>
      </c>
      <c r="AA224" s="16">
        <f t="shared" si="8"/>
        <v>105.1578243</v>
      </c>
      <c r="AB224" s="14"/>
      <c r="AC224" s="9">
        <f t="shared" si="6"/>
        <v>6.07</v>
      </c>
    </row>
    <row r="225">
      <c r="A225" s="8">
        <v>42051.0</v>
      </c>
      <c r="B225" s="14"/>
      <c r="C225" s="9">
        <f t="array" ref="C225">IFERROR(
  INDEX(
    IR!$B$2:$E2026,                
    MATCH($A225, IR!$A$2:$A2026, 0), 
    MATCH(C$1, IR!$B$1:$E$1, 0) ), "")
</f>
        <v>0.00001</v>
      </c>
      <c r="D225" s="9">
        <f t="array" ref="D225">IFERROR(
  INDEX(
    IR!$B$2:$E2026,                
    MATCH($A225, IR!$A$2:$A2026, 0), 
    MATCH(D$1, IR!$B$1:$E$1, 0) ), "")
</f>
        <v>0.00048</v>
      </c>
      <c r="E225" s="9">
        <f t="array" ref="E225">IFERROR(
  INDEX(
    IR!$B$2:$E2026,                
    MATCH($A225, IR!$A$2:$A2026, 0), 
    MATCH(E$1, IR!$B$1:$E$1, 0) ), "")
</f>
        <v>0.00128</v>
      </c>
      <c r="F225" s="9">
        <f t="array" ref="F225">IFERROR(
  INDEX(
    IR!$B$2:$E2026,                
    MATCH($A225, IR!$A$2:$A2026, 0), 
    MATCH(F$1, IR!$B$1:$E$1, 0) ), "")
</f>
        <v>0.00258</v>
      </c>
      <c r="G225" s="14"/>
      <c r="H225" s="9">
        <f t="array" ref="H225">IFERROR(
  INDEX(
    SR!$B$2:$D2026,            
    MATCH($A225, SR!$A$2:$A2026, 0),  
    MATCH(H$1, SR!$B$1:$D$1, 0) ), "")
</f>
        <v>0.001308</v>
      </c>
      <c r="I225" s="9">
        <f t="array" ref="I225">IFERROR(
  INDEX(
    SR!$B$2:$D2026,            
    MATCH($A225, SR!$A$2:$A2026, 0),  
    MATCH(I$1, SR!$B$1:$D$1, 0) ), "")
</f>
        <v>0.00166</v>
      </c>
      <c r="J225" s="9">
        <f t="array" ref="J225">IFERROR(
  INDEX(
    SR!$B$2:$D2026,            
    MATCH($A225, SR!$A$2:$A2026, 0),  
    MATCH(J$1, SR!$B$1:$D$1, 0) ), "")
</f>
        <v>0.002811</v>
      </c>
      <c r="K225" s="14"/>
      <c r="L225" s="9">
        <v>125.83</v>
      </c>
      <c r="M225" s="9">
        <v>24.62</v>
      </c>
      <c r="N225" s="9">
        <v>112.56</v>
      </c>
      <c r="O225" s="9">
        <v>127.39</v>
      </c>
      <c r="P225" s="9">
        <v>134.93</v>
      </c>
      <c r="Q225" s="9">
        <v>1409.1397</v>
      </c>
      <c r="R225" s="14"/>
      <c r="S225" s="12">
        <f t="shared" si="2"/>
        <v>0.0009527596852</v>
      </c>
      <c r="T225" s="12">
        <f t="shared" si="3"/>
        <v>1.00095276</v>
      </c>
      <c r="U225" s="16">
        <f t="shared" si="7"/>
        <v>103.5411443</v>
      </c>
      <c r="V225" s="17"/>
      <c r="W225" s="12">
        <f t="array" ref="W225">SQRT(252/20) *  SQRT( SUMSQ( LN(U204:U223 / U203:U222) )  - (1/20) * ( SUM( LN(U204:U223 / U203:U222) ) ^ 2 ) )</f>
        <v>0.02728544555</v>
      </c>
      <c r="X225" s="9">
        <f t="shared" si="4"/>
        <v>1.5</v>
      </c>
      <c r="Y225" s="14"/>
      <c r="Z225" s="12">
        <f t="shared" si="5"/>
        <v>1.001429056</v>
      </c>
      <c r="AA225" s="16">
        <f t="shared" si="8"/>
        <v>105.3081007</v>
      </c>
      <c r="AB225" s="14"/>
      <c r="AC225" s="9">
        <f t="shared" si="6"/>
        <v>7.51</v>
      </c>
    </row>
    <row r="226">
      <c r="A226" s="8">
        <v>42052.0</v>
      </c>
      <c r="B226" s="14"/>
      <c r="C226" s="9">
        <f t="array" ref="C226">IFERROR(
  INDEX(
    IR!$B$2:$E2026,                
    MATCH($A226, IR!$A$2:$A2026, 0), 
    MATCH(C$1, IR!$B$1:$E$1, 0) ), "")
</f>
        <v>0.00001</v>
      </c>
      <c r="D226" s="9">
        <f t="array" ref="D226">IFERROR(
  INDEX(
    IR!$B$2:$E2026,                
    MATCH($A226, IR!$A$2:$A2026, 0), 
    MATCH(D$1, IR!$B$1:$E$1, 0) ), "")
</f>
        <v>0.00047</v>
      </c>
      <c r="E226" s="9">
        <f t="array" ref="E226">IFERROR(
  INDEX(
    IR!$B$2:$E2026,                
    MATCH($A226, IR!$A$2:$A2026, 0), 
    MATCH(E$1, IR!$B$1:$E$1, 0) ), "")
</f>
        <v>0.00127</v>
      </c>
      <c r="F226" s="9">
        <f t="array" ref="F226">IFERROR(
  INDEX(
    IR!$B$2:$E2026,                
    MATCH($A226, IR!$A$2:$A2026, 0), 
    MATCH(F$1, IR!$B$1:$E$1, 0) ), "")
</f>
        <v>0.00258</v>
      </c>
      <c r="G226" s="14"/>
      <c r="H226" s="9">
        <f t="array" ref="H226">IFERROR(
  INDEX(
    SR!$B$2:$D2026,            
    MATCH($A226, SR!$A$2:$A2026, 0),  
    MATCH(H$1, SR!$B$1:$D$1, 0) ), "")
</f>
        <v>0.001363</v>
      </c>
      <c r="I226" s="9">
        <f t="array" ref="I226">IFERROR(
  INDEX(
    SR!$B$2:$D2026,            
    MATCH($A226, SR!$A$2:$A2026, 0),  
    MATCH(I$1, SR!$B$1:$D$1, 0) ), "")
</f>
        <v>0.001764</v>
      </c>
      <c r="J226" s="9">
        <f t="array" ref="J226">IFERROR(
  INDEX(
    SR!$B$2:$D2026,            
    MATCH($A226, SR!$A$2:$A2026, 0),  
    MATCH(J$1, SR!$B$1:$D$1, 0) ), "")
</f>
        <v>0.00313</v>
      </c>
      <c r="K226" s="14"/>
      <c r="L226" s="9">
        <v>125.8</v>
      </c>
      <c r="M226" s="9">
        <v>24.63</v>
      </c>
      <c r="N226" s="9">
        <v>112.54</v>
      </c>
      <c r="O226" s="9">
        <v>127.17</v>
      </c>
      <c r="P226" s="9">
        <v>134.92</v>
      </c>
      <c r="Q226" s="9">
        <v>1416.4393</v>
      </c>
      <c r="R226" s="14"/>
      <c r="S226" s="12">
        <f t="shared" si="2"/>
        <v>0.0005618206068</v>
      </c>
      <c r="T226" s="12">
        <f t="shared" si="3"/>
        <v>1.000561821</v>
      </c>
      <c r="U226" s="16">
        <f t="shared" si="7"/>
        <v>103.5993158</v>
      </c>
      <c r="V226" s="17"/>
      <c r="W226" s="12">
        <f t="array" ref="W226">SQRT(252/20) *  SQRT( SUMSQ( LN(U205:U224 / U204:U223) )  - (1/20) * ( SUM( LN(U205:U224 / U204:U223) ) ^ 2 ) )</f>
        <v>0.02836765345</v>
      </c>
      <c r="X226" s="9">
        <f t="shared" si="4"/>
        <v>1.5</v>
      </c>
      <c r="Y226" s="14"/>
      <c r="Z226" s="12">
        <f t="shared" si="5"/>
        <v>1.000842717</v>
      </c>
      <c r="AA226" s="16">
        <f t="shared" si="8"/>
        <v>105.3968457</v>
      </c>
      <c r="AB226" s="14"/>
      <c r="AC226" s="9">
        <f t="shared" si="6"/>
        <v>8.36</v>
      </c>
    </row>
    <row r="227">
      <c r="A227" s="8">
        <v>42053.0</v>
      </c>
      <c r="B227" s="14"/>
      <c r="C227" s="9">
        <f t="array" ref="C227">IFERROR(
  INDEX(
    IR!$B$2:$E2026,                
    MATCH($A227, IR!$A$2:$A2026, 0), 
    MATCH(C$1, IR!$B$1:$E$1, 0) ), "")
</f>
        <v>0</v>
      </c>
      <c r="D227" s="9">
        <f t="array" ref="D227">IFERROR(
  INDEX(
    IR!$B$2:$E2026,                
    MATCH($A227, IR!$A$2:$A2026, 0), 
    MATCH(D$1, IR!$B$1:$E$1, 0) ), "")
</f>
        <v>0.00048</v>
      </c>
      <c r="E227" s="9">
        <f t="array" ref="E227">IFERROR(
  INDEX(
    IR!$B$2:$E2026,                
    MATCH($A227, IR!$A$2:$A2026, 0), 
    MATCH(E$1, IR!$B$1:$E$1, 0) ), "")
</f>
        <v>0.00126</v>
      </c>
      <c r="F227" s="9">
        <f t="array" ref="F227">IFERROR(
  INDEX(
    IR!$B$2:$E2026,                
    MATCH($A227, IR!$A$2:$A2026, 0), 
    MATCH(F$1, IR!$B$1:$E$1, 0) ), "")
</f>
        <v>0.00255</v>
      </c>
      <c r="G227" s="14"/>
      <c r="H227" s="9">
        <f t="array" ref="H227">IFERROR(
  INDEX(
    SR!$B$2:$D2026,            
    MATCH($A227, SR!$A$2:$A2026, 0),  
    MATCH(H$1, SR!$B$1:$D$1, 0) ), "")
</f>
        <v>0.0013</v>
      </c>
      <c r="I227" s="9">
        <f t="array" ref="I227">IFERROR(
  INDEX(
    SR!$B$2:$D2026,            
    MATCH($A227, SR!$A$2:$A2026, 0),  
    MATCH(I$1, SR!$B$1:$D$1, 0) ), "")
</f>
        <v>0.00169</v>
      </c>
      <c r="J227" s="9">
        <f t="array" ref="J227">IFERROR(
  INDEX(
    SR!$B$2:$D2026,            
    MATCH($A227, SR!$A$2:$A2026, 0),  
    MATCH(J$1, SR!$B$1:$D$1, 0) ), "")
</f>
        <v>0.003085</v>
      </c>
      <c r="K227" s="14"/>
      <c r="L227" s="9">
        <v>126.05</v>
      </c>
      <c r="M227" s="9">
        <v>24.64</v>
      </c>
      <c r="N227" s="9">
        <v>112.55</v>
      </c>
      <c r="O227" s="9">
        <v>126.74</v>
      </c>
      <c r="P227" s="9">
        <v>134.85</v>
      </c>
      <c r="Q227" s="9">
        <v>1410.2717</v>
      </c>
      <c r="R227" s="14"/>
      <c r="S227" s="12">
        <f t="shared" si="2"/>
        <v>-0.0009620969122</v>
      </c>
      <c r="T227" s="12">
        <f t="shared" si="3"/>
        <v>0.9990379031</v>
      </c>
      <c r="U227" s="16">
        <f t="shared" si="7"/>
        <v>103.4996432</v>
      </c>
      <c r="V227" s="17"/>
      <c r="W227" s="12">
        <f t="array" ref="W227">SQRT(252/20) *  SQRT( SUMSQ( LN(U206:U225 / U205:U224) )  - (1/20) * ( SUM( LN(U206:U225 / U205:U224) ) ^ 2 ) )</f>
        <v>0.02791913079</v>
      </c>
      <c r="X227" s="9">
        <f t="shared" si="4"/>
        <v>1.5</v>
      </c>
      <c r="Y227" s="14"/>
      <c r="Z227" s="12">
        <f t="shared" si="5"/>
        <v>0.9985568407</v>
      </c>
      <c r="AA227" s="16">
        <f t="shared" si="8"/>
        <v>105.2447412</v>
      </c>
      <c r="AB227" s="14"/>
      <c r="AC227" s="9">
        <f t="shared" si="6"/>
        <v>6.9</v>
      </c>
    </row>
    <row r="228">
      <c r="A228" s="8">
        <v>42054.0</v>
      </c>
      <c r="B228" s="14"/>
      <c r="C228" s="9">
        <f t="array" ref="C228">IFERROR(
  INDEX(
    IR!$B$2:$E2026,                
    MATCH($A228, IR!$A$2:$A2026, 0), 
    MATCH(C$1, IR!$B$1:$E$1, 0) ), "")
</f>
        <v>0</v>
      </c>
      <c r="D228" s="9">
        <f t="array" ref="D228">IFERROR(
  INDEX(
    IR!$B$2:$E2026,                
    MATCH($A228, IR!$A$2:$A2026, 0), 
    MATCH(D$1, IR!$B$1:$E$1, 0) ), "")
</f>
        <v>0.00048</v>
      </c>
      <c r="E228" s="9">
        <f t="array" ref="E228">IFERROR(
  INDEX(
    IR!$B$2:$E2026,                
    MATCH($A228, IR!$A$2:$A2026, 0), 
    MATCH(E$1, IR!$B$1:$E$1, 0) ), "")
</f>
        <v>0.00125</v>
      </c>
      <c r="F228" s="9">
        <f t="array" ref="F228">IFERROR(
  INDEX(
    IR!$B$2:$E2026,                
    MATCH($A228, IR!$A$2:$A2026, 0), 
    MATCH(F$1, IR!$B$1:$E$1, 0) ), "")
</f>
        <v>0.00252</v>
      </c>
      <c r="G228" s="14"/>
      <c r="H228" s="9">
        <f t="array" ref="H228">IFERROR(
  INDEX(
    SR!$B$2:$D2026,            
    MATCH($A228, SR!$A$2:$A2026, 0),  
    MATCH(H$1, SR!$B$1:$D$1, 0) ), "")
</f>
        <v>0.0013</v>
      </c>
      <c r="I228" s="9">
        <f t="array" ref="I228">IFERROR(
  INDEX(
    SR!$B$2:$D2026,            
    MATCH($A228, SR!$A$2:$A2026, 0),  
    MATCH(I$1, SR!$B$1:$D$1, 0) ), "")
</f>
        <v>0.00169</v>
      </c>
      <c r="J228" s="9">
        <f t="array" ref="J228">IFERROR(
  INDEX(
    SR!$B$2:$D2026,            
    MATCH($A228, SR!$A$2:$A2026, 0),  
    MATCH(J$1, SR!$B$1:$D$1, 0) ), "")
</f>
        <v>0.003095</v>
      </c>
      <c r="K228" s="14"/>
      <c r="L228" s="9">
        <v>126.34</v>
      </c>
      <c r="M228" s="9">
        <v>24.64</v>
      </c>
      <c r="N228" s="9">
        <v>112.56</v>
      </c>
      <c r="O228" s="9">
        <v>127.06</v>
      </c>
      <c r="P228" s="9">
        <v>135.12</v>
      </c>
      <c r="Q228" s="9">
        <v>1411.8345</v>
      </c>
      <c r="R228" s="14"/>
      <c r="S228" s="12">
        <f t="shared" si="2"/>
        <v>0.001337035452</v>
      </c>
      <c r="T228" s="12">
        <f t="shared" si="3"/>
        <v>1.001337035</v>
      </c>
      <c r="U228" s="16">
        <f t="shared" si="7"/>
        <v>103.6380259</v>
      </c>
      <c r="V228" s="17"/>
      <c r="W228" s="12">
        <f t="array" ref="W228">SQRT(252/20) *  SQRT( SUMSQ( LN(U207:U226 / U206:U225) )  - (1/20) * ( SUM( LN(U207:U226 / U206:U225) ) ^ 2 ) )</f>
        <v>0.02790766498</v>
      </c>
      <c r="X228" s="9">
        <f t="shared" si="4"/>
        <v>1.5</v>
      </c>
      <c r="Y228" s="14"/>
      <c r="Z228" s="12">
        <f t="shared" si="5"/>
        <v>1.002005553</v>
      </c>
      <c r="AA228" s="16">
        <f t="shared" si="8"/>
        <v>105.4558152</v>
      </c>
      <c r="AB228" s="14"/>
      <c r="AC228" s="9">
        <f t="shared" si="6"/>
        <v>8.92</v>
      </c>
    </row>
    <row r="229">
      <c r="A229" s="8">
        <v>42055.0</v>
      </c>
      <c r="B229" s="14"/>
      <c r="C229" s="9">
        <f t="array" ref="C229">IFERROR(
  INDEX(
    IR!$B$2:$E2026,                
    MATCH($A229, IR!$A$2:$A2026, 0), 
    MATCH(C$1, IR!$B$1:$E$1, 0) ), "")
</f>
        <v>0.00001</v>
      </c>
      <c r="D229" s="9">
        <f t="array" ref="D229">IFERROR(
  INDEX(
    IR!$B$2:$E2026,                
    MATCH($A229, IR!$A$2:$A2026, 0), 
    MATCH(D$1, IR!$B$1:$E$1, 0) ), "")
</f>
        <v>0.00048</v>
      </c>
      <c r="E229" s="9">
        <f t="array" ref="E229">IFERROR(
  INDEX(
    IR!$B$2:$E2026,                
    MATCH($A229, IR!$A$2:$A2026, 0), 
    MATCH(E$1, IR!$B$1:$E$1, 0) ), "")
</f>
        <v>0.00124</v>
      </c>
      <c r="F229" s="9">
        <f t="array" ref="F229">IFERROR(
  INDEX(
    IR!$B$2:$E2026,                
    MATCH($A229, IR!$A$2:$A2026, 0), 
    MATCH(F$1, IR!$B$1:$E$1, 0) ), "")
</f>
        <v>0.0025</v>
      </c>
      <c r="G229" s="14"/>
      <c r="H229" s="9">
        <f t="array" ref="H229">IFERROR(
  INDEX(
    SR!$B$2:$D2026,            
    MATCH($A229, SR!$A$2:$A2026, 0),  
    MATCH(H$1, SR!$B$1:$D$1, 0) ), "")
</f>
        <v>0.00136</v>
      </c>
      <c r="I229" s="9">
        <f t="array" ref="I229">IFERROR(
  INDEX(
    SR!$B$2:$D2026,            
    MATCH($A229, SR!$A$2:$A2026, 0),  
    MATCH(I$1, SR!$B$1:$D$1, 0) ), "")
</f>
        <v>0.001704</v>
      </c>
      <c r="J229" s="9">
        <f t="array" ref="J229">IFERROR(
  INDEX(
    SR!$B$2:$D2026,            
    MATCH($A229, SR!$A$2:$A2026, 0),  
    MATCH(J$1, SR!$B$1:$D$1, 0) ), "")
</f>
        <v>0.003208</v>
      </c>
      <c r="K229" s="14"/>
      <c r="L229" s="9">
        <v>126.37</v>
      </c>
      <c r="M229" s="9">
        <v>24.64</v>
      </c>
      <c r="N229" s="9">
        <v>112.59</v>
      </c>
      <c r="O229" s="9">
        <v>127.35</v>
      </c>
      <c r="P229" s="9">
        <v>134.93</v>
      </c>
      <c r="Q229" s="9">
        <v>1414.1771</v>
      </c>
      <c r="R229" s="14"/>
      <c r="S229" s="12">
        <f t="shared" si="2"/>
        <v>0.0005065411998</v>
      </c>
      <c r="T229" s="12">
        <f t="shared" si="3"/>
        <v>1.000506541</v>
      </c>
      <c r="U229" s="16">
        <f t="shared" si="7"/>
        <v>103.6905229</v>
      </c>
      <c r="V229" s="17"/>
      <c r="W229" s="12">
        <f t="array" ref="W229">SQRT(252/20) *  SQRT( SUMSQ( LN(U208:U227 / U207:U226) )  - (1/20) * ( SUM( LN(U208:U227 / U207:U226) ) ^ 2 ) )</f>
        <v>0.02860377183</v>
      </c>
      <c r="X229" s="9">
        <f t="shared" si="4"/>
        <v>1.5</v>
      </c>
      <c r="Y229" s="14"/>
      <c r="Z229" s="12">
        <f t="shared" si="5"/>
        <v>1.000759812</v>
      </c>
      <c r="AA229" s="16">
        <f t="shared" si="8"/>
        <v>105.5359417</v>
      </c>
      <c r="AB229" s="14"/>
      <c r="AC229" s="9">
        <f t="shared" si="6"/>
        <v>9.69</v>
      </c>
    </row>
    <row r="230">
      <c r="A230" s="8">
        <v>42058.0</v>
      </c>
      <c r="B230" s="14"/>
      <c r="C230" s="9">
        <f t="array" ref="C230">IFERROR(
  INDEX(
    IR!$B$2:$E2026,                
    MATCH($A230, IR!$A$2:$A2026, 0), 
    MATCH(C$1, IR!$B$1:$E$1, 0) ), "")
</f>
        <v>0.00001</v>
      </c>
      <c r="D230" s="9">
        <f t="array" ref="D230">IFERROR(
  INDEX(
    IR!$B$2:$E2026,                
    MATCH($A230, IR!$A$2:$A2026, 0), 
    MATCH(D$1, IR!$B$1:$E$1, 0) ), "")
</f>
        <v>0.00045</v>
      </c>
      <c r="E230" s="9">
        <f t="array" ref="E230">IFERROR(
  INDEX(
    IR!$B$2:$E2026,                
    MATCH($A230, IR!$A$2:$A2026, 0), 
    MATCH(E$1, IR!$B$1:$E$1, 0) ), "")
</f>
        <v>0.00119</v>
      </c>
      <c r="F230" s="9">
        <f t="array" ref="F230">IFERROR(
  INDEX(
    IR!$B$2:$E2026,                
    MATCH($A230, IR!$A$2:$A2026, 0), 
    MATCH(F$1, IR!$B$1:$E$1, 0) ), "")
</f>
        <v>0.00246</v>
      </c>
      <c r="G230" s="14"/>
      <c r="H230" s="9">
        <f t="array" ref="H230">IFERROR(
  INDEX(
    SR!$B$2:$D2026,            
    MATCH($A230, SR!$A$2:$A2026, 0),  
    MATCH(H$1, SR!$B$1:$D$1, 0) ), "")
</f>
        <v>0.00122</v>
      </c>
      <c r="I230" s="9">
        <f t="array" ref="I230">IFERROR(
  INDEX(
    SR!$B$2:$D2026,            
    MATCH($A230, SR!$A$2:$A2026, 0),  
    MATCH(I$1, SR!$B$1:$D$1, 0) ), "")
</f>
        <v>0.001591</v>
      </c>
      <c r="J230" s="9">
        <f t="array" ref="J230">IFERROR(
  INDEX(
    SR!$B$2:$D2026,            
    MATCH($A230, SR!$A$2:$A2026, 0),  
    MATCH(J$1, SR!$B$1:$D$1, 0) ), "")
</f>
        <v>0.00295</v>
      </c>
      <c r="K230" s="14"/>
      <c r="L230" s="9">
        <v>126.69</v>
      </c>
      <c r="M230" s="9">
        <v>24.64</v>
      </c>
      <c r="N230" s="9">
        <v>112.63</v>
      </c>
      <c r="O230" s="9">
        <v>127.66</v>
      </c>
      <c r="P230" s="9">
        <v>135.32</v>
      </c>
      <c r="Q230" s="9">
        <v>1416.6852</v>
      </c>
      <c r="R230" s="14"/>
      <c r="S230" s="12">
        <f t="shared" si="2"/>
        <v>0.001663791996</v>
      </c>
      <c r="T230" s="12">
        <f t="shared" si="3"/>
        <v>1.001663792</v>
      </c>
      <c r="U230" s="16">
        <f t="shared" si="7"/>
        <v>103.8630423</v>
      </c>
      <c r="V230" s="17"/>
      <c r="W230" s="12">
        <f t="array" ref="W230">SQRT(252/20) *  SQRT( SUMSQ( LN(U209:U228 / U208:U227) )  - (1/20) * ( SUM( LN(U209:U228 / U208:U227) ) ^ 2 ) )</f>
        <v>0.02866801234</v>
      </c>
      <c r="X230" s="9">
        <f t="shared" si="4"/>
        <v>1.5</v>
      </c>
      <c r="Y230" s="14"/>
      <c r="Z230" s="12">
        <f t="shared" si="5"/>
        <v>1.002495646</v>
      </c>
      <c r="AA230" s="16">
        <f t="shared" si="8"/>
        <v>105.7993221</v>
      </c>
      <c r="AB230" s="14"/>
      <c r="AC230" s="9">
        <f t="shared" si="6"/>
        <v>12.21</v>
      </c>
    </row>
    <row r="231">
      <c r="A231" s="8">
        <v>42059.0</v>
      </c>
      <c r="B231" s="14"/>
      <c r="C231" s="9">
        <f t="array" ref="C231">IFERROR(
  INDEX(
    IR!$B$2:$E2026,                
    MATCH($A231, IR!$A$2:$A2026, 0), 
    MATCH(C$1, IR!$B$1:$E$1, 0) ), "")
</f>
        <v>0.00001</v>
      </c>
      <c r="D231" s="9">
        <f t="array" ref="D231">IFERROR(
  INDEX(
    IR!$B$2:$E2026,                
    MATCH($A231, IR!$A$2:$A2026, 0), 
    MATCH(D$1, IR!$B$1:$E$1, 0) ), "")
</f>
        <v>0.00044</v>
      </c>
      <c r="E231" s="9">
        <f t="array" ref="E231">IFERROR(
  INDEX(
    IR!$B$2:$E2026,                
    MATCH($A231, IR!$A$2:$A2026, 0), 
    MATCH(E$1, IR!$B$1:$E$1, 0) ), "")
</f>
        <v>0.00119</v>
      </c>
      <c r="F231" s="9">
        <f t="array" ref="F231">IFERROR(
  INDEX(
    IR!$B$2:$E2026,                
    MATCH($A231, IR!$A$2:$A2026, 0), 
    MATCH(F$1, IR!$B$1:$E$1, 0) ), "")
</f>
        <v>0.00245</v>
      </c>
      <c r="G231" s="14"/>
      <c r="H231" s="9">
        <f t="array" ref="H231">IFERROR(
  INDEX(
    SR!$B$2:$D2026,            
    MATCH($A231, SR!$A$2:$A2026, 0),  
    MATCH(H$1, SR!$B$1:$D$1, 0) ), "")
</f>
        <v>0.00114</v>
      </c>
      <c r="I231" s="9">
        <f t="array" ref="I231">IFERROR(
  INDEX(
    SR!$B$2:$D2026,            
    MATCH($A231, SR!$A$2:$A2026, 0),  
    MATCH(I$1, SR!$B$1:$D$1, 0) ), "")
</f>
        <v>0.001512</v>
      </c>
      <c r="J231" s="9">
        <f t="array" ref="J231">IFERROR(
  INDEX(
    SR!$B$2:$D2026,            
    MATCH($A231, SR!$A$2:$A2026, 0),  
    MATCH(J$1, SR!$B$1:$D$1, 0) ), "")
</f>
        <v>0.002895</v>
      </c>
      <c r="K231" s="14"/>
      <c r="L231" s="9">
        <v>127.06</v>
      </c>
      <c r="M231" s="9">
        <v>24.65</v>
      </c>
      <c r="N231" s="9">
        <v>112.67</v>
      </c>
      <c r="O231" s="9">
        <v>128.02</v>
      </c>
      <c r="P231" s="9">
        <v>135.54</v>
      </c>
      <c r="Q231" s="9">
        <v>1415.9606</v>
      </c>
      <c r="R231" s="14"/>
      <c r="S231" s="12">
        <f t="shared" si="2"/>
        <v>0.001268740273</v>
      </c>
      <c r="T231" s="12">
        <f t="shared" si="3"/>
        <v>1.00126874</v>
      </c>
      <c r="U231" s="16">
        <f t="shared" si="7"/>
        <v>103.9948175</v>
      </c>
      <c r="V231" s="17"/>
      <c r="W231" s="12">
        <f t="array" ref="W231">SQRT(252/20) *  SQRT( SUMSQ( LN(U210:U229 / U209:U228) )  - (1/20) * ( SUM( LN(U210:U229 / U209:U228) ) ^ 2 ) )</f>
        <v>0.02396207251</v>
      </c>
      <c r="X231" s="9">
        <f t="shared" si="4"/>
        <v>1.5</v>
      </c>
      <c r="Y231" s="14"/>
      <c r="Z231" s="12">
        <f t="shared" si="5"/>
        <v>1.001903097</v>
      </c>
      <c r="AA231" s="16">
        <f t="shared" si="8"/>
        <v>106.0006684</v>
      </c>
      <c r="AB231" s="14"/>
      <c r="AC231" s="9">
        <f t="shared" si="6"/>
        <v>14.14</v>
      </c>
    </row>
    <row r="232">
      <c r="A232" s="8">
        <v>42060.0</v>
      </c>
      <c r="B232" s="14"/>
      <c r="C232" s="9">
        <f t="array" ref="C232">IFERROR(
  INDEX(
    IR!$B$2:$E2026,                
    MATCH($A232, IR!$A$2:$A2026, 0), 
    MATCH(C$1, IR!$B$1:$E$1, 0) ), "")
</f>
        <v>0.00001</v>
      </c>
      <c r="D232" s="9">
        <f t="array" ref="D232">IFERROR(
  INDEX(
    IR!$B$2:$E2026,                
    MATCH($A232, IR!$A$2:$A2026, 0), 
    MATCH(D$1, IR!$B$1:$E$1, 0) ), "")
</f>
        <v>0.00042</v>
      </c>
      <c r="E232" s="9">
        <f t="array" ref="E232">IFERROR(
  INDEX(
    IR!$B$2:$E2026,                
    MATCH($A232, IR!$A$2:$A2026, 0), 
    MATCH(E$1, IR!$B$1:$E$1, 0) ), "")
</f>
        <v>0.00118</v>
      </c>
      <c r="F232" s="9">
        <f t="array" ref="F232">IFERROR(
  INDEX(
    IR!$B$2:$E2026,                
    MATCH($A232, IR!$A$2:$A2026, 0), 
    MATCH(F$1, IR!$B$1:$E$1, 0) ), "")
</f>
        <v>0.00241</v>
      </c>
      <c r="G232" s="14"/>
      <c r="H232" s="9">
        <f t="array" ref="H232">IFERROR(
  INDEX(
    SR!$B$2:$D2026,            
    MATCH($A232, SR!$A$2:$A2026, 0),  
    MATCH(H$1, SR!$B$1:$D$1, 0) ), "")
</f>
        <v>0.00107</v>
      </c>
      <c r="I232" s="9">
        <f t="array" ref="I232">IFERROR(
  INDEX(
    SR!$B$2:$D2026,            
    MATCH($A232, SR!$A$2:$A2026, 0),  
    MATCH(I$1, SR!$B$1:$D$1, 0) ), "")
</f>
        <v>0.001416</v>
      </c>
      <c r="J232" s="9">
        <f t="array" ref="J232">IFERROR(
  INDEX(
    SR!$B$2:$D2026,            
    MATCH($A232, SR!$A$2:$A2026, 0),  
    MATCH(J$1, SR!$B$1:$D$1, 0) ), "")
</f>
        <v>0.00266</v>
      </c>
      <c r="K232" s="14"/>
      <c r="L232" s="9">
        <v>126.98</v>
      </c>
      <c r="M232" s="9">
        <v>24.66</v>
      </c>
      <c r="N232" s="9">
        <v>112.68</v>
      </c>
      <c r="O232" s="9">
        <v>128.39999</v>
      </c>
      <c r="P232" s="9">
        <v>135.95</v>
      </c>
      <c r="Q232" s="9">
        <v>1418.491</v>
      </c>
      <c r="R232" s="14"/>
      <c r="S232" s="12">
        <f t="shared" si="2"/>
        <v>0.001273837578</v>
      </c>
      <c r="T232" s="12">
        <f t="shared" si="3"/>
        <v>1.001273838</v>
      </c>
      <c r="U232" s="16">
        <f t="shared" si="7"/>
        <v>104.1272901</v>
      </c>
      <c r="V232" s="17"/>
      <c r="W232" s="12">
        <f t="array" ref="W232">SQRT(252/20) *  SQRT( SUMSQ( LN(U211:U230 / U210:U229) )  - (1/20) * ( SUM( LN(U211:U230 / U210:U229) ) ^ 2 ) )</f>
        <v>0.02011480842</v>
      </c>
      <c r="X232" s="9">
        <f t="shared" si="4"/>
        <v>1.5</v>
      </c>
      <c r="Y232" s="14"/>
      <c r="Z232" s="12">
        <f t="shared" si="5"/>
        <v>1.001910742</v>
      </c>
      <c r="AA232" s="16">
        <f t="shared" si="8"/>
        <v>106.2032084</v>
      </c>
      <c r="AB232" s="14"/>
      <c r="AC232" s="9">
        <f t="shared" si="6"/>
        <v>16.07</v>
      </c>
    </row>
    <row r="233">
      <c r="A233" s="8">
        <v>42061.0</v>
      </c>
      <c r="B233" s="14"/>
      <c r="C233" s="9">
        <f t="array" ref="C233">IFERROR(
  INDEX(
    IR!$B$2:$E2026,                
    MATCH($A233, IR!$A$2:$A2026, 0), 
    MATCH(C$1, IR!$B$1:$E$1, 0) ), "")
</f>
        <v>-0.00004</v>
      </c>
      <c r="D233" s="9">
        <f t="array" ref="D233">IFERROR(
  INDEX(
    IR!$B$2:$E2026,                
    MATCH($A233, IR!$A$2:$A2026, 0), 
    MATCH(D$1, IR!$B$1:$E$1, 0) ), "")
</f>
        <v>0.0004</v>
      </c>
      <c r="E233" s="9">
        <f t="array" ref="E233">IFERROR(
  INDEX(
    IR!$B$2:$E2026,                
    MATCH($A233, IR!$A$2:$A2026, 0), 
    MATCH(E$1, IR!$B$1:$E$1, 0) ), "")
</f>
        <v>0.00114</v>
      </c>
      <c r="F233" s="9">
        <f t="array" ref="F233">IFERROR(
  INDEX(
    IR!$B$2:$E2026,                
    MATCH($A233, IR!$A$2:$A2026, 0), 
    MATCH(F$1, IR!$B$1:$E$1, 0) ), "")
</f>
        <v>0.00238</v>
      </c>
      <c r="G233" s="14"/>
      <c r="H233" s="9">
        <f t="array" ref="H233">IFERROR(
  INDEX(
    SR!$B$2:$D2026,            
    MATCH($A233, SR!$A$2:$A2026, 0),  
    MATCH(H$1, SR!$B$1:$D$1, 0) ), "")
</f>
        <v>0.00098</v>
      </c>
      <c r="I233" s="9">
        <f t="array" ref="I233">IFERROR(
  INDEX(
    SR!$B$2:$D2026,            
    MATCH($A233, SR!$A$2:$A2026, 0),  
    MATCH(I$1, SR!$B$1:$D$1, 0) ), "")
</f>
        <v>0.00133</v>
      </c>
      <c r="J233" s="9">
        <f t="array" ref="J233">IFERROR(
  INDEX(
    SR!$B$2:$D2026,            
    MATCH($A233, SR!$A$2:$A2026, 0),  
    MATCH(J$1, SR!$B$1:$D$1, 0) ), "")
</f>
        <v>0.002606</v>
      </c>
      <c r="K233" s="14"/>
      <c r="L233" s="9">
        <v>127.26</v>
      </c>
      <c r="M233" s="9">
        <v>24.67</v>
      </c>
      <c r="N233" s="9">
        <v>112.7</v>
      </c>
      <c r="O233" s="9">
        <v>128.72</v>
      </c>
      <c r="P233" s="9">
        <v>136.07</v>
      </c>
      <c r="Q233" s="9">
        <v>1419.5602</v>
      </c>
      <c r="R233" s="14"/>
      <c r="S233" s="12">
        <f t="shared" si="2"/>
        <v>0.001152415351</v>
      </c>
      <c r="T233" s="12">
        <f t="shared" si="3"/>
        <v>1.001152415</v>
      </c>
      <c r="U233" s="16">
        <f t="shared" si="7"/>
        <v>104.2472879</v>
      </c>
      <c r="V233" s="17"/>
      <c r="W233" s="12">
        <f t="array" ref="W233">SQRT(252/20) *  SQRT( SUMSQ( LN(U212:U231 / U211:U230) )  - (1/20) * ( SUM( LN(U212:U231 / U211:U230) ) ^ 2 ) )</f>
        <v>0.02032237969</v>
      </c>
      <c r="X233" s="9">
        <f t="shared" si="4"/>
        <v>1.5</v>
      </c>
      <c r="Y233" s="14"/>
      <c r="Z233" s="12">
        <f t="shared" si="5"/>
        <v>1.001728609</v>
      </c>
      <c r="AA233" s="16">
        <f t="shared" si="8"/>
        <v>106.3867923</v>
      </c>
      <c r="AB233" s="14"/>
      <c r="AC233" s="9">
        <f t="shared" si="6"/>
        <v>17.83</v>
      </c>
    </row>
    <row r="234">
      <c r="A234" s="8">
        <v>42062.0</v>
      </c>
      <c r="B234" s="14"/>
      <c r="C234" s="9">
        <f t="array" ref="C234">IFERROR(
  INDEX(
    IR!$B$2:$E2026,                
    MATCH($A234, IR!$A$2:$A2026, 0), 
    MATCH(C$1, IR!$B$1:$E$1, 0) ), "")
</f>
        <v>-0.00005</v>
      </c>
      <c r="D234" s="9">
        <f t="array" ref="D234">IFERROR(
  INDEX(
    IR!$B$2:$E2026,                
    MATCH($A234, IR!$A$2:$A2026, 0), 
    MATCH(D$1, IR!$B$1:$E$1, 0) ), "")
</f>
        <v>0.00039</v>
      </c>
      <c r="E234" s="9">
        <f t="array" ref="E234">IFERROR(
  INDEX(
    IR!$B$2:$E2026,                
    MATCH($A234, IR!$A$2:$A2026, 0), 
    MATCH(E$1, IR!$B$1:$E$1, 0) ), "")
</f>
        <v>0.0011</v>
      </c>
      <c r="F234" s="9">
        <f t="array" ref="F234">IFERROR(
  INDEX(
    IR!$B$2:$E2026,                
    MATCH($A234, IR!$A$2:$A2026, 0), 
    MATCH(F$1, IR!$B$1:$E$1, 0) ), "")
</f>
        <v>0.00233</v>
      </c>
      <c r="G234" s="14"/>
      <c r="H234" s="9">
        <f t="array" ref="H234">IFERROR(
  INDEX(
    SR!$B$2:$D2026,            
    MATCH($A234, SR!$A$2:$A2026, 0),  
    MATCH(H$1, SR!$B$1:$D$1, 0) ), "")
</f>
        <v>0.00098</v>
      </c>
      <c r="I234" s="9">
        <f t="array" ref="I234">IFERROR(
  INDEX(
    SR!$B$2:$D2026,            
    MATCH($A234, SR!$A$2:$A2026, 0),  
    MATCH(I$1, SR!$B$1:$D$1, 0) ), "")
</f>
        <v>0.001349</v>
      </c>
      <c r="J234" s="9">
        <f t="array" ref="J234">IFERROR(
  INDEX(
    SR!$B$2:$D2026,            
    MATCH($A234, SR!$A$2:$A2026, 0),  
    MATCH(J$1, SR!$B$1:$D$1, 0) ), "")
</f>
        <v>0.00268</v>
      </c>
      <c r="K234" s="14"/>
      <c r="L234" s="9">
        <v>127.32</v>
      </c>
      <c r="M234" s="9">
        <v>24.67</v>
      </c>
      <c r="N234" s="9">
        <v>112.71</v>
      </c>
      <c r="O234" s="9">
        <v>129.39</v>
      </c>
      <c r="P234" s="9">
        <v>136.64</v>
      </c>
      <c r="Q234" s="9">
        <v>1422.2738</v>
      </c>
      <c r="R234" s="14"/>
      <c r="S234" s="12">
        <f t="shared" si="2"/>
        <v>0.001977050351</v>
      </c>
      <c r="T234" s="12">
        <f t="shared" si="3"/>
        <v>1.00197705</v>
      </c>
      <c r="U234" s="16">
        <f t="shared" si="7"/>
        <v>104.4533901</v>
      </c>
      <c r="V234" s="17"/>
      <c r="W234" s="12">
        <f t="array" ref="W234">SQRT(252/20) *  SQRT( SUMSQ( LN(U213:U232 / U212:U231) )  - (1/20) * ( SUM( LN(U213:U232 / U212:U231) ) ^ 2 ) )</f>
        <v>0.01752919887</v>
      </c>
      <c r="X234" s="9">
        <f t="shared" si="4"/>
        <v>1.5</v>
      </c>
      <c r="Y234" s="14"/>
      <c r="Z234" s="12">
        <f t="shared" si="5"/>
        <v>1.002965631</v>
      </c>
      <c r="AA234" s="16">
        <f t="shared" si="8"/>
        <v>106.7022962</v>
      </c>
      <c r="AB234" s="14"/>
      <c r="AC234" s="9">
        <f t="shared" si="6"/>
        <v>20.85</v>
      </c>
    </row>
    <row r="235">
      <c r="A235" s="8">
        <v>42065.0</v>
      </c>
      <c r="B235" s="14"/>
      <c r="C235" s="9">
        <f t="array" ref="C235">IFERROR(
  INDEX(
    IR!$B$2:$E2026,                
    MATCH($A235, IR!$A$2:$A2026, 0), 
    MATCH(C$1, IR!$B$1:$E$1, 0) ), "")
</f>
        <v>-0.00005</v>
      </c>
      <c r="D235" s="9">
        <f t="array" ref="D235">IFERROR(
  INDEX(
    IR!$B$2:$E2026,                
    MATCH($A235, IR!$A$2:$A2026, 0), 
    MATCH(D$1, IR!$B$1:$E$1, 0) ), "")
</f>
        <v>0.00039</v>
      </c>
      <c r="E235" s="9">
        <f t="array" ref="E235">IFERROR(
  INDEX(
    IR!$B$2:$E2026,                
    MATCH($A235, IR!$A$2:$A2026, 0), 
    MATCH(E$1, IR!$B$1:$E$1, 0) ), "")
</f>
        <v>0.0011</v>
      </c>
      <c r="F235" s="9">
        <f t="array" ref="F235">IFERROR(
  INDEX(
    IR!$B$2:$E2026,                
    MATCH($A235, IR!$A$2:$A2026, 0), 
    MATCH(F$1, IR!$B$1:$E$1, 0) ), "")
</f>
        <v>0.0023</v>
      </c>
      <c r="G235" s="14"/>
      <c r="H235" s="9">
        <f t="array" ref="H235">IFERROR(
  INDEX(
    SR!$B$2:$D2026,            
    MATCH($A235, SR!$A$2:$A2026, 0),  
    MATCH(H$1, SR!$B$1:$D$1, 0) ), "")
</f>
        <v>0.00099</v>
      </c>
      <c r="I235" s="9">
        <f t="array" ref="I235">IFERROR(
  INDEX(
    SR!$B$2:$D2026,            
    MATCH($A235, SR!$A$2:$A2026, 0),  
    MATCH(I$1, SR!$B$1:$D$1, 0) ), "")
</f>
        <v>0.001366</v>
      </c>
      <c r="J235" s="9">
        <f t="array" ref="J235">IFERROR(
  INDEX(
    SR!$B$2:$D2026,            
    MATCH($A235, SR!$A$2:$A2026, 0),  
    MATCH(J$1, SR!$B$1:$D$1, 0) ), "")
</f>
        <v>0.00277</v>
      </c>
      <c r="K235" s="14"/>
      <c r="L235" s="9">
        <v>127.31</v>
      </c>
      <c r="M235" s="9">
        <v>24.67</v>
      </c>
      <c r="N235" s="9">
        <v>112.75</v>
      </c>
      <c r="O235" s="9">
        <v>129.53999</v>
      </c>
      <c r="P235" s="9">
        <v>136.59</v>
      </c>
      <c r="Q235" s="9">
        <v>1422.1493</v>
      </c>
      <c r="R235" s="14"/>
      <c r="S235" s="12">
        <f t="shared" si="2"/>
        <v>0.0001636088532</v>
      </c>
      <c r="T235" s="12">
        <f t="shared" si="3"/>
        <v>1.000163609</v>
      </c>
      <c r="U235" s="16">
        <f t="shared" si="7"/>
        <v>104.4704796</v>
      </c>
      <c r="V235" s="17"/>
      <c r="W235" s="12">
        <f t="array" ref="W235">SQRT(252/20) *  SQRT( SUMSQ( LN(U214:U233 / U213:U232) )  - (1/20) * ( SUM( LN(U214:U233 / U213:U232) ) ^ 2 ) )</f>
        <v>0.01733537887</v>
      </c>
      <c r="X235" s="9">
        <f t="shared" si="4"/>
        <v>1.5</v>
      </c>
      <c r="Y235" s="14"/>
      <c r="Z235" s="12">
        <f t="shared" si="5"/>
        <v>1.000245622</v>
      </c>
      <c r="AA235" s="16">
        <f t="shared" si="8"/>
        <v>106.7285046</v>
      </c>
      <c r="AB235" s="14"/>
      <c r="AC235" s="9">
        <f t="shared" si="6"/>
        <v>21.1</v>
      </c>
    </row>
    <row r="236">
      <c r="A236" s="8">
        <v>42066.0</v>
      </c>
      <c r="B236" s="14"/>
      <c r="C236" s="9">
        <f t="array" ref="C236">IFERROR(
  INDEX(
    IR!$B$2:$E2026,                
    MATCH($A236, IR!$A$2:$A2026, 0), 
    MATCH(C$1, IR!$B$1:$E$1, 0) ), "")
</f>
        <v>-0.00006</v>
      </c>
      <c r="D236" s="9">
        <f t="array" ref="D236">IFERROR(
  INDEX(
    IR!$B$2:$E2026,                
    MATCH($A236, IR!$A$2:$A2026, 0), 
    MATCH(D$1, IR!$B$1:$E$1, 0) ), "")
</f>
        <v>0.00038</v>
      </c>
      <c r="E236" s="9">
        <f t="array" ref="E236">IFERROR(
  INDEX(
    IR!$B$2:$E2026,                
    MATCH($A236, IR!$A$2:$A2026, 0), 
    MATCH(E$1, IR!$B$1:$E$1, 0) ), "")
</f>
        <v>0.00109</v>
      </c>
      <c r="F236" s="9">
        <f t="array" ref="F236">IFERROR(
  INDEX(
    IR!$B$2:$E2026,                
    MATCH($A236, IR!$A$2:$A2026, 0), 
    MATCH(F$1, IR!$B$1:$E$1, 0) ), "")
</f>
        <v>0.00228</v>
      </c>
      <c r="G236" s="14"/>
      <c r="H236" s="9">
        <f t="array" ref="H236">IFERROR(
  INDEX(
    SR!$B$2:$D2026,            
    MATCH($A236, SR!$A$2:$A2026, 0),  
    MATCH(H$1, SR!$B$1:$D$1, 0) ), "")
</f>
        <v>0.001013</v>
      </c>
      <c r="I236" s="9">
        <f t="array" ref="I236">IFERROR(
  INDEX(
    SR!$B$2:$D2026,            
    MATCH($A236, SR!$A$2:$A2026, 0),  
    MATCH(I$1, SR!$B$1:$D$1, 0) ), "")
</f>
        <v>0.001409</v>
      </c>
      <c r="J236" s="9">
        <f t="array" ref="J236">IFERROR(
  INDEX(
    SR!$B$2:$D2026,            
    MATCH($A236, SR!$A$2:$A2026, 0),  
    MATCH(J$1, SR!$B$1:$D$1, 0) ), "")
</f>
        <v>0.002837</v>
      </c>
      <c r="K236" s="14"/>
      <c r="L236" s="9">
        <v>126.98</v>
      </c>
      <c r="M236" s="9">
        <v>24.68</v>
      </c>
      <c r="N236" s="9">
        <v>112.75</v>
      </c>
      <c r="O236" s="9">
        <v>129.47</v>
      </c>
      <c r="P236" s="9">
        <v>136.6</v>
      </c>
      <c r="Q236" s="9">
        <v>1424.7604</v>
      </c>
      <c r="R236" s="14"/>
      <c r="S236" s="12">
        <f t="shared" si="2"/>
        <v>-0.0001360632515</v>
      </c>
      <c r="T236" s="12">
        <f t="shared" si="3"/>
        <v>0.9998639367</v>
      </c>
      <c r="U236" s="16">
        <f t="shared" si="7"/>
        <v>104.456265</v>
      </c>
      <c r="V236" s="17"/>
      <c r="W236" s="12">
        <f t="array" ref="W236">SQRT(252/20) *  SQRT( SUMSQ( LN(U215:U234 / U214:U233) )  - (1/20) * ( SUM( LN(U215:U234 / U214:U233) ) ^ 2 ) )</f>
        <v>0.01788436734</v>
      </c>
      <c r="X236" s="9">
        <f t="shared" si="4"/>
        <v>1.5</v>
      </c>
      <c r="Y236" s="14"/>
      <c r="Z236" s="12">
        <f t="shared" si="5"/>
        <v>0.9997959746</v>
      </c>
      <c r="AA236" s="16">
        <f t="shared" si="8"/>
        <v>106.7067293</v>
      </c>
      <c r="AB236" s="14"/>
      <c r="AC236" s="9">
        <f t="shared" si="6"/>
        <v>20.89</v>
      </c>
    </row>
    <row r="237">
      <c r="A237" s="8">
        <v>42067.0</v>
      </c>
      <c r="B237" s="14"/>
      <c r="C237" s="9">
        <f t="array" ref="C237">IFERROR(
  INDEX(
    IR!$B$2:$E2026,                
    MATCH($A237, IR!$A$2:$A2026, 0), 
    MATCH(C$1, IR!$B$1:$E$1, 0) ), "")
</f>
        <v>-0.00006</v>
      </c>
      <c r="D237" s="9">
        <f t="array" ref="D237">IFERROR(
  INDEX(
    IR!$B$2:$E2026,                
    MATCH($A237, IR!$A$2:$A2026, 0), 
    MATCH(D$1, IR!$B$1:$E$1, 0) ), "")
</f>
        <v>0.00038</v>
      </c>
      <c r="E237" s="9">
        <f t="array" ref="E237">IFERROR(
  INDEX(
    IR!$B$2:$E2026,                
    MATCH($A237, IR!$A$2:$A2026, 0), 
    MATCH(E$1, IR!$B$1:$E$1, 0) ), "")
</f>
        <v>0.0011</v>
      </c>
      <c r="F237" s="9">
        <f t="array" ref="F237">IFERROR(
  INDEX(
    IR!$B$2:$E2026,                
    MATCH($A237, IR!$A$2:$A2026, 0), 
    MATCH(F$1, IR!$B$1:$E$1, 0) ), "")
</f>
        <v>0.00227</v>
      </c>
      <c r="G237" s="14"/>
      <c r="H237" s="9">
        <f t="array" ref="H237">IFERROR(
  INDEX(
    SR!$B$2:$D2026,            
    MATCH($A237, SR!$A$2:$A2026, 0),  
    MATCH(H$1, SR!$B$1:$D$1, 0) ), "")
</f>
        <v>0.00111</v>
      </c>
      <c r="I237" s="9">
        <f t="array" ref="I237">IFERROR(
  INDEX(
    SR!$B$2:$D2026,            
    MATCH($A237, SR!$A$2:$A2026, 0),  
    MATCH(I$1, SR!$B$1:$D$1, 0) ), "")
</f>
        <v>0.001531</v>
      </c>
      <c r="J237" s="9">
        <f t="array" ref="J237">IFERROR(
  INDEX(
    SR!$B$2:$D2026,            
    MATCH($A237, SR!$A$2:$A2026, 0),  
    MATCH(J$1, SR!$B$1:$D$1, 0) ), "")
</f>
        <v>0.00298</v>
      </c>
      <c r="K237" s="14"/>
      <c r="L237" s="9">
        <v>127.03</v>
      </c>
      <c r="M237" s="9">
        <v>24.69</v>
      </c>
      <c r="N237" s="9">
        <v>112.76</v>
      </c>
      <c r="O237" s="9">
        <v>128.94</v>
      </c>
      <c r="P237" s="9">
        <v>136.02</v>
      </c>
      <c r="Q237" s="9">
        <v>1418.582</v>
      </c>
      <c r="R237" s="14"/>
      <c r="S237" s="12">
        <f t="shared" si="2"/>
        <v>-0.001964380005</v>
      </c>
      <c r="T237" s="12">
        <f t="shared" si="3"/>
        <v>0.99803562</v>
      </c>
      <c r="U237" s="16">
        <f t="shared" si="7"/>
        <v>104.2510732</v>
      </c>
      <c r="V237" s="17"/>
      <c r="W237" s="12">
        <f t="array" ref="W237">SQRT(252/20) *  SQRT( SUMSQ( LN(U216:U235 / U215:U234) )  - (1/20) * ( SUM( LN(U216:U235 / U215:U234) ) ^ 2 ) )</f>
        <v>0.01777461996</v>
      </c>
      <c r="X237" s="9">
        <f t="shared" si="4"/>
        <v>1.5</v>
      </c>
      <c r="Y237" s="14"/>
      <c r="Z237" s="12">
        <f t="shared" si="5"/>
        <v>0.9970535133</v>
      </c>
      <c r="AA237" s="16">
        <f t="shared" si="8"/>
        <v>106.3923193</v>
      </c>
      <c r="AB237" s="14"/>
      <c r="AC237" s="9">
        <f t="shared" si="6"/>
        <v>17.88</v>
      </c>
    </row>
    <row r="238">
      <c r="A238" s="8">
        <v>42068.0</v>
      </c>
      <c r="B238" s="14"/>
      <c r="C238" s="9">
        <f t="array" ref="C238">IFERROR(
  INDEX(
    IR!$B$2:$E2026,                
    MATCH($A238, IR!$A$2:$A2026, 0), 
    MATCH(C$1, IR!$B$1:$E$1, 0) ), "")
</f>
        <v>-0.00007</v>
      </c>
      <c r="D238" s="9">
        <f t="array" ref="D238">IFERROR(
  INDEX(
    IR!$B$2:$E2026,                
    MATCH($A238, IR!$A$2:$A2026, 0), 
    MATCH(D$1, IR!$B$1:$E$1, 0) ), "")
</f>
        <v>0.00036</v>
      </c>
      <c r="E238" s="9">
        <f t="array" ref="E238">IFERROR(
  INDEX(
    IR!$B$2:$E2026,                
    MATCH($A238, IR!$A$2:$A2026, 0), 
    MATCH(E$1, IR!$B$1:$E$1, 0) ), "")
</f>
        <v>0.00108</v>
      </c>
      <c r="F238" s="9">
        <f t="array" ref="F238">IFERROR(
  INDEX(
    IR!$B$2:$E2026,                
    MATCH($A238, IR!$A$2:$A2026, 0), 
    MATCH(F$1, IR!$B$1:$E$1, 0) ), "")
</f>
        <v>0.00226</v>
      </c>
      <c r="G238" s="14"/>
      <c r="H238" s="9">
        <f t="array" ref="H238">IFERROR(
  INDEX(
    SR!$B$2:$D2026,            
    MATCH($A238, SR!$A$2:$A2026, 0),  
    MATCH(H$1, SR!$B$1:$D$1, 0) ), "")
</f>
        <v>0.00112</v>
      </c>
      <c r="I238" s="9">
        <f t="array" ref="I238">IFERROR(
  INDEX(
    SR!$B$2:$D2026,            
    MATCH($A238, SR!$A$2:$A2026, 0),  
    MATCH(I$1, SR!$B$1:$D$1, 0) ), "")
</f>
        <v>0.00155</v>
      </c>
      <c r="J238" s="9">
        <f t="array" ref="J238">IFERROR(
  INDEX(
    SR!$B$2:$D2026,            
    MATCH($A238, SR!$A$2:$A2026, 0),  
    MATCH(J$1, SR!$B$1:$D$1, 0) ), "")
</f>
        <v>0.00295</v>
      </c>
      <c r="K238" s="14"/>
      <c r="L238" s="9">
        <v>127.49</v>
      </c>
      <c r="M238" s="9">
        <v>24.69</v>
      </c>
      <c r="N238" s="9">
        <v>112.77</v>
      </c>
      <c r="O238" s="9">
        <v>129.28</v>
      </c>
      <c r="P238" s="9">
        <v>136.42</v>
      </c>
      <c r="Q238" s="9">
        <v>1418.7775</v>
      </c>
      <c r="R238" s="14"/>
      <c r="S238" s="12">
        <f t="shared" si="2"/>
        <v>0.001570271899</v>
      </c>
      <c r="T238" s="12">
        <f t="shared" si="3"/>
        <v>1.001570272</v>
      </c>
      <c r="U238" s="16">
        <f t="shared" si="7"/>
        <v>104.4147757</v>
      </c>
      <c r="V238" s="17"/>
      <c r="W238" s="12">
        <f t="array" ref="W238">SQRT(252/20) *  SQRT( SUMSQ( LN(U217:U236 / U216:U235) )  - (1/20) * ( SUM( LN(U217:U236 / U216:U235) ) ^ 2 ) )</f>
        <v>0.0172178509</v>
      </c>
      <c r="X238" s="9">
        <f t="shared" si="4"/>
        <v>1.5</v>
      </c>
      <c r="Y238" s="14"/>
      <c r="Z238" s="12">
        <f t="shared" si="5"/>
        <v>1.002355491</v>
      </c>
      <c r="AA238" s="16">
        <f t="shared" si="8"/>
        <v>106.6429255</v>
      </c>
      <c r="AB238" s="14"/>
      <c r="AC238" s="9">
        <f t="shared" si="6"/>
        <v>20.28</v>
      </c>
    </row>
    <row r="239">
      <c r="A239" s="8">
        <v>42069.0</v>
      </c>
      <c r="B239" s="14"/>
      <c r="C239" s="9">
        <f t="array" ref="C239">IFERROR(
  INDEX(
    IR!$B$2:$E2026,                
    MATCH($A239, IR!$A$2:$A2026, 0), 
    MATCH(C$1, IR!$B$1:$E$1, 0) ), "")
</f>
        <v>-0.00008</v>
      </c>
      <c r="D239" s="9">
        <f t="array" ref="D239">IFERROR(
  INDEX(
    IR!$B$2:$E2026,                
    MATCH($A239, IR!$A$2:$A2026, 0), 
    MATCH(D$1, IR!$B$1:$E$1, 0) ), "")
</f>
        <v>0.00036</v>
      </c>
      <c r="E239" s="9">
        <f t="array" ref="E239">IFERROR(
  INDEX(
    IR!$B$2:$E2026,                
    MATCH($A239, IR!$A$2:$A2026, 0), 
    MATCH(E$1, IR!$B$1:$E$1, 0) ), "")
</f>
        <v>0.00107</v>
      </c>
      <c r="F239" s="9">
        <f t="array" ref="F239">IFERROR(
  INDEX(
    IR!$B$2:$E2026,                
    MATCH($A239, IR!$A$2:$A2026, 0), 
    MATCH(F$1, IR!$B$1:$E$1, 0) ), "")
</f>
        <v>0.00225</v>
      </c>
      <c r="G239" s="14"/>
      <c r="H239" s="9">
        <f t="array" ref="H239">IFERROR(
  INDEX(
    SR!$B$2:$D2026,            
    MATCH($A239, SR!$A$2:$A2026, 0),  
    MATCH(H$1, SR!$B$1:$D$1, 0) ), "")
</f>
        <v>0.00112</v>
      </c>
      <c r="I239" s="9">
        <f t="array" ref="I239">IFERROR(
  INDEX(
    SR!$B$2:$D2026,            
    MATCH($A239, SR!$A$2:$A2026, 0),  
    MATCH(I$1, SR!$B$1:$D$1, 0) ), "")
</f>
        <v>0.00164</v>
      </c>
      <c r="J239" s="9">
        <f t="array" ref="J239">IFERROR(
  INDEX(
    SR!$B$2:$D2026,            
    MATCH($A239, SR!$A$2:$A2026, 0),  
    MATCH(J$1, SR!$B$1:$D$1, 0) ), "")
</f>
        <v>0.003254</v>
      </c>
      <c r="K239" s="14"/>
      <c r="L239" s="9">
        <v>127.49</v>
      </c>
      <c r="M239" s="9">
        <v>24.7</v>
      </c>
      <c r="N239" s="9">
        <v>112.78</v>
      </c>
      <c r="O239" s="9">
        <v>129.94</v>
      </c>
      <c r="P239" s="9">
        <v>136.72</v>
      </c>
      <c r="Q239" s="9">
        <v>1423.5508</v>
      </c>
      <c r="R239" s="14"/>
      <c r="S239" s="12">
        <f t="shared" si="2"/>
        <v>0.001859986067</v>
      </c>
      <c r="T239" s="12">
        <f t="shared" si="3"/>
        <v>1.001859986</v>
      </c>
      <c r="U239" s="16">
        <f t="shared" si="7"/>
        <v>104.6089857</v>
      </c>
      <c r="V239" s="17"/>
      <c r="W239" s="12">
        <f t="array" ref="W239">SQRT(252/20) *  SQRT( SUMSQ( LN(U218:U237 / U217:U236) )  - (1/20) * ( SUM( LN(U218:U237 / U217:U236) ) ^ 2 ) )</f>
        <v>0.01912743481</v>
      </c>
      <c r="X239" s="9">
        <f t="shared" si="4"/>
        <v>1.5</v>
      </c>
      <c r="Y239" s="14"/>
      <c r="Z239" s="12">
        <f t="shared" si="5"/>
        <v>1.002790076</v>
      </c>
      <c r="AA239" s="16">
        <f t="shared" si="8"/>
        <v>106.9404674</v>
      </c>
      <c r="AB239" s="14"/>
      <c r="AC239" s="9">
        <f t="shared" si="6"/>
        <v>23.13</v>
      </c>
    </row>
    <row r="240">
      <c r="A240" s="8">
        <v>42072.0</v>
      </c>
      <c r="B240" s="14"/>
      <c r="C240" s="9">
        <f t="array" ref="C240">IFERROR(
  INDEX(
    IR!$B$2:$E2026,                
    MATCH($A240, IR!$A$2:$A2026, 0), 
    MATCH(C$1, IR!$B$1:$E$1, 0) ), "")
</f>
        <v>-0.00008</v>
      </c>
      <c r="D240" s="9">
        <f t="array" ref="D240">IFERROR(
  INDEX(
    IR!$B$2:$E2026,                
    MATCH($A240, IR!$A$2:$A2026, 0), 
    MATCH(D$1, IR!$B$1:$E$1, 0) ), "")
</f>
        <v>0.00035</v>
      </c>
      <c r="E240" s="9">
        <f t="array" ref="E240">IFERROR(
  INDEX(
    IR!$B$2:$E2026,                
    MATCH($A240, IR!$A$2:$A2026, 0), 
    MATCH(E$1, IR!$B$1:$E$1, 0) ), "")
</f>
        <v>0.00105</v>
      </c>
      <c r="F240" s="9">
        <f t="array" ref="F240">IFERROR(
  INDEX(
    IR!$B$2:$E2026,                
    MATCH($A240, IR!$A$2:$A2026, 0), 
    MATCH(F$1, IR!$B$1:$E$1, 0) ), "")
</f>
        <v>0.00222</v>
      </c>
      <c r="G240" s="14"/>
      <c r="H240" s="9">
        <f t="array" ref="H240">IFERROR(
  INDEX(
    SR!$B$2:$D2026,            
    MATCH($A240, SR!$A$2:$A2026, 0),  
    MATCH(H$1, SR!$B$1:$D$1, 0) ), "")
</f>
        <v>0.001055</v>
      </c>
      <c r="I240" s="9">
        <f t="array" ref="I240">IFERROR(
  INDEX(
    SR!$B$2:$D2026,            
    MATCH($A240, SR!$A$2:$A2026, 0),  
    MATCH(I$1, SR!$B$1:$D$1, 0) ), "")
</f>
        <v>0.001521</v>
      </c>
      <c r="J240" s="9">
        <f t="array" ref="J240">IFERROR(
  INDEX(
    SR!$B$2:$D2026,            
    MATCH($A240, SR!$A$2:$A2026, 0),  
    MATCH(J$1, SR!$B$1:$D$1, 0) ), "")
</f>
        <v>0.002985</v>
      </c>
      <c r="K240" s="14"/>
      <c r="L240" s="9">
        <v>127.39</v>
      </c>
      <c r="M240" s="9">
        <v>24.71</v>
      </c>
      <c r="N240" s="9">
        <v>112.81</v>
      </c>
      <c r="O240" s="9">
        <v>129.91</v>
      </c>
      <c r="P240" s="9">
        <v>136.43</v>
      </c>
      <c r="Q240" s="9">
        <v>1415.8906</v>
      </c>
      <c r="R240" s="14"/>
      <c r="S240" s="12">
        <f t="shared" si="2"/>
        <v>-0.001307775496</v>
      </c>
      <c r="T240" s="12">
        <f t="shared" si="3"/>
        <v>0.9986922245</v>
      </c>
      <c r="U240" s="16">
        <f t="shared" si="7"/>
        <v>104.4721807</v>
      </c>
      <c r="V240" s="17"/>
      <c r="W240" s="12">
        <f t="array" ref="W240">SQRT(252/20) *  SQRT( SUMSQ( LN(U219:U238 / U218:U237) )  - (1/20) * ( SUM( LN(U219:U238 / U218:U237) ) ^ 2 ) )</f>
        <v>0.01918463361</v>
      </c>
      <c r="X240" s="9">
        <f t="shared" si="4"/>
        <v>1.5</v>
      </c>
      <c r="Y240" s="14"/>
      <c r="Z240" s="12">
        <f t="shared" si="5"/>
        <v>0.9980386701</v>
      </c>
      <c r="AA240" s="16">
        <f t="shared" si="8"/>
        <v>106.7307219</v>
      </c>
      <c r="AB240" s="14"/>
      <c r="AC240" s="9">
        <f t="shared" si="6"/>
        <v>21.12</v>
      </c>
    </row>
    <row r="241">
      <c r="A241" s="8">
        <v>42073.0</v>
      </c>
      <c r="B241" s="14"/>
      <c r="C241" s="9">
        <f t="array" ref="C241">IFERROR(
  INDEX(
    IR!$B$2:$E2026,                
    MATCH($A241, IR!$A$2:$A2026, 0), 
    MATCH(C$1, IR!$B$1:$E$1, 0) ), "")
</f>
        <v>-0.00009</v>
      </c>
      <c r="D241" s="9">
        <f t="array" ref="D241">IFERROR(
  INDEX(
    IR!$B$2:$E2026,                
    MATCH($A241, IR!$A$2:$A2026, 0), 
    MATCH(D$1, IR!$B$1:$E$1, 0) ), "")
</f>
        <v>0.00032</v>
      </c>
      <c r="E241" s="9">
        <f t="array" ref="E241">IFERROR(
  INDEX(
    IR!$B$2:$E2026,                
    MATCH($A241, IR!$A$2:$A2026, 0), 
    MATCH(E$1, IR!$B$1:$E$1, 0) ), "")
</f>
        <v>0.00102</v>
      </c>
      <c r="F241" s="9">
        <f t="array" ref="F241">IFERROR(
  INDEX(
    IR!$B$2:$E2026,                
    MATCH($A241, IR!$A$2:$A2026, 0), 
    MATCH(F$1, IR!$B$1:$E$1, 0) ), "")
</f>
        <v>0.00219</v>
      </c>
      <c r="G241" s="14"/>
      <c r="H241" s="9">
        <f t="array" ref="H241">IFERROR(
  INDEX(
    SR!$B$2:$D2026,            
    MATCH($A241, SR!$A$2:$A2026, 0),  
    MATCH(H$1, SR!$B$1:$D$1, 0) ), "")
</f>
        <v>0.00092</v>
      </c>
      <c r="I241" s="9">
        <f t="array" ref="I241">IFERROR(
  INDEX(
    SR!$B$2:$D2026,            
    MATCH($A241, SR!$A$2:$A2026, 0),  
    MATCH(I$1, SR!$B$1:$D$1, 0) ), "")
</f>
        <v>0.001315</v>
      </c>
      <c r="J241" s="9">
        <f t="array" ref="J241">IFERROR(
  INDEX(
    SR!$B$2:$D2026,            
    MATCH($A241, SR!$A$2:$A2026, 0),  
    MATCH(J$1, SR!$B$1:$D$1, 0) ), "")
</f>
        <v>0.0027</v>
      </c>
      <c r="K241" s="14"/>
      <c r="L241" s="9">
        <v>126.99</v>
      </c>
      <c r="M241" s="9">
        <v>24.71</v>
      </c>
      <c r="N241" s="9">
        <v>112.8</v>
      </c>
      <c r="O241" s="9">
        <v>130.48</v>
      </c>
      <c r="P241" s="9">
        <v>136.37</v>
      </c>
      <c r="Q241" s="9">
        <v>1415.6049</v>
      </c>
      <c r="R241" s="14"/>
      <c r="S241" s="12">
        <f t="shared" si="2"/>
        <v>0.00008619155327</v>
      </c>
      <c r="T241" s="12">
        <f t="shared" si="3"/>
        <v>1.000086192</v>
      </c>
      <c r="U241" s="16">
        <f t="shared" si="7"/>
        <v>104.4811853</v>
      </c>
      <c r="V241" s="17"/>
      <c r="W241" s="12">
        <f t="array" ref="W241">SQRT(252/20) *  SQRT( SUMSQ( LN(U220:U239 / U219:U238) )  - (1/20) * ( SUM( LN(U220:U239 / U219:U238) ) ^ 2 ) )</f>
        <v>0.01968508141</v>
      </c>
      <c r="X241" s="9">
        <f t="shared" si="4"/>
        <v>1.5</v>
      </c>
      <c r="Y241" s="14"/>
      <c r="Z241" s="12">
        <f t="shared" si="5"/>
        <v>1.000129398</v>
      </c>
      <c r="AA241" s="16">
        <f t="shared" si="8"/>
        <v>106.7445327</v>
      </c>
      <c r="AB241" s="14"/>
      <c r="AC241" s="9">
        <f t="shared" si="6"/>
        <v>21.25</v>
      </c>
    </row>
    <row r="242">
      <c r="A242" s="8">
        <v>42074.0</v>
      </c>
      <c r="B242" s="14"/>
      <c r="C242" s="9">
        <f t="array" ref="C242">IFERROR(
  INDEX(
    IR!$B$2:$E2026,                
    MATCH($A242, IR!$A$2:$A2026, 0), 
    MATCH(C$1, IR!$B$1:$E$1, 0) ), "")
</f>
        <v>-0.00011</v>
      </c>
      <c r="D242" s="9">
        <f t="array" ref="D242">IFERROR(
  INDEX(
    IR!$B$2:$E2026,                
    MATCH($A242, IR!$A$2:$A2026, 0), 
    MATCH(D$1, IR!$B$1:$E$1, 0) ), "")
</f>
        <v>0.00029</v>
      </c>
      <c r="E242" s="9">
        <f t="array" ref="E242">IFERROR(
  INDEX(
    IR!$B$2:$E2026,                
    MATCH($A242, IR!$A$2:$A2026, 0), 
    MATCH(E$1, IR!$B$1:$E$1, 0) ), "")
</f>
        <v>0.00099</v>
      </c>
      <c r="F242" s="9">
        <f t="array" ref="F242">IFERROR(
  INDEX(
    IR!$B$2:$E2026,                
    MATCH($A242, IR!$A$2:$A2026, 0), 
    MATCH(F$1, IR!$B$1:$E$1, 0) ), "")
</f>
        <v>0.00217</v>
      </c>
      <c r="G242" s="14"/>
      <c r="H242" s="9">
        <f t="array" ref="H242">IFERROR(
  INDEX(
    SR!$B$2:$D2026,            
    MATCH($A242, SR!$A$2:$A2026, 0),  
    MATCH(H$1, SR!$B$1:$D$1, 0) ), "")
</f>
        <v>0.00084</v>
      </c>
      <c r="I242" s="9">
        <f t="array" ref="I242">IFERROR(
  INDEX(
    SR!$B$2:$D2026,            
    MATCH($A242, SR!$A$2:$A2026, 0),  
    MATCH(I$1, SR!$B$1:$D$1, 0) ), "")
</f>
        <v>0.00121</v>
      </c>
      <c r="J242" s="9">
        <f t="array" ref="J242">IFERROR(
  INDEX(
    SR!$B$2:$D2026,            
    MATCH($A242, SR!$A$2:$A2026, 0),  
    MATCH(J$1, SR!$B$1:$D$1, 0) ), "")
</f>
        <v>0.0025</v>
      </c>
      <c r="K242" s="14"/>
      <c r="L242" s="9">
        <v>127.64</v>
      </c>
      <c r="M242" s="9">
        <v>24.73</v>
      </c>
      <c r="N242" s="9">
        <v>112.79</v>
      </c>
      <c r="O242" s="9">
        <v>130.77</v>
      </c>
      <c r="P242" s="9">
        <v>136.1</v>
      </c>
      <c r="Q242" s="9">
        <v>1408.9072</v>
      </c>
      <c r="R242" s="14"/>
      <c r="S242" s="12">
        <f t="shared" si="2"/>
        <v>0.0002245319371</v>
      </c>
      <c r="T242" s="12">
        <f t="shared" si="3"/>
        <v>1.000224532</v>
      </c>
      <c r="U242" s="16">
        <f t="shared" si="7"/>
        <v>104.5046447</v>
      </c>
      <c r="V242" s="17"/>
      <c r="W242" s="12">
        <f t="array" ref="W242">SQRT(252/20) *  SQRT( SUMSQ( LN(U221:U240 / U220:U239) )  - (1/20) * ( SUM( LN(U221:U240 / U220:U239) ) ^ 2 ) )</f>
        <v>0.01971007832</v>
      </c>
      <c r="X242" s="9">
        <f t="shared" si="4"/>
        <v>1.5</v>
      </c>
      <c r="Y242" s="14"/>
      <c r="Z242" s="12">
        <f t="shared" si="5"/>
        <v>1.000336923</v>
      </c>
      <c r="AA242" s="16">
        <f t="shared" si="8"/>
        <v>106.7804973</v>
      </c>
      <c r="AB242" s="14"/>
      <c r="AC242" s="9">
        <f t="shared" si="6"/>
        <v>21.6</v>
      </c>
    </row>
    <row r="243">
      <c r="A243" s="8">
        <v>42075.0</v>
      </c>
      <c r="B243" s="14"/>
      <c r="C243" s="9">
        <f t="array" ref="C243">IFERROR(
  INDEX(
    IR!$B$2:$E2026,                
    MATCH($A243, IR!$A$2:$A2026, 0), 
    MATCH(C$1, IR!$B$1:$E$1, 0) ), "")
</f>
        <v>-0.00009</v>
      </c>
      <c r="D243" s="9">
        <f t="array" ref="D243">IFERROR(
  INDEX(
    IR!$B$2:$E2026,                
    MATCH($A243, IR!$A$2:$A2026, 0), 
    MATCH(D$1, IR!$B$1:$E$1, 0) ), "")
</f>
        <v>0.00027</v>
      </c>
      <c r="E243" s="9">
        <f t="array" ref="E243">IFERROR(
  INDEX(
    IR!$B$2:$E2026,                
    MATCH($A243, IR!$A$2:$A2026, 0), 
    MATCH(E$1, IR!$B$1:$E$1, 0) ), "")
</f>
        <v>0.00098</v>
      </c>
      <c r="F243" s="9">
        <f t="array" ref="F243">IFERROR(
  INDEX(
    IR!$B$2:$E2026,                
    MATCH($A243, IR!$A$2:$A2026, 0), 
    MATCH(F$1, IR!$B$1:$E$1, 0) ), "")
</f>
        <v>0.00215</v>
      </c>
      <c r="G243" s="14"/>
      <c r="H243" s="9">
        <f t="array" ref="H243">IFERROR(
  INDEX(
    SR!$B$2:$D2026,            
    MATCH($A243, SR!$A$2:$A2026, 0),  
    MATCH(H$1, SR!$B$1:$D$1, 0) ), "")
</f>
        <v>0.00092</v>
      </c>
      <c r="I243" s="9">
        <f t="array" ref="I243">IFERROR(
  INDEX(
    SR!$B$2:$D2026,            
    MATCH($A243, SR!$A$2:$A2026, 0),  
    MATCH(I$1, SR!$B$1:$D$1, 0) ), "")
</f>
        <v>0.001371</v>
      </c>
      <c r="J243" s="9">
        <f t="array" ref="J243">IFERROR(
  INDEX(
    SR!$B$2:$D2026,            
    MATCH($A243, SR!$A$2:$A2026, 0),  
    MATCH(J$1, SR!$B$1:$D$1, 0) ), "")
</f>
        <v>0.0028</v>
      </c>
      <c r="K243" s="14"/>
      <c r="L243" s="9">
        <v>127.63</v>
      </c>
      <c r="M243" s="9">
        <v>24.74</v>
      </c>
      <c r="N243" s="9">
        <v>112.79</v>
      </c>
      <c r="O243" s="9">
        <v>132.3</v>
      </c>
      <c r="P243" s="9">
        <v>136.7</v>
      </c>
      <c r="Q243" s="9">
        <v>1415.0142</v>
      </c>
      <c r="R243" s="14"/>
      <c r="S243" s="12">
        <f t="shared" si="2"/>
        <v>0.00346055573</v>
      </c>
      <c r="T243" s="12">
        <f t="shared" si="3"/>
        <v>1.003460556</v>
      </c>
      <c r="U243" s="16">
        <f t="shared" si="7"/>
        <v>104.8662888</v>
      </c>
      <c r="V243" s="17"/>
      <c r="W243" s="12">
        <f t="array" ref="W243">SQRT(252/20) *  SQRT( SUMSQ( LN(U222:U241 / U221:U240) )  - (1/20) * ( SUM( LN(U222:U241 / U221:U240) ) ^ 2 ) )</f>
        <v>0.01849676418</v>
      </c>
      <c r="X243" s="9">
        <f t="shared" si="4"/>
        <v>1.5</v>
      </c>
      <c r="Y243" s="14"/>
      <c r="Z243" s="12">
        <f t="shared" si="5"/>
        <v>1.005190986</v>
      </c>
      <c r="AA243" s="16">
        <f t="shared" si="8"/>
        <v>107.3347934</v>
      </c>
      <c r="AB243" s="14"/>
      <c r="AC243" s="9">
        <f t="shared" si="6"/>
        <v>26.9</v>
      </c>
    </row>
    <row r="244">
      <c r="A244" s="8">
        <v>42076.0</v>
      </c>
      <c r="B244" s="14"/>
      <c r="C244" s="9">
        <f t="array" ref="C244">IFERROR(
  INDEX(
    IR!$B$2:$E2026,                
    MATCH($A244, IR!$A$2:$A2026, 0), 
    MATCH(C$1, IR!$B$1:$E$1, 0) ), "")
</f>
        <v>-0.0001</v>
      </c>
      <c r="D244" s="9">
        <f t="array" ref="D244">IFERROR(
  INDEX(
    IR!$B$2:$E2026,                
    MATCH($A244, IR!$A$2:$A2026, 0), 
    MATCH(D$1, IR!$B$1:$E$1, 0) ), "")
</f>
        <v>0.00025</v>
      </c>
      <c r="E244" s="9">
        <f t="array" ref="E244">IFERROR(
  INDEX(
    IR!$B$2:$E2026,                
    MATCH($A244, IR!$A$2:$A2026, 0), 
    MATCH(E$1, IR!$B$1:$E$1, 0) ), "")
</f>
        <v>0.00096</v>
      </c>
      <c r="F244" s="9">
        <f t="array" ref="F244">IFERROR(
  INDEX(
    IR!$B$2:$E2026,                
    MATCH($A244, IR!$A$2:$A2026, 0), 
    MATCH(F$1, IR!$B$1:$E$1, 0) ), "")
</f>
        <v>0.00214</v>
      </c>
      <c r="G244" s="14"/>
      <c r="H244" s="9">
        <f t="array" ref="H244">IFERROR(
  INDEX(
    SR!$B$2:$D2026,            
    MATCH($A244, SR!$A$2:$A2026, 0),  
    MATCH(H$1, SR!$B$1:$D$1, 0) ), "")
</f>
        <v>0.0009</v>
      </c>
      <c r="I244" s="9">
        <f t="array" ref="I244">IFERROR(
  INDEX(
    SR!$B$2:$D2026,            
    MATCH($A244, SR!$A$2:$A2026, 0),  
    MATCH(I$1, SR!$B$1:$D$1, 0) ), "")
</f>
        <v>0.00133</v>
      </c>
      <c r="J244" s="9">
        <f t="array" ref="J244">IFERROR(
  INDEX(
    SR!$B$2:$D2026,            
    MATCH($A244, SR!$A$2:$A2026, 0),  
    MATCH(J$1, SR!$B$1:$D$1, 0) ), "")
</f>
        <v>0.002735</v>
      </c>
      <c r="K244" s="14"/>
      <c r="L244" s="9">
        <v>127.85</v>
      </c>
      <c r="M244" s="9">
        <v>24.74</v>
      </c>
      <c r="N244" s="9">
        <v>112.7</v>
      </c>
      <c r="O244" s="9">
        <v>131.98</v>
      </c>
      <c r="P244" s="9">
        <v>137.03</v>
      </c>
      <c r="Q244" s="9">
        <v>1418.329</v>
      </c>
      <c r="R244" s="14"/>
      <c r="S244" s="12">
        <f t="shared" si="2"/>
        <v>0.000543963513</v>
      </c>
      <c r="T244" s="12">
        <f t="shared" si="3"/>
        <v>1.000543964</v>
      </c>
      <c r="U244" s="16">
        <f t="shared" si="7"/>
        <v>104.9233322</v>
      </c>
      <c r="V244" s="17"/>
      <c r="W244" s="12">
        <f t="array" ref="W244">SQRT(252/20) *  SQRT( SUMSQ( LN(U223:U242 / U222:U241) )  - (1/20) * ( SUM( LN(U223:U242 / U222:U241) ) ^ 2 ) )</f>
        <v>0.01852891744</v>
      </c>
      <c r="X244" s="9">
        <f t="shared" si="4"/>
        <v>1.5</v>
      </c>
      <c r="Y244" s="14"/>
      <c r="Z244" s="12">
        <f t="shared" si="5"/>
        <v>1.00081607</v>
      </c>
      <c r="AA244" s="16">
        <f t="shared" si="8"/>
        <v>107.4223862</v>
      </c>
      <c r="AB244" s="14"/>
      <c r="AC244" s="9">
        <f t="shared" si="6"/>
        <v>27.74</v>
      </c>
    </row>
    <row r="245">
      <c r="A245" s="8">
        <v>42079.0</v>
      </c>
      <c r="B245" s="14"/>
      <c r="C245" s="9">
        <f t="array" ref="C245">IFERROR(
  INDEX(
    IR!$B$2:$E2026,                
    MATCH($A245, IR!$A$2:$A2026, 0), 
    MATCH(C$1, IR!$B$1:$E$1, 0) ), "")
</f>
        <v>-0.00011</v>
      </c>
      <c r="D245" s="9">
        <f t="array" ref="D245">IFERROR(
  INDEX(
    IR!$B$2:$E2026,                
    MATCH($A245, IR!$A$2:$A2026, 0), 
    MATCH(D$1, IR!$B$1:$E$1, 0) ), "")
</f>
        <v>0.00025</v>
      </c>
      <c r="E245" s="9">
        <f t="array" ref="E245">IFERROR(
  INDEX(
    IR!$B$2:$E2026,                
    MATCH($A245, IR!$A$2:$A2026, 0), 
    MATCH(E$1, IR!$B$1:$E$1, 0) ), "")
</f>
        <v>0.00096</v>
      </c>
      <c r="F245" s="9">
        <f t="array" ref="F245">IFERROR(
  INDEX(
    IR!$B$2:$E2026,                
    MATCH($A245, IR!$A$2:$A2026, 0), 
    MATCH(F$1, IR!$B$1:$E$1, 0) ), "")
</f>
        <v>0.00212</v>
      </c>
      <c r="G245" s="14"/>
      <c r="H245" s="9">
        <f t="array" ref="H245">IFERROR(
  INDEX(
    SR!$B$2:$D2026,            
    MATCH($A245, SR!$A$2:$A2026, 0),  
    MATCH(H$1, SR!$B$1:$D$1, 0) ), "")
</f>
        <v>0.000907</v>
      </c>
      <c r="I245" s="9">
        <f t="array" ref="I245">IFERROR(
  INDEX(
    SR!$B$2:$D2026,            
    MATCH($A245, SR!$A$2:$A2026, 0),  
    MATCH(I$1, SR!$B$1:$D$1, 0) ), "")
</f>
        <v>0.00139</v>
      </c>
      <c r="J245" s="9">
        <f t="array" ref="J245">IFERROR(
  INDEX(
    SR!$B$2:$D2026,            
    MATCH($A245, SR!$A$2:$A2026, 0),  
    MATCH(J$1, SR!$B$1:$D$1, 0) ), "")
</f>
        <v>0.002835</v>
      </c>
      <c r="K245" s="14"/>
      <c r="L245" s="9">
        <v>128.46001</v>
      </c>
      <c r="M245" s="9">
        <v>24.74</v>
      </c>
      <c r="N245" s="9">
        <v>112.7</v>
      </c>
      <c r="O245" s="9">
        <v>132.38</v>
      </c>
      <c r="P245" s="9">
        <v>137.06</v>
      </c>
      <c r="Q245" s="9">
        <v>1411.6296</v>
      </c>
      <c r="R245" s="14"/>
      <c r="S245" s="12">
        <f t="shared" si="2"/>
        <v>0.0005488980185</v>
      </c>
      <c r="T245" s="12">
        <f t="shared" si="3"/>
        <v>1.000548898</v>
      </c>
      <c r="U245" s="16">
        <f t="shared" si="7"/>
        <v>104.9809245</v>
      </c>
      <c r="V245" s="17"/>
      <c r="W245" s="12">
        <f t="array" ref="W245">SQRT(252/20) *  SQRT( SUMSQ( LN(U224:U243 / U223:U242) )  - (1/20) * ( SUM( LN(U224:U243 / U223:U242) ) ^ 2 ) )</f>
        <v>0.02083547031</v>
      </c>
      <c r="X245" s="9">
        <f t="shared" si="4"/>
        <v>1.5</v>
      </c>
      <c r="Y245" s="14"/>
      <c r="Z245" s="12">
        <f t="shared" si="5"/>
        <v>1.000823764</v>
      </c>
      <c r="AA245" s="16">
        <f t="shared" si="8"/>
        <v>107.5108768</v>
      </c>
      <c r="AB245" s="14"/>
      <c r="AC245" s="9">
        <f t="shared" si="6"/>
        <v>28.58</v>
      </c>
    </row>
    <row r="246">
      <c r="A246" s="8">
        <v>42080.0</v>
      </c>
      <c r="B246" s="14"/>
      <c r="C246" s="9">
        <f t="array" ref="C246">IFERROR(
  INDEX(
    IR!$B$2:$E2026,                
    MATCH($A246, IR!$A$2:$A2026, 0), 
    MATCH(C$1, IR!$B$1:$E$1, 0) ), "")
</f>
        <v>-0.00012</v>
      </c>
      <c r="D246" s="9">
        <f t="array" ref="D246">IFERROR(
  INDEX(
    IR!$B$2:$E2026,                
    MATCH($A246, IR!$A$2:$A2026, 0), 
    MATCH(D$1, IR!$B$1:$E$1, 0) ), "")
</f>
        <v>0.00025</v>
      </c>
      <c r="E246" s="9">
        <f t="array" ref="E246">IFERROR(
  INDEX(
    IR!$B$2:$E2026,                
    MATCH($A246, IR!$A$2:$A2026, 0), 
    MATCH(E$1, IR!$B$1:$E$1, 0) ), "")
</f>
        <v>0.00095</v>
      </c>
      <c r="F246" s="9">
        <f t="array" ref="F246">IFERROR(
  INDEX(
    IR!$B$2:$E2026,                
    MATCH($A246, IR!$A$2:$A2026, 0), 
    MATCH(F$1, IR!$B$1:$E$1, 0) ), "")
</f>
        <v>0.00209</v>
      </c>
      <c r="G246" s="14"/>
      <c r="H246" s="9">
        <f t="array" ref="H246">IFERROR(
  INDEX(
    SR!$B$2:$D2026,            
    MATCH($A246, SR!$A$2:$A2026, 0),  
    MATCH(H$1, SR!$B$1:$D$1, 0) ), "")
</f>
        <v>0.00101</v>
      </c>
      <c r="I246" s="9">
        <f t="array" ref="I246">IFERROR(
  INDEX(
    SR!$B$2:$D2026,            
    MATCH($A246, SR!$A$2:$A2026, 0),  
    MATCH(I$1, SR!$B$1:$D$1, 0) ), "")
</f>
        <v>0.00146</v>
      </c>
      <c r="J246" s="9">
        <f t="array" ref="J246">IFERROR(
  INDEX(
    SR!$B$2:$D2026,            
    MATCH($A246, SR!$A$2:$A2026, 0),  
    MATCH(J$1, SR!$B$1:$D$1, 0) ), "")
</f>
        <v>0.002844</v>
      </c>
      <c r="K246" s="14"/>
      <c r="L246" s="9">
        <v>128.06</v>
      </c>
      <c r="M246" s="9">
        <v>24.72</v>
      </c>
      <c r="N246" s="9">
        <v>112.66</v>
      </c>
      <c r="O246" s="9">
        <v>133.38</v>
      </c>
      <c r="P246" s="9">
        <v>137.23</v>
      </c>
      <c r="Q246" s="9">
        <v>1424.3431</v>
      </c>
      <c r="R246" s="14"/>
      <c r="S246" s="12">
        <f t="shared" si="2"/>
        <v>0.002253896108</v>
      </c>
      <c r="T246" s="12">
        <f t="shared" si="3"/>
        <v>1.002253896</v>
      </c>
      <c r="U246" s="16">
        <f t="shared" si="7"/>
        <v>105.2175405</v>
      </c>
      <c r="V246" s="17"/>
      <c r="W246" s="12">
        <f t="array" ref="W246">SQRT(252/20) *  SQRT( SUMSQ( LN(U225:U244 / U224:U243) )  - (1/20) * ( SUM( LN(U225:U244 / U224:U243) ) ^ 2 ) )</f>
        <v>0.01916027965</v>
      </c>
      <c r="X246" s="9">
        <f t="shared" si="4"/>
        <v>1.5</v>
      </c>
      <c r="Y246" s="14"/>
      <c r="Z246" s="12">
        <f t="shared" si="5"/>
        <v>1.003380997</v>
      </c>
      <c r="AA246" s="16">
        <f t="shared" si="8"/>
        <v>107.8743708</v>
      </c>
      <c r="AB246" s="14"/>
      <c r="AC246" s="9">
        <f t="shared" si="6"/>
        <v>32.06</v>
      </c>
    </row>
    <row r="247">
      <c r="A247" s="8">
        <v>42081.0</v>
      </c>
      <c r="B247" s="14"/>
      <c r="C247" s="9">
        <f t="array" ref="C247">IFERROR(
  INDEX(
    IR!$B$2:$E2026,                
    MATCH($A247, IR!$A$2:$A2026, 0), 
    MATCH(C$1, IR!$B$1:$E$1, 0) ), "")
</f>
        <v>-0.00011</v>
      </c>
      <c r="D247" s="9">
        <f t="array" ref="D247">IFERROR(
  INDEX(
    IR!$B$2:$E2026,                
    MATCH($A247, IR!$A$2:$A2026, 0), 
    MATCH(D$1, IR!$B$1:$E$1, 0) ), "")
</f>
        <v>0.00025</v>
      </c>
      <c r="E247" s="9">
        <f t="array" ref="E247">IFERROR(
  INDEX(
    IR!$B$2:$E2026,                
    MATCH($A247, IR!$A$2:$A2026, 0), 
    MATCH(E$1, IR!$B$1:$E$1, 0) ), "")
</f>
        <v>0.00096</v>
      </c>
      <c r="F247" s="9">
        <f t="array" ref="F247">IFERROR(
  INDEX(
    IR!$B$2:$E2026,                
    MATCH($A247, IR!$A$2:$A2026, 0), 
    MATCH(F$1, IR!$B$1:$E$1, 0) ), "")
</f>
        <v>0.00212</v>
      </c>
      <c r="G247" s="14"/>
      <c r="H247" s="9">
        <f t="array" ref="H247">IFERROR(
  INDEX(
    SR!$B$2:$D2026,            
    MATCH($A247, SR!$A$2:$A2026, 0),  
    MATCH(H$1, SR!$B$1:$D$1, 0) ), "")
</f>
        <v>0.000895</v>
      </c>
      <c r="I247" s="9">
        <f t="array" ref="I247">IFERROR(
  INDEX(
    SR!$B$2:$D2026,            
    MATCH($A247, SR!$A$2:$A2026, 0),  
    MATCH(I$1, SR!$B$1:$D$1, 0) ), "")
</f>
        <v>0.001235</v>
      </c>
      <c r="J247" s="9">
        <f t="array" ref="J247">IFERROR(
  INDEX(
    SR!$B$2:$D2026,            
    MATCH($A247, SR!$A$2:$A2026, 0),  
    MATCH(J$1, SR!$B$1:$D$1, 0) ), "")
</f>
        <v>0.002435</v>
      </c>
      <c r="K247" s="14"/>
      <c r="L247" s="9">
        <v>128.13</v>
      </c>
      <c r="M247" s="9">
        <v>24.72</v>
      </c>
      <c r="N247" s="9">
        <v>112.69</v>
      </c>
      <c r="O247" s="9">
        <v>132.5</v>
      </c>
      <c r="P247" s="9">
        <v>136.88</v>
      </c>
      <c r="Q247" s="9">
        <v>1425.5502</v>
      </c>
      <c r="R247" s="14"/>
      <c r="S247" s="12">
        <f t="shared" si="2"/>
        <v>-0.001247377472</v>
      </c>
      <c r="T247" s="12">
        <f t="shared" si="3"/>
        <v>0.9987526225</v>
      </c>
      <c r="U247" s="16">
        <f t="shared" si="7"/>
        <v>105.0862946</v>
      </c>
      <c r="V247" s="17"/>
      <c r="W247" s="12">
        <f t="array" ref="W247">SQRT(252/20) *  SQRT( SUMSQ( LN(U226:U245 / U225:U244) )  - (1/20) * ( SUM( LN(U226:U245 / U225:U244) ) ^ 2 ) )</f>
        <v>0.01914701702</v>
      </c>
      <c r="X247" s="9">
        <f t="shared" si="4"/>
        <v>1.5</v>
      </c>
      <c r="Y247" s="14"/>
      <c r="Z247" s="12">
        <f t="shared" si="5"/>
        <v>0.9981291005</v>
      </c>
      <c r="AA247" s="16">
        <f t="shared" si="8"/>
        <v>107.6725487</v>
      </c>
      <c r="AB247" s="14"/>
      <c r="AC247" s="9">
        <f t="shared" si="6"/>
        <v>30.13</v>
      </c>
    </row>
    <row r="248">
      <c r="A248" s="8">
        <v>42082.0</v>
      </c>
      <c r="B248" s="14"/>
      <c r="C248" s="9">
        <f t="array" ref="C248">IFERROR(
  INDEX(
    IR!$B$2:$E2026,                
    MATCH($A248, IR!$A$2:$A2026, 0), 
    MATCH(C$1, IR!$B$1:$E$1, 0) ), "")
</f>
        <v>-0.00011</v>
      </c>
      <c r="D248" s="9">
        <f t="array" ref="D248">IFERROR(
  INDEX(
    IR!$B$2:$E2026,                
    MATCH($A248, IR!$A$2:$A2026, 0), 
    MATCH(D$1, IR!$B$1:$E$1, 0) ), "")
</f>
        <v>0.00024</v>
      </c>
      <c r="E248" s="9">
        <f t="array" ref="E248">IFERROR(
  INDEX(
    IR!$B$2:$E2026,                
    MATCH($A248, IR!$A$2:$A2026, 0), 
    MATCH(E$1, IR!$B$1:$E$1, 0) ), "")
</f>
        <v>0.00094</v>
      </c>
      <c r="F248" s="9">
        <f t="array" ref="F248">IFERROR(
  INDEX(
    IR!$B$2:$E2026,                
    MATCH($A248, IR!$A$2:$A2026, 0), 
    MATCH(F$1, IR!$B$1:$E$1, 0) ), "")
</f>
        <v>0.00209</v>
      </c>
      <c r="G248" s="14"/>
      <c r="H248" s="9">
        <f t="array" ref="H248">IFERROR(
  INDEX(
    SR!$B$2:$D2026,            
    MATCH($A248, SR!$A$2:$A2026, 0),  
    MATCH(H$1, SR!$B$1:$D$1, 0) ), "")
</f>
        <v>0.00094</v>
      </c>
      <c r="I248" s="9">
        <f t="array" ref="I248">IFERROR(
  INDEX(
    SR!$B$2:$D2026,            
    MATCH($A248, SR!$A$2:$A2026, 0),  
    MATCH(I$1, SR!$B$1:$D$1, 0) ), "")
</f>
        <v>0.001308</v>
      </c>
      <c r="J248" s="9">
        <f t="array" ref="J248">IFERROR(
  INDEX(
    SR!$B$2:$D2026,            
    MATCH($A248, SR!$A$2:$A2026, 0),  
    MATCH(J$1, SR!$B$1:$D$1, 0) ), "")
</f>
        <v>0.002495</v>
      </c>
      <c r="K248" s="14"/>
      <c r="L248" s="9">
        <v>128.25</v>
      </c>
      <c r="M248" s="9">
        <v>24.73</v>
      </c>
      <c r="N248" s="9">
        <v>112.71</v>
      </c>
      <c r="O248" s="9">
        <v>132.82001</v>
      </c>
      <c r="P248" s="9">
        <v>137.44</v>
      </c>
      <c r="Q248" s="9">
        <v>1427.6375</v>
      </c>
      <c r="R248" s="14"/>
      <c r="S248" s="12">
        <f t="shared" si="2"/>
        <v>0.001581031939</v>
      </c>
      <c r="T248" s="12">
        <f t="shared" si="3"/>
        <v>1.001581032</v>
      </c>
      <c r="U248" s="16">
        <f t="shared" si="7"/>
        <v>105.2524393</v>
      </c>
      <c r="V248" s="17"/>
      <c r="W248" s="12">
        <f t="array" ref="W248">SQRT(252/20) *  SQRT( SUMSQ( LN(U227:U246 / U226:U245) )  - (1/20) * ( SUM( LN(U227:U246 / U226:U245) ) ^ 2 ) )</f>
        <v>0.01988211364</v>
      </c>
      <c r="X248" s="9">
        <f t="shared" si="4"/>
        <v>1.5</v>
      </c>
      <c r="Y248" s="14"/>
      <c r="Z248" s="12">
        <f t="shared" si="5"/>
        <v>1.002371701</v>
      </c>
      <c r="AA248" s="16">
        <f t="shared" si="8"/>
        <v>107.9279157</v>
      </c>
      <c r="AB248" s="14"/>
      <c r="AC248" s="9">
        <f t="shared" si="6"/>
        <v>32.57</v>
      </c>
    </row>
    <row r="249">
      <c r="A249" s="8">
        <v>42083.0</v>
      </c>
      <c r="B249" s="14"/>
      <c r="C249" s="9">
        <f t="array" ref="C249">IFERROR(
  INDEX(
    IR!$B$2:$E2026,                
    MATCH($A249, IR!$A$2:$A2026, 0), 
    MATCH(C$1, IR!$B$1:$E$1, 0) ), "")
</f>
        <v>-0.00014</v>
      </c>
      <c r="D249" s="9">
        <f t="array" ref="D249">IFERROR(
  INDEX(
    IR!$B$2:$E2026,                
    MATCH($A249, IR!$A$2:$A2026, 0), 
    MATCH(D$1, IR!$B$1:$E$1, 0) ), "")
</f>
        <v>0.00021</v>
      </c>
      <c r="E249" s="9">
        <f t="array" ref="E249">IFERROR(
  INDEX(
    IR!$B$2:$E2026,                
    MATCH($A249, IR!$A$2:$A2026, 0), 
    MATCH(E$1, IR!$B$1:$E$1, 0) ), "")
</f>
        <v>0.00089</v>
      </c>
      <c r="F249" s="9">
        <f t="array" ref="F249">IFERROR(
  INDEX(
    IR!$B$2:$E2026,                
    MATCH($A249, IR!$A$2:$A2026, 0), 
    MATCH(F$1, IR!$B$1:$E$1, 0) ), "")
</f>
        <v>0.00205</v>
      </c>
      <c r="G249" s="14"/>
      <c r="H249" s="9">
        <f t="array" ref="H249">IFERROR(
  INDEX(
    SR!$B$2:$D2026,            
    MATCH($A249, SR!$A$2:$A2026, 0),  
    MATCH(H$1, SR!$B$1:$D$1, 0) ), "")
</f>
        <v>0.000897</v>
      </c>
      <c r="I249" s="9">
        <f t="array" ref="I249">IFERROR(
  INDEX(
    SR!$B$2:$D2026,            
    MATCH($A249, SR!$A$2:$A2026, 0),  
    MATCH(I$1, SR!$B$1:$D$1, 0) ), "")
</f>
        <v>0.00128</v>
      </c>
      <c r="J249" s="9">
        <f t="array" ref="J249">IFERROR(
  INDEX(
    SR!$B$2:$D2026,            
    MATCH($A249, SR!$A$2:$A2026, 0),  
    MATCH(J$1, SR!$B$1:$D$1, 0) ), "")
</f>
        <v>0.0025</v>
      </c>
      <c r="K249" s="14"/>
      <c r="L249" s="9">
        <v>128.78</v>
      </c>
      <c r="M249" s="9">
        <v>24.72</v>
      </c>
      <c r="N249" s="9">
        <v>112.66</v>
      </c>
      <c r="O249" s="9">
        <v>132.82001</v>
      </c>
      <c r="P249" s="9">
        <v>137.6</v>
      </c>
      <c r="Q249" s="9">
        <v>1430.0966</v>
      </c>
      <c r="R249" s="14"/>
      <c r="S249" s="12">
        <f t="shared" si="2"/>
        <v>0.001028295922</v>
      </c>
      <c r="T249" s="12">
        <f t="shared" si="3"/>
        <v>1.001028296</v>
      </c>
      <c r="U249" s="16">
        <f t="shared" si="7"/>
        <v>105.36067</v>
      </c>
      <c r="V249" s="17"/>
      <c r="W249" s="12">
        <f t="array" ref="W249">SQRT(252/20) *  SQRT( SUMSQ( LN(U228:U247 / U227:U246) )  - (1/20) * ( SUM( LN(U228:U247 / U227:U246) ) ^ 2 ) )</f>
        <v>0.02021830309</v>
      </c>
      <c r="X249" s="9">
        <f t="shared" si="4"/>
        <v>1.5</v>
      </c>
      <c r="Y249" s="14"/>
      <c r="Z249" s="12">
        <f t="shared" si="5"/>
        <v>1.001542597</v>
      </c>
      <c r="AA249" s="16">
        <f t="shared" si="8"/>
        <v>108.094405</v>
      </c>
      <c r="AB249" s="14"/>
      <c r="AC249" s="9">
        <f t="shared" si="6"/>
        <v>34.17</v>
      </c>
    </row>
    <row r="250">
      <c r="A250" s="8">
        <v>42086.0</v>
      </c>
      <c r="B250" s="14"/>
      <c r="C250" s="9">
        <f t="array" ref="C250">IFERROR(
  INDEX(
    IR!$B$2:$E2026,                
    MATCH($A250, IR!$A$2:$A2026, 0), 
    MATCH(C$1, IR!$B$1:$E$1, 0) ), "")
</f>
        <v>-0.00012</v>
      </c>
      <c r="D250" s="9">
        <f t="array" ref="D250">IFERROR(
  INDEX(
    IR!$B$2:$E2026,                
    MATCH($A250, IR!$A$2:$A2026, 0), 
    MATCH(D$1, IR!$B$1:$E$1, 0) ), "")
</f>
        <v>0.00022</v>
      </c>
      <c r="E250" s="9">
        <f t="array" ref="E250">IFERROR(
  INDEX(
    IR!$B$2:$E2026,                
    MATCH($A250, IR!$A$2:$A2026, 0), 
    MATCH(E$1, IR!$B$1:$E$1, 0) ), "")
</f>
        <v>0.00089</v>
      </c>
      <c r="F250" s="9">
        <f t="array" ref="F250">IFERROR(
  INDEX(
    IR!$B$2:$E2026,                
    MATCH($A250, IR!$A$2:$A2026, 0), 
    MATCH(F$1, IR!$B$1:$E$1, 0) ), "")
</f>
        <v>0.00203</v>
      </c>
      <c r="G250" s="14"/>
      <c r="H250" s="9">
        <f t="array" ref="H250">IFERROR(
  INDEX(
    SR!$B$2:$D2026,            
    MATCH($A250, SR!$A$2:$A2026, 0),  
    MATCH(H$1, SR!$B$1:$D$1, 0) ), "")
</f>
        <v>0.00098</v>
      </c>
      <c r="I250" s="9">
        <f t="array" ref="I250">IFERROR(
  INDEX(
    SR!$B$2:$D2026,            
    MATCH($A250, SR!$A$2:$A2026, 0),  
    MATCH(I$1, SR!$B$1:$D$1, 0) ), "")
</f>
        <v>0.001405</v>
      </c>
      <c r="J250" s="9">
        <f t="array" ref="J250">IFERROR(
  INDEX(
    SR!$B$2:$D2026,            
    MATCH($A250, SR!$A$2:$A2026, 0),  
    MATCH(J$1, SR!$B$1:$D$1, 0) ), "")
</f>
        <v>0.002811</v>
      </c>
      <c r="K250" s="14"/>
      <c r="L250" s="9">
        <v>128.5</v>
      </c>
      <c r="M250" s="9">
        <v>24.71</v>
      </c>
      <c r="N250" s="9">
        <v>112.71</v>
      </c>
      <c r="O250" s="9">
        <v>133.50999</v>
      </c>
      <c r="P250" s="9">
        <v>137.94</v>
      </c>
      <c r="Q250" s="9">
        <v>1436.4323</v>
      </c>
      <c r="R250" s="14"/>
      <c r="S250" s="12">
        <f t="shared" si="2"/>
        <v>0.001659957624</v>
      </c>
      <c r="T250" s="12">
        <f t="shared" si="3"/>
        <v>1.001659958</v>
      </c>
      <c r="U250" s="16">
        <f t="shared" si="7"/>
        <v>105.5355642</v>
      </c>
      <c r="V250" s="17"/>
      <c r="W250" s="12">
        <f t="array" ref="W250">SQRT(252/20) *  SQRT( SUMSQ( LN(U229:U248 / U228:U247) )  - (1/20) * ( SUM( LN(U229:U248 / U228:U247) ) ^ 2 ) )</f>
        <v>0.02032297953</v>
      </c>
      <c r="X250" s="9">
        <f t="shared" si="4"/>
        <v>1.5</v>
      </c>
      <c r="Y250" s="14"/>
      <c r="Z250" s="12">
        <f t="shared" si="5"/>
        <v>1.00249052</v>
      </c>
      <c r="AA250" s="16">
        <f t="shared" si="8"/>
        <v>108.3636162</v>
      </c>
      <c r="AB250" s="14"/>
      <c r="AC250" s="9">
        <f t="shared" si="6"/>
        <v>36.74</v>
      </c>
    </row>
    <row r="251">
      <c r="A251" s="8">
        <v>42087.0</v>
      </c>
      <c r="B251" s="14"/>
      <c r="C251" s="9">
        <f t="array" ref="C251">IFERROR(
  INDEX(
    IR!$B$2:$E2026,                
    MATCH($A251, IR!$A$2:$A2026, 0), 
    MATCH(C$1, IR!$B$1:$E$1, 0) ), "")
</f>
        <v>-0.00012</v>
      </c>
      <c r="D251" s="9">
        <f t="array" ref="D251">IFERROR(
  INDEX(
    IR!$B$2:$E2026,                
    MATCH($A251, IR!$A$2:$A2026, 0), 
    MATCH(D$1, IR!$B$1:$E$1, 0) ), "")
</f>
        <v>0.00021</v>
      </c>
      <c r="E251" s="9">
        <f t="array" ref="E251">IFERROR(
  INDEX(
    IR!$B$2:$E2026,                
    MATCH($A251, IR!$A$2:$A2026, 0), 
    MATCH(E$1, IR!$B$1:$E$1, 0) ), "")
</f>
        <v>0.00089</v>
      </c>
      <c r="F251" s="9">
        <f t="array" ref="F251">IFERROR(
  INDEX(
    IR!$B$2:$E2026,                
    MATCH($A251, IR!$A$2:$A2026, 0), 
    MATCH(F$1, IR!$B$1:$E$1, 0) ), "")
</f>
        <v>0.00202</v>
      </c>
      <c r="G251" s="14"/>
      <c r="H251" s="9">
        <f t="array" ref="H251">IFERROR(
  INDEX(
    SR!$B$2:$D2026,            
    MATCH($A251, SR!$A$2:$A2026, 0),  
    MATCH(H$1, SR!$B$1:$D$1, 0) ), "")
</f>
        <v>0.000995</v>
      </c>
      <c r="I251" s="9">
        <f t="array" ref="I251">IFERROR(
  INDEX(
    SR!$B$2:$D2026,            
    MATCH($A251, SR!$A$2:$A2026, 0),  
    MATCH(I$1, SR!$B$1:$D$1, 0) ), "")
</f>
        <v>0.001458</v>
      </c>
      <c r="J251" s="9">
        <f t="array" ref="J251">IFERROR(
  INDEX(
    SR!$B$2:$D2026,            
    MATCH($A251, SR!$A$2:$A2026, 0),  
    MATCH(J$1, SR!$B$1:$D$1, 0) ), "")
</f>
        <v>0.002784</v>
      </c>
      <c r="K251" s="14"/>
      <c r="L251" s="9">
        <v>128.85001</v>
      </c>
      <c r="M251" s="9">
        <v>24.72</v>
      </c>
      <c r="N251" s="9">
        <v>112.76</v>
      </c>
      <c r="O251" s="9">
        <v>132.46001</v>
      </c>
      <c r="P251" s="9">
        <v>137.52</v>
      </c>
      <c r="Q251" s="9">
        <v>1433.764</v>
      </c>
      <c r="R251" s="14"/>
      <c r="S251" s="12">
        <f t="shared" si="2"/>
        <v>-0.001532022225</v>
      </c>
      <c r="T251" s="12">
        <f t="shared" si="3"/>
        <v>0.9984679778</v>
      </c>
      <c r="U251" s="16">
        <f t="shared" si="7"/>
        <v>105.3738814</v>
      </c>
      <c r="V251" s="17"/>
      <c r="W251" s="12">
        <f t="array" ref="W251">SQRT(252/20) *  SQRT( SUMSQ( LN(U230:U249 / U229:U248) )  - (1/20) * ( SUM( LN(U230:U249 / U229:U248) ) ^ 2 ) )</f>
        <v>0.02031689839</v>
      </c>
      <c r="X251" s="9">
        <f t="shared" si="4"/>
        <v>1.5</v>
      </c>
      <c r="Y251" s="14"/>
      <c r="Z251" s="12">
        <f t="shared" si="5"/>
        <v>0.9977021333</v>
      </c>
      <c r="AA251" s="16">
        <f t="shared" si="8"/>
        <v>108.1146111</v>
      </c>
      <c r="AB251" s="14"/>
      <c r="AC251" s="9">
        <f t="shared" si="6"/>
        <v>34.36</v>
      </c>
    </row>
    <row r="252">
      <c r="A252" s="8">
        <v>42088.0</v>
      </c>
      <c r="B252" s="14"/>
      <c r="C252" s="9">
        <f t="array" ref="C252">IFERROR(
  INDEX(
    IR!$B$2:$E2026,                
    MATCH($A252, IR!$A$2:$A2026, 0), 
    MATCH(C$1, IR!$B$1:$E$1, 0) ), "")
</f>
        <v>-0.00012</v>
      </c>
      <c r="D252" s="9">
        <f t="array" ref="D252">IFERROR(
  INDEX(
    IR!$B$2:$E2026,                
    MATCH($A252, IR!$A$2:$A2026, 0), 
    MATCH(D$1, IR!$B$1:$E$1, 0) ), "")
</f>
        <v>0.00021</v>
      </c>
      <c r="E252" s="9">
        <f t="array" ref="E252">IFERROR(
  INDEX(
    IR!$B$2:$E2026,                
    MATCH($A252, IR!$A$2:$A2026, 0), 
    MATCH(E$1, IR!$B$1:$E$1, 0) ), "")
</f>
        <v>0.00088</v>
      </c>
      <c r="F252" s="9">
        <f t="array" ref="F252">IFERROR(
  INDEX(
    IR!$B$2:$E2026,                
    MATCH($A252, IR!$A$2:$A2026, 0), 
    MATCH(F$1, IR!$B$1:$E$1, 0) ), "")
</f>
        <v>0.00201</v>
      </c>
      <c r="G252" s="14"/>
      <c r="H252" s="9">
        <f t="array" ref="H252">IFERROR(
  INDEX(
    SR!$B$2:$D2026,            
    MATCH($A252, SR!$A$2:$A2026, 0),  
    MATCH(H$1, SR!$B$1:$D$1, 0) ), "")
</f>
        <v>0.000905</v>
      </c>
      <c r="I252" s="9">
        <f t="array" ref="I252">IFERROR(
  INDEX(
    SR!$B$2:$D2026,            
    MATCH($A252, SR!$A$2:$A2026, 0),  
    MATCH(I$1, SR!$B$1:$D$1, 0) ), "")
</f>
        <v>0.00131</v>
      </c>
      <c r="J252" s="9">
        <f t="array" ref="J252">IFERROR(
  INDEX(
    SR!$B$2:$D2026,            
    MATCH($A252, SR!$A$2:$A2026, 0),  
    MATCH(J$1, SR!$B$1:$D$1, 0) ), "")
</f>
        <v>0.002695</v>
      </c>
      <c r="K252" s="14"/>
      <c r="L252" s="9">
        <v>128.46001</v>
      </c>
      <c r="M252" s="9">
        <v>24.71</v>
      </c>
      <c r="N252" s="9">
        <v>112.74</v>
      </c>
      <c r="O252" s="9">
        <v>132.92</v>
      </c>
      <c r="P252" s="9">
        <v>137.59</v>
      </c>
      <c r="Q252" s="9">
        <v>1433.8949</v>
      </c>
      <c r="R252" s="14"/>
      <c r="S252" s="12">
        <f t="shared" si="2"/>
        <v>0.00007736351936</v>
      </c>
      <c r="T252" s="12">
        <f t="shared" si="3"/>
        <v>1.000077364</v>
      </c>
      <c r="U252" s="16">
        <f t="shared" si="7"/>
        <v>105.3820335</v>
      </c>
      <c r="V252" s="17"/>
      <c r="W252" s="12">
        <f t="array" ref="W252">SQRT(252/20) *  SQRT( SUMSQ( LN(U231:U250 / U230:U249) )  - (1/20) * ( SUM( LN(U231:U250 / U230:U249) ) ^ 2 ) )</f>
        <v>0.02031485269</v>
      </c>
      <c r="X252" s="9">
        <f t="shared" si="4"/>
        <v>1.5</v>
      </c>
      <c r="Y252" s="14"/>
      <c r="Z252" s="12">
        <f t="shared" si="5"/>
        <v>1.000116212</v>
      </c>
      <c r="AA252" s="16">
        <f t="shared" si="8"/>
        <v>108.1271753</v>
      </c>
      <c r="AB252" s="14"/>
      <c r="AC252" s="9">
        <f t="shared" si="6"/>
        <v>34.48</v>
      </c>
    </row>
    <row r="253">
      <c r="A253" s="8">
        <v>42089.0</v>
      </c>
      <c r="B253" s="14"/>
      <c r="C253" s="9">
        <f t="array" ref="C253">IFERROR(
  INDEX(
    IR!$B$2:$E2026,                
    MATCH($A253, IR!$A$2:$A2026, 0), 
    MATCH(C$1, IR!$B$1:$E$1, 0) ), "")
</f>
        <v>-0.00012</v>
      </c>
      <c r="D253" s="9">
        <f t="array" ref="D253">IFERROR(
  INDEX(
    IR!$B$2:$E2026,                
    MATCH($A253, IR!$A$2:$A2026, 0), 
    MATCH(D$1, IR!$B$1:$E$1, 0) ), "")
</f>
        <v>0.00021</v>
      </c>
      <c r="E253" s="9">
        <f t="array" ref="E253">IFERROR(
  INDEX(
    IR!$B$2:$E2026,                
    MATCH($A253, IR!$A$2:$A2026, 0), 
    MATCH(E$1, IR!$B$1:$E$1, 0) ), "")
</f>
        <v>0.00089</v>
      </c>
      <c r="F253" s="9">
        <f t="array" ref="F253">IFERROR(
  INDEX(
    IR!$B$2:$E2026,                
    MATCH($A253, IR!$A$2:$A2026, 0), 
    MATCH(F$1, IR!$B$1:$E$1, 0) ), "")
</f>
        <v>0.00201</v>
      </c>
      <c r="G253" s="14"/>
      <c r="H253" s="9">
        <f t="array" ref="H253">IFERROR(
  INDEX(
    SR!$B$2:$D2026,            
    MATCH($A253, SR!$A$2:$A2026, 0),  
    MATCH(H$1, SR!$B$1:$D$1, 0) ), "")
</f>
        <v>0.00089</v>
      </c>
      <c r="I253" s="9">
        <f t="array" ref="I253">IFERROR(
  INDEX(
    SR!$B$2:$D2026,            
    MATCH($A253, SR!$A$2:$A2026, 0),  
    MATCH(I$1, SR!$B$1:$D$1, 0) ), "")
</f>
        <v>0.001285</v>
      </c>
      <c r="J253" s="9">
        <f t="array" ref="J253">IFERROR(
  INDEX(
    SR!$B$2:$D2026,            
    MATCH($A253, SR!$A$2:$A2026, 0),  
    MATCH(J$1, SR!$B$1:$D$1, 0) ), "")
</f>
        <v>0.002555</v>
      </c>
      <c r="K253" s="14"/>
      <c r="L253" s="9">
        <v>128.05</v>
      </c>
      <c r="M253" s="9">
        <v>24.71</v>
      </c>
      <c r="N253" s="9">
        <v>112.73</v>
      </c>
      <c r="O253" s="9">
        <v>132.41</v>
      </c>
      <c r="P253" s="9">
        <v>136.97</v>
      </c>
      <c r="Q253" s="9">
        <v>1423.7943</v>
      </c>
      <c r="R253" s="14"/>
      <c r="S253" s="12">
        <f t="shared" si="2"/>
        <v>-0.003110732983</v>
      </c>
      <c r="T253" s="12">
        <f t="shared" si="3"/>
        <v>0.996889267</v>
      </c>
      <c r="U253" s="16">
        <f t="shared" si="7"/>
        <v>105.0542181</v>
      </c>
      <c r="V253" s="17"/>
      <c r="W253" s="12">
        <f t="array" ref="W253">SQRT(252/20) *  SQRT( SUMSQ( LN(U232:U251 / U231:U250) )  - (1/20) * ( SUM( LN(U232:U251 / U231:U250) ) ^ 2 ) )</f>
        <v>0.02175992581</v>
      </c>
      <c r="X253" s="9">
        <f t="shared" si="4"/>
        <v>1.5</v>
      </c>
      <c r="Y253" s="14"/>
      <c r="Z253" s="12">
        <f t="shared" si="5"/>
        <v>0.9953340672</v>
      </c>
      <c r="AA253" s="16">
        <f t="shared" si="8"/>
        <v>107.6226612</v>
      </c>
      <c r="AB253" s="14"/>
      <c r="AC253" s="9">
        <f t="shared" si="6"/>
        <v>29.65</v>
      </c>
    </row>
    <row r="254">
      <c r="A254" s="8">
        <v>42090.0</v>
      </c>
      <c r="B254" s="14"/>
      <c r="C254" s="9">
        <f t="array" ref="C254">IFERROR(
  INDEX(
    IR!$B$2:$E2026,                
    MATCH($A254, IR!$A$2:$A2026, 0), 
    MATCH(C$1, IR!$B$1:$E$1, 0) ), "")
</f>
        <v>-0.00012</v>
      </c>
      <c r="D254" s="9">
        <f t="array" ref="D254">IFERROR(
  INDEX(
    IR!$B$2:$E2026,                
    MATCH($A254, IR!$A$2:$A2026, 0), 
    MATCH(D$1, IR!$B$1:$E$1, 0) ), "")
</f>
        <v>0.00021</v>
      </c>
      <c r="E254" s="9">
        <f t="array" ref="E254">IFERROR(
  INDEX(
    IR!$B$2:$E2026,                
    MATCH($A254, IR!$A$2:$A2026, 0), 
    MATCH(E$1, IR!$B$1:$E$1, 0) ), "")
</f>
        <v>0.00088</v>
      </c>
      <c r="F254" s="9">
        <f t="array" ref="F254">IFERROR(
  INDEX(
    IR!$B$2:$E2026,                
    MATCH($A254, IR!$A$2:$A2026, 0), 
    MATCH(F$1, IR!$B$1:$E$1, 0) ), "")
</f>
        <v>0.00199</v>
      </c>
      <c r="G254" s="14"/>
      <c r="H254" s="9">
        <f t="array" ref="H254">IFERROR(
  INDEX(
    SR!$B$2:$D2026,            
    MATCH($A254, SR!$A$2:$A2026, 0),  
    MATCH(H$1, SR!$B$1:$D$1, 0) ), "")
</f>
        <v>0.00093</v>
      </c>
      <c r="I254" s="9">
        <f t="array" ref="I254">IFERROR(
  INDEX(
    SR!$B$2:$D2026,            
    MATCH($A254, SR!$A$2:$A2026, 0),  
    MATCH(I$1, SR!$B$1:$D$1, 0) ), "")
</f>
        <v>0.001308</v>
      </c>
      <c r="J254" s="9">
        <f t="array" ref="J254">IFERROR(
  INDEX(
    SR!$B$2:$D2026,            
    MATCH($A254, SR!$A$2:$A2026, 0),  
    MATCH(J$1, SR!$B$1:$D$1, 0) ), "")
</f>
        <v>0.002613</v>
      </c>
      <c r="K254" s="14"/>
      <c r="L254" s="9">
        <v>128.24001</v>
      </c>
      <c r="M254" s="9">
        <v>24.7</v>
      </c>
      <c r="N254" s="9">
        <v>112.78</v>
      </c>
      <c r="O254" s="9">
        <v>132.25999</v>
      </c>
      <c r="P254" s="9">
        <v>136.77</v>
      </c>
      <c r="Q254" s="9">
        <v>1418.8014</v>
      </c>
      <c r="R254" s="14"/>
      <c r="S254" s="12">
        <f t="shared" si="2"/>
        <v>-0.0007629012178</v>
      </c>
      <c r="T254" s="12">
        <f t="shared" si="3"/>
        <v>0.9992370988</v>
      </c>
      <c r="U254" s="16">
        <f t="shared" si="7"/>
        <v>104.9740722</v>
      </c>
      <c r="V254" s="17"/>
      <c r="W254" s="12">
        <f t="array" ref="W254">SQRT(252/20) *  SQRT( SUMSQ( LN(U233:U252 / U232:U251) )  - (1/20) * ( SUM( LN(U233:U252 / U232:U251) ) ^ 2 ) )</f>
        <v>0.02172777813</v>
      </c>
      <c r="X254" s="9">
        <f t="shared" si="4"/>
        <v>1.5</v>
      </c>
      <c r="Y254" s="14"/>
      <c r="Z254" s="12">
        <f t="shared" si="5"/>
        <v>0.9988558148</v>
      </c>
      <c r="AA254" s="16">
        <f t="shared" si="8"/>
        <v>107.4995209</v>
      </c>
      <c r="AB254" s="14"/>
      <c r="AC254" s="9">
        <f t="shared" si="6"/>
        <v>28.48</v>
      </c>
    </row>
    <row r="255">
      <c r="A255" s="8">
        <v>42093.0</v>
      </c>
      <c r="B255" s="14"/>
      <c r="C255" s="9">
        <f t="array" ref="C255">IFERROR(
  INDEX(
    IR!$B$2:$E2026,                
    MATCH($A255, IR!$A$2:$A2026, 0), 
    MATCH(C$1, IR!$B$1:$E$1, 0) ), "")
</f>
        <v>-0.00014</v>
      </c>
      <c r="D255" s="9">
        <f t="array" ref="D255">IFERROR(
  INDEX(
    IR!$B$2:$E2026,                
    MATCH($A255, IR!$A$2:$A2026, 0), 
    MATCH(D$1, IR!$B$1:$E$1, 0) ), "")
</f>
        <v>0.00018</v>
      </c>
      <c r="E255" s="9">
        <f t="array" ref="E255">IFERROR(
  INDEX(
    IR!$B$2:$E2026,                
    MATCH($A255, IR!$A$2:$A2026, 0), 
    MATCH(E$1, IR!$B$1:$E$1, 0) ), "")
</f>
        <v>0.00087</v>
      </c>
      <c r="F255" s="9">
        <f t="array" ref="F255">IFERROR(
  INDEX(
    IR!$B$2:$E2026,                
    MATCH($A255, IR!$A$2:$A2026, 0), 
    MATCH(F$1, IR!$B$1:$E$1, 0) ), "")
</f>
        <v>0.00198</v>
      </c>
      <c r="G255" s="14"/>
      <c r="H255" s="9">
        <f t="array" ref="H255">IFERROR(
  INDEX(
    SR!$B$2:$D2026,            
    MATCH($A255, SR!$A$2:$A2026, 0),  
    MATCH(H$1, SR!$B$1:$D$1, 0) ), "")
</f>
        <v>0.000885</v>
      </c>
      <c r="I255" s="9">
        <f t="array" ref="I255">IFERROR(
  INDEX(
    SR!$B$2:$D2026,            
    MATCH($A255, SR!$A$2:$A2026, 0),  
    MATCH(I$1, SR!$B$1:$D$1, 0) ), "")
</f>
        <v>0.001309</v>
      </c>
      <c r="J255" s="9">
        <f t="array" ref="J255">IFERROR(
  INDEX(
    SR!$B$2:$D2026,            
    MATCH($A255, SR!$A$2:$A2026, 0),  
    MATCH(J$1, SR!$B$1:$D$1, 0) ), "")
</f>
        <v>0.00268</v>
      </c>
      <c r="K255" s="14"/>
      <c r="L255" s="9">
        <v>128.77</v>
      </c>
      <c r="M255" s="9">
        <v>24.71</v>
      </c>
      <c r="N255" s="9">
        <v>112.79</v>
      </c>
      <c r="O255" s="9">
        <v>132.31</v>
      </c>
      <c r="P255" s="9">
        <v>136.9</v>
      </c>
      <c r="Q255" s="9">
        <v>1424.9048</v>
      </c>
      <c r="R255" s="14"/>
      <c r="S255" s="12">
        <f t="shared" si="2"/>
        <v>0.001709203711</v>
      </c>
      <c r="T255" s="12">
        <f t="shared" si="3"/>
        <v>1.001709204</v>
      </c>
      <c r="U255" s="16">
        <f t="shared" si="7"/>
        <v>105.1534942</v>
      </c>
      <c r="V255" s="17"/>
      <c r="W255" s="12">
        <f t="array" ref="W255">SQRT(252/20) *  SQRT( SUMSQ( LN(U234:U253 / U233:U252) )  - (1/20) * ( SUM( LN(U234:U253 / U233:U252) ) ^ 2 ) )</f>
        <v>0.02511215006</v>
      </c>
      <c r="X255" s="9">
        <f t="shared" si="4"/>
        <v>1.5</v>
      </c>
      <c r="Y255" s="14"/>
      <c r="Z255" s="12">
        <f t="shared" si="5"/>
        <v>1.002564306</v>
      </c>
      <c r="AA255" s="16">
        <f t="shared" si="8"/>
        <v>107.7751825</v>
      </c>
      <c r="AB255" s="14"/>
      <c r="AC255" s="9">
        <f t="shared" si="6"/>
        <v>31.11</v>
      </c>
    </row>
    <row r="256">
      <c r="A256" s="8">
        <v>42094.0</v>
      </c>
      <c r="B256" s="14"/>
      <c r="C256" s="9">
        <f t="array" ref="C256">IFERROR(
  INDEX(
    IR!$B$2:$E2026,                
    MATCH($A256, IR!$A$2:$A2026, 0), 
    MATCH(C$1, IR!$B$1:$E$1, 0) ), "")
</f>
        <v>-0.00015</v>
      </c>
      <c r="D256" s="9">
        <f t="array" ref="D256">IFERROR(
  INDEX(
    IR!$B$2:$E2026,                
    MATCH($A256, IR!$A$2:$A2026, 0), 
    MATCH(D$1, IR!$B$1:$E$1, 0) ), "")
</f>
        <v>0.00019</v>
      </c>
      <c r="E256" s="9">
        <f t="array" ref="E256">IFERROR(
  INDEX(
    IR!$B$2:$E2026,                
    MATCH($A256, IR!$A$2:$A2026, 0), 
    MATCH(E$1, IR!$B$1:$E$1, 0) ), "")
</f>
        <v>0.00087</v>
      </c>
      <c r="F256" s="9">
        <f t="array" ref="F256">IFERROR(
  INDEX(
    IR!$B$2:$E2026,                
    MATCH($A256, IR!$A$2:$A2026, 0), 
    MATCH(F$1, IR!$B$1:$E$1, 0) ), "")
</f>
        <v>0.00198</v>
      </c>
      <c r="G256" s="14"/>
      <c r="H256" s="9">
        <f t="array" ref="H256">IFERROR(
  INDEX(
    SR!$B$2:$D2026,            
    MATCH($A256, SR!$A$2:$A2026, 0),  
    MATCH(H$1, SR!$B$1:$D$1, 0) ), "")
</f>
        <v>0.000827</v>
      </c>
      <c r="I256" s="9">
        <f t="array" ref="I256">IFERROR(
  INDEX(
    SR!$B$2:$D2026,            
    MATCH($A256, SR!$A$2:$A2026, 0),  
    MATCH(I$1, SR!$B$1:$D$1, 0) ), "")
</f>
        <v>0.00121</v>
      </c>
      <c r="J256" s="9">
        <f t="array" ref="J256">IFERROR(
  INDEX(
    SR!$B$2:$D2026,            
    MATCH($A256, SR!$A$2:$A2026, 0),  
    MATCH(J$1, SR!$B$1:$D$1, 0) ), "")
</f>
        <v>0.002445</v>
      </c>
      <c r="K256" s="14"/>
      <c r="L256" s="9">
        <v>128.46001</v>
      </c>
      <c r="M256" s="9">
        <v>24.72</v>
      </c>
      <c r="N256" s="9">
        <v>112.77</v>
      </c>
      <c r="O256" s="9">
        <v>133.23</v>
      </c>
      <c r="P256" s="9">
        <v>137.53</v>
      </c>
      <c r="Q256" s="9">
        <v>1429.6718</v>
      </c>
      <c r="R256" s="14"/>
      <c r="S256" s="12">
        <f t="shared" si="2"/>
        <v>0.00211962172</v>
      </c>
      <c r="T256" s="12">
        <f t="shared" si="3"/>
        <v>1.002119622</v>
      </c>
      <c r="U256" s="16">
        <f t="shared" si="7"/>
        <v>105.3763799</v>
      </c>
      <c r="V256" s="17"/>
      <c r="W256" s="12">
        <f t="array" ref="W256">SQRT(252/20) *  SQRT( SUMSQ( LN(U235:U254 / U234:U253) )  - (1/20) * ( SUM( LN(U235:U254 / U234:U253) ) ^ 2 ) )</f>
        <v>0.02471206944</v>
      </c>
      <c r="X256" s="9">
        <f t="shared" si="4"/>
        <v>1.5</v>
      </c>
      <c r="Y256" s="14"/>
      <c r="Z256" s="12">
        <f t="shared" si="5"/>
        <v>1.003179627</v>
      </c>
      <c r="AA256" s="16">
        <f t="shared" si="8"/>
        <v>108.1178674</v>
      </c>
      <c r="AB256" s="14"/>
      <c r="AC256" s="9">
        <f t="shared" si="6"/>
        <v>34.39</v>
      </c>
    </row>
    <row r="257">
      <c r="A257" s="8">
        <v>42095.0</v>
      </c>
      <c r="B257" s="14"/>
      <c r="C257" s="9">
        <f t="array" ref="C257">IFERROR(
  INDEX(
    IR!$B$2:$E2026,                
    MATCH($A257, IR!$A$2:$A2026, 0), 
    MATCH(C$1, IR!$B$1:$E$1, 0) ), "")
</f>
        <v>-0.00017</v>
      </c>
      <c r="D257" s="9">
        <f t="array" ref="D257">IFERROR(
  INDEX(
    IR!$B$2:$E2026,                
    MATCH($A257, IR!$A$2:$A2026, 0), 
    MATCH(D$1, IR!$B$1:$E$1, 0) ), "")
</f>
        <v>0.00018</v>
      </c>
      <c r="E257" s="9">
        <f t="array" ref="E257">IFERROR(
  INDEX(
    IR!$B$2:$E2026,                
    MATCH($A257, IR!$A$2:$A2026, 0), 
    MATCH(E$1, IR!$B$1:$E$1, 0) ), "")
</f>
        <v>0.00088</v>
      </c>
      <c r="F257" s="9">
        <f t="array" ref="F257">IFERROR(
  INDEX(
    IR!$B$2:$E2026,                
    MATCH($A257, IR!$A$2:$A2026, 0), 
    MATCH(F$1, IR!$B$1:$E$1, 0) ), "")
</f>
        <v>0.00196</v>
      </c>
      <c r="G257" s="14"/>
      <c r="H257" s="9">
        <f t="array" ref="H257">IFERROR(
  INDEX(
    SR!$B$2:$D2026,            
    MATCH($A257, SR!$A$2:$A2026, 0),  
    MATCH(H$1, SR!$B$1:$D$1, 0) ), "")
</f>
        <v>0.000852</v>
      </c>
      <c r="I257" s="9">
        <f t="array" ref="I257">IFERROR(
  INDEX(
    SR!$B$2:$D2026,            
    MATCH($A257, SR!$A$2:$A2026, 0),  
    MATCH(I$1, SR!$B$1:$D$1, 0) ), "")
</f>
        <v>0.001235</v>
      </c>
      <c r="J257" s="9">
        <f t="array" ref="J257">IFERROR(
  INDEX(
    SR!$B$2:$D2026,            
    MATCH($A257, SR!$A$2:$A2026, 0),  
    MATCH(J$1, SR!$B$1:$D$1, 0) ), "")
</f>
        <v>0.0025</v>
      </c>
      <c r="K257" s="14"/>
      <c r="L257" s="9">
        <v>128.74001</v>
      </c>
      <c r="M257" s="9">
        <v>24.72</v>
      </c>
      <c r="N257" s="9">
        <v>112.77</v>
      </c>
      <c r="O257" s="9">
        <v>132.95</v>
      </c>
      <c r="P257" s="9">
        <v>137.33</v>
      </c>
      <c r="Q257" s="9">
        <v>1426.8221</v>
      </c>
      <c r="R257" s="14"/>
      <c r="S257" s="12">
        <f t="shared" si="2"/>
        <v>-0.0005615488547</v>
      </c>
      <c r="T257" s="12">
        <f t="shared" si="3"/>
        <v>0.9994384511</v>
      </c>
      <c r="U257" s="16">
        <f t="shared" si="7"/>
        <v>105.3172059</v>
      </c>
      <c r="V257" s="17"/>
      <c r="W257" s="12">
        <f t="array" ref="W257">SQRT(252/20) *  SQRT( SUMSQ( LN(U236:U255 / U235:U254) )  - (1/20) * ( SUM( LN(U236:U255 / U235:U254) ) ^ 2 ) )</f>
        <v>0.02521743441</v>
      </c>
      <c r="X257" s="9">
        <f t="shared" si="4"/>
        <v>1.5</v>
      </c>
      <c r="Y257" s="14"/>
      <c r="Z257" s="12">
        <f t="shared" si="5"/>
        <v>0.9991578851</v>
      </c>
      <c r="AA257" s="16">
        <f t="shared" si="8"/>
        <v>108.0268197</v>
      </c>
      <c r="AB257" s="14"/>
      <c r="AC257" s="9">
        <f t="shared" si="6"/>
        <v>33.52</v>
      </c>
    </row>
    <row r="258">
      <c r="A258" s="8">
        <v>42096.0</v>
      </c>
      <c r="B258" s="14"/>
      <c r="C258" s="9">
        <f t="array" ref="C258">IFERROR(
  INDEX(
    IR!$B$2:$E2026,                
    MATCH($A258, IR!$A$2:$A2026, 0), 
    MATCH(C$1, IR!$B$1:$E$1, 0) ), "")
</f>
        <v>-0.00019</v>
      </c>
      <c r="D258" s="9">
        <f t="array" ref="D258">IFERROR(
  INDEX(
    IR!$B$2:$E2026,                
    MATCH($A258, IR!$A$2:$A2026, 0), 
    MATCH(D$1, IR!$B$1:$E$1, 0) ), "")
</f>
        <v>0.00018</v>
      </c>
      <c r="E258" s="9">
        <f t="array" ref="E258">IFERROR(
  INDEX(
    IR!$B$2:$E2026,                
    MATCH($A258, IR!$A$2:$A2026, 0), 
    MATCH(E$1, IR!$B$1:$E$1, 0) ), "")
</f>
        <v>0.00086</v>
      </c>
      <c r="F258" s="9">
        <f t="array" ref="F258">IFERROR(
  INDEX(
    IR!$B$2:$E2026,                
    MATCH($A258, IR!$A$2:$A2026, 0), 
    MATCH(F$1, IR!$B$1:$E$1, 0) ), "")
</f>
        <v>0.00195</v>
      </c>
      <c r="G258" s="14"/>
      <c r="H258" s="9">
        <f t="array" ref="H258">IFERROR(
  INDEX(
    SR!$B$2:$D2026,            
    MATCH($A258, SR!$A$2:$A2026, 0),  
    MATCH(H$1, SR!$B$1:$D$1, 0) ), "")
</f>
        <v>0.000913</v>
      </c>
      <c r="I258" s="9">
        <f t="array" ref="I258">IFERROR(
  INDEX(
    SR!$B$2:$D2026,            
    MATCH($A258, SR!$A$2:$A2026, 0),  
    MATCH(I$1, SR!$B$1:$D$1, 0) ), "")
</f>
        <v>0.001305</v>
      </c>
      <c r="J258" s="9">
        <f t="array" ref="J258">IFERROR(
  INDEX(
    SR!$B$2:$D2026,            
    MATCH($A258, SR!$A$2:$A2026, 0),  
    MATCH(J$1, SR!$B$1:$D$1, 0) ), "")
</f>
        <v>0.00264</v>
      </c>
      <c r="K258" s="14"/>
      <c r="L258" s="9">
        <v>128.84</v>
      </c>
      <c r="M258" s="9">
        <v>24.7</v>
      </c>
      <c r="N258" s="9">
        <v>112.81</v>
      </c>
      <c r="O258" s="9">
        <v>133.14999</v>
      </c>
      <c r="P258" s="9">
        <v>137.34</v>
      </c>
      <c r="Q258" s="9">
        <v>1429.4659</v>
      </c>
      <c r="R258" s="14"/>
      <c r="S258" s="12">
        <f t="shared" si="2"/>
        <v>0.0006253218693</v>
      </c>
      <c r="T258" s="12">
        <f t="shared" si="3"/>
        <v>1.000625322</v>
      </c>
      <c r="U258" s="16">
        <f t="shared" si="7"/>
        <v>105.383063</v>
      </c>
      <c r="V258" s="17"/>
      <c r="W258" s="12">
        <f t="array" ref="W258">SQRT(252/20) *  SQRT( SUMSQ( LN(U237:U256 / U236:U255) )  - (1/20) * ( SUM( LN(U237:U256 / U236:U255) ) ^ 2 ) )</f>
        <v>0.02589349594</v>
      </c>
      <c r="X258" s="9">
        <f t="shared" si="4"/>
        <v>1.5</v>
      </c>
      <c r="Y258" s="14"/>
      <c r="Z258" s="12">
        <f t="shared" si="5"/>
        <v>1.000938219</v>
      </c>
      <c r="AA258" s="16">
        <f t="shared" si="8"/>
        <v>108.1281725</v>
      </c>
      <c r="AB258" s="14"/>
      <c r="AC258" s="9">
        <f t="shared" si="6"/>
        <v>34.49</v>
      </c>
    </row>
    <row r="259">
      <c r="A259" s="8">
        <v>42101.0</v>
      </c>
      <c r="B259" s="14"/>
      <c r="C259" s="9">
        <f t="array" ref="C259">IFERROR(
  INDEX(
    IR!$B$2:$E2026,                
    MATCH($A259, IR!$A$2:$A2026, 0), 
    MATCH(C$1, IR!$B$1:$E$1, 0) ), "")
</f>
        <v>-0.00021</v>
      </c>
      <c r="D259" s="9">
        <f t="array" ref="D259">IFERROR(
  INDEX(
    IR!$B$2:$E2026,                
    MATCH($A259, IR!$A$2:$A2026, 0), 
    MATCH(D$1, IR!$B$1:$E$1, 0) ), "")
</f>
        <v>0.00016</v>
      </c>
      <c r="E259" s="9">
        <f t="array" ref="E259">IFERROR(
  INDEX(
    IR!$B$2:$E2026,                
    MATCH($A259, IR!$A$2:$A2026, 0), 
    MATCH(E$1, IR!$B$1:$E$1, 0) ), "")
</f>
        <v>0.00085</v>
      </c>
      <c r="F259" s="9">
        <f t="array" ref="F259">IFERROR(
  INDEX(
    IR!$B$2:$E2026,                
    MATCH($A259, IR!$A$2:$A2026, 0), 
    MATCH(F$1, IR!$B$1:$E$1, 0) ), "")
</f>
        <v>0.00195</v>
      </c>
      <c r="G259" s="14"/>
      <c r="H259" s="9">
        <f t="array" ref="H259">IFERROR(
  INDEX(
    SR!$B$2:$D2026,            
    MATCH($A259, SR!$A$2:$A2026, 0),  
    MATCH(H$1, SR!$B$1:$D$1, 0) ), "")
</f>
        <v>0.00085</v>
      </c>
      <c r="I259" s="9">
        <f t="array" ref="I259">IFERROR(
  INDEX(
    SR!$B$2:$D2026,            
    MATCH($A259, SR!$A$2:$A2026, 0),  
    MATCH(I$1, SR!$B$1:$D$1, 0) ), "")
</f>
        <v>0.001237</v>
      </c>
      <c r="J259" s="9">
        <f t="array" ref="J259">IFERROR(
  INDEX(
    SR!$B$2:$D2026,            
    MATCH($A259, SR!$A$2:$A2026, 0),  
    MATCH(J$1, SR!$B$1:$D$1, 0) ), "")
</f>
        <v>0.00249</v>
      </c>
      <c r="K259" s="14"/>
      <c r="L259" s="9">
        <v>129.5</v>
      </c>
      <c r="M259" s="9">
        <v>24.71</v>
      </c>
      <c r="N259" s="9">
        <v>112.86</v>
      </c>
      <c r="O259" s="9">
        <v>132.85001</v>
      </c>
      <c r="P259" s="9">
        <v>136.83</v>
      </c>
      <c r="Q259" s="9">
        <v>1436.4027</v>
      </c>
      <c r="R259" s="14"/>
      <c r="S259" s="12">
        <f t="shared" si="2"/>
        <v>0.0008096740944</v>
      </c>
      <c r="T259" s="12">
        <f t="shared" si="3"/>
        <v>1.000809674</v>
      </c>
      <c r="U259" s="16">
        <f t="shared" si="7"/>
        <v>105.468389</v>
      </c>
      <c r="V259" s="17"/>
      <c r="W259" s="12">
        <f t="array" ref="W259">SQRT(252/20) *  SQRT( SUMSQ( LN(U238:U257 / U237:U256) )  - (1/20) * ( SUM( LN(U238:U257 / U237:U256) ) ^ 2 ) )</f>
        <v>0.02467727712</v>
      </c>
      <c r="X259" s="9">
        <f t="shared" si="4"/>
        <v>1.5</v>
      </c>
      <c r="Y259" s="14"/>
      <c r="Z259" s="12">
        <f t="shared" si="5"/>
        <v>1.001215831</v>
      </c>
      <c r="AA259" s="16">
        <f t="shared" si="8"/>
        <v>108.2596381</v>
      </c>
      <c r="AB259" s="14"/>
      <c r="AC259" s="9">
        <f t="shared" si="6"/>
        <v>35.75</v>
      </c>
    </row>
    <row r="260">
      <c r="A260" s="8">
        <v>42102.0</v>
      </c>
      <c r="B260" s="14"/>
      <c r="C260" s="9">
        <f t="array" ref="C260">IFERROR(
  INDEX(
    IR!$B$2:$E2026,                
    MATCH($A260, IR!$A$2:$A2026, 0), 
    MATCH(C$1, IR!$B$1:$E$1, 0) ), "")
</f>
        <v>-0.00021</v>
      </c>
      <c r="D260" s="9">
        <f t="array" ref="D260">IFERROR(
  INDEX(
    IR!$B$2:$E2026,                
    MATCH($A260, IR!$A$2:$A2026, 0), 
    MATCH(D$1, IR!$B$1:$E$1, 0) ), "")
</f>
        <v>0.00014</v>
      </c>
      <c r="E260" s="9">
        <f t="array" ref="E260">IFERROR(
  INDEX(
    IR!$B$2:$E2026,                
    MATCH($A260, IR!$A$2:$A2026, 0), 
    MATCH(E$1, IR!$B$1:$E$1, 0) ), "")
</f>
        <v>0.00081</v>
      </c>
      <c r="F260" s="9">
        <f t="array" ref="F260">IFERROR(
  INDEX(
    IR!$B$2:$E2026,                
    MATCH($A260, IR!$A$2:$A2026, 0), 
    MATCH(F$1, IR!$B$1:$E$1, 0) ), "")
</f>
        <v>0.00191</v>
      </c>
      <c r="G260" s="14"/>
      <c r="H260" s="9">
        <f t="array" ref="H260">IFERROR(
  INDEX(
    SR!$B$2:$D2026,            
    MATCH($A260, SR!$A$2:$A2026, 0),  
    MATCH(H$1, SR!$B$1:$D$1, 0) ), "")
</f>
        <v>0.00075</v>
      </c>
      <c r="I260" s="9">
        <f t="array" ref="I260">IFERROR(
  INDEX(
    SR!$B$2:$D2026,            
    MATCH($A260, SR!$A$2:$A2026, 0),  
    MATCH(I$1, SR!$B$1:$D$1, 0) ), "")
</f>
        <v>0.001055</v>
      </c>
      <c r="J260" s="9">
        <f t="array" ref="J260">IFERROR(
  INDEX(
    SR!$B$2:$D2026,            
    MATCH($A260, SR!$A$2:$A2026, 0),  
    MATCH(J$1, SR!$B$1:$D$1, 0) ), "")
</f>
        <v>0.0022</v>
      </c>
      <c r="K260" s="14"/>
      <c r="L260" s="9">
        <v>129.55</v>
      </c>
      <c r="M260" s="9">
        <v>24.73</v>
      </c>
      <c r="N260" s="9">
        <v>112.89</v>
      </c>
      <c r="O260" s="9">
        <v>133.52</v>
      </c>
      <c r="P260" s="9">
        <v>137.62</v>
      </c>
      <c r="Q260" s="9">
        <v>1443.2501</v>
      </c>
      <c r="R260" s="14"/>
      <c r="S260" s="12">
        <f t="shared" si="2"/>
        <v>0.002840198167</v>
      </c>
      <c r="T260" s="12">
        <f t="shared" si="3"/>
        <v>1.002840198</v>
      </c>
      <c r="U260" s="16">
        <f t="shared" si="7"/>
        <v>105.7679401</v>
      </c>
      <c r="V260" s="17"/>
      <c r="W260" s="12">
        <f t="array" ref="W260">SQRT(252/20) *  SQRT( SUMSQ( LN(U239:U258 / U238:U257) )  - (1/20) * ( SUM( LN(U239:U258 / U238:U257) ) ^ 2 ) )</f>
        <v>0.02438056209</v>
      </c>
      <c r="X260" s="9">
        <f t="shared" si="4"/>
        <v>1.5</v>
      </c>
      <c r="Y260" s="14"/>
      <c r="Z260" s="12">
        <f t="shared" si="5"/>
        <v>1.004260589</v>
      </c>
      <c r="AA260" s="16">
        <f t="shared" si="8"/>
        <v>108.7208879</v>
      </c>
      <c r="AB260" s="14"/>
      <c r="AC260" s="9">
        <f t="shared" si="6"/>
        <v>40.16</v>
      </c>
    </row>
    <row r="261">
      <c r="A261" s="8">
        <v>42103.0</v>
      </c>
      <c r="B261" s="14"/>
      <c r="C261" s="9">
        <f t="array" ref="C261">IFERROR(
  INDEX(
    IR!$B$2:$E2026,                
    MATCH($A261, IR!$A$2:$A2026, 0), 
    MATCH(C$1, IR!$B$1:$E$1, 0) ), "")
</f>
        <v>-0.00022</v>
      </c>
      <c r="D261" s="9">
        <f t="array" ref="D261">IFERROR(
  INDEX(
    IR!$B$2:$E2026,                
    MATCH($A261, IR!$A$2:$A2026, 0), 
    MATCH(D$1, IR!$B$1:$E$1, 0) ), "")
</f>
        <v>0.00012</v>
      </c>
      <c r="E261" s="9">
        <f t="array" ref="E261">IFERROR(
  INDEX(
    IR!$B$2:$E2026,                
    MATCH($A261, IR!$A$2:$A2026, 0), 
    MATCH(E$1, IR!$B$1:$E$1, 0) ), "")
</f>
        <v>0.00081</v>
      </c>
      <c r="F261" s="9">
        <f t="array" ref="F261">IFERROR(
  INDEX(
    IR!$B$2:$E2026,                
    MATCH($A261, IR!$A$2:$A2026, 0), 
    MATCH(F$1, IR!$B$1:$E$1, 0) ), "")
</f>
        <v>0.0019</v>
      </c>
      <c r="G261" s="14"/>
      <c r="H261" s="9">
        <f t="array" ref="H261">IFERROR(
  INDEX(
    SR!$B$2:$D2026,            
    MATCH($A261, SR!$A$2:$A2026, 0),  
    MATCH(H$1, SR!$B$1:$D$1, 0) ), "")
</f>
        <v>0.000717</v>
      </c>
      <c r="I261" s="9">
        <f t="array" ref="I261">IFERROR(
  INDEX(
    SR!$B$2:$D2026,            
    MATCH($A261, SR!$A$2:$A2026, 0),  
    MATCH(I$1, SR!$B$1:$D$1, 0) ), "")
</f>
        <v>0.001044</v>
      </c>
      <c r="J261" s="9">
        <f t="array" ref="J261">IFERROR(
  INDEX(
    SR!$B$2:$D2026,            
    MATCH($A261, SR!$A$2:$A2026, 0),  
    MATCH(J$1, SR!$B$1:$D$1, 0) ), "")
</f>
        <v>0.002182</v>
      </c>
      <c r="K261" s="14"/>
      <c r="L261" s="9">
        <v>130.00999</v>
      </c>
      <c r="M261" s="9">
        <v>24.76</v>
      </c>
      <c r="N261" s="9">
        <v>112.92</v>
      </c>
      <c r="O261" s="9">
        <v>133.41</v>
      </c>
      <c r="P261" s="9">
        <v>138.09</v>
      </c>
      <c r="Q261" s="9">
        <v>1448.7056</v>
      </c>
      <c r="R261" s="14"/>
      <c r="S261" s="12">
        <f t="shared" si="2"/>
        <v>0.001899765796</v>
      </c>
      <c r="T261" s="12">
        <f t="shared" si="3"/>
        <v>1.001899766</v>
      </c>
      <c r="U261" s="16">
        <f t="shared" si="7"/>
        <v>105.9688744</v>
      </c>
      <c r="V261" s="17"/>
      <c r="W261" s="12">
        <f t="array" ref="W261">SQRT(252/20) *  SQRT( SUMSQ( LN(U240:U259 / U239:U258) )  - (1/20) * ( SUM( LN(U240:U259 / U239:U258) ) ^ 2 ) )</f>
        <v>0.02388854198</v>
      </c>
      <c r="X261" s="9">
        <f t="shared" si="4"/>
        <v>1.5</v>
      </c>
      <c r="Y261" s="14"/>
      <c r="Z261" s="12">
        <f t="shared" si="5"/>
        <v>1.00284994</v>
      </c>
      <c r="AA261" s="16">
        <f t="shared" si="8"/>
        <v>109.0307359</v>
      </c>
      <c r="AB261" s="14"/>
      <c r="AC261" s="9">
        <f t="shared" si="6"/>
        <v>43.12</v>
      </c>
    </row>
    <row r="262">
      <c r="A262" s="8">
        <v>42104.0</v>
      </c>
      <c r="B262" s="14"/>
      <c r="C262" s="9">
        <f t="array" ref="C262">IFERROR(
  INDEX(
    IR!$B$2:$E2026,                
    MATCH($A262, IR!$A$2:$A2026, 0), 
    MATCH(C$1, IR!$B$1:$E$1, 0) ), "")
</f>
        <v>-0.00022</v>
      </c>
      <c r="D262" s="9">
        <f t="array" ref="D262">IFERROR(
  INDEX(
    IR!$B$2:$E2026,                
    MATCH($A262, IR!$A$2:$A2026, 0), 
    MATCH(D$1, IR!$B$1:$E$1, 0) ), "")
</f>
        <v>0.00012</v>
      </c>
      <c r="E262" s="9">
        <f t="array" ref="E262">IFERROR(
  INDEX(
    IR!$B$2:$E2026,                
    MATCH($A262, IR!$A$2:$A2026, 0), 
    MATCH(E$1, IR!$B$1:$E$1, 0) ), "")
</f>
        <v>0.00079</v>
      </c>
      <c r="F262" s="9">
        <f t="array" ref="F262">IFERROR(
  INDEX(
    IR!$B$2:$E2026,                
    MATCH($A262, IR!$A$2:$A2026, 0), 
    MATCH(F$1, IR!$B$1:$E$1, 0) ), "")
</f>
        <v>0.00188</v>
      </c>
      <c r="G262" s="14"/>
      <c r="H262" s="9">
        <f t="array" ref="H262">IFERROR(
  INDEX(
    SR!$B$2:$D2026,            
    MATCH($A262, SR!$A$2:$A2026, 0),  
    MATCH(H$1, SR!$B$1:$D$1, 0) ), "")
</f>
        <v>0.00072</v>
      </c>
      <c r="I262" s="9">
        <f t="array" ref="I262">IFERROR(
  INDEX(
    SR!$B$2:$D2026,            
    MATCH($A262, SR!$A$2:$A2026, 0),  
    MATCH(I$1, SR!$B$1:$D$1, 0) ), "")
</f>
        <v>0.001045</v>
      </c>
      <c r="J262" s="9">
        <f t="array" ref="J262">IFERROR(
  INDEX(
    SR!$B$2:$D2026,            
    MATCH($A262, SR!$A$2:$A2026, 0),  
    MATCH(J$1, SR!$B$1:$D$1, 0) ), "")
</f>
        <v>0.002175</v>
      </c>
      <c r="K262" s="14"/>
      <c r="L262" s="9">
        <v>130.57001</v>
      </c>
      <c r="M262" s="9">
        <v>24.74</v>
      </c>
      <c r="N262" s="9">
        <v>112.94</v>
      </c>
      <c r="O262" s="9">
        <v>133.94</v>
      </c>
      <c r="P262" s="9">
        <v>138.8</v>
      </c>
      <c r="Q262" s="9">
        <v>1452.9871</v>
      </c>
      <c r="R262" s="14"/>
      <c r="S262" s="12">
        <f t="shared" si="2"/>
        <v>0.002623673125</v>
      </c>
      <c r="T262" s="12">
        <f t="shared" si="3"/>
        <v>1.002623673</v>
      </c>
      <c r="U262" s="16">
        <f t="shared" si="7"/>
        <v>106.2469021</v>
      </c>
      <c r="V262" s="17"/>
      <c r="W262" s="12">
        <f t="array" ref="W262">SQRT(252/20) *  SQRT( SUMSQ( LN(U241:U260 / U240:U259) )  - (1/20) * ( SUM( LN(U241:U260 / U240:U259) ) ^ 2 ) )</f>
        <v>0.02443123696</v>
      </c>
      <c r="X262" s="9">
        <f t="shared" si="4"/>
        <v>1.5</v>
      </c>
      <c r="Y262" s="14"/>
      <c r="Z262" s="12">
        <f t="shared" si="5"/>
        <v>1.003935815</v>
      </c>
      <c r="AA262" s="16">
        <f t="shared" si="8"/>
        <v>109.4598608</v>
      </c>
      <c r="AB262" s="14"/>
      <c r="AC262" s="9">
        <f t="shared" si="6"/>
        <v>47.23</v>
      </c>
    </row>
    <row r="263">
      <c r="A263" s="8">
        <v>42107.0</v>
      </c>
      <c r="B263" s="14"/>
      <c r="C263" s="9">
        <f t="array" ref="C263">IFERROR(
  INDEX(
    IR!$B$2:$E2026,                
    MATCH($A263, IR!$A$2:$A2026, 0), 
    MATCH(C$1, IR!$B$1:$E$1, 0) ), "")
</f>
        <v>-0.00024</v>
      </c>
      <c r="D263" s="9">
        <f t="array" ref="D263">IFERROR(
  INDEX(
    IR!$B$2:$E2026,                
    MATCH($A263, IR!$A$2:$A2026, 0), 
    MATCH(D$1, IR!$B$1:$E$1, 0) ), "")
</f>
        <v>0.00011</v>
      </c>
      <c r="E263" s="9">
        <f t="array" ref="E263">IFERROR(
  INDEX(
    IR!$B$2:$E2026,                
    MATCH($A263, IR!$A$2:$A2026, 0), 
    MATCH(E$1, IR!$B$1:$E$1, 0) ), "")
</f>
        <v>0.00078</v>
      </c>
      <c r="F263" s="9">
        <f t="array" ref="F263">IFERROR(
  INDEX(
    IR!$B$2:$E2026,                
    MATCH($A263, IR!$A$2:$A2026, 0), 
    MATCH(F$1, IR!$B$1:$E$1, 0) ), "")
</f>
        <v>0.00187</v>
      </c>
      <c r="G263" s="14"/>
      <c r="H263" s="9">
        <f t="array" ref="H263">IFERROR(
  INDEX(
    SR!$B$2:$D2026,            
    MATCH($A263, SR!$A$2:$A2026, 0),  
    MATCH(H$1, SR!$B$1:$D$1, 0) ), "")
</f>
        <v>0.000672</v>
      </c>
      <c r="I263" s="9">
        <f t="array" ref="I263">IFERROR(
  INDEX(
    SR!$B$2:$D2026,            
    MATCH($A263, SR!$A$2:$A2026, 0),  
    MATCH(I$1, SR!$B$1:$D$1, 0) ), "")
</f>
        <v>0.001</v>
      </c>
      <c r="J263" s="9">
        <f t="array" ref="J263">IFERROR(
  INDEX(
    SR!$B$2:$D2026,            
    MATCH($A263, SR!$A$2:$A2026, 0),  
    MATCH(J$1, SR!$B$1:$D$1, 0) ), "")
</f>
        <v>0.002139</v>
      </c>
      <c r="K263" s="14"/>
      <c r="L263" s="9">
        <v>130.78</v>
      </c>
      <c r="M263" s="9">
        <v>24.74</v>
      </c>
      <c r="N263" s="9">
        <v>112.96</v>
      </c>
      <c r="O263" s="9">
        <v>134.92999</v>
      </c>
      <c r="P263" s="9">
        <v>139.07</v>
      </c>
      <c r="Q263" s="9">
        <v>1459.3023</v>
      </c>
      <c r="R263" s="14"/>
      <c r="S263" s="12">
        <f t="shared" si="2"/>
        <v>0.002577442966</v>
      </c>
      <c r="T263" s="12">
        <f t="shared" si="3"/>
        <v>1.002577443</v>
      </c>
      <c r="U263" s="16">
        <f t="shared" si="7"/>
        <v>106.5207474</v>
      </c>
      <c r="V263" s="17"/>
      <c r="W263" s="12">
        <f t="array" ref="W263">SQRT(252/20) *  SQRT( SUMSQ( LN(U242:U261 / U241:U260) )  - (1/20) * ( SUM( LN(U242:U261 / U241:U260) ) ^ 2 ) )</f>
        <v>0.02473808012</v>
      </c>
      <c r="X263" s="9">
        <f t="shared" si="4"/>
        <v>1.5</v>
      </c>
      <c r="Y263" s="14"/>
      <c r="Z263" s="12">
        <f t="shared" si="5"/>
        <v>1.003867081</v>
      </c>
      <c r="AA263" s="16">
        <f t="shared" si="8"/>
        <v>109.8831509</v>
      </c>
      <c r="AB263" s="14"/>
      <c r="AC263" s="9">
        <f t="shared" si="6"/>
        <v>51.28</v>
      </c>
    </row>
    <row r="264">
      <c r="A264" s="8">
        <v>42108.0</v>
      </c>
      <c r="B264" s="14"/>
      <c r="C264" s="9">
        <f t="array" ref="C264">IFERROR(
  INDEX(
    IR!$B$2:$E2026,                
    MATCH($A264, IR!$A$2:$A2026, 0), 
    MATCH(C$1, IR!$B$1:$E$1, 0) ), "")
</f>
        <v>-0.00025</v>
      </c>
      <c r="D264" s="9">
        <f t="array" ref="D264">IFERROR(
  INDEX(
    IR!$B$2:$E2026,                
    MATCH($A264, IR!$A$2:$A2026, 0), 
    MATCH(D$1, IR!$B$1:$E$1, 0) ), "")
</f>
        <v>0.00008</v>
      </c>
      <c r="E264" s="9">
        <f t="array" ref="E264">IFERROR(
  INDEX(
    IR!$B$2:$E2026,                
    MATCH($A264, IR!$A$2:$A2026, 0), 
    MATCH(E$1, IR!$B$1:$E$1, 0) ), "")
</f>
        <v>0.00076</v>
      </c>
      <c r="F264" s="9">
        <f t="array" ref="F264">IFERROR(
  INDEX(
    IR!$B$2:$E2026,                
    MATCH($A264, IR!$A$2:$A2026, 0), 
    MATCH(F$1, IR!$B$1:$E$1, 0) ), "")
</f>
        <v>0.00183</v>
      </c>
      <c r="G264" s="14"/>
      <c r="H264" s="9">
        <f t="array" ref="H264">IFERROR(
  INDEX(
    SR!$B$2:$D2026,            
    MATCH($A264, SR!$A$2:$A2026, 0),  
    MATCH(H$1, SR!$B$1:$D$1, 0) ), "")
</f>
        <v>0.000595</v>
      </c>
      <c r="I264" s="9">
        <f t="array" ref="I264">IFERROR(
  INDEX(
    SR!$B$2:$D2026,            
    MATCH($A264, SR!$A$2:$A2026, 0),  
    MATCH(I$1, SR!$B$1:$D$1, 0) ), "")
</f>
        <v>0.000911</v>
      </c>
      <c r="J264" s="9">
        <f t="array" ref="J264">IFERROR(
  INDEX(
    SR!$B$2:$D2026,            
    MATCH($A264, SR!$A$2:$A2026, 0),  
    MATCH(J$1, SR!$B$1:$D$1, 0) ), "")
</f>
        <v>0.00204</v>
      </c>
      <c r="K264" s="14"/>
      <c r="L264" s="9">
        <v>130.75</v>
      </c>
      <c r="M264" s="9">
        <v>24.74</v>
      </c>
      <c r="N264" s="9">
        <v>112.98</v>
      </c>
      <c r="O264" s="9">
        <v>134.89</v>
      </c>
      <c r="P264" s="9">
        <v>139.09</v>
      </c>
      <c r="Q264" s="9">
        <v>1459.0835</v>
      </c>
      <c r="R264" s="14"/>
      <c r="S264" s="12">
        <f t="shared" si="2"/>
        <v>-0.00005913086519</v>
      </c>
      <c r="T264" s="12">
        <f t="shared" si="3"/>
        <v>0.9999408691</v>
      </c>
      <c r="U264" s="16">
        <f t="shared" si="7"/>
        <v>106.5144488</v>
      </c>
      <c r="V264" s="17"/>
      <c r="W264" s="12">
        <f t="array" ref="W264">SQRT(252/20) *  SQRT( SUMSQ( LN(U243:U262 / U242:U261) )  - (1/20) * ( SUM( LN(U243:U262 / U242:U261) ) ^ 2 ) )</f>
        <v>0.02552548257</v>
      </c>
      <c r="X264" s="9">
        <f t="shared" si="4"/>
        <v>1.5</v>
      </c>
      <c r="Y264" s="14"/>
      <c r="Z264" s="12">
        <f t="shared" si="5"/>
        <v>0.999911637</v>
      </c>
      <c r="AA264" s="16">
        <f t="shared" si="8"/>
        <v>109.8734413</v>
      </c>
      <c r="AB264" s="14"/>
      <c r="AC264" s="9">
        <f t="shared" si="6"/>
        <v>51.19</v>
      </c>
    </row>
    <row r="265">
      <c r="A265" s="8">
        <v>42109.0</v>
      </c>
      <c r="B265" s="14"/>
      <c r="C265" s="9">
        <f t="array" ref="C265">IFERROR(
  INDEX(
    IR!$B$2:$E2026,                
    MATCH($A265, IR!$A$2:$A2026, 0), 
    MATCH(C$1, IR!$B$1:$E$1, 0) ), "")
</f>
        <v>-0.00029</v>
      </c>
      <c r="D265" s="9">
        <f t="array" ref="D265">IFERROR(
  INDEX(
    IR!$B$2:$E2026,                
    MATCH($A265, IR!$A$2:$A2026, 0), 
    MATCH(D$1, IR!$B$1:$E$1, 0) ), "")
</f>
        <v>0.00004</v>
      </c>
      <c r="E265" s="9">
        <f t="array" ref="E265">IFERROR(
  INDEX(
    IR!$B$2:$E2026,                
    MATCH($A265, IR!$A$2:$A2026, 0), 
    MATCH(E$1, IR!$B$1:$E$1, 0) ), "")
</f>
        <v>0.00072</v>
      </c>
      <c r="F265" s="9">
        <f t="array" ref="F265">IFERROR(
  INDEX(
    IR!$B$2:$E2026,                
    MATCH($A265, IR!$A$2:$A2026, 0), 
    MATCH(F$1, IR!$B$1:$E$1, 0) ), "")
</f>
        <v>0.0018</v>
      </c>
      <c r="G265" s="14"/>
      <c r="H265" s="9">
        <f t="array" ref="H265">IFERROR(
  INDEX(
    SR!$B$2:$D2026,            
    MATCH($A265, SR!$A$2:$A2026, 0),  
    MATCH(H$1, SR!$B$1:$D$1, 0) ), "")
</f>
        <v>0.000597</v>
      </c>
      <c r="I265" s="9">
        <f t="array" ref="I265">IFERROR(
  INDEX(
    SR!$B$2:$D2026,            
    MATCH($A265, SR!$A$2:$A2026, 0),  
    MATCH(I$1, SR!$B$1:$D$1, 0) ), "")
</f>
        <v>0.000905</v>
      </c>
      <c r="J265" s="9">
        <f t="array" ref="J265">IFERROR(
  INDEX(
    SR!$B$2:$D2026,            
    MATCH($A265, SR!$A$2:$A2026, 0),  
    MATCH(J$1, SR!$B$1:$D$1, 0) ), "")
</f>
        <v>0.001916</v>
      </c>
      <c r="K265" s="14"/>
      <c r="L265" s="9">
        <v>130.71001</v>
      </c>
      <c r="M265" s="9">
        <v>24.75</v>
      </c>
      <c r="N265" s="9">
        <v>113.02</v>
      </c>
      <c r="O265" s="9">
        <v>134.53</v>
      </c>
      <c r="P265" s="9">
        <v>138.9</v>
      </c>
      <c r="Q265" s="9">
        <v>1457.0288</v>
      </c>
      <c r="R265" s="14"/>
      <c r="S265" s="12">
        <f t="shared" si="2"/>
        <v>-0.0008315878118</v>
      </c>
      <c r="T265" s="12">
        <f t="shared" si="3"/>
        <v>0.9991684122</v>
      </c>
      <c r="U265" s="16">
        <f t="shared" si="7"/>
        <v>106.4258726</v>
      </c>
      <c r="V265" s="17"/>
      <c r="W265" s="12">
        <f t="array" ref="W265">SQRT(252/20) *  SQRT( SUMSQ( LN(U244:U263 / U243:U262) )  - (1/20) * ( SUM( LN(U244:U263 / U243:U262) ) ^ 2 ) )</f>
        <v>0.02454635491</v>
      </c>
      <c r="X265" s="9">
        <f t="shared" si="4"/>
        <v>1.5</v>
      </c>
      <c r="Y265" s="14"/>
      <c r="Z265" s="12">
        <f t="shared" si="5"/>
        <v>0.9987529655</v>
      </c>
      <c r="AA265" s="16">
        <f t="shared" si="8"/>
        <v>109.7364254</v>
      </c>
      <c r="AB265" s="14"/>
      <c r="AC265" s="9">
        <f t="shared" si="6"/>
        <v>49.88</v>
      </c>
    </row>
    <row r="266">
      <c r="A266" s="8">
        <v>42110.0</v>
      </c>
      <c r="B266" s="14"/>
      <c r="C266" s="9">
        <f t="array" ref="C266">IFERROR(
  INDEX(
    IR!$B$2:$E2026,                
    MATCH($A266, IR!$A$2:$A2026, 0), 
    MATCH(C$1, IR!$B$1:$E$1, 0) ), "")
</f>
        <v>-0.00032</v>
      </c>
      <c r="D266" s="9">
        <f t="array" ref="D266">IFERROR(
  INDEX(
    IR!$B$2:$E2026,                
    MATCH($A266, IR!$A$2:$A2026, 0), 
    MATCH(D$1, IR!$B$1:$E$1, 0) ), "")
</f>
        <v>0.00002</v>
      </c>
      <c r="E266" s="9">
        <f t="array" ref="E266">IFERROR(
  INDEX(
    IR!$B$2:$E2026,                
    MATCH($A266, IR!$A$2:$A2026, 0), 
    MATCH(E$1, IR!$B$1:$E$1, 0) ), "")
</f>
        <v>0.0007</v>
      </c>
      <c r="F266" s="9">
        <f t="array" ref="F266">IFERROR(
  INDEX(
    IR!$B$2:$E2026,                
    MATCH($A266, IR!$A$2:$A2026, 0), 
    MATCH(F$1, IR!$B$1:$E$1, 0) ), "")
</f>
        <v>0.00178</v>
      </c>
      <c r="G266" s="14"/>
      <c r="H266" s="9">
        <f t="array" ref="H266">IFERROR(
  INDEX(
    SR!$B$2:$D2026,            
    MATCH($A266, SR!$A$2:$A2026, 0),  
    MATCH(H$1, SR!$B$1:$D$1, 0) ), "")
</f>
        <v>0.000615</v>
      </c>
      <c r="I266" s="9">
        <f t="array" ref="I266">IFERROR(
  INDEX(
    SR!$B$2:$D2026,            
    MATCH($A266, SR!$A$2:$A2026, 0),  
    MATCH(I$1, SR!$B$1:$D$1, 0) ), "")
</f>
        <v>0.00092</v>
      </c>
      <c r="J266" s="9">
        <f t="array" ref="J266">IFERROR(
  INDEX(
    SR!$B$2:$D2026,            
    MATCH($A266, SR!$A$2:$A2026, 0),  
    MATCH(J$1, SR!$B$1:$D$1, 0) ), "")
</f>
        <v>0.00185</v>
      </c>
      <c r="K266" s="14"/>
      <c r="L266" s="9">
        <v>130.37</v>
      </c>
      <c r="M266" s="9">
        <v>24.75</v>
      </c>
      <c r="N266" s="9">
        <v>113.01</v>
      </c>
      <c r="O266" s="9">
        <v>134.78999</v>
      </c>
      <c r="P266" s="9">
        <v>139.38</v>
      </c>
      <c r="Q266" s="9">
        <v>1461.5822</v>
      </c>
      <c r="R266" s="14"/>
      <c r="S266" s="12">
        <f t="shared" si="2"/>
        <v>0.0009705403004</v>
      </c>
      <c r="T266" s="12">
        <f t="shared" si="3"/>
        <v>1.00097054</v>
      </c>
      <c r="U266" s="16">
        <f t="shared" si="7"/>
        <v>106.5291632</v>
      </c>
      <c r="V266" s="17"/>
      <c r="W266" s="12">
        <f t="array" ref="W266">SQRT(252/20) *  SQRT( SUMSQ( LN(U245:U264 / U244:U263) )  - (1/20) * ( SUM( LN(U245:U264 / U244:U263) ) ^ 2 ) )</f>
        <v>0.02470839185</v>
      </c>
      <c r="X266" s="9">
        <f t="shared" si="4"/>
        <v>1.5</v>
      </c>
      <c r="Y266" s="14"/>
      <c r="Z266" s="12">
        <f t="shared" si="5"/>
        <v>1.001456213</v>
      </c>
      <c r="AA266" s="16">
        <f t="shared" si="8"/>
        <v>109.896225</v>
      </c>
      <c r="AB266" s="14"/>
      <c r="AC266" s="9">
        <f t="shared" si="6"/>
        <v>51.4</v>
      </c>
    </row>
    <row r="267">
      <c r="A267" s="8">
        <v>42111.0</v>
      </c>
      <c r="B267" s="14"/>
      <c r="C267" s="9">
        <f t="array" ref="C267">IFERROR(
  INDEX(
    IR!$B$2:$E2026,                
    MATCH($A267, IR!$A$2:$A2026, 0), 
    MATCH(C$1, IR!$B$1:$E$1, 0) ), "")
</f>
        <v>-0.00033</v>
      </c>
      <c r="D267" s="9">
        <f t="array" ref="D267">IFERROR(
  INDEX(
    IR!$B$2:$E2026,                
    MATCH($A267, IR!$A$2:$A2026, 0), 
    MATCH(D$1, IR!$B$1:$E$1, 0) ), "")
</f>
        <v>0.00001</v>
      </c>
      <c r="E267" s="9">
        <f t="array" ref="E267">IFERROR(
  INDEX(
    IR!$B$2:$E2026,                
    MATCH($A267, IR!$A$2:$A2026, 0), 
    MATCH(E$1, IR!$B$1:$E$1, 0) ), "")
</f>
        <v>0.00068</v>
      </c>
      <c r="F267" s="9">
        <f t="array" ref="F267">IFERROR(
  INDEX(
    IR!$B$2:$E2026,                
    MATCH($A267, IR!$A$2:$A2026, 0), 
    MATCH(F$1, IR!$B$1:$E$1, 0) ), "")
</f>
        <v>0.00177</v>
      </c>
      <c r="G267" s="14"/>
      <c r="H267" s="9">
        <f t="array" ref="H267">IFERROR(
  INDEX(
    SR!$B$2:$D2026,            
    MATCH($A267, SR!$A$2:$A2026, 0),  
    MATCH(H$1, SR!$B$1:$D$1, 0) ), "")
</f>
        <v>0.00069</v>
      </c>
      <c r="I267" s="9">
        <f t="array" ref="I267">IFERROR(
  INDEX(
    SR!$B$2:$D2026,            
    MATCH($A267, SR!$A$2:$A2026, 0),  
    MATCH(I$1, SR!$B$1:$D$1, 0) ), "")
</f>
        <v>0.000971</v>
      </c>
      <c r="J267" s="9">
        <f t="array" ref="J267">IFERROR(
  INDEX(
    SR!$B$2:$D2026,            
    MATCH($A267, SR!$A$2:$A2026, 0),  
    MATCH(J$1, SR!$B$1:$D$1, 0) ), "")
</f>
        <v>0.001856</v>
      </c>
      <c r="K267" s="14"/>
      <c r="L267" s="9">
        <v>129.69</v>
      </c>
      <c r="M267" s="9">
        <v>24.74</v>
      </c>
      <c r="N267" s="9">
        <v>112.99</v>
      </c>
      <c r="O267" s="9">
        <v>133.88</v>
      </c>
      <c r="P267" s="9">
        <v>138.74</v>
      </c>
      <c r="Q267" s="9">
        <v>1458.3117</v>
      </c>
      <c r="R267" s="14"/>
      <c r="S267" s="12">
        <f t="shared" si="2"/>
        <v>-0.003228517909</v>
      </c>
      <c r="T267" s="12">
        <f t="shared" si="3"/>
        <v>0.9967714821</v>
      </c>
      <c r="U267" s="16">
        <f t="shared" si="7"/>
        <v>106.1852319</v>
      </c>
      <c r="V267" s="17"/>
      <c r="W267" s="12">
        <f t="array" ref="W267">SQRT(252/20) *  SQRT( SUMSQ( LN(U246:U265 / U245:U264) )  - (1/20) * ( SUM( LN(U246:U265 / U245:U264) ) ^ 2 ) )</f>
        <v>0.02530638802</v>
      </c>
      <c r="X267" s="9">
        <f t="shared" si="4"/>
        <v>1.5</v>
      </c>
      <c r="Y267" s="14"/>
      <c r="Z267" s="12">
        <f t="shared" si="5"/>
        <v>0.9951576676</v>
      </c>
      <c r="AA267" s="16">
        <f t="shared" si="8"/>
        <v>109.364071</v>
      </c>
      <c r="AB267" s="14"/>
      <c r="AC267" s="9">
        <f t="shared" si="6"/>
        <v>46.31</v>
      </c>
    </row>
    <row r="268">
      <c r="A268" s="8">
        <v>42114.0</v>
      </c>
      <c r="B268" s="14"/>
      <c r="C268" s="9">
        <f t="array" ref="C268">IFERROR(
  INDEX(
    IR!$B$2:$E2026,                
    MATCH($A268, IR!$A$2:$A2026, 0), 
    MATCH(C$1, IR!$B$1:$E$1, 0) ), "")
</f>
        <v>-0.00032</v>
      </c>
      <c r="D268" s="9">
        <f t="array" ref="D268">IFERROR(
  INDEX(
    IR!$B$2:$E2026,                
    MATCH($A268, IR!$A$2:$A2026, 0), 
    MATCH(D$1, IR!$B$1:$E$1, 0) ), "")
</f>
        <v>0.00001</v>
      </c>
      <c r="E268" s="9">
        <f t="array" ref="E268">IFERROR(
  INDEX(
    IR!$B$2:$E2026,                
    MATCH($A268, IR!$A$2:$A2026, 0), 
    MATCH(E$1, IR!$B$1:$E$1, 0) ), "")
</f>
        <v>0.00069</v>
      </c>
      <c r="F268" s="9">
        <f t="array" ref="F268">IFERROR(
  INDEX(
    IR!$B$2:$E2026,                
    MATCH($A268, IR!$A$2:$A2026, 0), 
    MATCH(F$1, IR!$B$1:$E$1, 0) ), "")
</f>
        <v>0.00176</v>
      </c>
      <c r="G268" s="14"/>
      <c r="H268" s="9">
        <f t="array" ref="H268">IFERROR(
  INDEX(
    SR!$B$2:$D2026,            
    MATCH($A268, SR!$A$2:$A2026, 0),  
    MATCH(H$1, SR!$B$1:$D$1, 0) ), "")
</f>
        <v>0.00073</v>
      </c>
      <c r="I268" s="9">
        <f t="array" ref="I268">IFERROR(
  INDEX(
    SR!$B$2:$D2026,            
    MATCH($A268, SR!$A$2:$A2026, 0),  
    MATCH(I$1, SR!$B$1:$D$1, 0) ), "")
</f>
        <v>0.00101</v>
      </c>
      <c r="J268" s="9">
        <f t="array" ref="J268">IFERROR(
  INDEX(
    SR!$B$2:$D2026,            
    MATCH($A268, SR!$A$2:$A2026, 0),  
    MATCH(J$1, SR!$B$1:$D$1, 0) ), "")
</f>
        <v>0.00195</v>
      </c>
      <c r="K268" s="14"/>
      <c r="L268" s="9">
        <v>129.91</v>
      </c>
      <c r="M268" s="9">
        <v>24.74</v>
      </c>
      <c r="N268" s="9">
        <v>113.03</v>
      </c>
      <c r="O268" s="9">
        <v>132.60001</v>
      </c>
      <c r="P268" s="9">
        <v>137.9</v>
      </c>
      <c r="Q268" s="9">
        <v>1448.5084</v>
      </c>
      <c r="R268" s="14"/>
      <c r="S268" s="12">
        <f t="shared" si="2"/>
        <v>-0.003380521846</v>
      </c>
      <c r="T268" s="12">
        <f t="shared" si="3"/>
        <v>0.9966194782</v>
      </c>
      <c r="U268" s="16">
        <f t="shared" si="7"/>
        <v>105.8262704</v>
      </c>
      <c r="V268" s="17"/>
      <c r="W268" s="12">
        <f t="array" ref="W268">SQRT(252/20) *  SQRT( SUMSQ( LN(U247:U266 / U246:U265) )  - (1/20) * ( SUM( LN(U247:U266 / U246:U265) ) ^ 2 ) )</f>
        <v>0.02468685264</v>
      </c>
      <c r="X268" s="9">
        <f t="shared" si="4"/>
        <v>1.5</v>
      </c>
      <c r="Y268" s="14"/>
      <c r="Z268" s="12">
        <f t="shared" si="5"/>
        <v>0.9949305922</v>
      </c>
      <c r="AA268" s="16">
        <f t="shared" si="8"/>
        <v>108.8096599</v>
      </c>
      <c r="AB268" s="14"/>
      <c r="AC268" s="9">
        <f t="shared" si="6"/>
        <v>41.01</v>
      </c>
    </row>
    <row r="269">
      <c r="A269" s="8">
        <v>42115.0</v>
      </c>
      <c r="B269" s="14"/>
      <c r="C269" s="9">
        <f t="array" ref="C269">IFERROR(
  INDEX(
    IR!$B$2:$E2026,                
    MATCH($A269, IR!$A$2:$A2026, 0), 
    MATCH(C$1, IR!$B$1:$E$1, 0) ), "")
</f>
        <v>-0.00034</v>
      </c>
      <c r="D269" s="9">
        <f t="array" ref="D269">IFERROR(
  INDEX(
    IR!$B$2:$E2026,                
    MATCH($A269, IR!$A$2:$A2026, 0), 
    MATCH(D$1, IR!$B$1:$E$1, 0) ), "")
</f>
        <v>-0.00001</v>
      </c>
      <c r="E269" s="9">
        <f t="array" ref="E269">IFERROR(
  INDEX(
    IR!$B$2:$E2026,                
    MATCH($A269, IR!$A$2:$A2026, 0), 
    MATCH(E$1, IR!$B$1:$E$1, 0) ), "")
</f>
        <v>0.00069</v>
      </c>
      <c r="F269" s="9">
        <f t="array" ref="F269">IFERROR(
  INDEX(
    IR!$B$2:$E2026,                
    MATCH($A269, IR!$A$2:$A2026, 0), 
    MATCH(F$1, IR!$B$1:$E$1, 0) ), "")
</f>
        <v>0.00176</v>
      </c>
      <c r="G269" s="14"/>
      <c r="H269" s="9">
        <f t="array" ref="H269">IFERROR(
  INDEX(
    SR!$B$2:$D2026,            
    MATCH($A269, SR!$A$2:$A2026, 0),  
    MATCH(H$1, SR!$B$1:$D$1, 0) ), "")
</f>
        <v>0.0007</v>
      </c>
      <c r="I269" s="9">
        <f t="array" ref="I269">IFERROR(
  INDEX(
    SR!$B$2:$D2026,            
    MATCH($A269, SR!$A$2:$A2026, 0),  
    MATCH(I$1, SR!$B$1:$D$1, 0) ), "")
</f>
        <v>0.000977</v>
      </c>
      <c r="J269" s="9">
        <f t="array" ref="J269">IFERROR(
  INDEX(
    SR!$B$2:$D2026,            
    MATCH($A269, SR!$A$2:$A2026, 0),  
    MATCH(J$1, SR!$B$1:$D$1, 0) ), "")
</f>
        <v>0.002105</v>
      </c>
      <c r="K269" s="14"/>
      <c r="L269" s="9">
        <v>130.13</v>
      </c>
      <c r="M269" s="9">
        <v>24.74</v>
      </c>
      <c r="N269" s="9">
        <v>113.02</v>
      </c>
      <c r="O269" s="9">
        <v>133.5</v>
      </c>
      <c r="P269" s="9">
        <v>138.5</v>
      </c>
      <c r="Q269" s="9">
        <v>1453.3337</v>
      </c>
      <c r="R269" s="14"/>
      <c r="S269" s="12">
        <f t="shared" si="2"/>
        <v>0.00267833837</v>
      </c>
      <c r="T269" s="12">
        <f t="shared" si="3"/>
        <v>1.002678338</v>
      </c>
      <c r="U269" s="16">
        <f t="shared" si="7"/>
        <v>106.109709</v>
      </c>
      <c r="V269" s="17"/>
      <c r="W269" s="12">
        <f t="array" ref="W269">SQRT(252/20) *  SQRT( SUMSQ( LN(U248:U267 / U247:U266) )  - (1/20) * ( SUM( LN(U248:U267 / U247:U266) ) ^ 2 ) )</f>
        <v>0.0273876119</v>
      </c>
      <c r="X269" s="9">
        <f t="shared" si="4"/>
        <v>1.5</v>
      </c>
      <c r="Y269" s="14"/>
      <c r="Z269" s="12">
        <f t="shared" si="5"/>
        <v>1.004017952</v>
      </c>
      <c r="AA269" s="16">
        <f t="shared" si="8"/>
        <v>109.2468519</v>
      </c>
      <c r="AB269" s="14"/>
      <c r="AC269" s="9">
        <f t="shared" si="6"/>
        <v>45.19</v>
      </c>
    </row>
    <row r="270">
      <c r="A270" s="8">
        <v>42116.0</v>
      </c>
      <c r="B270" s="14"/>
      <c r="C270" s="9">
        <f t="array" ref="C270">IFERROR(
  INDEX(
    IR!$B$2:$E2026,                
    MATCH($A270, IR!$A$2:$A2026, 0), 
    MATCH(C$1, IR!$B$1:$E$1, 0) ), "")
</f>
        <v>-0.00034</v>
      </c>
      <c r="D270" s="9">
        <f t="array" ref="D270">IFERROR(
  INDEX(
    IR!$B$2:$E2026,                
    MATCH($A270, IR!$A$2:$A2026, 0), 
    MATCH(D$1, IR!$B$1:$E$1, 0) ), "")
</f>
        <v>-0.00002</v>
      </c>
      <c r="E270" s="9">
        <f t="array" ref="E270">IFERROR(
  INDEX(
    IR!$B$2:$E2026,                
    MATCH($A270, IR!$A$2:$A2026, 0), 
    MATCH(E$1, IR!$B$1:$E$1, 0) ), "")
</f>
        <v>0.00068</v>
      </c>
      <c r="F270" s="9">
        <f t="array" ref="F270">IFERROR(
  INDEX(
    IR!$B$2:$E2026,                
    MATCH($A270, IR!$A$2:$A2026, 0), 
    MATCH(F$1, IR!$B$1:$E$1, 0) ), "")
</f>
        <v>0.00175</v>
      </c>
      <c r="G270" s="14"/>
      <c r="H270" s="9">
        <f t="array" ref="H270">IFERROR(
  INDEX(
    SR!$B$2:$D2026,            
    MATCH($A270, SR!$A$2:$A2026, 0),  
    MATCH(H$1, SR!$B$1:$D$1, 0) ), "")
</f>
        <v>0.00076</v>
      </c>
      <c r="I270" s="9">
        <f t="array" ref="I270">IFERROR(
  INDEX(
    SR!$B$2:$D2026,            
    MATCH($A270, SR!$A$2:$A2026, 0),  
    MATCH(I$1, SR!$B$1:$D$1, 0) ), "")
</f>
        <v>0.00115</v>
      </c>
      <c r="J270" s="9">
        <f t="array" ref="J270">IFERROR(
  INDEX(
    SR!$B$2:$D2026,            
    MATCH($A270, SR!$A$2:$A2026, 0),  
    MATCH(J$1, SR!$B$1:$D$1, 0) ), "")
</f>
        <v>0.002338</v>
      </c>
      <c r="K270" s="14"/>
      <c r="L270" s="9">
        <v>130.03999</v>
      </c>
      <c r="M270" s="9">
        <v>24.75</v>
      </c>
      <c r="N270" s="9">
        <v>113.01</v>
      </c>
      <c r="O270" s="9">
        <v>133.53999</v>
      </c>
      <c r="P270" s="9">
        <v>138.74</v>
      </c>
      <c r="Q270" s="9">
        <v>1456.9056</v>
      </c>
      <c r="R270" s="14"/>
      <c r="S270" s="12">
        <f t="shared" si="2"/>
        <v>0.0006856651898</v>
      </c>
      <c r="T270" s="12">
        <f t="shared" si="3"/>
        <v>1.000685665</v>
      </c>
      <c r="U270" s="16">
        <f t="shared" si="7"/>
        <v>106.1824647</v>
      </c>
      <c r="V270" s="17"/>
      <c r="W270" s="12">
        <f t="array" ref="W270">SQRT(252/20) *  SQRT( SUMSQ( LN(U249:U268 / U248:U267) )  - (1/20) * ( SUM( LN(U249:U268 / U248:U267) ) ^ 2 ) )</f>
        <v>0.03021048594</v>
      </c>
      <c r="X270" s="9">
        <f t="shared" si="4"/>
        <v>1.5</v>
      </c>
      <c r="Y270" s="14"/>
      <c r="Z270" s="12">
        <f t="shared" si="5"/>
        <v>1.00102897</v>
      </c>
      <c r="AA270" s="16">
        <f t="shared" si="8"/>
        <v>109.3592636</v>
      </c>
      <c r="AB270" s="14"/>
      <c r="AC270" s="9">
        <f t="shared" si="6"/>
        <v>46.27</v>
      </c>
    </row>
    <row r="271">
      <c r="A271" s="8">
        <v>42117.0</v>
      </c>
      <c r="B271" s="14"/>
      <c r="C271" s="9">
        <f t="array" ref="C271">IFERROR(
  INDEX(
    IR!$B$2:$E2026,                
    MATCH($A271, IR!$A$2:$A2026, 0), 
    MATCH(C$1, IR!$B$1:$E$1, 0) ), "")
</f>
        <v>-0.00034</v>
      </c>
      <c r="D271" s="9">
        <f t="array" ref="D271">IFERROR(
  INDEX(
    IR!$B$2:$E2026,                
    MATCH($A271, IR!$A$2:$A2026, 0), 
    MATCH(D$1, IR!$B$1:$E$1, 0) ), "")
</f>
        <v>-0.00002</v>
      </c>
      <c r="E271" s="9">
        <f t="array" ref="E271">IFERROR(
  INDEX(
    IR!$B$2:$E2026,                
    MATCH($A271, IR!$A$2:$A2026, 0), 
    MATCH(E$1, IR!$B$1:$E$1, 0) ), "")
</f>
        <v>0.00066</v>
      </c>
      <c r="F271" s="9">
        <f t="array" ref="F271">IFERROR(
  INDEX(
    IR!$B$2:$E2026,                
    MATCH($A271, IR!$A$2:$A2026, 0), 
    MATCH(F$1, IR!$B$1:$E$1, 0) ), "")
</f>
        <v>0.00173</v>
      </c>
      <c r="G271" s="14"/>
      <c r="H271" s="9">
        <f t="array" ref="H271">IFERROR(
  INDEX(
    SR!$B$2:$D2026,            
    MATCH($A271, SR!$A$2:$A2026, 0),  
    MATCH(H$1, SR!$B$1:$D$1, 0) ), "")
</f>
        <v>0.000707</v>
      </c>
      <c r="I271" s="9">
        <f t="array" ref="I271">IFERROR(
  INDEX(
    SR!$B$2:$D2026,            
    MATCH($A271, SR!$A$2:$A2026, 0),  
    MATCH(I$1, SR!$B$1:$D$1, 0) ), "")
</f>
        <v>0.00105</v>
      </c>
      <c r="J271" s="9">
        <f t="array" ref="J271">IFERROR(
  INDEX(
    SR!$B$2:$D2026,            
    MATCH($A271, SR!$A$2:$A2026, 0),  
    MATCH(J$1, SR!$B$1:$D$1, 0) ), "")
</f>
        <v>0.002171</v>
      </c>
      <c r="K271" s="14"/>
      <c r="L271" s="9">
        <v>129.78</v>
      </c>
      <c r="M271" s="9">
        <v>24.74</v>
      </c>
      <c r="N271" s="9">
        <v>113.01</v>
      </c>
      <c r="O271" s="9">
        <v>132.75999</v>
      </c>
      <c r="P271" s="9">
        <v>138.94</v>
      </c>
      <c r="Q271" s="9">
        <v>1458.5574</v>
      </c>
      <c r="R271" s="14"/>
      <c r="S271" s="12">
        <f t="shared" si="2"/>
        <v>-0.0009443382337</v>
      </c>
      <c r="T271" s="12">
        <f t="shared" si="3"/>
        <v>0.9990556618</v>
      </c>
      <c r="U271" s="16">
        <f t="shared" si="7"/>
        <v>106.0821926</v>
      </c>
      <c r="V271" s="17"/>
      <c r="W271" s="12">
        <f t="array" ref="W271">SQRT(252/20) *  SQRT( SUMSQ( LN(U250:U269 / U249:U268) )  - (1/20) * ( SUM( LN(U250:U269 / U249:U268) ) ^ 2 ) )</f>
        <v>0.03124926305</v>
      </c>
      <c r="X271" s="9">
        <f t="shared" si="4"/>
        <v>1.5</v>
      </c>
      <c r="Y271" s="14"/>
      <c r="Z271" s="12">
        <f t="shared" si="5"/>
        <v>0.9985839649</v>
      </c>
      <c r="AA271" s="16">
        <f t="shared" si="8"/>
        <v>109.204407</v>
      </c>
      <c r="AB271" s="14"/>
      <c r="AC271" s="9">
        <f t="shared" si="6"/>
        <v>44.79</v>
      </c>
    </row>
    <row r="272">
      <c r="A272" s="8">
        <v>42118.0</v>
      </c>
      <c r="B272" s="14"/>
      <c r="C272" s="9">
        <f t="array" ref="C272">IFERROR(
  INDEX(
    IR!$B$2:$E2026,                
    MATCH($A272, IR!$A$2:$A2026, 0), 
    MATCH(C$1, IR!$B$1:$E$1, 0) ), "")
</f>
        <v>-0.00034</v>
      </c>
      <c r="D272" s="9">
        <f t="array" ref="D272">IFERROR(
  INDEX(
    IR!$B$2:$E2026,                
    MATCH($A272, IR!$A$2:$A2026, 0), 
    MATCH(D$1, IR!$B$1:$E$1, 0) ), "")
</f>
        <v>-0.00001</v>
      </c>
      <c r="E272" s="9">
        <f t="array" ref="E272">IFERROR(
  INDEX(
    IR!$B$2:$E2026,                
    MATCH($A272, IR!$A$2:$A2026, 0), 
    MATCH(E$1, IR!$B$1:$E$1, 0) ), "")
</f>
        <v>0.00066</v>
      </c>
      <c r="F272" s="9">
        <f t="array" ref="F272">IFERROR(
  INDEX(
    IR!$B$2:$E2026,                
    MATCH($A272, IR!$A$2:$A2026, 0), 
    MATCH(F$1, IR!$B$1:$E$1, 0) ), "")
</f>
        <v>0.00172</v>
      </c>
      <c r="G272" s="14"/>
      <c r="H272" s="9">
        <f t="array" ref="H272">IFERROR(
  INDEX(
    SR!$B$2:$D2026,            
    MATCH($A272, SR!$A$2:$A2026, 0),  
    MATCH(H$1, SR!$B$1:$D$1, 0) ), "")
</f>
        <v>0.00069</v>
      </c>
      <c r="I272" s="9">
        <f t="array" ref="I272">IFERROR(
  INDEX(
    SR!$B$2:$D2026,            
    MATCH($A272, SR!$A$2:$A2026, 0),  
    MATCH(I$1, SR!$B$1:$D$1, 0) ), "")
</f>
        <v>0.001044</v>
      </c>
      <c r="J272" s="9">
        <f t="array" ref="J272">IFERROR(
  INDEX(
    SR!$B$2:$D2026,            
    MATCH($A272, SR!$A$2:$A2026, 0),  
    MATCH(J$1, SR!$B$1:$D$1, 0) ), "")
</f>
        <v>0.00211</v>
      </c>
      <c r="K272" s="14"/>
      <c r="L272" s="9">
        <v>129.96001</v>
      </c>
      <c r="M272" s="9">
        <v>24.73</v>
      </c>
      <c r="N272" s="9">
        <v>113.06</v>
      </c>
      <c r="O272" s="9">
        <v>131.99001</v>
      </c>
      <c r="P272" s="9">
        <v>138.77</v>
      </c>
      <c r="Q272" s="9">
        <v>1459.5255</v>
      </c>
      <c r="R272" s="14"/>
      <c r="S272" s="12">
        <f t="shared" si="2"/>
        <v>-0.0008219924436</v>
      </c>
      <c r="T272" s="12">
        <f t="shared" si="3"/>
        <v>0.9991780076</v>
      </c>
      <c r="U272" s="16">
        <f t="shared" si="7"/>
        <v>105.9949938</v>
      </c>
      <c r="V272" s="17"/>
      <c r="W272" s="12">
        <f t="array" ref="W272">SQRT(252/20) *  SQRT( SUMSQ( LN(U251:U270 / U250:U269) )  - (1/20) * ( SUM( LN(U251:U270 / U250:U269) ) ^ 2 ) )</f>
        <v>0.03091705988</v>
      </c>
      <c r="X272" s="9">
        <f t="shared" si="4"/>
        <v>1.5</v>
      </c>
      <c r="Y272" s="14"/>
      <c r="Z272" s="12">
        <f t="shared" si="5"/>
        <v>0.9987674836</v>
      </c>
      <c r="AA272" s="16">
        <f t="shared" si="8"/>
        <v>109.0698108</v>
      </c>
      <c r="AB272" s="14"/>
      <c r="AC272" s="9">
        <f t="shared" si="6"/>
        <v>43.5</v>
      </c>
    </row>
    <row r="273">
      <c r="A273" s="8">
        <v>42121.0</v>
      </c>
      <c r="B273" s="14"/>
      <c r="C273" s="9">
        <f t="array" ref="C273">IFERROR(
  INDEX(
    IR!$B$2:$E2026,                
    MATCH($A273, IR!$A$2:$A2026, 0), 
    MATCH(C$1, IR!$B$1:$E$1, 0) ), "")
</f>
        <v>-0.00034</v>
      </c>
      <c r="D273" s="9">
        <f t="array" ref="D273">IFERROR(
  INDEX(
    IR!$B$2:$E2026,                
    MATCH($A273, IR!$A$2:$A2026, 0), 
    MATCH(D$1, IR!$B$1:$E$1, 0) ), "")
</f>
        <v>-0.00002</v>
      </c>
      <c r="E273" s="9">
        <f t="array" ref="E273">IFERROR(
  INDEX(
    IR!$B$2:$E2026,                
    MATCH($A273, IR!$A$2:$A2026, 0), 
    MATCH(E$1, IR!$B$1:$E$1, 0) ), "")
</f>
        <v>0.00067</v>
      </c>
      <c r="F273" s="9">
        <f t="array" ref="F273">IFERROR(
  INDEX(
    IR!$B$2:$E2026,                
    MATCH($A273, IR!$A$2:$A2026, 0), 
    MATCH(F$1, IR!$B$1:$E$1, 0) ), "")
</f>
        <v>0.00171</v>
      </c>
      <c r="G273" s="14"/>
      <c r="H273" s="9">
        <f t="array" ref="H273">IFERROR(
  INDEX(
    SR!$B$2:$D2026,            
    MATCH($A273, SR!$A$2:$A2026, 0),  
    MATCH(H$1, SR!$B$1:$D$1, 0) ), "")
</f>
        <v>0.000662</v>
      </c>
      <c r="I273" s="9">
        <f t="array" ref="I273">IFERROR(
  INDEX(
    SR!$B$2:$D2026,            
    MATCH($A273, SR!$A$2:$A2026, 0),  
    MATCH(I$1, SR!$B$1:$D$1, 0) ), "")
</f>
        <v>0.000999</v>
      </c>
      <c r="J273" s="9">
        <f t="array" ref="J273">IFERROR(
  INDEX(
    SR!$B$2:$D2026,            
    MATCH($A273, SR!$A$2:$A2026, 0),  
    MATCH(J$1, SR!$B$1:$D$1, 0) ), "")
</f>
        <v>0.002105</v>
      </c>
      <c r="K273" s="14"/>
      <c r="L273" s="9">
        <v>130.59</v>
      </c>
      <c r="M273" s="9">
        <v>24.73</v>
      </c>
      <c r="N273" s="9">
        <v>113.15</v>
      </c>
      <c r="O273" s="9">
        <v>132.35001</v>
      </c>
      <c r="P273" s="9">
        <v>138.9</v>
      </c>
      <c r="Q273" s="9">
        <v>1461.4066</v>
      </c>
      <c r="R273" s="14"/>
      <c r="S273" s="12">
        <f t="shared" si="2"/>
        <v>0.001765544135</v>
      </c>
      <c r="T273" s="12">
        <f t="shared" si="3"/>
        <v>1.001765544</v>
      </c>
      <c r="U273" s="16">
        <f t="shared" si="7"/>
        <v>106.1821326</v>
      </c>
      <c r="V273" s="17"/>
      <c r="W273" s="12">
        <f t="array" ref="W273">SQRT(252/20) *  SQRT( SUMSQ( LN(U252:U271 / U251:U270) )  - (1/20) * ( SUM( LN(U252:U271 / U251:U270) ) ^ 2 ) )</f>
        <v>0.03054085848</v>
      </c>
      <c r="X273" s="9">
        <f t="shared" si="4"/>
        <v>1.5</v>
      </c>
      <c r="Y273" s="14"/>
      <c r="Z273" s="12">
        <f t="shared" si="5"/>
        <v>1.002649733</v>
      </c>
      <c r="AA273" s="16">
        <f t="shared" si="8"/>
        <v>109.3588167</v>
      </c>
      <c r="AB273" s="14"/>
      <c r="AC273" s="9">
        <f t="shared" si="6"/>
        <v>46.26</v>
      </c>
    </row>
    <row r="274">
      <c r="A274" s="8">
        <v>42122.0</v>
      </c>
      <c r="B274" s="14"/>
      <c r="C274" s="9">
        <f t="array" ref="C274">IFERROR(
  INDEX(
    IR!$B$2:$E2026,                
    MATCH($A274, IR!$A$2:$A2026, 0), 
    MATCH(C$1, IR!$B$1:$E$1, 0) ), "")
</f>
        <v>-0.00034</v>
      </c>
      <c r="D274" s="9">
        <f t="array" ref="D274">IFERROR(
  INDEX(
    IR!$B$2:$E2026,                
    MATCH($A274, IR!$A$2:$A2026, 0), 
    MATCH(D$1, IR!$B$1:$E$1, 0) ), "")
</f>
        <v>-0.00005</v>
      </c>
      <c r="E274" s="9">
        <f t="array" ref="E274">IFERROR(
  INDEX(
    IR!$B$2:$E2026,                
    MATCH($A274, IR!$A$2:$A2026, 0), 
    MATCH(E$1, IR!$B$1:$E$1, 0) ), "")
</f>
        <v>0.00062</v>
      </c>
      <c r="F274" s="9">
        <f t="array" ref="F274">IFERROR(
  INDEX(
    IR!$B$2:$E2026,                
    MATCH($A274, IR!$A$2:$A2026, 0), 
    MATCH(F$1, IR!$B$1:$E$1, 0) ), "")
</f>
        <v>0.00168</v>
      </c>
      <c r="G274" s="14"/>
      <c r="H274" s="9">
        <f t="array" ref="H274">IFERROR(
  INDEX(
    SR!$B$2:$D2026,            
    MATCH($A274, SR!$A$2:$A2026, 0),  
    MATCH(H$1, SR!$B$1:$D$1, 0) ), "")
</f>
        <v>0.000585</v>
      </c>
      <c r="I274" s="9">
        <f t="array" ref="I274">IFERROR(
  INDEX(
    SR!$B$2:$D2026,            
    MATCH($A274, SR!$A$2:$A2026, 0),  
    MATCH(I$1, SR!$B$1:$D$1, 0) ), "")
</f>
        <v>0.000936</v>
      </c>
      <c r="J274" s="9">
        <f t="array" ref="J274">IFERROR(
  INDEX(
    SR!$B$2:$D2026,            
    MATCH($A274, SR!$A$2:$A2026, 0),  
    MATCH(J$1, SR!$B$1:$D$1, 0) ), "")
</f>
        <v>0.00205</v>
      </c>
      <c r="K274" s="14"/>
      <c r="L274" s="9">
        <v>130.10001</v>
      </c>
      <c r="M274" s="9">
        <v>24.73</v>
      </c>
      <c r="N274" s="9">
        <v>113.19</v>
      </c>
      <c r="O274" s="9">
        <v>133.32001</v>
      </c>
      <c r="P274" s="9">
        <v>138.81</v>
      </c>
      <c r="Q274" s="9">
        <v>1464.1216</v>
      </c>
      <c r="R274" s="14"/>
      <c r="S274" s="12">
        <f t="shared" si="2"/>
        <v>0.000856558143</v>
      </c>
      <c r="T274" s="12">
        <f t="shared" si="3"/>
        <v>1.000856558</v>
      </c>
      <c r="U274" s="16">
        <f t="shared" si="7"/>
        <v>106.2730838</v>
      </c>
      <c r="V274" s="17"/>
      <c r="W274" s="12">
        <f t="array" ref="W274">SQRT(252/20) *  SQRT( SUMSQ( LN(U253:U272 / U252:U271) )  - (1/20) * ( SUM( LN(U253:U272 / U252:U271) ) ^ 2 ) )</f>
        <v>0.03079405219</v>
      </c>
      <c r="X274" s="9">
        <f t="shared" si="4"/>
        <v>1.5</v>
      </c>
      <c r="Y274" s="14"/>
      <c r="Z274" s="12">
        <f t="shared" si="5"/>
        <v>1.001285309</v>
      </c>
      <c r="AA274" s="16">
        <f t="shared" si="8"/>
        <v>109.4993766</v>
      </c>
      <c r="AB274" s="14"/>
      <c r="AC274" s="9">
        <f t="shared" si="6"/>
        <v>47.61</v>
      </c>
    </row>
    <row r="275">
      <c r="A275" s="8">
        <v>42123.0</v>
      </c>
      <c r="B275" s="14"/>
      <c r="C275" s="9">
        <f t="array" ref="C275">IFERROR(
  INDEX(
    IR!$B$2:$E2026,                
    MATCH($A275, IR!$A$2:$A2026, 0), 
    MATCH(C$1, IR!$B$1:$E$1, 0) ), "")
</f>
        <v>-0.00038</v>
      </c>
      <c r="D275" s="9">
        <f t="array" ref="D275">IFERROR(
  INDEX(
    IR!$B$2:$E2026,                
    MATCH($A275, IR!$A$2:$A2026, 0), 
    MATCH(D$1, IR!$B$1:$E$1, 0) ), "")
</f>
        <v>-0.00005</v>
      </c>
      <c r="E275" s="9">
        <f t="array" ref="E275">IFERROR(
  INDEX(
    IR!$B$2:$E2026,                
    MATCH($A275, IR!$A$2:$A2026, 0), 
    MATCH(E$1, IR!$B$1:$E$1, 0) ), "")
</f>
        <v>0.00061</v>
      </c>
      <c r="F275" s="9">
        <f t="array" ref="F275">IFERROR(
  INDEX(
    IR!$B$2:$E2026,                
    MATCH($A275, IR!$A$2:$A2026, 0), 
    MATCH(F$1, IR!$B$1:$E$1, 0) ), "")
</f>
        <v>0.00167</v>
      </c>
      <c r="G275" s="14"/>
      <c r="H275" s="9">
        <f t="array" ref="H275">IFERROR(
  INDEX(
    SR!$B$2:$D2026,            
    MATCH($A275, SR!$A$2:$A2026, 0),  
    MATCH(H$1, SR!$B$1:$D$1, 0) ), "")
</f>
        <v>0.0008</v>
      </c>
      <c r="I275" s="9">
        <f t="array" ref="I275">IFERROR(
  INDEX(
    SR!$B$2:$D2026,            
    MATCH($A275, SR!$A$2:$A2026, 0),  
    MATCH(I$1, SR!$B$1:$D$1, 0) ), "")
</f>
        <v>0.001227</v>
      </c>
      <c r="J275" s="9">
        <f t="array" ref="J275">IFERROR(
  INDEX(
    SR!$B$2:$D2026,            
    MATCH($A275, SR!$A$2:$A2026, 0),  
    MATCH(J$1, SR!$B$1:$D$1, 0) ), "")
</f>
        <v>0.002555</v>
      </c>
      <c r="K275" s="14"/>
      <c r="L275" s="9">
        <v>129.32001</v>
      </c>
      <c r="M275" s="9">
        <v>24.72</v>
      </c>
      <c r="N275" s="9">
        <v>113.19</v>
      </c>
      <c r="O275" s="9">
        <v>132.33</v>
      </c>
      <c r="P275" s="9">
        <v>138.27</v>
      </c>
      <c r="Q275" s="9">
        <v>1459.9992</v>
      </c>
      <c r="R275" s="14"/>
      <c r="S275" s="12">
        <f t="shared" si="2"/>
        <v>-0.003420811912</v>
      </c>
      <c r="T275" s="12">
        <f t="shared" si="3"/>
        <v>0.9965791881</v>
      </c>
      <c r="U275" s="16">
        <f t="shared" si="7"/>
        <v>105.9095436</v>
      </c>
      <c r="V275" s="17"/>
      <c r="W275" s="12">
        <f t="array" ref="W275">SQRT(252/20) *  SQRT( SUMSQ( LN(U254:U273 / U253:U272) )  - (1/20) * ( SUM( LN(U254:U273 / U253:U272) ) ^ 2 ) )</f>
        <v>0.02853972143</v>
      </c>
      <c r="X275" s="9">
        <f t="shared" si="4"/>
        <v>1.5</v>
      </c>
      <c r="Y275" s="14"/>
      <c r="Z275" s="12">
        <f t="shared" si="5"/>
        <v>0.9948692544</v>
      </c>
      <c r="AA275" s="16">
        <f t="shared" si="8"/>
        <v>108.9375631</v>
      </c>
      <c r="AB275" s="14"/>
      <c r="AC275" s="9">
        <f t="shared" si="6"/>
        <v>42.23</v>
      </c>
    </row>
    <row r="276">
      <c r="A276" s="8">
        <v>42124.0</v>
      </c>
      <c r="B276" s="14"/>
      <c r="C276" s="9">
        <f t="array" ref="C276">IFERROR(
  INDEX(
    IR!$B$2:$E2026,                
    MATCH($A276, IR!$A$2:$A2026, 0), 
    MATCH(C$1, IR!$B$1:$E$1, 0) ), "")
</f>
        <v>-0.0004</v>
      </c>
      <c r="D276" s="9">
        <f t="array" ref="D276">IFERROR(
  INDEX(
    IR!$B$2:$E2026,                
    MATCH($A276, IR!$A$2:$A2026, 0), 
    MATCH(D$1, IR!$B$1:$E$1, 0) ), "")
</f>
        <v>-0.00005</v>
      </c>
      <c r="E276" s="9">
        <f t="array" ref="E276">IFERROR(
  INDEX(
    IR!$B$2:$E2026,                
    MATCH($A276, IR!$A$2:$A2026, 0), 
    MATCH(E$1, IR!$B$1:$E$1, 0) ), "")
</f>
        <v>0.00064</v>
      </c>
      <c r="F276" s="9">
        <f t="array" ref="F276">IFERROR(
  INDEX(
    IR!$B$2:$E2026,                
    MATCH($A276, IR!$A$2:$A2026, 0), 
    MATCH(F$1, IR!$B$1:$E$1, 0) ), "")
</f>
        <v>0.00171</v>
      </c>
      <c r="G276" s="14"/>
      <c r="H276" s="9">
        <f t="array" ref="H276">IFERROR(
  INDEX(
    SR!$B$2:$D2026,            
    MATCH($A276, SR!$A$2:$A2026, 0),  
    MATCH(H$1, SR!$B$1:$D$1, 0) ), "")
</f>
        <v>0.00093</v>
      </c>
      <c r="I276" s="9">
        <f t="array" ref="I276">IFERROR(
  INDEX(
    SR!$B$2:$D2026,            
    MATCH($A276, SR!$A$2:$A2026, 0),  
    MATCH(I$1, SR!$B$1:$D$1, 0) ), "")
</f>
        <v>0.00152</v>
      </c>
      <c r="J276" s="9">
        <f t="array" ref="J276">IFERROR(
  INDEX(
    SR!$B$2:$D2026,            
    MATCH($A276, SR!$A$2:$A2026, 0),  
    MATCH(J$1, SR!$B$1:$D$1, 0) ), "")
</f>
        <v>0.002929</v>
      </c>
      <c r="K276" s="14"/>
      <c r="L276" s="9">
        <v>129.13</v>
      </c>
      <c r="M276" s="9">
        <v>24.69</v>
      </c>
      <c r="N276" s="9">
        <v>113.2</v>
      </c>
      <c r="O276" s="9">
        <v>129.96001</v>
      </c>
      <c r="P276" s="9">
        <v>137.25</v>
      </c>
      <c r="Q276" s="9">
        <v>1453.8678</v>
      </c>
      <c r="R276" s="14"/>
      <c r="S276" s="12">
        <f t="shared" si="2"/>
        <v>-0.005345065277</v>
      </c>
      <c r="T276" s="12">
        <f t="shared" si="3"/>
        <v>0.9946549347</v>
      </c>
      <c r="U276" s="16">
        <f t="shared" si="7"/>
        <v>105.3434502</v>
      </c>
      <c r="V276" s="17"/>
      <c r="W276" s="12">
        <f t="array" ref="W276">SQRT(252/20) *  SQRT( SUMSQ( LN(U255:U274 / U254:U273) )  - (1/20) * ( SUM( LN(U255:U274 / U254:U273) ) ^ 2 ) )</f>
        <v>0.02815973938</v>
      </c>
      <c r="X276" s="9">
        <f t="shared" si="4"/>
        <v>1.5</v>
      </c>
      <c r="Y276" s="14"/>
      <c r="Z276" s="12">
        <f t="shared" si="5"/>
        <v>0.9919829299</v>
      </c>
      <c r="AA276" s="16">
        <f t="shared" si="8"/>
        <v>108.0642031</v>
      </c>
      <c r="AB276" s="14"/>
      <c r="AC276" s="9">
        <f t="shared" si="6"/>
        <v>33.88</v>
      </c>
    </row>
    <row r="277">
      <c r="A277" s="8">
        <v>42128.0</v>
      </c>
      <c r="B277" s="14"/>
      <c r="C277" s="9">
        <f t="array" ref="C277">IFERROR(
  INDEX(
    IR!$B$2:$E2026,                
    MATCH($A277, IR!$A$2:$A2026, 0), 
    MATCH(C$1, IR!$B$1:$E$1, 0) ), "")
</f>
        <v>-0.00042</v>
      </c>
      <c r="D277" s="9">
        <f t="array" ref="D277">IFERROR(
  INDEX(
    IR!$B$2:$E2026,                
    MATCH($A277, IR!$A$2:$A2026, 0), 
    MATCH(D$1, IR!$B$1:$E$1, 0) ), "")
</f>
        <v>-0.00007</v>
      </c>
      <c r="E277" s="9">
        <f t="array" ref="E277">IFERROR(
  INDEX(
    IR!$B$2:$E2026,                
    MATCH($A277, IR!$A$2:$A2026, 0), 
    MATCH(E$1, IR!$B$1:$E$1, 0) ), "")
</f>
        <v>0.00064</v>
      </c>
      <c r="F277" s="9">
        <f t="array" ref="F277">IFERROR(
  INDEX(
    IR!$B$2:$E2026,                
    MATCH($A277, IR!$A$2:$A2026, 0), 
    MATCH(F$1, IR!$B$1:$E$1, 0) ), "")
</f>
        <v>0.0017</v>
      </c>
      <c r="G277" s="14"/>
      <c r="H277" s="9">
        <f t="array" ref="H277">IFERROR(
  INDEX(
    SR!$B$2:$D2026,            
    MATCH($A277, SR!$A$2:$A2026, 0),  
    MATCH(H$1, SR!$B$1:$D$1, 0) ), "")
</f>
        <v>0.00101</v>
      </c>
      <c r="I277" s="9">
        <f t="array" ref="I277">IFERROR(
  INDEX(
    SR!$B$2:$D2026,            
    MATCH($A277, SR!$A$2:$A2026, 0),  
    MATCH(I$1, SR!$B$1:$D$1, 0) ), "")
</f>
        <v>0.00163</v>
      </c>
      <c r="J277" s="9">
        <f t="array" ref="J277">IFERROR(
  INDEX(
    SR!$B$2:$D2026,            
    MATCH($A277, SR!$A$2:$A2026, 0),  
    MATCH(J$1, SR!$B$1:$D$1, 0) ), "")
</f>
        <v>0.003504</v>
      </c>
      <c r="K277" s="14"/>
      <c r="L277" s="9">
        <v>129.13</v>
      </c>
      <c r="M277" s="9">
        <v>24.69</v>
      </c>
      <c r="N277" s="9">
        <v>113.24</v>
      </c>
      <c r="O277" s="9">
        <v>129.39999</v>
      </c>
      <c r="P277" s="9">
        <v>137.0</v>
      </c>
      <c r="Q277" s="9">
        <v>1450.8668</v>
      </c>
      <c r="R277" s="14"/>
      <c r="S277" s="12">
        <f t="shared" si="2"/>
        <v>-0.001306593254</v>
      </c>
      <c r="T277" s="12">
        <f t="shared" si="3"/>
        <v>0.9986934067</v>
      </c>
      <c r="U277" s="16">
        <f t="shared" si="7"/>
        <v>105.2058091</v>
      </c>
      <c r="V277" s="17"/>
      <c r="W277" s="12">
        <f t="array" ref="W277">SQRT(252/20) *  SQRT( SUMSQ( LN(U256:U275 / U255:U274) )  - (1/20) * ( SUM( LN(U256:U275 / U255:U274) ) ^ 2 ) )</f>
        <v>0.03109873465</v>
      </c>
      <c r="X277" s="9">
        <f t="shared" si="4"/>
        <v>1.5</v>
      </c>
      <c r="Y277" s="14"/>
      <c r="Z277" s="12">
        <f t="shared" si="5"/>
        <v>0.9980423323</v>
      </c>
      <c r="AA277" s="16">
        <f t="shared" si="8"/>
        <v>107.8526493</v>
      </c>
      <c r="AB277" s="14"/>
      <c r="AC277" s="9">
        <f t="shared" si="6"/>
        <v>31.85</v>
      </c>
    </row>
    <row r="278">
      <c r="A278" s="8">
        <v>42129.0</v>
      </c>
      <c r="B278" s="14"/>
      <c r="C278" s="9">
        <f t="array" ref="C278">IFERROR(
  INDEX(
    IR!$B$2:$E2026,                
    MATCH($A278, IR!$A$2:$A2026, 0), 
    MATCH(C$1, IR!$B$1:$E$1, 0) ), "")
</f>
        <v>-0.00043</v>
      </c>
      <c r="D278" s="9">
        <f t="array" ref="D278">IFERROR(
  INDEX(
    IR!$B$2:$E2026,                
    MATCH($A278, IR!$A$2:$A2026, 0), 
    MATCH(D$1, IR!$B$1:$E$1, 0) ), "")
</f>
        <v>-0.00008</v>
      </c>
      <c r="E278" s="9">
        <f t="array" ref="E278">IFERROR(
  INDEX(
    IR!$B$2:$E2026,                
    MATCH($A278, IR!$A$2:$A2026, 0), 
    MATCH(E$1, IR!$B$1:$E$1, 0) ), "")
</f>
        <v>0.00061</v>
      </c>
      <c r="F278" s="9">
        <f t="array" ref="F278">IFERROR(
  INDEX(
    IR!$B$2:$E2026,                
    MATCH($A278, IR!$A$2:$A2026, 0), 
    MATCH(F$1, IR!$B$1:$E$1, 0) ), "")
</f>
        <v>0.00167</v>
      </c>
      <c r="G278" s="14"/>
      <c r="H278" s="9">
        <f t="array" ref="H278">IFERROR(
  INDEX(
    SR!$B$2:$D2026,            
    MATCH($A278, SR!$A$2:$A2026, 0),  
    MATCH(H$1, SR!$B$1:$D$1, 0) ), "")
</f>
        <v>0.00104</v>
      </c>
      <c r="I278" s="9">
        <f t="array" ref="I278">IFERROR(
  INDEX(
    SR!$B$2:$D2026,            
    MATCH($A278, SR!$A$2:$A2026, 0),  
    MATCH(I$1, SR!$B$1:$D$1, 0) ), "")
</f>
        <v>0.00172</v>
      </c>
      <c r="J278" s="9">
        <f t="array" ref="J278">IFERROR(
  INDEX(
    SR!$B$2:$D2026,            
    MATCH($A278, SR!$A$2:$A2026, 0),  
    MATCH(J$1, SR!$B$1:$D$1, 0) ), "")
</f>
        <v>0.00371</v>
      </c>
      <c r="K278" s="14"/>
      <c r="L278" s="9">
        <v>128.5</v>
      </c>
      <c r="M278" s="9">
        <v>24.69</v>
      </c>
      <c r="N278" s="9">
        <v>113.23</v>
      </c>
      <c r="O278" s="9">
        <v>129.14</v>
      </c>
      <c r="P278" s="9">
        <v>137.17</v>
      </c>
      <c r="Q278" s="9">
        <v>1452.6924</v>
      </c>
      <c r="R278" s="14"/>
      <c r="S278" s="12">
        <f t="shared" si="2"/>
        <v>-0.0007457674563</v>
      </c>
      <c r="T278" s="12">
        <f t="shared" si="3"/>
        <v>0.9992542325</v>
      </c>
      <c r="U278" s="16">
        <f t="shared" si="7"/>
        <v>105.12735</v>
      </c>
      <c r="V278" s="17"/>
      <c r="W278" s="12">
        <f t="array" ref="W278">SQRT(252/20) *  SQRT( SUMSQ( LN(U257:U276 / U256:U275) )  - (1/20) * ( SUM( LN(U257:U276 / U256:U275) ) ^ 2 ) )</f>
        <v>0.03612240184</v>
      </c>
      <c r="X278" s="9">
        <f t="shared" si="4"/>
        <v>1.5</v>
      </c>
      <c r="Y278" s="14"/>
      <c r="Z278" s="12">
        <f t="shared" si="5"/>
        <v>0.9988819321</v>
      </c>
      <c r="AA278" s="16">
        <f t="shared" si="8"/>
        <v>107.7320627</v>
      </c>
      <c r="AB278" s="14"/>
      <c r="AC278" s="9">
        <f t="shared" si="6"/>
        <v>30.7</v>
      </c>
    </row>
    <row r="279">
      <c r="A279" s="8">
        <v>42130.0</v>
      </c>
      <c r="B279" s="14"/>
      <c r="C279" s="9">
        <f t="array" ref="C279">IFERROR(
  INDEX(
    IR!$B$2:$E2026,                
    MATCH($A279, IR!$A$2:$A2026, 0), 
    MATCH(C$1, IR!$B$1:$E$1, 0) ), "")
</f>
        <v>-0.00043</v>
      </c>
      <c r="D279" s="9">
        <f t="array" ref="D279">IFERROR(
  INDEX(
    IR!$B$2:$E2026,                
    MATCH($A279, IR!$A$2:$A2026, 0), 
    MATCH(D$1, IR!$B$1:$E$1, 0) ), "")
</f>
        <v>-0.00008</v>
      </c>
      <c r="E279" s="9">
        <f t="array" ref="E279">IFERROR(
  INDEX(
    IR!$B$2:$E2026,                
    MATCH($A279, IR!$A$2:$A2026, 0), 
    MATCH(E$1, IR!$B$1:$E$1, 0) ), "")
</f>
        <v>0.00062</v>
      </c>
      <c r="F279" s="9">
        <f t="array" ref="F279">IFERROR(
  INDEX(
    IR!$B$2:$E2026,                
    MATCH($A279, IR!$A$2:$A2026, 0), 
    MATCH(F$1, IR!$B$1:$E$1, 0) ), "")
</f>
        <v>0.00169</v>
      </c>
      <c r="G279" s="14"/>
      <c r="H279" s="9">
        <f t="array" ref="H279">IFERROR(
  INDEX(
    SR!$B$2:$D2026,            
    MATCH($A279, SR!$A$2:$A2026, 0),  
    MATCH(H$1, SR!$B$1:$D$1, 0) ), "")
</f>
        <v>0.00102</v>
      </c>
      <c r="I279" s="9">
        <f t="array" ref="I279">IFERROR(
  INDEX(
    SR!$B$2:$D2026,            
    MATCH($A279, SR!$A$2:$A2026, 0),  
    MATCH(I$1, SR!$B$1:$D$1, 0) ), "")
</f>
        <v>0.00181</v>
      </c>
      <c r="J279" s="9">
        <f t="array" ref="J279">IFERROR(
  INDEX(
    SR!$B$2:$D2026,            
    MATCH($A279, SR!$A$2:$A2026, 0),  
    MATCH(J$1, SR!$B$1:$D$1, 0) ), "")
</f>
        <v>0.004079</v>
      </c>
      <c r="K279" s="14"/>
      <c r="L279" s="9">
        <v>128.50999</v>
      </c>
      <c r="M279" s="9">
        <v>24.67</v>
      </c>
      <c r="N279" s="9">
        <v>113.23</v>
      </c>
      <c r="O279" s="9">
        <v>128.3</v>
      </c>
      <c r="P279" s="9">
        <v>136.42</v>
      </c>
      <c r="Q279" s="9">
        <v>1444.1873</v>
      </c>
      <c r="R279" s="14"/>
      <c r="S279" s="12">
        <f t="shared" si="2"/>
        <v>-0.003092557007</v>
      </c>
      <c r="T279" s="12">
        <f t="shared" si="3"/>
        <v>0.996907443</v>
      </c>
      <c r="U279" s="16">
        <f t="shared" si="7"/>
        <v>104.8022377</v>
      </c>
      <c r="V279" s="17"/>
      <c r="W279" s="12">
        <f t="array" ref="W279">SQRT(252/20) *  SQRT( SUMSQ( LN(U258:U277 / U257:U276) )  - (1/20) * ( SUM( LN(U258:U277 / U257:U276) ) ^ 2 ) )</f>
        <v>0.03635583966</v>
      </c>
      <c r="X279" s="9">
        <f t="shared" si="4"/>
        <v>1.5</v>
      </c>
      <c r="Y279" s="14"/>
      <c r="Z279" s="12">
        <f t="shared" si="5"/>
        <v>0.9953617617</v>
      </c>
      <c r="AA279" s="16">
        <f t="shared" si="8"/>
        <v>107.2323757</v>
      </c>
      <c r="AB279" s="14"/>
      <c r="AC279" s="9">
        <f t="shared" si="6"/>
        <v>25.92</v>
      </c>
    </row>
    <row r="280">
      <c r="A280" s="8">
        <v>42131.0</v>
      </c>
      <c r="B280" s="14"/>
      <c r="C280" s="9">
        <f t="array" ref="C280">IFERROR(
  INDEX(
    IR!$B$2:$E2026,                
    MATCH($A280, IR!$A$2:$A2026, 0), 
    MATCH(C$1, IR!$B$1:$E$1, 0) ), "")
</f>
        <v>-0.00043</v>
      </c>
      <c r="D280" s="9">
        <f t="array" ref="D280">IFERROR(
  INDEX(
    IR!$B$2:$E2026,                
    MATCH($A280, IR!$A$2:$A2026, 0), 
    MATCH(D$1, IR!$B$1:$E$1, 0) ), "")
</f>
        <v>-0.00009</v>
      </c>
      <c r="E280" s="9">
        <f t="array" ref="E280">IFERROR(
  INDEX(
    IR!$B$2:$E2026,                
    MATCH($A280, IR!$A$2:$A2026, 0), 
    MATCH(E$1, IR!$B$1:$E$1, 0) ), "")
</f>
        <v>0.00061</v>
      </c>
      <c r="F280" s="9">
        <f t="array" ref="F280">IFERROR(
  INDEX(
    IR!$B$2:$E2026,                
    MATCH($A280, IR!$A$2:$A2026, 0), 
    MATCH(F$1, IR!$B$1:$E$1, 0) ), "")
</f>
        <v>0.00169</v>
      </c>
      <c r="G280" s="14"/>
      <c r="H280" s="9">
        <f t="array" ref="H280">IFERROR(
  INDEX(
    SR!$B$2:$D2026,            
    MATCH($A280, SR!$A$2:$A2026, 0),  
    MATCH(H$1, SR!$B$1:$D$1, 0) ), "")
</f>
        <v>0.000972</v>
      </c>
      <c r="I280" s="9">
        <f t="array" ref="I280">IFERROR(
  INDEX(
    SR!$B$2:$D2026,            
    MATCH($A280, SR!$A$2:$A2026, 0),  
    MATCH(I$1, SR!$B$1:$D$1, 0) ), "")
</f>
        <v>0.001678</v>
      </c>
      <c r="J280" s="9">
        <f t="array" ref="J280">IFERROR(
  INDEX(
    SR!$B$2:$D2026,            
    MATCH($A280, SR!$A$2:$A2026, 0),  
    MATCH(J$1, SR!$B$1:$D$1, 0) ), "")
</f>
        <v>0.003835</v>
      </c>
      <c r="K280" s="14"/>
      <c r="L280" s="9">
        <v>128.3</v>
      </c>
      <c r="M280" s="9">
        <v>24.67</v>
      </c>
      <c r="N280" s="9">
        <v>113.25</v>
      </c>
      <c r="O280" s="9">
        <v>128.28</v>
      </c>
      <c r="P280" s="9">
        <v>136.05</v>
      </c>
      <c r="Q280" s="9">
        <v>1439.0623</v>
      </c>
      <c r="R280" s="14"/>
      <c r="S280" s="12">
        <f t="shared" si="2"/>
        <v>-0.001312198317</v>
      </c>
      <c r="T280" s="12">
        <f t="shared" si="3"/>
        <v>0.9986878017</v>
      </c>
      <c r="U280" s="16">
        <f t="shared" si="7"/>
        <v>104.6647164</v>
      </c>
      <c r="V280" s="17"/>
      <c r="W280" s="12">
        <f t="array" ref="W280">SQRT(252/20) *  SQRT( SUMSQ( LN(U259:U278 / U258:U277) )  - (1/20) * ( SUM( LN(U259:U278 / U258:U277) ) ^ 2 ) )</f>
        <v>0.03634313311</v>
      </c>
      <c r="X280" s="9">
        <f t="shared" si="4"/>
        <v>1.5</v>
      </c>
      <c r="Y280" s="14"/>
      <c r="Z280" s="12">
        <f t="shared" si="5"/>
        <v>0.9980322997</v>
      </c>
      <c r="AA280" s="16">
        <f t="shared" si="8"/>
        <v>107.0213745</v>
      </c>
      <c r="AB280" s="14"/>
      <c r="AC280" s="9">
        <f t="shared" si="6"/>
        <v>23.9</v>
      </c>
    </row>
    <row r="281">
      <c r="A281" s="8">
        <v>42132.0</v>
      </c>
      <c r="B281" s="14"/>
      <c r="C281" s="9">
        <f t="array" ref="C281">IFERROR(
  INDEX(
    IR!$B$2:$E2026,                
    MATCH($A281, IR!$A$2:$A2026, 0), 
    MATCH(C$1, IR!$B$1:$E$1, 0) ), "")
</f>
        <v>-0.00044</v>
      </c>
      <c r="D281" s="9">
        <f t="array" ref="D281">IFERROR(
  INDEX(
    IR!$B$2:$E2026,                
    MATCH($A281, IR!$A$2:$A2026, 0), 
    MATCH(D$1, IR!$B$1:$E$1, 0) ), "")
</f>
        <v>-0.00009</v>
      </c>
      <c r="E281" s="9">
        <f t="array" ref="E281">IFERROR(
  INDEX(
    IR!$B$2:$E2026,                
    MATCH($A281, IR!$A$2:$A2026, 0), 
    MATCH(E$1, IR!$B$1:$E$1, 0) ), "")
</f>
        <v>0.00061</v>
      </c>
      <c r="F281" s="9">
        <f t="array" ref="F281">IFERROR(
  INDEX(
    IR!$B$2:$E2026,                
    MATCH($A281, IR!$A$2:$A2026, 0), 
    MATCH(F$1, IR!$B$1:$E$1, 0) ), "")
</f>
        <v>0.00169</v>
      </c>
      <c r="G281" s="14"/>
      <c r="H281" s="9">
        <f t="array" ref="H281">IFERROR(
  INDEX(
    SR!$B$2:$D2026,            
    MATCH($A281, SR!$A$2:$A2026, 0),  
    MATCH(H$1, SR!$B$1:$D$1, 0) ), "")
</f>
        <v>0.00094</v>
      </c>
      <c r="I281" s="9">
        <f t="array" ref="I281">IFERROR(
  INDEX(
    SR!$B$2:$D2026,            
    MATCH($A281, SR!$A$2:$A2026, 0),  
    MATCH(I$1, SR!$B$1:$D$1, 0) ), "")
</f>
        <v>0.001647</v>
      </c>
      <c r="J281" s="9">
        <f t="array" ref="J281">IFERROR(
  INDEX(
    SR!$B$2:$D2026,            
    MATCH($A281, SR!$A$2:$A2026, 0),  
    MATCH(J$1, SR!$B$1:$D$1, 0) ), "")
</f>
        <v>0.00365</v>
      </c>
      <c r="K281" s="14"/>
      <c r="L281" s="23">
        <v>128.3</v>
      </c>
      <c r="M281" s="9">
        <v>24.69</v>
      </c>
      <c r="N281" s="9">
        <v>113.32</v>
      </c>
      <c r="O281" s="9">
        <v>128.25999</v>
      </c>
      <c r="P281" s="9">
        <v>136.16</v>
      </c>
      <c r="Q281" s="9">
        <v>1441.2743</v>
      </c>
      <c r="R281" s="14"/>
      <c r="S281" s="12">
        <f t="shared" si="2"/>
        <v>0.0006029881849</v>
      </c>
      <c r="T281" s="12">
        <f t="shared" si="3"/>
        <v>1.000602988</v>
      </c>
      <c r="U281" s="16">
        <f t="shared" si="7"/>
        <v>104.727828</v>
      </c>
      <c r="V281" s="17"/>
      <c r="W281" s="12">
        <f t="array" ref="W281">SQRT(252/20) *  SQRT( SUMSQ( LN(U260:U279 / U259:U278) )  - (1/20) * ( SUM( LN(U260:U279 / U259:U278) ) ^ 2 ) )</f>
        <v>0.03757492113</v>
      </c>
      <c r="X281" s="9">
        <f t="shared" si="4"/>
        <v>1.5</v>
      </c>
      <c r="Y281" s="14"/>
      <c r="Z281" s="12">
        <f t="shared" si="5"/>
        <v>1.000905079</v>
      </c>
      <c r="AA281" s="16">
        <f t="shared" si="8"/>
        <v>107.1182374</v>
      </c>
      <c r="AB281" s="14"/>
      <c r="AC281" s="9">
        <f t="shared" si="6"/>
        <v>24.83</v>
      </c>
    </row>
    <row r="282">
      <c r="A282" s="8">
        <v>42135.0</v>
      </c>
      <c r="B282" s="14"/>
      <c r="C282" s="9">
        <f t="array" ref="C282">IFERROR(
  INDEX(
    IR!$B$2:$E2026,                
    MATCH($A282, IR!$A$2:$A2026, 0), 
    MATCH(C$1, IR!$B$1:$E$1, 0) ), "")
</f>
        <v>-0.00045</v>
      </c>
      <c r="D282" s="9">
        <f t="array" ref="D282">IFERROR(
  INDEX(
    IR!$B$2:$E2026,                
    MATCH($A282, IR!$A$2:$A2026, 0), 
    MATCH(D$1, IR!$B$1:$E$1, 0) ), "")
</f>
        <v>-0.00009</v>
      </c>
      <c r="E282" s="9">
        <f t="array" ref="E282">IFERROR(
  INDEX(
    IR!$B$2:$E2026,                
    MATCH($A282, IR!$A$2:$A2026, 0), 
    MATCH(E$1, IR!$B$1:$E$1, 0) ), "")
</f>
        <v>0.00061</v>
      </c>
      <c r="F282" s="9">
        <f t="array" ref="F282">IFERROR(
  INDEX(
    IR!$B$2:$E2026,                
    MATCH($A282, IR!$A$2:$A2026, 0), 
    MATCH(F$1, IR!$B$1:$E$1, 0) ), "")
</f>
        <v>0.00168</v>
      </c>
      <c r="G282" s="14"/>
      <c r="H282" s="9">
        <f t="array" ref="H282">IFERROR(
  INDEX(
    SR!$B$2:$D2026,            
    MATCH($A282, SR!$A$2:$A2026, 0),  
    MATCH(H$1, SR!$B$1:$D$1, 0) ), "")
</f>
        <v>0.001015</v>
      </c>
      <c r="I282" s="9">
        <f t="array" ref="I282">IFERROR(
  INDEX(
    SR!$B$2:$D2026,            
    MATCH($A282, SR!$A$2:$A2026, 0),  
    MATCH(I$1, SR!$B$1:$D$1, 0) ), "")
</f>
        <v>0.00182</v>
      </c>
      <c r="J282" s="9">
        <f t="array" ref="J282">IFERROR(
  INDEX(
    SR!$B$2:$D2026,            
    MATCH($A282, SR!$A$2:$A2026, 0),  
    MATCH(J$1, SR!$B$1:$D$1, 0) ), "")
</f>
        <v>0.00402</v>
      </c>
      <c r="K282" s="14"/>
      <c r="L282" s="9">
        <v>129.53</v>
      </c>
      <c r="M282" s="9">
        <v>24.7</v>
      </c>
      <c r="N282" s="9">
        <v>113.35</v>
      </c>
      <c r="O282" s="9">
        <v>128.96001</v>
      </c>
      <c r="P282" s="9">
        <v>136.83</v>
      </c>
      <c r="Q282" s="9">
        <v>1450.1668</v>
      </c>
      <c r="R282" s="14"/>
      <c r="S282" s="12">
        <f t="shared" si="2"/>
        <v>0.004466339039</v>
      </c>
      <c r="T282" s="12">
        <f t="shared" si="3"/>
        <v>1.004466339</v>
      </c>
      <c r="U282" s="16">
        <f t="shared" si="7"/>
        <v>105.195578</v>
      </c>
      <c r="V282" s="17"/>
      <c r="W282" s="12">
        <f t="array" ref="W282">SQRT(252/20) *  SQRT( SUMSQ( LN(U261:U280 / U260:U279) )  - (1/20) * ( SUM( LN(U261:U280 / U260:U279) ) ^ 2 ) )</f>
        <v>0.03589253544</v>
      </c>
      <c r="X282" s="9">
        <f t="shared" si="4"/>
        <v>1.5</v>
      </c>
      <c r="Y282" s="14"/>
      <c r="Z282" s="12">
        <f t="shared" si="5"/>
        <v>1.006701342</v>
      </c>
      <c r="AA282" s="16">
        <f t="shared" si="8"/>
        <v>107.8360733</v>
      </c>
      <c r="AB282" s="14"/>
      <c r="AC282" s="9">
        <f t="shared" si="6"/>
        <v>31.7</v>
      </c>
    </row>
    <row r="283">
      <c r="A283" s="8">
        <v>42136.0</v>
      </c>
      <c r="B283" s="14"/>
      <c r="C283" s="9">
        <f t="array" ref="C283">IFERROR(
  INDEX(
    IR!$B$2:$E2026,                
    MATCH($A283, IR!$A$2:$A2026, 0), 
    MATCH(C$1, IR!$B$1:$E$1, 0) ), "")
</f>
        <v>-0.00048</v>
      </c>
      <c r="D283" s="9">
        <f t="array" ref="D283">IFERROR(
  INDEX(
    IR!$B$2:$E2026,                
    MATCH($A283, IR!$A$2:$A2026, 0), 
    MATCH(D$1, IR!$B$1:$E$1, 0) ), "")
</f>
        <v>-0.00009</v>
      </c>
      <c r="E283" s="9">
        <f t="array" ref="E283">IFERROR(
  INDEX(
    IR!$B$2:$E2026,                
    MATCH($A283, IR!$A$2:$A2026, 0), 
    MATCH(E$1, IR!$B$1:$E$1, 0) ), "")
</f>
        <v>0.00061</v>
      </c>
      <c r="F283" s="9">
        <f t="array" ref="F283">IFERROR(
  INDEX(
    IR!$B$2:$E2026,                
    MATCH($A283, IR!$A$2:$A2026, 0), 
    MATCH(F$1, IR!$B$1:$E$1, 0) ), "")
</f>
        <v>0.00169</v>
      </c>
      <c r="G283" s="14"/>
      <c r="H283" s="9">
        <f t="array" ref="H283">IFERROR(
  INDEX(
    SR!$B$2:$D2026,            
    MATCH($A283, SR!$A$2:$A2026, 0),  
    MATCH(H$1, SR!$B$1:$D$1, 0) ), "")
</f>
        <v>0.00109</v>
      </c>
      <c r="I283" s="9">
        <f t="array" ref="I283">IFERROR(
  INDEX(
    SR!$B$2:$D2026,            
    MATCH($A283, SR!$A$2:$A2026, 0),  
    MATCH(I$1, SR!$B$1:$D$1, 0) ), "")
</f>
        <v>0.00188</v>
      </c>
      <c r="J283" s="9">
        <f t="array" ref="J283">IFERROR(
  INDEX(
    SR!$B$2:$D2026,            
    MATCH($A283, SR!$A$2:$A2026, 0),  
    MATCH(J$1, SR!$B$1:$D$1, 0) ), "")
</f>
        <v>0.00426</v>
      </c>
      <c r="K283" s="14"/>
      <c r="L283" s="9">
        <v>129.13</v>
      </c>
      <c r="M283" s="9">
        <v>24.69</v>
      </c>
      <c r="N283" s="9">
        <v>113.36</v>
      </c>
      <c r="O283" s="9">
        <v>128.78999</v>
      </c>
      <c r="P283" s="9">
        <v>136.71</v>
      </c>
      <c r="Q283" s="9">
        <v>1449.7764</v>
      </c>
      <c r="R283" s="14"/>
      <c r="S283" s="12">
        <f t="shared" si="2"/>
        <v>-0.0009778569571</v>
      </c>
      <c r="T283" s="12">
        <f t="shared" si="3"/>
        <v>0.999022143</v>
      </c>
      <c r="U283" s="16">
        <f t="shared" si="7"/>
        <v>105.0927117</v>
      </c>
      <c r="V283" s="17"/>
      <c r="W283" s="12">
        <f t="array" ref="W283">SQRT(252/20) *  SQRT( SUMSQ( LN(U262:U281 / U261:U280) )  - (1/20) * ( SUM( LN(U262:U281 / U261:U280) ) ^ 2 ) )</f>
        <v>0.03506132094</v>
      </c>
      <c r="X283" s="9">
        <f t="shared" si="4"/>
        <v>1.5</v>
      </c>
      <c r="Y283" s="14"/>
      <c r="Z283" s="12">
        <f t="shared" si="5"/>
        <v>0.9985338396</v>
      </c>
      <c r="AA283" s="16">
        <f t="shared" si="8"/>
        <v>107.6779683</v>
      </c>
      <c r="AB283" s="14"/>
      <c r="AC283" s="9">
        <f t="shared" si="6"/>
        <v>30.18</v>
      </c>
    </row>
    <row r="284">
      <c r="A284" s="8">
        <v>42137.0</v>
      </c>
      <c r="B284" s="14"/>
      <c r="C284" s="9">
        <f t="array" ref="C284">IFERROR(
  INDEX(
    IR!$B$2:$E2026,                
    MATCH($A284, IR!$A$2:$A2026, 0), 
    MATCH(C$1, IR!$B$1:$E$1, 0) ), "")
</f>
        <v>-0.00048</v>
      </c>
      <c r="D284" s="9">
        <f t="array" ref="D284">IFERROR(
  INDEX(
    IR!$B$2:$E2026,                
    MATCH($A284, IR!$A$2:$A2026, 0), 
    MATCH(D$1, IR!$B$1:$E$1, 0) ), "")
</f>
        <v>-0.00009</v>
      </c>
      <c r="E284" s="9">
        <f t="array" ref="E284">IFERROR(
  INDEX(
    IR!$B$2:$E2026,                
    MATCH($A284, IR!$A$2:$A2026, 0), 
    MATCH(E$1, IR!$B$1:$E$1, 0) ), "")
</f>
        <v>0.0006</v>
      </c>
      <c r="F284" s="9">
        <f t="array" ref="F284">IFERROR(
  INDEX(
    IR!$B$2:$E2026,                
    MATCH($A284, IR!$A$2:$A2026, 0), 
    MATCH(F$1, IR!$B$1:$E$1, 0) ), "")
</f>
        <v>0.00169</v>
      </c>
      <c r="G284" s="14"/>
      <c r="H284" s="9">
        <f t="array" ref="H284">IFERROR(
  INDEX(
    SR!$B$2:$D2026,            
    MATCH($A284, SR!$A$2:$A2026, 0),  
    MATCH(H$1, SR!$B$1:$D$1, 0) ), "")
</f>
        <v>0.00125</v>
      </c>
      <c r="I284" s="9">
        <f t="array" ref="I284">IFERROR(
  INDEX(
    SR!$B$2:$D2026,            
    MATCH($A284, SR!$A$2:$A2026, 0),  
    MATCH(I$1, SR!$B$1:$D$1, 0) ), "")
</f>
        <v>0.00201</v>
      </c>
      <c r="J284" s="9">
        <f t="array" ref="J284">IFERROR(
  INDEX(
    SR!$B$2:$D2026,            
    MATCH($A284, SR!$A$2:$A2026, 0),  
    MATCH(J$1, SR!$B$1:$D$1, 0) ), "")
</f>
        <v>0.004295</v>
      </c>
      <c r="K284" s="14"/>
      <c r="L284" s="9">
        <v>129.14</v>
      </c>
      <c r="M284" s="9">
        <v>24.68</v>
      </c>
      <c r="N284" s="9">
        <v>113.28</v>
      </c>
      <c r="O284" s="9">
        <v>127.81</v>
      </c>
      <c r="P284" s="9">
        <v>136.22</v>
      </c>
      <c r="Q284" s="9">
        <v>1447.2701</v>
      </c>
      <c r="R284" s="14"/>
      <c r="S284" s="12">
        <f t="shared" si="2"/>
        <v>-0.002325156735</v>
      </c>
      <c r="T284" s="12">
        <f t="shared" si="3"/>
        <v>0.9976748433</v>
      </c>
      <c r="U284" s="16">
        <f t="shared" si="7"/>
        <v>104.8483547</v>
      </c>
      <c r="V284" s="17"/>
      <c r="W284" s="12">
        <f t="array" ref="W284">SQRT(252/20) *  SQRT( SUMSQ( LN(U263:U282 / U262:U281) )  - (1/20) * ( SUM( LN(U263:U282 / U262:U281) ) ^ 2 ) )</f>
        <v>0.03765832126</v>
      </c>
      <c r="X284" s="9">
        <f t="shared" si="4"/>
        <v>1.5</v>
      </c>
      <c r="Y284" s="14"/>
      <c r="Z284" s="12">
        <f t="shared" si="5"/>
        <v>0.9965129316</v>
      </c>
      <c r="AA284" s="16">
        <f t="shared" si="8"/>
        <v>107.3024879</v>
      </c>
      <c r="AB284" s="14"/>
      <c r="AC284" s="9">
        <f t="shared" si="6"/>
        <v>26.59</v>
      </c>
    </row>
    <row r="285">
      <c r="A285" s="8">
        <v>42139.0</v>
      </c>
      <c r="B285" s="14"/>
      <c r="C285" s="9">
        <f t="array" ref="C285">IFERROR(
  INDEX(
    IR!$B$2:$E2026,                
    MATCH($A285, IR!$A$2:$A2026, 0), 
    MATCH(C$1, IR!$B$1:$E$1, 0) ), "")
</f>
        <v>-0.0005</v>
      </c>
      <c r="D285" s="9">
        <f t="array" ref="D285">IFERROR(
  INDEX(
    IR!$B$2:$E2026,                
    MATCH($A285, IR!$A$2:$A2026, 0), 
    MATCH(D$1, IR!$B$1:$E$1, 0) ), "")
</f>
        <v>-0.0001</v>
      </c>
      <c r="E285" s="9">
        <f t="array" ref="E285">IFERROR(
  INDEX(
    IR!$B$2:$E2026,                
    MATCH($A285, IR!$A$2:$A2026, 0), 
    MATCH(E$1, IR!$B$1:$E$1, 0) ), "")
</f>
        <v>0.00058</v>
      </c>
      <c r="F285" s="9">
        <f t="array" ref="F285">IFERROR(
  INDEX(
    IR!$B$2:$E2026,                
    MATCH($A285, IR!$A$2:$A2026, 0), 
    MATCH(F$1, IR!$B$1:$E$1, 0) ), "")
</f>
        <v>0.00167</v>
      </c>
      <c r="G285" s="14"/>
      <c r="H285" s="9">
        <f t="array" ref="H285">IFERROR(
  INDEX(
    SR!$B$2:$D2026,            
    MATCH($A285, SR!$A$2:$A2026, 0),  
    MATCH(H$1, SR!$B$1:$D$1, 0) ), "")
</f>
        <v>0.00113</v>
      </c>
      <c r="I285" s="9">
        <f t="array" ref="I285">IFERROR(
  INDEX(
    SR!$B$2:$D2026,            
    MATCH($A285, SR!$A$2:$A2026, 0),  
    MATCH(I$1, SR!$B$1:$D$1, 0) ), "")
</f>
        <v>0.00187</v>
      </c>
      <c r="J285" s="9">
        <f t="array" ref="J285">IFERROR(
  INDEX(
    SR!$B$2:$D2026,            
    MATCH($A285, SR!$A$2:$A2026, 0),  
    MATCH(J$1, SR!$B$1:$D$1, 0) ), "")
</f>
        <v>0.004044</v>
      </c>
      <c r="K285" s="14"/>
      <c r="L285" s="9">
        <v>129.41</v>
      </c>
      <c r="M285" s="9">
        <v>24.67</v>
      </c>
      <c r="N285" s="9">
        <v>113.37</v>
      </c>
      <c r="O285" s="9">
        <v>127.25</v>
      </c>
      <c r="P285" s="9">
        <v>136.44</v>
      </c>
      <c r="Q285" s="9">
        <v>1452.5739</v>
      </c>
      <c r="R285" s="14"/>
      <c r="S285" s="12">
        <f t="shared" si="2"/>
        <v>0.0005631883588</v>
      </c>
      <c r="T285" s="12">
        <f t="shared" si="3"/>
        <v>1.000563188</v>
      </c>
      <c r="U285" s="16">
        <f t="shared" si="7"/>
        <v>104.9074041</v>
      </c>
      <c r="V285" s="17"/>
      <c r="W285" s="12">
        <f t="array" ref="W285">SQRT(252/20) *  SQRT( SUMSQ( LN(U264:U283 / U263:U282) )  - (1/20) * ( SUM( LN(U264:U283 / U263:U282) ) ^ 2 ) )</f>
        <v>0.03597578633</v>
      </c>
      <c r="X285" s="9">
        <f t="shared" si="4"/>
        <v>1.5</v>
      </c>
      <c r="Y285" s="14"/>
      <c r="Z285" s="12">
        <f t="shared" si="5"/>
        <v>1.000846116</v>
      </c>
      <c r="AA285" s="16">
        <f t="shared" si="8"/>
        <v>107.3932782</v>
      </c>
      <c r="AB285" s="14"/>
      <c r="AC285" s="9">
        <f t="shared" si="6"/>
        <v>27.46</v>
      </c>
    </row>
    <row r="286">
      <c r="A286" s="8">
        <v>42142.0</v>
      </c>
      <c r="B286" s="14"/>
      <c r="C286" s="9">
        <f t="array" ref="C286">IFERROR(
  INDEX(
    IR!$B$2:$E2026,                
    MATCH($A286, IR!$A$2:$A2026, 0), 
    MATCH(C$1, IR!$B$1:$E$1, 0) ), "")
</f>
        <v>-0.00051</v>
      </c>
      <c r="D286" s="9">
        <f t="array" ref="D286">IFERROR(
  INDEX(
    IR!$B$2:$E2026,                
    MATCH($A286, IR!$A$2:$A2026, 0), 
    MATCH(D$1, IR!$B$1:$E$1, 0) ), "")
</f>
        <v>-0.00011</v>
      </c>
      <c r="E286" s="9">
        <f t="array" ref="E286">IFERROR(
  INDEX(
    IR!$B$2:$E2026,                
    MATCH($A286, IR!$A$2:$A2026, 0), 
    MATCH(E$1, IR!$B$1:$E$1, 0) ), "")
</f>
        <v>0.00056</v>
      </c>
      <c r="F286" s="9">
        <f t="array" ref="F286">IFERROR(
  INDEX(
    IR!$B$2:$E2026,                
    MATCH($A286, IR!$A$2:$A2026, 0), 
    MATCH(F$1, IR!$B$1:$E$1, 0) ), "")
</f>
        <v>0.00168</v>
      </c>
      <c r="G286" s="14"/>
      <c r="H286" s="9">
        <f t="array" ref="H286">IFERROR(
  INDEX(
    SR!$B$2:$D2026,            
    MATCH($A286, SR!$A$2:$A2026, 0),  
    MATCH(H$1, SR!$B$1:$D$1, 0) ), "")
</f>
        <v>0.00115</v>
      </c>
      <c r="I286" s="9">
        <f t="array" ref="I286">IFERROR(
  INDEX(
    SR!$B$2:$D2026,            
    MATCH($A286, SR!$A$2:$A2026, 0),  
    MATCH(I$1, SR!$B$1:$D$1, 0) ), "")
</f>
        <v>0.00192</v>
      </c>
      <c r="J286" s="9">
        <f t="array" ref="J286">IFERROR(
  INDEX(
    SR!$B$2:$D2026,            
    MATCH($A286, SR!$A$2:$A2026, 0),  
    MATCH(J$1, SR!$B$1:$D$1, 0) ), "")
</f>
        <v>0.004107</v>
      </c>
      <c r="K286" s="14"/>
      <c r="L286" s="9">
        <v>129.45</v>
      </c>
      <c r="M286" s="9">
        <v>24.68</v>
      </c>
      <c r="N286" s="9">
        <v>113.31</v>
      </c>
      <c r="O286" s="9">
        <v>127.63</v>
      </c>
      <c r="P286" s="9">
        <v>136.43</v>
      </c>
      <c r="Q286" s="9">
        <v>1454.701</v>
      </c>
      <c r="R286" s="14"/>
      <c r="S286" s="12">
        <f t="shared" si="2"/>
        <v>0.0007602633653</v>
      </c>
      <c r="T286" s="12">
        <f t="shared" si="3"/>
        <v>1.000760263</v>
      </c>
      <c r="U286" s="16">
        <f t="shared" si="7"/>
        <v>104.9871614</v>
      </c>
      <c r="V286" s="17"/>
      <c r="W286" s="12">
        <f t="array" ref="W286">SQRT(252/20) *  SQRT( SUMSQ( LN(U265:U284 / U264:U283) )  - (1/20) * ( SUM( LN(U265:U284 / U264:U283) ) ^ 2 ) )</f>
        <v>0.036340984</v>
      </c>
      <c r="X286" s="9">
        <f t="shared" si="4"/>
        <v>1.5</v>
      </c>
      <c r="Y286" s="14"/>
      <c r="Z286" s="12">
        <f t="shared" si="5"/>
        <v>1.001142478</v>
      </c>
      <c r="AA286" s="16">
        <f t="shared" si="8"/>
        <v>107.5159727</v>
      </c>
      <c r="AB286" s="14"/>
      <c r="AC286" s="9">
        <f t="shared" si="6"/>
        <v>28.63</v>
      </c>
    </row>
    <row r="287">
      <c r="A287" s="8">
        <v>42143.0</v>
      </c>
      <c r="B287" s="14"/>
      <c r="C287" s="9">
        <f t="array" ref="C287">IFERROR(
  INDEX(
    IR!$B$2:$E2026,                
    MATCH($A287, IR!$A$2:$A2026, 0), 
    MATCH(C$1, IR!$B$1:$E$1, 0) ), "")
</f>
        <v>-0.00052</v>
      </c>
      <c r="D287" s="9">
        <f t="array" ref="D287">IFERROR(
  INDEX(
    IR!$B$2:$E2026,                
    MATCH($A287, IR!$A$2:$A2026, 0), 
    MATCH(D$1, IR!$B$1:$E$1, 0) ), "")
</f>
        <v>-0.00012</v>
      </c>
      <c r="E287" s="9">
        <f t="array" ref="E287">IFERROR(
  INDEX(
    IR!$B$2:$E2026,                
    MATCH($A287, IR!$A$2:$A2026, 0), 
    MATCH(E$1, IR!$B$1:$E$1, 0) ), "")
</f>
        <v>0.00057</v>
      </c>
      <c r="F287" s="9">
        <f t="array" ref="F287">IFERROR(
  INDEX(
    IR!$B$2:$E2026,                
    MATCH($A287, IR!$A$2:$A2026, 0), 
    MATCH(F$1, IR!$B$1:$E$1, 0) ), "")
</f>
        <v>0.00164</v>
      </c>
      <c r="G287" s="14"/>
      <c r="H287" s="9">
        <f t="array" ref="H287">IFERROR(
  INDEX(
    SR!$B$2:$D2026,            
    MATCH($A287, SR!$A$2:$A2026, 0),  
    MATCH(H$1, SR!$B$1:$D$1, 0) ), "")
</f>
        <v>0.00106</v>
      </c>
      <c r="I287" s="9">
        <f t="array" ref="I287">IFERROR(
  INDEX(
    SR!$B$2:$D2026,            
    MATCH($A287, SR!$A$2:$A2026, 0),  
    MATCH(I$1, SR!$B$1:$D$1, 0) ), "")
</f>
        <v>0.001794</v>
      </c>
      <c r="J287" s="9">
        <f t="array" ref="J287">IFERROR(
  INDEX(
    SR!$B$2:$D2026,            
    MATCH($A287, SR!$A$2:$A2026, 0),  
    MATCH(J$1, SR!$B$1:$D$1, 0) ), "")
</f>
        <v>0.003934</v>
      </c>
      <c r="K287" s="14"/>
      <c r="L287" s="9">
        <v>130.13</v>
      </c>
      <c r="M287" s="9">
        <v>24.7</v>
      </c>
      <c r="N287" s="9">
        <v>113.29</v>
      </c>
      <c r="O287" s="9">
        <v>128.31</v>
      </c>
      <c r="P287" s="9">
        <v>136.55</v>
      </c>
      <c r="Q287" s="9">
        <v>1457.4031</v>
      </c>
      <c r="R287" s="14"/>
      <c r="S287" s="12">
        <f t="shared" si="2"/>
        <v>0.002324560177</v>
      </c>
      <c r="T287" s="12">
        <f t="shared" si="3"/>
        <v>1.00232456</v>
      </c>
      <c r="U287" s="16">
        <f t="shared" si="7"/>
        <v>105.2312103</v>
      </c>
      <c r="V287" s="17"/>
      <c r="W287" s="12">
        <f t="array" ref="W287">SQRT(252/20) *  SQRT( SUMSQ( LN(U266:U285 / U265:U284) )  - (1/20) * ( SUM( LN(U266:U285 / U265:U284) ) ^ 2 ) )</f>
        <v>0.03663912145</v>
      </c>
      <c r="X287" s="9">
        <f t="shared" si="4"/>
        <v>1.5</v>
      </c>
      <c r="Y287" s="14"/>
      <c r="Z287" s="12">
        <f t="shared" si="5"/>
        <v>1.003487549</v>
      </c>
      <c r="AA287" s="16">
        <f t="shared" si="8"/>
        <v>107.8909399</v>
      </c>
      <c r="AB287" s="14"/>
      <c r="AC287" s="9">
        <f t="shared" si="6"/>
        <v>32.22</v>
      </c>
    </row>
    <row r="288">
      <c r="A288" s="8">
        <v>42144.0</v>
      </c>
      <c r="B288" s="14"/>
      <c r="C288" s="9">
        <f t="array" ref="C288">IFERROR(
  INDEX(
    IR!$B$2:$E2026,                
    MATCH($A288, IR!$A$2:$A2026, 0), 
    MATCH(C$1, IR!$B$1:$E$1, 0) ), "")
</f>
        <v>-0.00052</v>
      </c>
      <c r="D288" s="9">
        <f t="array" ref="D288">IFERROR(
  INDEX(
    IR!$B$2:$E2026,                
    MATCH($A288, IR!$A$2:$A2026, 0), 
    MATCH(D$1, IR!$B$1:$E$1, 0) ), "")
</f>
        <v>-0.00012</v>
      </c>
      <c r="E288" s="9">
        <f t="array" ref="E288">IFERROR(
  INDEX(
    IR!$B$2:$E2026,                
    MATCH($A288, IR!$A$2:$A2026, 0), 
    MATCH(E$1, IR!$B$1:$E$1, 0) ), "")
</f>
        <v>0.00055</v>
      </c>
      <c r="F288" s="9">
        <f t="array" ref="F288">IFERROR(
  INDEX(
    IR!$B$2:$E2026,                
    MATCH($A288, IR!$A$2:$A2026, 0), 
    MATCH(F$1, IR!$B$1:$E$1, 0) ), "")
</f>
        <v>0.00162</v>
      </c>
      <c r="G288" s="14"/>
      <c r="H288" s="9">
        <f t="array" ref="H288">IFERROR(
  INDEX(
    SR!$B$2:$D2026,            
    MATCH($A288, SR!$A$2:$A2026, 0),  
    MATCH(H$1, SR!$B$1:$D$1, 0) ), "")
</f>
        <v>0.00103</v>
      </c>
      <c r="I288" s="9">
        <f t="array" ref="I288">IFERROR(
  INDEX(
    SR!$B$2:$D2026,            
    MATCH($A288, SR!$A$2:$A2026, 0),  
    MATCH(I$1, SR!$B$1:$D$1, 0) ), "")
</f>
        <v>0.00178</v>
      </c>
      <c r="J288" s="9">
        <f t="array" ref="J288">IFERROR(
  INDEX(
    SR!$B$2:$D2026,            
    MATCH($A288, SR!$A$2:$A2026, 0),  
    MATCH(J$1, SR!$B$1:$D$1, 0) ), "")
</f>
        <v>0.003963</v>
      </c>
      <c r="K288" s="14"/>
      <c r="L288" s="9">
        <v>130.08</v>
      </c>
      <c r="M288" s="9">
        <v>24.71</v>
      </c>
      <c r="N288" s="9">
        <v>113.28</v>
      </c>
      <c r="O288" s="9">
        <v>129.64999</v>
      </c>
      <c r="P288" s="9">
        <v>137.15</v>
      </c>
      <c r="Q288" s="9">
        <v>1459.5625</v>
      </c>
      <c r="R288" s="14"/>
      <c r="S288" s="12">
        <f t="shared" si="2"/>
        <v>0.002707632881</v>
      </c>
      <c r="T288" s="12">
        <f t="shared" si="3"/>
        <v>1.002707633</v>
      </c>
      <c r="U288" s="16">
        <f t="shared" si="7"/>
        <v>105.5161378</v>
      </c>
      <c r="V288" s="17"/>
      <c r="W288" s="12">
        <f t="array" ref="W288">SQRT(252/20) *  SQRT( SUMSQ( LN(U267:U286 / U266:U285) )  - (1/20) * ( SUM( LN(U267:U286 / U266:U285) ) ^ 2 ) )</f>
        <v>0.03652414893</v>
      </c>
      <c r="X288" s="9">
        <f t="shared" si="4"/>
        <v>1.5</v>
      </c>
      <c r="Y288" s="14"/>
      <c r="Z288" s="12">
        <f t="shared" si="5"/>
        <v>1.004062172</v>
      </c>
      <c r="AA288" s="16">
        <f t="shared" si="8"/>
        <v>108.3292114</v>
      </c>
      <c r="AB288" s="14"/>
      <c r="AC288" s="9">
        <f t="shared" si="6"/>
        <v>36.41</v>
      </c>
    </row>
    <row r="289">
      <c r="A289" s="8">
        <v>42145.0</v>
      </c>
      <c r="B289" s="14"/>
      <c r="C289" s="9">
        <f t="array" ref="C289">IFERROR(
  INDEX(
    IR!$B$2:$E2026,                
    MATCH($A289, IR!$A$2:$A2026, 0), 
    MATCH(C$1, IR!$B$1:$E$1, 0) ), "")
</f>
        <v>-0.00052</v>
      </c>
      <c r="D289" s="9">
        <f t="array" ref="D289">IFERROR(
  INDEX(
    IR!$B$2:$E2026,                
    MATCH($A289, IR!$A$2:$A2026, 0), 
    MATCH(D$1, IR!$B$1:$E$1, 0) ), "")
</f>
        <v>-0.00012</v>
      </c>
      <c r="E289" s="9">
        <f t="array" ref="E289">IFERROR(
  INDEX(
    IR!$B$2:$E2026,                
    MATCH($A289, IR!$A$2:$A2026, 0), 
    MATCH(E$1, IR!$B$1:$E$1, 0) ), "")
</f>
        <v>0.00054</v>
      </c>
      <c r="F289" s="9">
        <f t="array" ref="F289">IFERROR(
  INDEX(
    IR!$B$2:$E2026,                
    MATCH($A289, IR!$A$2:$A2026, 0), 
    MATCH(F$1, IR!$B$1:$E$1, 0) ), "")
</f>
        <v>0.00162</v>
      </c>
      <c r="G289" s="14"/>
      <c r="H289" s="9">
        <f t="array" ref="H289">IFERROR(
  INDEX(
    SR!$B$2:$D2026,            
    MATCH($A289, SR!$A$2:$A2026, 0),  
    MATCH(H$1, SR!$B$1:$D$1, 0) ), "")
</f>
        <v>0.00105</v>
      </c>
      <c r="I289" s="9">
        <f t="array" ref="I289">IFERROR(
  INDEX(
    SR!$B$2:$D2026,            
    MATCH($A289, SR!$A$2:$A2026, 0),  
    MATCH(I$1, SR!$B$1:$D$1, 0) ), "")
</f>
        <v>0.001798</v>
      </c>
      <c r="J289" s="9">
        <f t="array" ref="J289">IFERROR(
  INDEX(
    SR!$B$2:$D2026,            
    MATCH($A289, SR!$A$2:$A2026, 0),  
    MATCH(J$1, SR!$B$1:$D$1, 0) ), "")
</f>
        <v>0.004054</v>
      </c>
      <c r="K289" s="14"/>
      <c r="L289" s="9">
        <v>130.12</v>
      </c>
      <c r="M289" s="9">
        <v>24.71</v>
      </c>
      <c r="N289" s="9">
        <v>113.29</v>
      </c>
      <c r="O289" s="9">
        <v>129.53</v>
      </c>
      <c r="P289" s="9">
        <v>137.14</v>
      </c>
      <c r="Q289" s="9">
        <v>1456.3718</v>
      </c>
      <c r="R289" s="14"/>
      <c r="S289" s="12">
        <f t="shared" si="2"/>
        <v>-0.0004648144885</v>
      </c>
      <c r="T289" s="12">
        <f t="shared" si="3"/>
        <v>0.9995351855</v>
      </c>
      <c r="U289" s="16">
        <f t="shared" si="7"/>
        <v>105.4670924</v>
      </c>
      <c r="V289" s="17"/>
      <c r="W289" s="12">
        <f t="array" ref="W289">SQRT(252/20) *  SQRT( SUMSQ( LN(U268:U287 / U267:U286) )  - (1/20) * ( SUM( LN(U268:U287 / U267:U286) ) ^ 2 ) )</f>
        <v>0.03678046363</v>
      </c>
      <c r="X289" s="9">
        <f t="shared" si="4"/>
        <v>1.5</v>
      </c>
      <c r="Y289" s="14"/>
      <c r="Z289" s="12">
        <f t="shared" si="5"/>
        <v>0.9993035005</v>
      </c>
      <c r="AA289" s="16">
        <f t="shared" si="8"/>
        <v>108.2537602</v>
      </c>
      <c r="AB289" s="14"/>
      <c r="AC289" s="9">
        <f t="shared" si="6"/>
        <v>35.69</v>
      </c>
    </row>
    <row r="290">
      <c r="A290" s="8">
        <v>42146.0</v>
      </c>
      <c r="B290" s="14"/>
      <c r="C290" s="9">
        <f t="array" ref="C290">IFERROR(
  INDEX(
    IR!$B$2:$E2026,                
    MATCH($A290, IR!$A$2:$A2026, 0), 
    MATCH(C$1, IR!$B$1:$E$1, 0) ), "")
</f>
        <v>-0.00052</v>
      </c>
      <c r="D290" s="9">
        <f t="array" ref="D290">IFERROR(
  INDEX(
    IR!$B$2:$E2026,                
    MATCH($A290, IR!$A$2:$A2026, 0), 
    MATCH(D$1, IR!$B$1:$E$1, 0) ), "")
</f>
        <v>-0.00012</v>
      </c>
      <c r="E290" s="9">
        <f t="array" ref="E290">IFERROR(
  INDEX(
    IR!$B$2:$E2026,                
    MATCH($A290, IR!$A$2:$A2026, 0), 
    MATCH(E$1, IR!$B$1:$E$1, 0) ), "")
</f>
        <v>0.00054</v>
      </c>
      <c r="F290" s="9">
        <f t="array" ref="F290">IFERROR(
  INDEX(
    IR!$B$2:$E2026,                
    MATCH($A290, IR!$A$2:$A2026, 0), 
    MATCH(F$1, IR!$B$1:$E$1, 0) ), "")
</f>
        <v>0.00162</v>
      </c>
      <c r="G290" s="14"/>
      <c r="H290" s="9">
        <f t="array" ref="H290">IFERROR(
  INDEX(
    SR!$B$2:$D2026,            
    MATCH($A290, SR!$A$2:$A2026, 0),  
    MATCH(H$1, SR!$B$1:$D$1, 0) ), "")
</f>
        <v>0.00109</v>
      </c>
      <c r="I290" s="9">
        <f t="array" ref="I290">IFERROR(
  INDEX(
    SR!$B$2:$D2026,            
    MATCH($A290, SR!$A$2:$A2026, 0),  
    MATCH(I$1, SR!$B$1:$D$1, 0) ), "")
</f>
        <v>0.001778</v>
      </c>
      <c r="J290" s="9">
        <f t="array" ref="J290">IFERROR(
  INDEX(
    SR!$B$2:$D2026,            
    MATCH($A290, SR!$A$2:$A2026, 0),  
    MATCH(J$1, SR!$B$1:$D$1, 0) ), "")
</f>
        <v>0.003987</v>
      </c>
      <c r="K290" s="14"/>
      <c r="L290" s="9">
        <v>130.08</v>
      </c>
      <c r="M290" s="9">
        <v>24.72</v>
      </c>
      <c r="N290" s="9">
        <v>113.31</v>
      </c>
      <c r="O290" s="9">
        <v>129.48</v>
      </c>
      <c r="P290" s="9">
        <v>137.28</v>
      </c>
      <c r="Q290" s="9">
        <v>1458.1847</v>
      </c>
      <c r="R290" s="14"/>
      <c r="S290" s="12">
        <f t="shared" si="2"/>
        <v>0.0003588931478</v>
      </c>
      <c r="T290" s="12">
        <f t="shared" si="3"/>
        <v>1.000358893</v>
      </c>
      <c r="U290" s="16">
        <f t="shared" si="7"/>
        <v>105.5049438</v>
      </c>
      <c r="V290" s="17"/>
      <c r="W290" s="12">
        <f t="array" ref="W290">SQRT(252/20) *  SQRT( SUMSQ( LN(U269:U288 / U268:U287) )  - (1/20) * ( SUM( LN(U269:U288 / U268:U287) ) ^ 2 ) )</f>
        <v>0.03669244462</v>
      </c>
      <c r="X290" s="9">
        <f t="shared" si="4"/>
        <v>1.5</v>
      </c>
      <c r="Y290" s="14"/>
      <c r="Z290" s="12">
        <f t="shared" si="5"/>
        <v>1.000539062</v>
      </c>
      <c r="AA290" s="16">
        <f t="shared" si="8"/>
        <v>108.3121157</v>
      </c>
      <c r="AB290" s="14"/>
      <c r="AC290" s="9">
        <f t="shared" si="6"/>
        <v>36.25</v>
      </c>
    </row>
    <row r="291">
      <c r="A291" s="8">
        <v>42150.0</v>
      </c>
      <c r="B291" s="14"/>
      <c r="C291" s="9">
        <f t="array" ref="C291">IFERROR(
  INDEX(
    IR!$B$2:$E2026,                
    MATCH($A291, IR!$A$2:$A2026, 0), 
    MATCH(C$1, IR!$B$1:$E$1, 0) ), "")
</f>
        <v>-0.00054</v>
      </c>
      <c r="D291" s="9">
        <f t="array" ref="D291">IFERROR(
  INDEX(
    IR!$B$2:$E2026,                
    MATCH($A291, IR!$A$2:$A2026, 0), 
    MATCH(D$1, IR!$B$1:$E$1, 0) ), "")
</f>
        <v>-0.00013</v>
      </c>
      <c r="E291" s="9">
        <f t="array" ref="E291">IFERROR(
  INDEX(
    IR!$B$2:$E2026,                
    MATCH($A291, IR!$A$2:$A2026, 0), 
    MATCH(E$1, IR!$B$1:$E$1, 0) ), "")
</f>
        <v>0.00052</v>
      </c>
      <c r="F291" s="9">
        <f t="array" ref="F291">IFERROR(
  INDEX(
    IR!$B$2:$E2026,                
    MATCH($A291, IR!$A$2:$A2026, 0), 
    MATCH(F$1, IR!$B$1:$E$1, 0) ), "")
</f>
        <v>0.00161</v>
      </c>
      <c r="G291" s="14"/>
      <c r="H291" s="9">
        <f t="array" ref="H291">IFERROR(
  INDEX(
    SR!$B$2:$D2026,            
    MATCH($A291, SR!$A$2:$A2026, 0),  
    MATCH(H$1, SR!$B$1:$D$1, 0) ), "")
</f>
        <v>0.001023</v>
      </c>
      <c r="I291" s="9">
        <f t="array" ref="I291">IFERROR(
  INDEX(
    SR!$B$2:$D2026,            
    MATCH($A291, SR!$A$2:$A2026, 0),  
    MATCH(I$1, SR!$B$1:$D$1, 0) ), "")
</f>
        <v>0.00169</v>
      </c>
      <c r="J291" s="9">
        <f t="array" ref="J291">IFERROR(
  INDEX(
    SR!$B$2:$D2026,            
    MATCH($A291, SR!$A$2:$A2026, 0),  
    MATCH(J$1, SR!$B$1:$D$1, 0) ), "")
</f>
        <v>0.00375</v>
      </c>
      <c r="K291" s="14"/>
      <c r="L291" s="9">
        <v>129.38</v>
      </c>
      <c r="M291" s="9">
        <v>24.72</v>
      </c>
      <c r="N291" s="9">
        <v>113.36</v>
      </c>
      <c r="O291" s="9">
        <v>129.3</v>
      </c>
      <c r="P291" s="9">
        <v>137.38</v>
      </c>
      <c r="Q291" s="9">
        <v>1459.3969</v>
      </c>
      <c r="R291" s="14"/>
      <c r="S291" s="12">
        <f t="shared" si="2"/>
        <v>-0.0007946766331</v>
      </c>
      <c r="T291" s="12">
        <f t="shared" si="3"/>
        <v>0.9992053234</v>
      </c>
      <c r="U291" s="16">
        <f t="shared" si="7"/>
        <v>105.4211015</v>
      </c>
      <c r="V291" s="17"/>
      <c r="W291" s="12">
        <f t="array" ref="W291">SQRT(252/20) *  SQRT( SUMSQ( LN(U270:U289 / U269:U288) )  - (1/20) * ( SUM( LN(U270:U289 / U269:U288) ) ^ 2 ) )</f>
        <v>0.03522916085</v>
      </c>
      <c r="X291" s="9">
        <f t="shared" si="4"/>
        <v>1.5</v>
      </c>
      <c r="Y291" s="14"/>
      <c r="Z291" s="12">
        <f t="shared" si="5"/>
        <v>0.9988108739</v>
      </c>
      <c r="AA291" s="16">
        <f t="shared" si="8"/>
        <v>108.1833189</v>
      </c>
      <c r="AB291" s="14"/>
      <c r="AC291" s="9">
        <f t="shared" si="6"/>
        <v>35.02</v>
      </c>
    </row>
    <row r="292">
      <c r="A292" s="8">
        <v>42151.0</v>
      </c>
      <c r="B292" s="14"/>
      <c r="C292" s="9">
        <f t="array" ref="C292">IFERROR(
  INDEX(
    IR!$B$2:$E2026,                
    MATCH($A292, IR!$A$2:$A2026, 0), 
    MATCH(C$1, IR!$B$1:$E$1, 0) ), "")
</f>
        <v>-0.00054</v>
      </c>
      <c r="D292" s="9">
        <f t="array" ref="D292">IFERROR(
  INDEX(
    IR!$B$2:$E2026,                
    MATCH($A292, IR!$A$2:$A2026, 0), 
    MATCH(D$1, IR!$B$1:$E$1, 0) ), "")
</f>
        <v>-0.00013</v>
      </c>
      <c r="E292" s="9">
        <f t="array" ref="E292">IFERROR(
  INDEX(
    IR!$B$2:$E2026,                
    MATCH($A292, IR!$A$2:$A2026, 0), 
    MATCH(E$1, IR!$B$1:$E$1, 0) ), "")
</f>
        <v>0.0005</v>
      </c>
      <c r="F292" s="9">
        <f t="array" ref="F292">IFERROR(
  INDEX(
    IR!$B$2:$E2026,                
    MATCH($A292, IR!$A$2:$A2026, 0), 
    MATCH(F$1, IR!$B$1:$E$1, 0) ), "")
</f>
        <v>0.0016</v>
      </c>
      <c r="G292" s="14"/>
      <c r="H292" s="9">
        <f t="array" ref="H292">IFERROR(
  INDEX(
    SR!$B$2:$D2026,            
    MATCH($A292, SR!$A$2:$A2026, 0),  
    MATCH(H$1, SR!$B$1:$D$1, 0) ), "")
</f>
        <v>0.00098</v>
      </c>
      <c r="I292" s="9">
        <f t="array" ref="I292">IFERROR(
  INDEX(
    SR!$B$2:$D2026,            
    MATCH($A292, SR!$A$2:$A2026, 0),  
    MATCH(I$1, SR!$B$1:$D$1, 0) ), "")
</f>
        <v>0.00164</v>
      </c>
      <c r="J292" s="9">
        <f t="array" ref="J292">IFERROR(
  INDEX(
    SR!$B$2:$D2026,            
    MATCH($A292, SR!$A$2:$A2026, 0),  
    MATCH(J$1, SR!$B$1:$D$1, 0) ), "")
</f>
        <v>0.003665</v>
      </c>
      <c r="K292" s="14"/>
      <c r="L292" s="9">
        <v>129.88</v>
      </c>
      <c r="M292" s="9">
        <v>24.72</v>
      </c>
      <c r="N292" s="9">
        <v>113.34</v>
      </c>
      <c r="O292" s="9">
        <v>128.37</v>
      </c>
      <c r="P292" s="9">
        <v>137.18</v>
      </c>
      <c r="Q292" s="9">
        <v>1453.73</v>
      </c>
      <c r="R292" s="14"/>
      <c r="S292" s="12">
        <f t="shared" si="2"/>
        <v>-0.001473678401</v>
      </c>
      <c r="T292" s="12">
        <f t="shared" si="3"/>
        <v>0.9985263216</v>
      </c>
      <c r="U292" s="16">
        <f t="shared" si="7"/>
        <v>105.2657447</v>
      </c>
      <c r="V292" s="17"/>
      <c r="W292" s="12">
        <f t="array" ref="W292">SQRT(252/20) *  SQRT( SUMSQ( LN(U271:U290 / U270:U289) )  - (1/20) * ( SUM( LN(U271:U290 / U270:U289) ) ^ 2 ) )</f>
        <v>0.03513160214</v>
      </c>
      <c r="X292" s="9">
        <f t="shared" si="4"/>
        <v>1.5</v>
      </c>
      <c r="Y292" s="14"/>
      <c r="Z292" s="12">
        <f t="shared" si="5"/>
        <v>0.9977902324</v>
      </c>
      <c r="AA292" s="16">
        <f t="shared" si="8"/>
        <v>107.9442589</v>
      </c>
      <c r="AB292" s="14"/>
      <c r="AC292" s="9">
        <f t="shared" si="6"/>
        <v>32.73</v>
      </c>
    </row>
    <row r="293">
      <c r="A293" s="8">
        <v>42152.0</v>
      </c>
      <c r="B293" s="14"/>
      <c r="C293" s="9">
        <f t="array" ref="C293">IFERROR(
  INDEX(
    IR!$B$2:$E2026,                
    MATCH($A293, IR!$A$2:$A2026, 0), 
    MATCH(C$1, IR!$B$1:$E$1, 0) ), "")
</f>
        <v>-0.00058</v>
      </c>
      <c r="D293" s="9">
        <f t="array" ref="D293">IFERROR(
  INDEX(
    IR!$B$2:$E2026,                
    MATCH($A293, IR!$A$2:$A2026, 0), 
    MATCH(D$1, IR!$B$1:$E$1, 0) ), "")
</f>
        <v>-0.00013</v>
      </c>
      <c r="E293" s="9">
        <f t="array" ref="E293">IFERROR(
  INDEX(
    IR!$B$2:$E2026,                
    MATCH($A293, IR!$A$2:$A2026, 0), 
    MATCH(E$1, IR!$B$1:$E$1, 0) ), "")
</f>
        <v>0.00049</v>
      </c>
      <c r="F293" s="9">
        <f t="array" ref="F293">IFERROR(
  INDEX(
    IR!$B$2:$E2026,                
    MATCH($A293, IR!$A$2:$A2026, 0), 
    MATCH(F$1, IR!$B$1:$E$1, 0) ), "")
</f>
        <v>0.00159</v>
      </c>
      <c r="G293" s="14"/>
      <c r="H293" s="9">
        <f t="array" ref="H293">IFERROR(
  INDEX(
    SR!$B$2:$D2026,            
    MATCH($A293, SR!$A$2:$A2026, 0),  
    MATCH(H$1, SR!$B$1:$D$1, 0) ), "")
</f>
        <v>0.00103</v>
      </c>
      <c r="I293" s="9">
        <f t="array" ref="I293">IFERROR(
  INDEX(
    SR!$B$2:$D2026,            
    MATCH($A293, SR!$A$2:$A2026, 0),  
    MATCH(I$1, SR!$B$1:$D$1, 0) ), "")
</f>
        <v>0.00168</v>
      </c>
      <c r="J293" s="9">
        <f t="array" ref="J293">IFERROR(
  INDEX(
    SR!$B$2:$D2026,            
    MATCH($A293, SR!$A$2:$A2026, 0),  
    MATCH(J$1, SR!$B$1:$D$1, 0) ), "")
</f>
        <v>0.00372</v>
      </c>
      <c r="K293" s="14"/>
      <c r="L293" s="9">
        <v>129.74001</v>
      </c>
      <c r="M293" s="9">
        <v>24.71</v>
      </c>
      <c r="N293" s="9">
        <v>113.33</v>
      </c>
      <c r="O293" s="9">
        <v>129.05</v>
      </c>
      <c r="P293" s="9">
        <v>137.68</v>
      </c>
      <c r="Q293" s="9">
        <v>1457.7185</v>
      </c>
      <c r="R293" s="14"/>
      <c r="S293" s="12">
        <f t="shared" si="2"/>
        <v>0.001685444021</v>
      </c>
      <c r="T293" s="12">
        <f t="shared" si="3"/>
        <v>1.001685444</v>
      </c>
      <c r="U293" s="16">
        <f t="shared" si="7"/>
        <v>105.4431642</v>
      </c>
      <c r="V293" s="17"/>
      <c r="W293" s="12">
        <f t="array" ref="W293">SQRT(252/20) *  SQRT( SUMSQ( LN(U272:U291 / U271:U290) )  - (1/20) * ( SUM( LN(U272:U291 / U271:U290) ) ^ 2 ) )</f>
        <v>0.0351018498</v>
      </c>
      <c r="X293" s="9">
        <f t="shared" si="4"/>
        <v>1.5</v>
      </c>
      <c r="Y293" s="14"/>
      <c r="Z293" s="12">
        <f t="shared" si="5"/>
        <v>1.002528916</v>
      </c>
      <c r="AA293" s="16">
        <f t="shared" si="8"/>
        <v>108.2172409</v>
      </c>
      <c r="AB293" s="14"/>
      <c r="AC293" s="9">
        <f t="shared" si="6"/>
        <v>35.34</v>
      </c>
    </row>
    <row r="294">
      <c r="A294" s="8">
        <v>42153.0</v>
      </c>
      <c r="B294" s="14"/>
      <c r="C294" s="9">
        <f t="array" ref="C294">IFERROR(
  INDEX(
    IR!$B$2:$E2026,                
    MATCH($A294, IR!$A$2:$A2026, 0), 
    MATCH(C$1, IR!$B$1:$E$1, 0) ), "")
</f>
        <v>-0.00059</v>
      </c>
      <c r="D294" s="9">
        <f t="array" ref="D294">IFERROR(
  INDEX(
    IR!$B$2:$E2026,                
    MATCH($A294, IR!$A$2:$A2026, 0), 
    MATCH(D$1, IR!$B$1:$E$1, 0) ), "")
</f>
        <v>-0.00012</v>
      </c>
      <c r="E294" s="9">
        <f t="array" ref="E294">IFERROR(
  INDEX(
    IR!$B$2:$E2026,                
    MATCH($A294, IR!$A$2:$A2026, 0), 
    MATCH(E$1, IR!$B$1:$E$1, 0) ), "")
</f>
        <v>0.00049</v>
      </c>
      <c r="F294" s="9">
        <f t="array" ref="F294">IFERROR(
  INDEX(
    IR!$B$2:$E2026,                
    MATCH($A294, IR!$A$2:$A2026, 0), 
    MATCH(F$1, IR!$B$1:$E$1, 0) ), "")
</f>
        <v>0.0016</v>
      </c>
      <c r="G294" s="14"/>
      <c r="H294" s="9">
        <f t="array" ref="H294">IFERROR(
  INDEX(
    SR!$B$2:$D2026,            
    MATCH($A294, SR!$A$2:$A2026, 0),  
    MATCH(H$1, SR!$B$1:$D$1, 0) ), "")
</f>
        <v>0.00101</v>
      </c>
      <c r="I294" s="9">
        <f t="array" ref="I294">IFERROR(
  INDEX(
    SR!$B$2:$D2026,            
    MATCH($A294, SR!$A$2:$A2026, 0),  
    MATCH(I$1, SR!$B$1:$D$1, 0) ), "")
</f>
        <v>0.00165</v>
      </c>
      <c r="J294" s="9">
        <f t="array" ref="J294">IFERROR(
  INDEX(
    SR!$B$2:$D2026,            
    MATCH($A294, SR!$A$2:$A2026, 0),  
    MATCH(J$1, SR!$B$1:$D$1, 0) ), "")
</f>
        <v>0.0035</v>
      </c>
      <c r="K294" s="14"/>
      <c r="L294" s="9">
        <v>129.14</v>
      </c>
      <c r="M294" s="9">
        <v>24.7</v>
      </c>
      <c r="N294" s="9">
        <v>113.33</v>
      </c>
      <c r="O294" s="9">
        <v>128.64</v>
      </c>
      <c r="P294" s="9">
        <v>137.44</v>
      </c>
      <c r="Q294" s="9">
        <v>1456.1414</v>
      </c>
      <c r="R294" s="14"/>
      <c r="S294" s="12">
        <f t="shared" si="2"/>
        <v>-0.00183796224</v>
      </c>
      <c r="T294" s="12">
        <f t="shared" si="3"/>
        <v>0.9981620378</v>
      </c>
      <c r="U294" s="16">
        <f t="shared" si="7"/>
        <v>105.2493637</v>
      </c>
      <c r="V294" s="17"/>
      <c r="W294" s="12">
        <f t="array" ref="W294">SQRT(252/20) *  SQRT( SUMSQ( LN(U273:U292 / U272:U291) )  - (1/20) * ( SUM( LN(U273:U292 / U272:U291) ) ^ 2 ) )</f>
        <v>0.03529329</v>
      </c>
      <c r="X294" s="9">
        <f t="shared" si="4"/>
        <v>1.5</v>
      </c>
      <c r="Y294" s="14"/>
      <c r="Z294" s="12">
        <f t="shared" si="5"/>
        <v>0.9972438622</v>
      </c>
      <c r="AA294" s="16">
        <f t="shared" si="8"/>
        <v>107.9189792</v>
      </c>
      <c r="AB294" s="14"/>
      <c r="AC294" s="9">
        <f t="shared" si="6"/>
        <v>32.49</v>
      </c>
    </row>
    <row r="295">
      <c r="A295" s="8">
        <v>42156.0</v>
      </c>
      <c r="B295" s="14"/>
      <c r="C295" s="9">
        <f t="array" ref="C295">IFERROR(
  INDEX(
    IR!$B$2:$E2026,                
    MATCH($A295, IR!$A$2:$A2026, 0), 
    MATCH(C$1, IR!$B$1:$E$1, 0) ), "")
</f>
        <v>-0.00057</v>
      </c>
      <c r="D295" s="9">
        <f t="array" ref="D295">IFERROR(
  INDEX(
    IR!$B$2:$E2026,                
    MATCH($A295, IR!$A$2:$A2026, 0), 
    MATCH(D$1, IR!$B$1:$E$1, 0) ), "")
</f>
        <v>-0.00013</v>
      </c>
      <c r="E295" s="9">
        <f t="array" ref="E295">IFERROR(
  INDEX(
    IR!$B$2:$E2026,                
    MATCH($A295, IR!$A$2:$A2026, 0), 
    MATCH(E$1, IR!$B$1:$E$1, 0) ), "")
</f>
        <v>0.00049</v>
      </c>
      <c r="F295" s="9">
        <f t="array" ref="F295">IFERROR(
  INDEX(
    IR!$B$2:$E2026,                
    MATCH($A295, IR!$A$2:$A2026, 0), 
    MATCH(F$1, IR!$B$1:$E$1, 0) ), "")
</f>
        <v>0.00161</v>
      </c>
      <c r="G295" s="14"/>
      <c r="H295" s="9">
        <f t="array" ref="H295">IFERROR(
  INDEX(
    SR!$B$2:$D2026,            
    MATCH($A295, SR!$A$2:$A2026, 0),  
    MATCH(H$1, SR!$B$1:$D$1, 0) ), "")
</f>
        <v>0.00106</v>
      </c>
      <c r="I295" s="9">
        <f t="array" ref="I295">IFERROR(
  INDEX(
    SR!$B$2:$D2026,            
    MATCH($A295, SR!$A$2:$A2026, 0),  
    MATCH(I$1, SR!$B$1:$D$1, 0) ), "")
</f>
        <v>0.00174</v>
      </c>
      <c r="J295" s="9">
        <f t="array" ref="J295">IFERROR(
  INDEX(
    SR!$B$2:$D2026,            
    MATCH($A295, SR!$A$2:$A2026, 0),  
    MATCH(J$1, SR!$B$1:$D$1, 0) ), "")
</f>
        <v>0.00395</v>
      </c>
      <c r="K295" s="14"/>
      <c r="L295" s="9">
        <v>129.12</v>
      </c>
      <c r="M295" s="9">
        <v>24.7</v>
      </c>
      <c r="N295" s="9">
        <v>113.34</v>
      </c>
      <c r="O295" s="9">
        <v>127.64</v>
      </c>
      <c r="P295" s="9">
        <v>136.94</v>
      </c>
      <c r="Q295" s="9">
        <v>1453.0624</v>
      </c>
      <c r="R295" s="14"/>
      <c r="S295" s="12">
        <f t="shared" si="2"/>
        <v>-0.002264756634</v>
      </c>
      <c r="T295" s="12">
        <f t="shared" si="3"/>
        <v>0.9977352434</v>
      </c>
      <c r="U295" s="16">
        <f t="shared" si="7"/>
        <v>105.0109995</v>
      </c>
      <c r="V295" s="17"/>
      <c r="W295" s="12">
        <f t="array" ref="W295">SQRT(252/20) *  SQRT( SUMSQ( LN(U274:U293 / U273:U292) )  - (1/20) * ( SUM( LN(U274:U293 / U273:U292) ) ^ 2 ) )</f>
        <v>0.03523411365</v>
      </c>
      <c r="X295" s="9">
        <f t="shared" si="4"/>
        <v>1.5</v>
      </c>
      <c r="Y295" s="14"/>
      <c r="Z295" s="12">
        <f t="shared" si="5"/>
        <v>0.9966053234</v>
      </c>
      <c r="AA295" s="16">
        <f t="shared" si="8"/>
        <v>107.5526292</v>
      </c>
      <c r="AB295" s="14"/>
      <c r="AC295" s="9">
        <f t="shared" si="6"/>
        <v>28.98</v>
      </c>
    </row>
    <row r="296">
      <c r="A296" s="8">
        <v>42157.0</v>
      </c>
      <c r="B296" s="14"/>
      <c r="C296" s="9">
        <f t="array" ref="C296">IFERROR(
  INDEX(
    IR!$B$2:$E2026,                
    MATCH($A296, IR!$A$2:$A2026, 0), 
    MATCH(C$1, IR!$B$1:$E$1, 0) ), "")
</f>
        <v>-0.0006</v>
      </c>
      <c r="D296" s="9">
        <f t="array" ref="D296">IFERROR(
  INDEX(
    IR!$B$2:$E2026,                
    MATCH($A296, IR!$A$2:$A2026, 0), 
    MATCH(D$1, IR!$B$1:$E$1, 0) ), "")
</f>
        <v>-0.00013</v>
      </c>
      <c r="E296" s="9">
        <f t="array" ref="E296">IFERROR(
  INDEX(
    IR!$B$2:$E2026,                
    MATCH($A296, IR!$A$2:$A2026, 0), 
    MATCH(E$1, IR!$B$1:$E$1, 0) ), "")
</f>
        <v>0.00048</v>
      </c>
      <c r="F296" s="9">
        <f t="array" ref="F296">IFERROR(
  INDEX(
    IR!$B$2:$E2026,                
    MATCH($A296, IR!$A$2:$A2026, 0), 
    MATCH(F$1, IR!$B$1:$E$1, 0) ), "")
</f>
        <v>0.00158</v>
      </c>
      <c r="G296" s="14"/>
      <c r="H296" s="9">
        <f t="array" ref="H296">IFERROR(
  INDEX(
    SR!$B$2:$D2026,            
    MATCH($A296, SR!$A$2:$A2026, 0),  
    MATCH(H$1, SR!$B$1:$D$1, 0) ), "")
</f>
        <v>0.00111</v>
      </c>
      <c r="I296" s="9">
        <f t="array" ref="I296">IFERROR(
  INDEX(
    SR!$B$2:$D2026,            
    MATCH($A296, SR!$A$2:$A2026, 0),  
    MATCH(I$1, SR!$B$1:$D$1, 0) ), "")
</f>
        <v>0.00187</v>
      </c>
      <c r="J296" s="9">
        <f t="array" ref="J296">IFERROR(
  INDEX(
    SR!$B$2:$D2026,            
    MATCH($A296, SR!$A$2:$A2026, 0),  
    MATCH(J$1, SR!$B$1:$D$1, 0) ), "")
</f>
        <v>0.00431</v>
      </c>
      <c r="K296" s="14"/>
      <c r="L296" s="9">
        <v>128.83</v>
      </c>
      <c r="M296" s="9">
        <v>24.68</v>
      </c>
      <c r="N296" s="9">
        <v>113.3</v>
      </c>
      <c r="O296" s="9">
        <v>127.71</v>
      </c>
      <c r="P296" s="9">
        <v>137.19</v>
      </c>
      <c r="Q296" s="9">
        <v>1453.3367</v>
      </c>
      <c r="R296" s="14"/>
      <c r="S296" s="12">
        <f t="shared" si="2"/>
        <v>-0.0001408916605</v>
      </c>
      <c r="T296" s="12">
        <f t="shared" si="3"/>
        <v>0.9998591083</v>
      </c>
      <c r="U296" s="16">
        <f t="shared" si="7"/>
        <v>104.9962043</v>
      </c>
      <c r="V296" s="17"/>
      <c r="W296" s="12">
        <f t="array" ref="W296">SQRT(252/20) *  SQRT( SUMSQ( LN(U275:U294 / U274:U293) )  - (1/20) * ( SUM( LN(U275:U294 / U274:U293) ) ^ 2 ) )</f>
        <v>0.03530648443</v>
      </c>
      <c r="X296" s="9">
        <f t="shared" si="4"/>
        <v>1.5</v>
      </c>
      <c r="Y296" s="14"/>
      <c r="Z296" s="12">
        <f t="shared" si="5"/>
        <v>0.9997894542</v>
      </c>
      <c r="AA296" s="16">
        <f t="shared" si="8"/>
        <v>107.5299844</v>
      </c>
      <c r="AB296" s="14"/>
      <c r="AC296" s="9">
        <f t="shared" si="6"/>
        <v>28.77</v>
      </c>
    </row>
    <row r="297">
      <c r="A297" s="8">
        <v>42158.0</v>
      </c>
      <c r="B297" s="14"/>
      <c r="C297" s="9">
        <f t="array" ref="C297">IFERROR(
  INDEX(
    IR!$B$2:$E2026,                
    MATCH($A297, IR!$A$2:$A2026, 0), 
    MATCH(C$1, IR!$B$1:$E$1, 0) ), "")
</f>
        <v>-0.00061</v>
      </c>
      <c r="D297" s="9">
        <f t="array" ref="D297">IFERROR(
  INDEX(
    IR!$B$2:$E2026,                
    MATCH($A297, IR!$A$2:$A2026, 0), 
    MATCH(D$1, IR!$B$1:$E$1, 0) ), "")
</f>
        <v>-0.00014</v>
      </c>
      <c r="E297" s="9">
        <f t="array" ref="E297">IFERROR(
  INDEX(
    IR!$B$2:$E2026,                
    MATCH($A297, IR!$A$2:$A2026, 0), 
    MATCH(E$1, IR!$B$1:$E$1, 0) ), "")
</f>
        <v>0.00048</v>
      </c>
      <c r="F297" s="9">
        <f t="array" ref="F297">IFERROR(
  INDEX(
    IR!$B$2:$E2026,                
    MATCH($A297, IR!$A$2:$A2026, 0), 
    MATCH(F$1, IR!$B$1:$E$1, 0) ), "")
</f>
        <v>0.0016</v>
      </c>
      <c r="G297" s="14"/>
      <c r="H297" s="9">
        <f t="array" ref="H297">IFERROR(
  INDEX(
    SR!$B$2:$D2026,            
    MATCH($A297, SR!$A$2:$A2026, 0),  
    MATCH(H$1, SR!$B$1:$D$1, 0) ), "")
</f>
        <v>0.00127</v>
      </c>
      <c r="I297" s="9">
        <f t="array" ref="I297">IFERROR(
  INDEX(
    SR!$B$2:$D2026,            
    MATCH($A297, SR!$A$2:$A2026, 0),  
    MATCH(I$1, SR!$B$1:$D$1, 0) ), "")
</f>
        <v>0.00224</v>
      </c>
      <c r="J297" s="9">
        <f t="array" ref="J297">IFERROR(
  INDEX(
    SR!$B$2:$D2026,            
    MATCH($A297, SR!$A$2:$A2026, 0),  
    MATCH(J$1, SR!$B$1:$D$1, 0) ), "")
</f>
        <v>0.00554</v>
      </c>
      <c r="K297" s="14"/>
      <c r="L297" s="9">
        <v>128.73</v>
      </c>
      <c r="M297" s="9">
        <v>24.66</v>
      </c>
      <c r="N297" s="9">
        <v>113.26</v>
      </c>
      <c r="O297" s="9">
        <v>127.5</v>
      </c>
      <c r="P297" s="9">
        <v>136.57</v>
      </c>
      <c r="Q297" s="9">
        <v>1451.3336</v>
      </c>
      <c r="R297" s="14"/>
      <c r="S297" s="12">
        <f t="shared" si="2"/>
        <v>-0.001579762632</v>
      </c>
      <c r="T297" s="12">
        <f t="shared" si="3"/>
        <v>0.9984202374</v>
      </c>
      <c r="U297" s="16">
        <f t="shared" si="7"/>
        <v>104.8303352</v>
      </c>
      <c r="V297" s="17"/>
      <c r="W297" s="12">
        <f t="array" ref="W297">SQRT(252/20) *  SQRT( SUMSQ( LN(U276:U295 / U275:U294) )  - (1/20) * ( SUM( LN(U276:U295 / U275:U294) ) ^ 2 ) )</f>
        <v>0.03430253494</v>
      </c>
      <c r="X297" s="9">
        <f t="shared" si="4"/>
        <v>1.5</v>
      </c>
      <c r="Y297" s="14"/>
      <c r="Z297" s="12">
        <f t="shared" si="5"/>
        <v>0.9976311894</v>
      </c>
      <c r="AA297" s="16">
        <f t="shared" si="8"/>
        <v>107.2752663</v>
      </c>
      <c r="AB297" s="14"/>
      <c r="AC297" s="9">
        <f t="shared" si="6"/>
        <v>26.33</v>
      </c>
    </row>
    <row r="298">
      <c r="A298" s="8">
        <v>42159.0</v>
      </c>
      <c r="B298" s="14"/>
      <c r="C298" s="9">
        <f t="array" ref="C298">IFERROR(
  INDEX(
    IR!$B$2:$E2026,                
    MATCH($A298, IR!$A$2:$A2026, 0), 
    MATCH(C$1, IR!$B$1:$E$1, 0) ), "")
</f>
        <v>-0.00062</v>
      </c>
      <c r="D298" s="9">
        <f t="array" ref="D298">IFERROR(
  INDEX(
    IR!$B$2:$E2026,                
    MATCH($A298, IR!$A$2:$A2026, 0), 
    MATCH(D$1, IR!$B$1:$E$1, 0) ), "")
</f>
        <v>-0.00013</v>
      </c>
      <c r="E298" s="9">
        <f t="array" ref="E298">IFERROR(
  INDEX(
    IR!$B$2:$E2026,                
    MATCH($A298, IR!$A$2:$A2026, 0), 
    MATCH(E$1, IR!$B$1:$E$1, 0) ), "")
</f>
        <v>0.00049</v>
      </c>
      <c r="F298" s="9">
        <f t="array" ref="F298">IFERROR(
  INDEX(
    IR!$B$2:$E2026,                
    MATCH($A298, IR!$A$2:$A2026, 0), 
    MATCH(F$1, IR!$B$1:$E$1, 0) ), "")
</f>
        <v>0.00162</v>
      </c>
      <c r="G298" s="14"/>
      <c r="H298" s="9">
        <f t="array" ref="H298">IFERROR(
  INDEX(
    SR!$B$2:$D2026,            
    MATCH($A298, SR!$A$2:$A2026, 0),  
    MATCH(H$1, SR!$B$1:$D$1, 0) ), "")
</f>
        <v>0.00127</v>
      </c>
      <c r="I298" s="9">
        <f t="array" ref="I298">IFERROR(
  INDEX(
    SR!$B$2:$D2026,            
    MATCH($A298, SR!$A$2:$A2026, 0),  
    MATCH(I$1, SR!$B$1:$D$1, 0) ), "")
</f>
        <v>0.00222</v>
      </c>
      <c r="J298" s="9">
        <f t="array" ref="J298">IFERROR(
  INDEX(
    SR!$B$2:$D2026,            
    MATCH($A298, SR!$A$2:$A2026, 0),  
    MATCH(J$1, SR!$B$1:$D$1, 0) ), "")
</f>
        <v>0.00495</v>
      </c>
      <c r="K298" s="14"/>
      <c r="L298" s="9">
        <v>128.5</v>
      </c>
      <c r="M298" s="9">
        <v>24.65</v>
      </c>
      <c r="N298" s="9">
        <v>113.27</v>
      </c>
      <c r="O298" s="9">
        <v>126.92</v>
      </c>
      <c r="P298" s="9">
        <v>136.52</v>
      </c>
      <c r="Q298" s="9">
        <v>1449.4656</v>
      </c>
      <c r="R298" s="14"/>
      <c r="S298" s="12">
        <f t="shared" si="2"/>
        <v>-0.001383930335</v>
      </c>
      <c r="T298" s="12">
        <f t="shared" si="3"/>
        <v>0.9986160697</v>
      </c>
      <c r="U298" s="16">
        <f t="shared" si="7"/>
        <v>104.6852573</v>
      </c>
      <c r="V298" s="17"/>
      <c r="W298" s="12">
        <f t="array" ref="W298">SQRT(252/20) *  SQRT( SUMSQ( LN(U277:U296 / U276:U295) )  - (1/20) * ( SUM( LN(U277:U296 / U276:U295) ) ^ 2 ) )</f>
        <v>0.02922103224</v>
      </c>
      <c r="X298" s="9">
        <f t="shared" si="4"/>
        <v>1.5</v>
      </c>
      <c r="Y298" s="14"/>
      <c r="Z298" s="12">
        <f t="shared" si="5"/>
        <v>0.9979249517</v>
      </c>
      <c r="AA298" s="16">
        <f t="shared" si="8"/>
        <v>107.0526649</v>
      </c>
      <c r="AB298" s="14"/>
      <c r="AC298" s="9">
        <f t="shared" si="6"/>
        <v>24.2</v>
      </c>
    </row>
    <row r="299">
      <c r="A299" s="8">
        <v>42160.0</v>
      </c>
      <c r="B299" s="14"/>
      <c r="C299" s="9">
        <f t="array" ref="C299">IFERROR(
  INDEX(
    IR!$B$2:$E2026,                
    MATCH($A299, IR!$A$2:$A2026, 0), 
    MATCH(C$1, IR!$B$1:$E$1, 0) ), "")
</f>
        <v>-0.00063</v>
      </c>
      <c r="D299" s="9">
        <f t="array" ref="D299">IFERROR(
  INDEX(
    IR!$B$2:$E2026,                
    MATCH($A299, IR!$A$2:$A2026, 0), 
    MATCH(D$1, IR!$B$1:$E$1, 0) ), "")
</f>
        <v>-0.00013</v>
      </c>
      <c r="E299" s="9">
        <f t="array" ref="E299">IFERROR(
  INDEX(
    IR!$B$2:$E2026,                
    MATCH($A299, IR!$A$2:$A2026, 0), 
    MATCH(E$1, IR!$B$1:$E$1, 0) ), "")
</f>
        <v>0.0005</v>
      </c>
      <c r="F299" s="9">
        <f t="array" ref="F299">IFERROR(
  INDEX(
    IR!$B$2:$E2026,                
    MATCH($A299, IR!$A$2:$A2026, 0), 
    MATCH(F$1, IR!$B$1:$E$1, 0) ), "")
</f>
        <v>0.00161</v>
      </c>
      <c r="G299" s="14"/>
      <c r="H299" s="9">
        <f t="array" ref="H299">IFERROR(
  INDEX(
    SR!$B$2:$D2026,            
    MATCH($A299, SR!$A$2:$A2026, 0),  
    MATCH(H$1, SR!$B$1:$D$1, 0) ), "")
</f>
        <v>0.00129</v>
      </c>
      <c r="I299" s="9">
        <f t="array" ref="I299">IFERROR(
  INDEX(
    SR!$B$2:$D2026,            
    MATCH($A299, SR!$A$2:$A2026, 0),  
    MATCH(I$1, SR!$B$1:$D$1, 0) ), "")
</f>
        <v>0.002311</v>
      </c>
      <c r="J299" s="9">
        <f t="array" ref="J299">IFERROR(
  INDEX(
    SR!$B$2:$D2026,            
    MATCH($A299, SR!$A$2:$A2026, 0),  
    MATCH(J$1, SR!$B$1:$D$1, 0) ), "")
</f>
        <v>0.005132</v>
      </c>
      <c r="K299" s="14"/>
      <c r="L299" s="9">
        <v>127.87</v>
      </c>
      <c r="M299" s="9">
        <v>24.67</v>
      </c>
      <c r="N299" s="9">
        <v>113.24</v>
      </c>
      <c r="O299" s="9">
        <v>126.95</v>
      </c>
      <c r="P299" s="9">
        <v>136.17</v>
      </c>
      <c r="Q299" s="9">
        <v>1445.0837</v>
      </c>
      <c r="R299" s="14"/>
      <c r="S299" s="12">
        <f t="shared" si="2"/>
        <v>-0.001617436921</v>
      </c>
      <c r="T299" s="12">
        <f t="shared" si="3"/>
        <v>0.9983825631</v>
      </c>
      <c r="U299" s="16">
        <f t="shared" si="7"/>
        <v>104.5159355</v>
      </c>
      <c r="V299" s="17"/>
      <c r="W299" s="12">
        <f t="array" ref="W299">SQRT(252/20) *  SQRT( SUMSQ( LN(U278:U297 / U277:U296) )  - (1/20) * ( SUM( LN(U278:U297 / U277:U296) ) ^ 2 ) )</f>
        <v>0.02937072939</v>
      </c>
      <c r="X299" s="9">
        <f t="shared" si="4"/>
        <v>1.5</v>
      </c>
      <c r="Y299" s="14"/>
      <c r="Z299" s="12">
        <f t="shared" si="5"/>
        <v>0.9975747057</v>
      </c>
      <c r="AA299" s="16">
        <f t="shared" si="8"/>
        <v>106.7930307</v>
      </c>
      <c r="AB299" s="14"/>
      <c r="AC299" s="9">
        <f t="shared" si="6"/>
        <v>21.72</v>
      </c>
    </row>
    <row r="300">
      <c r="A300" s="8">
        <v>42163.0</v>
      </c>
      <c r="B300" s="14"/>
      <c r="C300" s="9">
        <f t="array" ref="C300">IFERROR(
  INDEX(
    IR!$B$2:$E2026,                
    MATCH($A300, IR!$A$2:$A2026, 0), 
    MATCH(C$1, IR!$B$1:$E$1, 0) ), "")
</f>
        <v>-0.00063</v>
      </c>
      <c r="D300" s="9">
        <f t="array" ref="D300">IFERROR(
  INDEX(
    IR!$B$2:$E2026,                
    MATCH($A300, IR!$A$2:$A2026, 0), 
    MATCH(D$1, IR!$B$1:$E$1, 0) ), "")
</f>
        <v>-0.00013</v>
      </c>
      <c r="E300" s="9">
        <f t="array" ref="E300">IFERROR(
  INDEX(
    IR!$B$2:$E2026,                
    MATCH($A300, IR!$A$2:$A2026, 0), 
    MATCH(E$1, IR!$B$1:$E$1, 0) ), "")
</f>
        <v>0.00049</v>
      </c>
      <c r="F300" s="9">
        <f t="array" ref="F300">IFERROR(
  INDEX(
    IR!$B$2:$E2026,                
    MATCH($A300, IR!$A$2:$A2026, 0), 
    MATCH(F$1, IR!$B$1:$E$1, 0) ), "")
</f>
        <v>0.00163</v>
      </c>
      <c r="G300" s="14"/>
      <c r="H300" s="9">
        <f t="array" ref="H300">IFERROR(
  INDEX(
    SR!$B$2:$D2026,            
    MATCH($A300, SR!$A$2:$A2026, 0),  
    MATCH(H$1, SR!$B$1:$D$1, 0) ), "")
</f>
        <v>0.00148</v>
      </c>
      <c r="I300" s="9">
        <f t="array" ref="I300">IFERROR(
  INDEX(
    SR!$B$2:$D2026,            
    MATCH($A300, SR!$A$2:$A2026, 0),  
    MATCH(I$1, SR!$B$1:$D$1, 0) ), "")
</f>
        <v>0.002552</v>
      </c>
      <c r="J300" s="9">
        <f t="array" ref="J300">IFERROR(
  INDEX(
    SR!$B$2:$D2026,            
    MATCH($A300, SR!$A$2:$A2026, 0),  
    MATCH(J$1, SR!$B$1:$D$1, 0) ), "")
</f>
        <v>0.00541</v>
      </c>
      <c r="K300" s="14"/>
      <c r="L300" s="9">
        <v>127.46</v>
      </c>
      <c r="M300" s="9">
        <v>24.65</v>
      </c>
      <c r="N300" s="9">
        <v>113.24</v>
      </c>
      <c r="O300" s="9">
        <v>126.81</v>
      </c>
      <c r="P300" s="9">
        <v>136.19</v>
      </c>
      <c r="Q300" s="9">
        <v>1442.224</v>
      </c>
      <c r="R300" s="14"/>
      <c r="S300" s="12">
        <f t="shared" si="2"/>
        <v>-0.00115838783</v>
      </c>
      <c r="T300" s="12">
        <f t="shared" si="3"/>
        <v>0.9988416122</v>
      </c>
      <c r="U300" s="16">
        <f t="shared" si="7"/>
        <v>104.3948655</v>
      </c>
      <c r="V300" s="17"/>
      <c r="W300" s="12">
        <f t="array" ref="W300">SQRT(252/20) *  SQRT( SUMSQ( LN(U279:U298 / U278:U297) )  - (1/20) * ( SUM( LN(U279:U298 / U278:U297) ) ^ 2 ) )</f>
        <v>0.02960840234</v>
      </c>
      <c r="X300" s="9">
        <f t="shared" si="4"/>
        <v>1.5</v>
      </c>
      <c r="Y300" s="14"/>
      <c r="Z300" s="12">
        <f t="shared" si="5"/>
        <v>0.9982650433</v>
      </c>
      <c r="AA300" s="16">
        <f t="shared" si="8"/>
        <v>106.6077494</v>
      </c>
      <c r="AB300" s="14"/>
      <c r="AC300" s="9">
        <f t="shared" si="6"/>
        <v>19.94</v>
      </c>
    </row>
    <row r="301">
      <c r="A301" s="8">
        <v>42164.0</v>
      </c>
      <c r="B301" s="14"/>
      <c r="C301" s="9">
        <f t="array" ref="C301">IFERROR(
  INDEX(
    IR!$B$2:$E2026,                
    MATCH($A301, IR!$A$2:$A2026, 0), 
    MATCH(C$1, IR!$B$1:$E$1, 0) ), "")
</f>
        <v>-0.00063</v>
      </c>
      <c r="D301" s="9">
        <f t="array" ref="D301">IFERROR(
  INDEX(
    IR!$B$2:$E2026,                
    MATCH($A301, IR!$A$2:$A2026, 0), 
    MATCH(D$1, IR!$B$1:$E$1, 0) ), "")
</f>
        <v>-0.00013</v>
      </c>
      <c r="E301" s="9">
        <f t="array" ref="E301">IFERROR(
  INDEX(
    IR!$B$2:$E2026,                
    MATCH($A301, IR!$A$2:$A2026, 0), 
    MATCH(E$1, IR!$B$1:$E$1, 0) ), "")
</f>
        <v>0.00049</v>
      </c>
      <c r="F301" s="9">
        <f t="array" ref="F301">IFERROR(
  INDEX(
    IR!$B$2:$E2026,                
    MATCH($A301, IR!$A$2:$A2026, 0), 
    MATCH(F$1, IR!$B$1:$E$1, 0) ), "")
</f>
        <v>0.00163</v>
      </c>
      <c r="G301" s="14"/>
      <c r="H301" s="9">
        <f t="array" ref="H301">IFERROR(
  INDEX(
    SR!$B$2:$D2026,            
    MATCH($A301, SR!$A$2:$A2026, 0),  
    MATCH(H$1, SR!$B$1:$D$1, 0) ), "")
</f>
        <v>0.00152</v>
      </c>
      <c r="I301" s="9">
        <f t="array" ref="I301">IFERROR(
  INDEX(
    SR!$B$2:$D2026,            
    MATCH($A301, SR!$A$2:$A2026, 0),  
    MATCH(I$1, SR!$B$1:$D$1, 0) ), "")
</f>
        <v>0.002675</v>
      </c>
      <c r="J301" s="9">
        <f t="array" ref="J301">IFERROR(
  INDEX(
    SR!$B$2:$D2026,            
    MATCH($A301, SR!$A$2:$A2026, 0),  
    MATCH(J$1, SR!$B$1:$D$1, 0) ), "")
</f>
        <v>0.00583</v>
      </c>
      <c r="K301" s="14"/>
      <c r="L301" s="9">
        <v>127.24</v>
      </c>
      <c r="M301" s="9">
        <v>24.65</v>
      </c>
      <c r="N301" s="9">
        <v>113.23</v>
      </c>
      <c r="O301" s="9">
        <v>126.84</v>
      </c>
      <c r="P301" s="9">
        <v>135.84</v>
      </c>
      <c r="Q301" s="9">
        <v>1434.3604</v>
      </c>
      <c r="R301" s="14"/>
      <c r="S301" s="12">
        <f t="shared" si="2"/>
        <v>-0.001599924692</v>
      </c>
      <c r="T301" s="12">
        <f t="shared" si="3"/>
        <v>0.9984000753</v>
      </c>
      <c r="U301" s="16">
        <f t="shared" si="7"/>
        <v>104.2278416</v>
      </c>
      <c r="V301" s="17"/>
      <c r="W301" s="12">
        <f t="array" ref="W301">SQRT(252/20) *  SQRT( SUMSQ( LN(U280:U299 / U279:U298) )  - (1/20) * ( SUM( LN(U280:U299 / U279:U298) ) ^ 2 ) )</f>
        <v>0.02820050734</v>
      </c>
      <c r="X301" s="9">
        <f t="shared" si="4"/>
        <v>1.5</v>
      </c>
      <c r="Y301" s="14"/>
      <c r="Z301" s="12">
        <f t="shared" si="5"/>
        <v>0.997600988</v>
      </c>
      <c r="AA301" s="16">
        <f t="shared" si="8"/>
        <v>106.3519961</v>
      </c>
      <c r="AB301" s="14"/>
      <c r="AC301" s="9">
        <f t="shared" si="6"/>
        <v>17.5</v>
      </c>
    </row>
    <row r="302">
      <c r="A302" s="8">
        <v>42165.0</v>
      </c>
      <c r="B302" s="14"/>
      <c r="C302" s="9">
        <f t="array" ref="C302">IFERROR(
  INDEX(
    IR!$B$2:$E2026,                
    MATCH($A302, IR!$A$2:$A2026, 0), 
    MATCH(C$1, IR!$B$1:$E$1, 0) ), "")
</f>
        <v>-0.00063</v>
      </c>
      <c r="D302" s="9">
        <f t="array" ref="D302">IFERROR(
  INDEX(
    IR!$B$2:$E2026,                
    MATCH($A302, IR!$A$2:$A2026, 0), 
    MATCH(D$1, IR!$B$1:$E$1, 0) ), "")
</f>
        <v>-0.00014</v>
      </c>
      <c r="E302" s="9">
        <f t="array" ref="E302">IFERROR(
  INDEX(
    IR!$B$2:$E2026,                
    MATCH($A302, IR!$A$2:$A2026, 0), 
    MATCH(E$1, IR!$B$1:$E$1, 0) ), "")
</f>
        <v>0.00049</v>
      </c>
      <c r="F302" s="9">
        <f t="array" ref="F302">IFERROR(
  INDEX(
    IR!$B$2:$E2026,                
    MATCH($A302, IR!$A$2:$A2026, 0), 
    MATCH(F$1, IR!$B$1:$E$1, 0) ), "")
</f>
        <v>0.00166</v>
      </c>
      <c r="G302" s="14"/>
      <c r="H302" s="9">
        <f t="array" ref="H302">IFERROR(
  INDEX(
    SR!$B$2:$D2026,            
    MATCH($A302, SR!$A$2:$A2026, 0),  
    MATCH(H$1, SR!$B$1:$D$1, 0) ), "")
</f>
        <v>0.001448</v>
      </c>
      <c r="I302" s="9">
        <f t="array" ref="I302">IFERROR(
  INDEX(
    SR!$B$2:$D2026,            
    MATCH($A302, SR!$A$2:$A2026, 0),  
    MATCH(I$1, SR!$B$1:$D$1, 0) ), "")
</f>
        <v>0.00261</v>
      </c>
      <c r="J302" s="9">
        <f t="array" ref="J302">IFERROR(
  INDEX(
    SR!$B$2:$D2026,            
    MATCH($A302, SR!$A$2:$A2026, 0),  
    MATCH(J$1, SR!$B$1:$D$1, 0) ), "")
</f>
        <v>0.005842</v>
      </c>
      <c r="K302" s="14"/>
      <c r="L302" s="9">
        <v>127.73</v>
      </c>
      <c r="M302" s="9">
        <v>24.65</v>
      </c>
      <c r="N302" s="9">
        <v>113.21</v>
      </c>
      <c r="O302" s="9">
        <v>126.75</v>
      </c>
      <c r="P302" s="9">
        <v>135.67</v>
      </c>
      <c r="Q302" s="9">
        <v>1430.4606</v>
      </c>
      <c r="R302" s="14"/>
      <c r="S302" s="12">
        <f t="shared" si="2"/>
        <v>-0.0001677901059</v>
      </c>
      <c r="T302" s="12">
        <f t="shared" si="3"/>
        <v>0.9998322099</v>
      </c>
      <c r="U302" s="16">
        <f t="shared" si="7"/>
        <v>104.2103532</v>
      </c>
      <c r="V302" s="17"/>
      <c r="W302" s="12">
        <f t="array" ref="W302">SQRT(252/20) *  SQRT( SUMSQ( LN(U281:U300 / U280:U299) )  - (1/20) * ( SUM( LN(U281:U300 / U280:U299) ) ^ 2 ) )</f>
        <v>0.02812450112</v>
      </c>
      <c r="X302" s="9">
        <f t="shared" si="4"/>
        <v>1.5</v>
      </c>
      <c r="Y302" s="14"/>
      <c r="Z302" s="12">
        <f t="shared" si="5"/>
        <v>0.9997491898</v>
      </c>
      <c r="AA302" s="16">
        <f t="shared" si="8"/>
        <v>106.325322</v>
      </c>
      <c r="AB302" s="14"/>
      <c r="AC302" s="9">
        <f t="shared" si="6"/>
        <v>17.24</v>
      </c>
    </row>
    <row r="303">
      <c r="A303" s="8">
        <v>42166.0</v>
      </c>
      <c r="B303" s="14"/>
      <c r="C303" s="9">
        <f t="array" ref="C303">IFERROR(
  INDEX(
    IR!$B$2:$E2026,                
    MATCH($A303, IR!$A$2:$A2026, 0), 
    MATCH(C$1, IR!$B$1:$E$1, 0) ), "")
</f>
        <v>-0.00062</v>
      </c>
      <c r="D303" s="9">
        <f t="array" ref="D303">IFERROR(
  INDEX(
    IR!$B$2:$E2026,                
    MATCH($A303, IR!$A$2:$A2026, 0), 
    MATCH(D$1, IR!$B$1:$E$1, 0) ), "")
</f>
        <v>-0.00014</v>
      </c>
      <c r="E303" s="9">
        <f t="array" ref="E303">IFERROR(
  INDEX(
    IR!$B$2:$E2026,                
    MATCH($A303, IR!$A$2:$A2026, 0), 
    MATCH(E$1, IR!$B$1:$E$1, 0) ), "")
</f>
        <v>0.00049</v>
      </c>
      <c r="F303" s="9">
        <f t="array" ref="F303">IFERROR(
  INDEX(
    IR!$B$2:$E2026,                
    MATCH($A303, IR!$A$2:$A2026, 0), 
    MATCH(F$1, IR!$B$1:$E$1, 0) ), "")
</f>
        <v>0.00161</v>
      </c>
      <c r="G303" s="14"/>
      <c r="H303" s="9">
        <f t="array" ref="H303">IFERROR(
  INDEX(
    SR!$B$2:$D2026,            
    MATCH($A303, SR!$A$2:$A2026, 0),  
    MATCH(H$1, SR!$B$1:$D$1, 0) ), "")
</f>
        <v>0.00145</v>
      </c>
      <c r="I303" s="9">
        <f t="array" ref="I303">IFERROR(
  INDEX(
    SR!$B$2:$D2026,            
    MATCH($A303, SR!$A$2:$A2026, 0),  
    MATCH(I$1, SR!$B$1:$D$1, 0) ), "")
</f>
        <v>0.002541</v>
      </c>
      <c r="J303" s="9">
        <f t="array" ref="J303">IFERROR(
  INDEX(
    SR!$B$2:$D2026,            
    MATCH($A303, SR!$A$2:$A2026, 0),  
    MATCH(J$1, SR!$B$1:$D$1, 0) ), "")
</f>
        <v>0.005441</v>
      </c>
      <c r="K303" s="14"/>
      <c r="L303" s="9">
        <v>127.99</v>
      </c>
      <c r="M303" s="9">
        <v>24.65</v>
      </c>
      <c r="N303" s="9">
        <v>113.26</v>
      </c>
      <c r="O303" s="9">
        <v>126.86</v>
      </c>
      <c r="P303" s="9">
        <v>136.16</v>
      </c>
      <c r="Q303" s="9">
        <v>1436.4724</v>
      </c>
      <c r="R303" s="14"/>
      <c r="S303" s="12">
        <f t="shared" si="2"/>
        <v>0.001859585982</v>
      </c>
      <c r="T303" s="12">
        <f t="shared" si="3"/>
        <v>1.001859586</v>
      </c>
      <c r="U303" s="16">
        <f t="shared" si="7"/>
        <v>104.4041413</v>
      </c>
      <c r="V303" s="17"/>
      <c r="W303" s="12">
        <f t="array" ref="W303">SQRT(252/20) *  SQRT( SUMSQ( LN(U282:U301 / U281:U300) )  - (1/20) * ( SUM( LN(U282:U301 / U281:U300) ) ^ 2 ) )</f>
        <v>0.02843385613</v>
      </c>
      <c r="X303" s="9">
        <f t="shared" si="4"/>
        <v>1.5</v>
      </c>
      <c r="Y303" s="14"/>
      <c r="Z303" s="12">
        <f t="shared" si="5"/>
        <v>1.002790254</v>
      </c>
      <c r="AA303" s="16">
        <f t="shared" si="8"/>
        <v>106.6219966</v>
      </c>
      <c r="AB303" s="14"/>
      <c r="AC303" s="9">
        <f t="shared" si="6"/>
        <v>20.08</v>
      </c>
    </row>
    <row r="304">
      <c r="A304" s="8">
        <v>42167.0</v>
      </c>
      <c r="B304" s="14"/>
      <c r="C304" s="9">
        <f t="array" ref="C304">IFERROR(
  INDEX(
    IR!$B$2:$E2026,                
    MATCH($A304, IR!$A$2:$A2026, 0), 
    MATCH(C$1, IR!$B$1:$E$1, 0) ), "")
</f>
        <v>-0.00064</v>
      </c>
      <c r="D304" s="9">
        <f t="array" ref="D304">IFERROR(
  INDEX(
    IR!$B$2:$E2026,                
    MATCH($A304, IR!$A$2:$A2026, 0), 
    MATCH(D$1, IR!$B$1:$E$1, 0) ), "")
</f>
        <v>-0.00014</v>
      </c>
      <c r="E304" s="9">
        <f t="array" ref="E304">IFERROR(
  INDEX(
    IR!$B$2:$E2026,                
    MATCH($A304, IR!$A$2:$A2026, 0), 
    MATCH(E$1, IR!$B$1:$E$1, 0) ), "")
</f>
        <v>0.0005</v>
      </c>
      <c r="F304" s="9">
        <f t="array" ref="F304">IFERROR(
  INDEX(
    IR!$B$2:$E2026,                
    MATCH($A304, IR!$A$2:$A2026, 0), 
    MATCH(F$1, IR!$B$1:$E$1, 0) ), "")
</f>
        <v>0.00163</v>
      </c>
      <c r="G304" s="14"/>
      <c r="H304" s="9">
        <f t="array" ref="H304">IFERROR(
  INDEX(
    SR!$B$2:$D2026,            
    MATCH($A304, SR!$A$2:$A2026, 0),  
    MATCH(H$1, SR!$B$1:$D$1, 0) ), "")
</f>
        <v>0.00155</v>
      </c>
      <c r="I304" s="9">
        <f t="array" ref="I304">IFERROR(
  INDEX(
    SR!$B$2:$D2026,            
    MATCH($A304, SR!$A$2:$A2026, 0),  
    MATCH(I$1, SR!$B$1:$D$1, 0) ), "")
</f>
        <v>0.002665</v>
      </c>
      <c r="J304" s="9">
        <f t="array" ref="J304">IFERROR(
  INDEX(
    SR!$B$2:$D2026,            
    MATCH($A304, SR!$A$2:$A2026, 0),  
    MATCH(J$1, SR!$B$1:$D$1, 0) ), "")
</f>
        <v>0.00557</v>
      </c>
      <c r="K304" s="14"/>
      <c r="L304" s="9">
        <v>127.61</v>
      </c>
      <c r="M304" s="9">
        <v>24.65</v>
      </c>
      <c r="N304" s="9">
        <v>113.26</v>
      </c>
      <c r="O304" s="9">
        <v>126.65</v>
      </c>
      <c r="P304" s="9">
        <v>136.22</v>
      </c>
      <c r="Q304" s="9">
        <v>1440.0352</v>
      </c>
      <c r="R304" s="14"/>
      <c r="S304" s="12">
        <f t="shared" si="2"/>
        <v>-0.0002835466546</v>
      </c>
      <c r="T304" s="12">
        <f t="shared" si="3"/>
        <v>0.9997164533</v>
      </c>
      <c r="U304" s="16">
        <f t="shared" si="7"/>
        <v>104.3745379</v>
      </c>
      <c r="V304" s="17"/>
      <c r="W304" s="12">
        <f t="array" ref="W304">SQRT(252/20) *  SQRT( SUMSQ( LN(U283:U302 / U282:U301) )  - (1/20) * ( SUM( LN(U283:U302 / U282:U301) ) ^ 2 ) )</f>
        <v>0.02274324716</v>
      </c>
      <c r="X304" s="9">
        <f t="shared" si="4"/>
        <v>1.5</v>
      </c>
      <c r="Y304" s="14"/>
      <c r="Z304" s="12">
        <f t="shared" si="5"/>
        <v>0.9995755411</v>
      </c>
      <c r="AA304" s="16">
        <f t="shared" si="8"/>
        <v>106.57674</v>
      </c>
      <c r="AB304" s="14"/>
      <c r="AC304" s="9">
        <f t="shared" si="6"/>
        <v>19.65</v>
      </c>
    </row>
    <row r="305">
      <c r="A305" s="8">
        <v>42170.0</v>
      </c>
      <c r="B305" s="14"/>
      <c r="C305" s="9">
        <f t="array" ref="C305">IFERROR(
  INDEX(
    IR!$B$2:$E2026,                
    MATCH($A305, IR!$A$2:$A2026, 0), 
    MATCH(C$1, IR!$B$1:$E$1, 0) ), "")
</f>
        <v>-0.00064</v>
      </c>
      <c r="D305" s="9">
        <f t="array" ref="D305">IFERROR(
  INDEX(
    IR!$B$2:$E2026,                
    MATCH($A305, IR!$A$2:$A2026, 0), 
    MATCH(D$1, IR!$B$1:$E$1, 0) ), "")
</f>
        <v>-0.00014</v>
      </c>
      <c r="E305" s="9">
        <f t="array" ref="E305">IFERROR(
  INDEX(
    IR!$B$2:$E2026,                
    MATCH($A305, IR!$A$2:$A2026, 0), 
    MATCH(E$1, IR!$B$1:$E$1, 0) ), "")
</f>
        <v>0.00049</v>
      </c>
      <c r="F305" s="9">
        <f t="array" ref="F305">IFERROR(
  INDEX(
    IR!$B$2:$E2026,                
    MATCH($A305, IR!$A$2:$A2026, 0), 
    MATCH(F$1, IR!$B$1:$E$1, 0) ), "")
</f>
        <v>0.00164</v>
      </c>
      <c r="G305" s="14"/>
      <c r="H305" s="9">
        <f t="array" ref="H305">IFERROR(
  INDEX(
    SR!$B$2:$D2026,            
    MATCH($A305, SR!$A$2:$A2026, 0),  
    MATCH(H$1, SR!$B$1:$D$1, 0) ), "")
</f>
        <v>0.0017</v>
      </c>
      <c r="I305" s="9">
        <f t="array" ref="I305">IFERROR(
  INDEX(
    SR!$B$2:$D2026,            
    MATCH($A305, SR!$A$2:$A2026, 0),  
    MATCH(I$1, SR!$B$1:$D$1, 0) ), "")
</f>
        <v>0.00276</v>
      </c>
      <c r="J305" s="9">
        <f t="array" ref="J305">IFERROR(
  INDEX(
    SR!$B$2:$D2026,            
    MATCH($A305, SR!$A$2:$A2026, 0),  
    MATCH(J$1, SR!$B$1:$D$1, 0) ), "")
</f>
        <v>0.005585</v>
      </c>
      <c r="K305" s="14"/>
      <c r="L305" s="9">
        <v>126.99</v>
      </c>
      <c r="M305" s="9">
        <v>24.65</v>
      </c>
      <c r="N305" s="9">
        <v>113.26</v>
      </c>
      <c r="O305" s="9">
        <v>126.62</v>
      </c>
      <c r="P305" s="9">
        <v>135.91</v>
      </c>
      <c r="Q305" s="9">
        <v>1436.419</v>
      </c>
      <c r="R305" s="14"/>
      <c r="S305" s="12">
        <f t="shared" si="2"/>
        <v>-0.001646649917</v>
      </c>
      <c r="T305" s="12">
        <f t="shared" si="3"/>
        <v>0.9983533501</v>
      </c>
      <c r="U305" s="16">
        <f t="shared" si="7"/>
        <v>104.2026696</v>
      </c>
      <c r="V305" s="17"/>
      <c r="W305" s="12">
        <f t="array" ref="W305">SQRT(252/20) *  SQRT( SUMSQ( LN(U284:U303 / U283:U302) )  - (1/20) * ( SUM( LN(U284:U303 / U283:U302) ) ^ 2 ) )</f>
        <v>0.02402592597</v>
      </c>
      <c r="X305" s="9">
        <f t="shared" si="4"/>
        <v>1.5</v>
      </c>
      <c r="Y305" s="14"/>
      <c r="Z305" s="12">
        <f t="shared" si="5"/>
        <v>0.9975326918</v>
      </c>
      <c r="AA305" s="16">
        <f t="shared" si="8"/>
        <v>106.3137823</v>
      </c>
      <c r="AB305" s="14"/>
      <c r="AC305" s="9">
        <f t="shared" si="6"/>
        <v>17.13</v>
      </c>
    </row>
    <row r="306">
      <c r="A306" s="8">
        <v>42171.0</v>
      </c>
      <c r="B306" s="14"/>
      <c r="C306" s="9">
        <f t="array" ref="C306">IFERROR(
  INDEX(
    IR!$B$2:$E2026,                
    MATCH($A306, IR!$A$2:$A2026, 0), 
    MATCH(C$1, IR!$B$1:$E$1, 0) ), "")
</f>
        <v>-0.00064</v>
      </c>
      <c r="D306" s="9">
        <f t="array" ref="D306">IFERROR(
  INDEX(
    IR!$B$2:$E2026,                
    MATCH($A306, IR!$A$2:$A2026, 0), 
    MATCH(D$1, IR!$B$1:$E$1, 0) ), "")
</f>
        <v>-0.00014</v>
      </c>
      <c r="E306" s="9">
        <f t="array" ref="E306">IFERROR(
  INDEX(
    IR!$B$2:$E2026,                
    MATCH($A306, IR!$A$2:$A2026, 0), 
    MATCH(E$1, IR!$B$1:$E$1, 0) ), "")
</f>
        <v>0.00051</v>
      </c>
      <c r="F306" s="9">
        <f t="array" ref="F306">IFERROR(
  INDEX(
    IR!$B$2:$E2026,                
    MATCH($A306, IR!$A$2:$A2026, 0), 
    MATCH(F$1, IR!$B$1:$E$1, 0) ), "")
</f>
        <v>0.00166</v>
      </c>
      <c r="G306" s="14"/>
      <c r="H306" s="9">
        <f t="array" ref="H306">IFERROR(
  INDEX(
    SR!$B$2:$D2026,            
    MATCH($A306, SR!$A$2:$A2026, 0),  
    MATCH(H$1, SR!$B$1:$D$1, 0) ), "")
</f>
        <v>0.00161</v>
      </c>
      <c r="I306" s="9">
        <f t="array" ref="I306">IFERROR(
  INDEX(
    SR!$B$2:$D2026,            
    MATCH($A306, SR!$A$2:$A2026, 0),  
    MATCH(I$1, SR!$B$1:$D$1, 0) ), "")
</f>
        <v>0.00259</v>
      </c>
      <c r="J306" s="9">
        <f t="array" ref="J306">IFERROR(
  INDEX(
    SR!$B$2:$D2026,            
    MATCH($A306, SR!$A$2:$A2026, 0),  
    MATCH(J$1, SR!$B$1:$D$1, 0) ), "")
</f>
        <v>0.005425</v>
      </c>
      <c r="K306" s="14"/>
      <c r="L306" s="9">
        <v>127.0</v>
      </c>
      <c r="M306" s="9">
        <v>24.65</v>
      </c>
      <c r="N306" s="9">
        <v>113.22</v>
      </c>
      <c r="O306" s="9">
        <v>126.63</v>
      </c>
      <c r="P306" s="9">
        <v>135.34</v>
      </c>
      <c r="Q306" s="9">
        <v>1429.887</v>
      </c>
      <c r="R306" s="14"/>
      <c r="S306" s="12">
        <f t="shared" si="2"/>
        <v>-0.00148932869</v>
      </c>
      <c r="T306" s="12">
        <f t="shared" si="3"/>
        <v>0.9985106713</v>
      </c>
      <c r="U306" s="16">
        <f t="shared" si="7"/>
        <v>104.0474775</v>
      </c>
      <c r="V306" s="17"/>
      <c r="W306" s="12">
        <f t="array" ref="W306">SQRT(252/20) *  SQRT( SUMSQ( LN(U285:U304 / U284:U303) )  - (1/20) * ( SUM( LN(U285:U304 / U284:U303) ) ^ 2 ) )</f>
        <v>0.02289713967</v>
      </c>
      <c r="X306" s="9">
        <f t="shared" si="4"/>
        <v>1.5</v>
      </c>
      <c r="Y306" s="14"/>
      <c r="Z306" s="12">
        <f t="shared" si="5"/>
        <v>0.9977668959</v>
      </c>
      <c r="AA306" s="16">
        <f t="shared" si="8"/>
        <v>106.0763726</v>
      </c>
      <c r="AB306" s="14"/>
      <c r="AC306" s="9">
        <f t="shared" si="6"/>
        <v>14.86</v>
      </c>
    </row>
    <row r="307">
      <c r="A307" s="8">
        <v>42172.0</v>
      </c>
      <c r="B307" s="14"/>
      <c r="C307" s="9">
        <f t="array" ref="C307">IFERROR(
  INDEX(
    IR!$B$2:$E2026,                
    MATCH($A307, IR!$A$2:$A2026, 0), 
    MATCH(C$1, IR!$B$1:$E$1, 0) ), "")
</f>
        <v>-0.00064</v>
      </c>
      <c r="D307" s="9">
        <f t="array" ref="D307">IFERROR(
  INDEX(
    IR!$B$2:$E2026,                
    MATCH($A307, IR!$A$2:$A2026, 0), 
    MATCH(D$1, IR!$B$1:$E$1, 0) ), "")
</f>
        <v>-0.00014</v>
      </c>
      <c r="E307" s="9">
        <f t="array" ref="E307">IFERROR(
  INDEX(
    IR!$B$2:$E2026,                
    MATCH($A307, IR!$A$2:$A2026, 0), 
    MATCH(E$1, IR!$B$1:$E$1, 0) ), "")
</f>
        <v>0.00049</v>
      </c>
      <c r="F307" s="9">
        <f t="array" ref="F307">IFERROR(
  INDEX(
    IR!$B$2:$E2026,                
    MATCH($A307, IR!$A$2:$A2026, 0), 
    MATCH(F$1, IR!$B$1:$E$1, 0) ), "")
</f>
        <v>0.00166</v>
      </c>
      <c r="G307" s="14"/>
      <c r="H307" s="9">
        <f t="array" ref="H307">IFERROR(
  INDEX(
    SR!$B$2:$D2026,            
    MATCH($A307, SR!$A$2:$A2026, 0),  
    MATCH(H$1, SR!$B$1:$D$1, 0) ), "")
</f>
        <v>0.00155</v>
      </c>
      <c r="I307" s="9">
        <f t="array" ref="I307">IFERROR(
  INDEX(
    SR!$B$2:$D2026,            
    MATCH($A307, SR!$A$2:$A2026, 0),  
    MATCH(I$1, SR!$B$1:$D$1, 0) ), "")
</f>
        <v>0.002475</v>
      </c>
      <c r="J307" s="9">
        <f t="array" ref="J307">IFERROR(
  INDEX(
    SR!$B$2:$D2026,            
    MATCH($A307, SR!$A$2:$A2026, 0),  
    MATCH(J$1, SR!$B$1:$D$1, 0) ), "")
</f>
        <v>0.00531</v>
      </c>
      <c r="K307" s="14"/>
      <c r="L307" s="9">
        <v>126.72</v>
      </c>
      <c r="M307" s="9">
        <v>24.65</v>
      </c>
      <c r="N307" s="9">
        <v>113.19</v>
      </c>
      <c r="O307" s="9">
        <v>126.56</v>
      </c>
      <c r="P307" s="9">
        <v>135.41</v>
      </c>
      <c r="Q307" s="9">
        <v>1431.6007</v>
      </c>
      <c r="R307" s="14"/>
      <c r="S307" s="12">
        <f t="shared" si="2"/>
        <v>-0.0002175904733</v>
      </c>
      <c r="T307" s="12">
        <f t="shared" si="3"/>
        <v>0.9997824095</v>
      </c>
      <c r="U307" s="16">
        <f t="shared" si="7"/>
        <v>104.0248378</v>
      </c>
      <c r="V307" s="17"/>
      <c r="W307" s="12">
        <f t="array" ref="W307">SQRT(252/20) *  SQRT( SUMSQ( LN(U286:U305 / U285:U304) )  - (1/20) * ( SUM( LN(U286:U305 / U285:U304) ) ^ 2 ) )</f>
        <v>0.02321222423</v>
      </c>
      <c r="X307" s="9">
        <f t="shared" si="4"/>
        <v>1.5</v>
      </c>
      <c r="Y307" s="14"/>
      <c r="Z307" s="12">
        <f t="shared" si="5"/>
        <v>0.9996745032</v>
      </c>
      <c r="AA307" s="16">
        <f t="shared" si="8"/>
        <v>106.041845</v>
      </c>
      <c r="AB307" s="14"/>
      <c r="AC307" s="9">
        <f t="shared" si="6"/>
        <v>14.53</v>
      </c>
    </row>
    <row r="308">
      <c r="A308" s="8">
        <v>42173.0</v>
      </c>
      <c r="B308" s="14"/>
      <c r="C308" s="9">
        <f t="array" ref="C308">IFERROR(
  INDEX(
    IR!$B$2:$E2026,                
    MATCH($A308, IR!$A$2:$A2026, 0), 
    MATCH(C$1, IR!$B$1:$E$1, 0) ), "")
</f>
        <v>-0.00063</v>
      </c>
      <c r="D308" s="9">
        <f t="array" ref="D308">IFERROR(
  INDEX(
    IR!$B$2:$E2026,                
    MATCH($A308, IR!$A$2:$A2026, 0), 
    MATCH(D$1, IR!$B$1:$E$1, 0) ), "")
</f>
        <v>-0.00014</v>
      </c>
      <c r="E308" s="9">
        <f t="array" ref="E308">IFERROR(
  INDEX(
    IR!$B$2:$E2026,                
    MATCH($A308, IR!$A$2:$A2026, 0), 
    MATCH(E$1, IR!$B$1:$E$1, 0) ), "")
</f>
        <v>0.00049</v>
      </c>
      <c r="F308" s="9">
        <f t="array" ref="F308">IFERROR(
  INDEX(
    IR!$B$2:$E2026,                
    MATCH($A308, IR!$A$2:$A2026, 0), 
    MATCH(F$1, IR!$B$1:$E$1, 0) ), "")
</f>
        <v>0.00166</v>
      </c>
      <c r="G308" s="14"/>
      <c r="H308" s="9">
        <f t="array" ref="H308">IFERROR(
  INDEX(
    SR!$B$2:$D2026,            
    MATCH($A308, SR!$A$2:$A2026, 0),  
    MATCH(H$1, SR!$B$1:$D$1, 0) ), "")
</f>
        <v>0.00148</v>
      </c>
      <c r="I308" s="9">
        <f t="array" ref="I308">IFERROR(
  INDEX(
    SR!$B$2:$D2026,            
    MATCH($A308, SR!$A$2:$A2026, 0),  
    MATCH(I$1, SR!$B$1:$D$1, 0) ), "")
</f>
        <v>0.002424</v>
      </c>
      <c r="J308" s="9">
        <f t="array" ref="J308">IFERROR(
  INDEX(
    SR!$B$2:$D2026,            
    MATCH($A308, SR!$A$2:$A2026, 0),  
    MATCH(J$1, SR!$B$1:$D$1, 0) ), "")
</f>
        <v>0.005325</v>
      </c>
      <c r="K308" s="14"/>
      <c r="L308" s="9">
        <v>126.89</v>
      </c>
      <c r="M308" s="9">
        <v>24.63</v>
      </c>
      <c r="N308" s="9">
        <v>113.1</v>
      </c>
      <c r="O308" s="9">
        <v>126.55</v>
      </c>
      <c r="P308" s="9">
        <v>135.31</v>
      </c>
      <c r="Q308" s="9">
        <v>1430.9119</v>
      </c>
      <c r="R308" s="14"/>
      <c r="S308" s="12">
        <f t="shared" si="2"/>
        <v>-0.0002605427771</v>
      </c>
      <c r="T308" s="12">
        <f t="shared" si="3"/>
        <v>0.9997394572</v>
      </c>
      <c r="U308" s="16">
        <f t="shared" si="7"/>
        <v>103.9977349</v>
      </c>
      <c r="V308" s="17"/>
      <c r="W308" s="12">
        <f t="array" ref="W308">SQRT(252/20) *  SQRT( SUMSQ( LN(U287:U306 / U286:U305) )  - (1/20) * ( SUM( LN(U287:U306 / U286:U305) ) ^ 2 ) )</f>
        <v>0.02317793954</v>
      </c>
      <c r="X308" s="9">
        <f t="shared" si="4"/>
        <v>1.5</v>
      </c>
      <c r="Y308" s="14"/>
      <c r="Z308" s="12">
        <f t="shared" si="5"/>
        <v>0.9996100747</v>
      </c>
      <c r="AA308" s="16">
        <f t="shared" si="8"/>
        <v>106.0004967</v>
      </c>
      <c r="AB308" s="14"/>
      <c r="AC308" s="9">
        <f t="shared" si="6"/>
        <v>14.13</v>
      </c>
    </row>
    <row r="309">
      <c r="A309" s="8">
        <v>42174.0</v>
      </c>
      <c r="B309" s="14"/>
      <c r="C309" s="9">
        <f t="array" ref="C309">IFERROR(
  INDEX(
    IR!$B$2:$E2026,                
    MATCH($A309, IR!$A$2:$A2026, 0), 
    MATCH(C$1, IR!$B$1:$E$1, 0) ), "")
</f>
        <v>-0.00064</v>
      </c>
      <c r="D309" s="9">
        <f t="array" ref="D309">IFERROR(
  INDEX(
    IR!$B$2:$E2026,                
    MATCH($A309, IR!$A$2:$A2026, 0), 
    MATCH(D$1, IR!$B$1:$E$1, 0) ), "")
</f>
        <v>-0.00014</v>
      </c>
      <c r="E309" s="9">
        <f t="array" ref="E309">IFERROR(
  INDEX(
    IR!$B$2:$E2026,                
    MATCH($A309, IR!$A$2:$A2026, 0), 
    MATCH(E$1, IR!$B$1:$E$1, 0) ), "")
</f>
        <v>0.0005</v>
      </c>
      <c r="F309" s="9">
        <f t="array" ref="F309">IFERROR(
  INDEX(
    IR!$B$2:$E2026,                
    MATCH($A309, IR!$A$2:$A2026, 0), 
    MATCH(F$1, IR!$B$1:$E$1, 0) ), "")
</f>
        <v>0.00166</v>
      </c>
      <c r="G309" s="14"/>
      <c r="H309" s="9">
        <f t="array" ref="H309">IFERROR(
  INDEX(
    SR!$B$2:$D2026,            
    MATCH($A309, SR!$A$2:$A2026, 0),  
    MATCH(H$1, SR!$B$1:$D$1, 0) ), "")
</f>
        <v>0.00146</v>
      </c>
      <c r="I309" s="9">
        <f t="array" ref="I309">IFERROR(
  INDEX(
    SR!$B$2:$D2026,            
    MATCH($A309, SR!$A$2:$A2026, 0),  
    MATCH(I$1, SR!$B$1:$D$1, 0) ), "")
</f>
        <v>0.002435</v>
      </c>
      <c r="J309" s="9">
        <f t="array" ref="J309">IFERROR(
  INDEX(
    SR!$B$2:$D2026,            
    MATCH($A309, SR!$A$2:$A2026, 0),  
    MATCH(J$1, SR!$B$1:$D$1, 0) ), "")
</f>
        <v>0.005119</v>
      </c>
      <c r="K309" s="14"/>
      <c r="L309" s="9">
        <v>126.89</v>
      </c>
      <c r="M309" s="9">
        <v>24.64</v>
      </c>
      <c r="N309" s="9">
        <v>113.12</v>
      </c>
      <c r="O309" s="9">
        <v>126.56</v>
      </c>
      <c r="P309" s="9">
        <v>135.41</v>
      </c>
      <c r="Q309" s="9">
        <v>1436.1351</v>
      </c>
      <c r="R309" s="14"/>
      <c r="S309" s="12">
        <f t="shared" si="2"/>
        <v>0.0008418894631</v>
      </c>
      <c r="T309" s="12">
        <f t="shared" si="3"/>
        <v>1.000841889</v>
      </c>
      <c r="U309" s="16">
        <f t="shared" si="7"/>
        <v>104.0852895</v>
      </c>
      <c r="V309" s="17"/>
      <c r="W309" s="12">
        <f t="array" ref="W309">SQRT(252/20) *  SQRT( SUMSQ( LN(U288:U307 / U287:U306) )  - (1/20) * ( SUM( LN(U288:U307 / U287:U306) ) ^ 2 ) )</f>
        <v>0.02090587129</v>
      </c>
      <c r="X309" s="9">
        <f t="shared" si="4"/>
        <v>1.5</v>
      </c>
      <c r="Y309" s="14"/>
      <c r="Z309" s="12">
        <f t="shared" si="5"/>
        <v>1.001263709</v>
      </c>
      <c r="AA309" s="16">
        <f t="shared" si="8"/>
        <v>106.1344505</v>
      </c>
      <c r="AB309" s="14"/>
      <c r="AC309" s="9">
        <f t="shared" si="6"/>
        <v>15.42</v>
      </c>
    </row>
    <row r="310">
      <c r="A310" s="8">
        <v>42177.0</v>
      </c>
      <c r="B310" s="14"/>
      <c r="C310" s="9">
        <f t="array" ref="C310">IFERROR(
  INDEX(
    IR!$B$2:$E2026,                
    MATCH($A310, IR!$A$2:$A2026, 0), 
    MATCH(C$1, IR!$B$1:$E$1, 0) ), "")
</f>
        <v>-0.00065</v>
      </c>
      <c r="D310" s="9">
        <f t="array" ref="D310">IFERROR(
  INDEX(
    IR!$B$2:$E2026,                
    MATCH($A310, IR!$A$2:$A2026, 0), 
    MATCH(D$1, IR!$B$1:$E$1, 0) ), "")
</f>
        <v>-0.00014</v>
      </c>
      <c r="E310" s="9">
        <f t="array" ref="E310">IFERROR(
  INDEX(
    IR!$B$2:$E2026,                
    MATCH($A310, IR!$A$2:$A2026, 0), 
    MATCH(E$1, IR!$B$1:$E$1, 0) ), "")
</f>
        <v>0.00048</v>
      </c>
      <c r="F310" s="9">
        <f t="array" ref="F310">IFERROR(
  INDEX(
    IR!$B$2:$E2026,                
    MATCH($A310, IR!$A$2:$A2026, 0), 
    MATCH(F$1, IR!$B$1:$E$1, 0) ), "")
</f>
        <v>0.00164</v>
      </c>
      <c r="G310" s="14"/>
      <c r="H310" s="9">
        <f t="array" ref="H310">IFERROR(
  INDEX(
    SR!$B$2:$D2026,            
    MATCH($A310, SR!$A$2:$A2026, 0),  
    MATCH(H$1, SR!$B$1:$D$1, 0) ), "")
</f>
        <v>0.001314</v>
      </c>
      <c r="I310" s="9">
        <f t="array" ref="I310">IFERROR(
  INDEX(
    SR!$B$2:$D2026,            
    MATCH($A310, SR!$A$2:$A2026, 0),  
    MATCH(I$1, SR!$B$1:$D$1, 0) ), "")
</f>
        <v>0.002415</v>
      </c>
      <c r="J310" s="9">
        <f t="array" ref="J310">IFERROR(
  INDEX(
    SR!$B$2:$D2026,            
    MATCH($A310, SR!$A$2:$A2026, 0),  
    MATCH(J$1, SR!$B$1:$D$1, 0) ), "")
</f>
        <v>0.005562</v>
      </c>
      <c r="K310" s="14"/>
      <c r="L310" s="9">
        <v>127.97</v>
      </c>
      <c r="M310" s="9">
        <v>24.63</v>
      </c>
      <c r="N310" s="9">
        <v>113.21</v>
      </c>
      <c r="O310" s="9">
        <v>126.5</v>
      </c>
      <c r="P310" s="9">
        <v>135.49</v>
      </c>
      <c r="Q310" s="9">
        <v>1436.5302</v>
      </c>
      <c r="R310" s="14"/>
      <c r="S310" s="12">
        <f t="shared" si="2"/>
        <v>0.00154822605</v>
      </c>
      <c r="T310" s="12">
        <f t="shared" si="3"/>
        <v>1.001548226</v>
      </c>
      <c r="U310" s="16">
        <f t="shared" si="7"/>
        <v>104.246437</v>
      </c>
      <c r="V310" s="17"/>
      <c r="W310" s="12">
        <f t="array" ref="W310">SQRT(252/20) *  SQRT( SUMSQ( LN(U289:U308 / U288:U307) )  - (1/20) * ( SUM( LN(U289:U308 / U288:U307) ) ^ 2 ) )</f>
        <v>0.01723891941</v>
      </c>
      <c r="X310" s="9">
        <f t="shared" si="4"/>
        <v>1.5</v>
      </c>
      <c r="Y310" s="14"/>
      <c r="Z310" s="12">
        <f t="shared" si="5"/>
        <v>1.002325006</v>
      </c>
      <c r="AA310" s="16">
        <f t="shared" si="8"/>
        <v>106.3812137</v>
      </c>
      <c r="AB310" s="14"/>
      <c r="AC310" s="9">
        <f t="shared" si="6"/>
        <v>17.78</v>
      </c>
    </row>
    <row r="311">
      <c r="A311" s="8">
        <v>42179.0</v>
      </c>
      <c r="B311" s="14"/>
      <c r="C311" s="9">
        <f t="array" ref="C311">IFERROR(
  INDEX(
    IR!$B$2:$E2026,                
    MATCH($A311, IR!$A$2:$A2026, 0), 
    MATCH(C$1, IR!$B$1:$E$1, 0) ), "")
</f>
        <v>-0.00066</v>
      </c>
      <c r="D311" s="9">
        <f t="array" ref="D311">IFERROR(
  INDEX(
    IR!$B$2:$E2026,                
    MATCH($A311, IR!$A$2:$A2026, 0), 
    MATCH(D$1, IR!$B$1:$E$1, 0) ), "")
</f>
        <v>-0.00014</v>
      </c>
      <c r="E311" s="9">
        <f t="array" ref="E311">IFERROR(
  INDEX(
    IR!$B$2:$E2026,                
    MATCH($A311, IR!$A$2:$A2026, 0), 
    MATCH(E$1, IR!$B$1:$E$1, 0) ), "")
</f>
        <v>0.00049</v>
      </c>
      <c r="F311" s="9">
        <f t="array" ref="F311">IFERROR(
  INDEX(
    IR!$B$2:$E2026,                
    MATCH($A311, IR!$A$2:$A2026, 0), 
    MATCH(F$1, IR!$B$1:$E$1, 0) ), "")
</f>
        <v>0.00163</v>
      </c>
      <c r="G311" s="14"/>
      <c r="H311" s="9">
        <f t="array" ref="H311">IFERROR(
  INDEX(
    SR!$B$2:$D2026,            
    MATCH($A311, SR!$A$2:$A2026, 0),  
    MATCH(H$1, SR!$B$1:$D$1, 0) ), "")
</f>
        <v>0.001285</v>
      </c>
      <c r="I311" s="9">
        <f t="array" ref="I311">IFERROR(
  INDEX(
    SR!$B$2:$D2026,            
    MATCH($A311, SR!$A$2:$A2026, 0),  
    MATCH(I$1, SR!$B$1:$D$1, 0) ), "")
</f>
        <v>0.002275</v>
      </c>
      <c r="J311" s="9">
        <f t="array" ref="J311">IFERROR(
  INDEX(
    SR!$B$2:$D2026,            
    MATCH($A311, SR!$A$2:$A2026, 0),  
    MATCH(J$1, SR!$B$1:$D$1, 0) ), "")
</f>
        <v>0.00514</v>
      </c>
      <c r="K311" s="14"/>
      <c r="L311" s="9">
        <v>128.24001</v>
      </c>
      <c r="M311" s="9">
        <v>24.65</v>
      </c>
      <c r="N311" s="9">
        <v>113.29</v>
      </c>
      <c r="O311" s="9">
        <v>126.63</v>
      </c>
      <c r="P311" s="9">
        <v>136.34</v>
      </c>
      <c r="Q311" s="9">
        <v>1445.936</v>
      </c>
      <c r="R311" s="14"/>
      <c r="S311" s="12">
        <f t="shared" si="2"/>
        <v>0.002912388444</v>
      </c>
      <c r="T311" s="12">
        <f t="shared" si="3"/>
        <v>1.002912388</v>
      </c>
      <c r="U311" s="16">
        <f t="shared" si="7"/>
        <v>104.5500431</v>
      </c>
      <c r="V311" s="17"/>
      <c r="W311" s="12">
        <f t="array" ref="W311">SQRT(252/20) *  SQRT( SUMSQ( LN(U290:U309 / U289:U308) )  - (1/20) * ( SUM( LN(U290:U309 / U289:U308) ) ^ 2 ) )</f>
        <v>0.01806003884</v>
      </c>
      <c r="X311" s="9">
        <f t="shared" si="4"/>
        <v>1.5</v>
      </c>
      <c r="Y311" s="14"/>
      <c r="Z311" s="12">
        <f t="shared" si="5"/>
        <v>1.004370388</v>
      </c>
      <c r="AA311" s="16">
        <f t="shared" si="8"/>
        <v>106.8461409</v>
      </c>
      <c r="AB311" s="14"/>
      <c r="AC311" s="9">
        <f t="shared" si="6"/>
        <v>22.22</v>
      </c>
    </row>
    <row r="312">
      <c r="A312" s="8">
        <v>42180.0</v>
      </c>
      <c r="B312" s="14"/>
      <c r="C312" s="9">
        <f t="array" ref="C312">IFERROR(
  INDEX(
    IR!$B$2:$E2026,                
    MATCH($A312, IR!$A$2:$A2026, 0), 
    MATCH(C$1, IR!$B$1:$E$1, 0) ), "")
</f>
        <v>-0.00066</v>
      </c>
      <c r="D312" s="9">
        <f t="array" ref="D312">IFERROR(
  INDEX(
    IR!$B$2:$E2026,                
    MATCH($A312, IR!$A$2:$A2026, 0), 
    MATCH(D$1, IR!$B$1:$E$1, 0) ), "")
</f>
        <v>-0.00015</v>
      </c>
      <c r="E312" s="9">
        <f t="array" ref="E312">IFERROR(
  INDEX(
    IR!$B$2:$E2026,                
    MATCH($A312, IR!$A$2:$A2026, 0), 
    MATCH(E$1, IR!$B$1:$E$1, 0) ), "")
</f>
        <v>0.00049</v>
      </c>
      <c r="F312" s="9">
        <f t="array" ref="F312">IFERROR(
  INDEX(
    IR!$B$2:$E2026,                
    MATCH($A312, IR!$A$2:$A2026, 0), 
    MATCH(F$1, IR!$B$1:$E$1, 0) ), "")
</f>
        <v>0.00162</v>
      </c>
      <c r="G312" s="14"/>
      <c r="H312" s="9">
        <f t="array" ref="H312">IFERROR(
  INDEX(
    SR!$B$2:$D2026,            
    MATCH($A312, SR!$A$2:$A2026, 0),  
    MATCH(H$1, SR!$B$1:$D$1, 0) ), "")
</f>
        <v>0.001269</v>
      </c>
      <c r="I312" s="9">
        <f t="array" ref="I312">IFERROR(
  INDEX(
    SR!$B$2:$D2026,            
    MATCH($A312, SR!$A$2:$A2026, 0),  
    MATCH(I$1, SR!$B$1:$D$1, 0) ), "")
</f>
        <v>0.00229</v>
      </c>
      <c r="J312" s="9">
        <f t="array" ref="J312">IFERROR(
  INDEX(
    SR!$B$2:$D2026,            
    MATCH($A312, SR!$A$2:$A2026, 0),  
    MATCH(J$1, SR!$B$1:$D$1, 0) ), "")
</f>
        <v>0.005303</v>
      </c>
      <c r="K312" s="14"/>
      <c r="L312" s="9">
        <v>128.23</v>
      </c>
      <c r="M312" s="9">
        <v>24.66</v>
      </c>
      <c r="N312" s="9">
        <v>113.27</v>
      </c>
      <c r="O312" s="9">
        <v>126.57</v>
      </c>
      <c r="P312" s="9">
        <v>136.07</v>
      </c>
      <c r="Q312" s="9">
        <v>1441.7072</v>
      </c>
      <c r="R312" s="14"/>
      <c r="S312" s="12">
        <f t="shared" si="2"/>
        <v>-0.0008712257379</v>
      </c>
      <c r="T312" s="12">
        <f t="shared" si="3"/>
        <v>0.9991287743</v>
      </c>
      <c r="U312" s="16">
        <f t="shared" si="7"/>
        <v>104.4589565</v>
      </c>
      <c r="V312" s="17"/>
      <c r="W312" s="12">
        <f t="array" ref="W312">SQRT(252/20) *  SQRT( SUMSQ( LN(U291:U310 / U290:U309) )  - (1/20) * ( SUM( LN(U291:U310 / U290:U309) ) ^ 2 ) )</f>
        <v>0.0193275304</v>
      </c>
      <c r="X312" s="9">
        <f t="shared" si="4"/>
        <v>1.5</v>
      </c>
      <c r="Y312" s="14"/>
      <c r="Z312" s="12">
        <f t="shared" si="5"/>
        <v>0.9986940781</v>
      </c>
      <c r="AA312" s="16">
        <f t="shared" si="8"/>
        <v>106.7066081</v>
      </c>
      <c r="AB312" s="14"/>
      <c r="AC312" s="9">
        <f t="shared" si="6"/>
        <v>20.89</v>
      </c>
    </row>
    <row r="313">
      <c r="A313" s="8">
        <v>42181.0</v>
      </c>
      <c r="B313" s="14"/>
      <c r="C313" s="9">
        <f t="array" ref="C313">IFERROR(
  INDEX(
    IR!$B$2:$E2026,                
    MATCH($A313, IR!$A$2:$A2026, 0), 
    MATCH(C$1, IR!$B$1:$E$1, 0) ), "")
</f>
        <v>-0.00066</v>
      </c>
      <c r="D313" s="9">
        <f t="array" ref="D313">IFERROR(
  INDEX(
    IR!$B$2:$E2026,                
    MATCH($A313, IR!$A$2:$A2026, 0), 
    MATCH(D$1, IR!$B$1:$E$1, 0) ), "")
</f>
        <v>-0.00015</v>
      </c>
      <c r="E313" s="9">
        <f t="array" ref="E313">IFERROR(
  INDEX(
    IR!$B$2:$E2026,                
    MATCH($A313, IR!$A$2:$A2026, 0), 
    MATCH(E$1, IR!$B$1:$E$1, 0) ), "")
</f>
        <v>0.0005</v>
      </c>
      <c r="F313" s="9">
        <f t="array" ref="F313">IFERROR(
  INDEX(
    IR!$B$2:$E2026,                
    MATCH($A313, IR!$A$2:$A2026, 0), 
    MATCH(F$1, IR!$B$1:$E$1, 0) ), "")
</f>
        <v>0.00162</v>
      </c>
      <c r="G313" s="14"/>
      <c r="H313" s="9">
        <f t="array" ref="H313">IFERROR(
  INDEX(
    SR!$B$2:$D2026,            
    MATCH($A313, SR!$A$2:$A2026, 0),  
    MATCH(H$1, SR!$B$1:$D$1, 0) ), "")
</f>
        <v>0.00136</v>
      </c>
      <c r="I313" s="9">
        <f t="array" ref="I313">IFERROR(
  INDEX(
    SR!$B$2:$D2026,            
    MATCH($A313, SR!$A$2:$A2026, 0),  
    MATCH(I$1, SR!$B$1:$D$1, 0) ), "")
</f>
        <v>0.00248</v>
      </c>
      <c r="J313" s="9">
        <f t="array" ref="J313">IFERROR(
  INDEX(
    SR!$B$2:$D2026,            
    MATCH($A313, SR!$A$2:$A2026, 0),  
    MATCH(J$1, SR!$B$1:$D$1, 0) ), "")
</f>
        <v>0.005694</v>
      </c>
      <c r="K313" s="14"/>
      <c r="L313" s="9">
        <v>128.39</v>
      </c>
      <c r="M313" s="9">
        <v>24.65</v>
      </c>
      <c r="N313" s="9">
        <v>113.24</v>
      </c>
      <c r="O313" s="9">
        <v>126.56</v>
      </c>
      <c r="P313" s="9">
        <v>136.0</v>
      </c>
      <c r="Q313" s="9">
        <v>1441.4602</v>
      </c>
      <c r="R313" s="14"/>
      <c r="S313" s="12">
        <f t="shared" si="2"/>
        <v>-0.00003123537036</v>
      </c>
      <c r="T313" s="12">
        <f t="shared" si="3"/>
        <v>0.9999687646</v>
      </c>
      <c r="U313" s="16">
        <f t="shared" si="7"/>
        <v>104.4556936</v>
      </c>
      <c r="V313" s="17"/>
      <c r="W313" s="12">
        <f t="array" ref="W313">SQRT(252/20) *  SQRT( SUMSQ( LN(U292:U311 / U291:U310) )  - (1/20) * ( SUM( LN(U292:U311 / U291:U310) ) ^ 2 ) )</f>
        <v>0.02279266859</v>
      </c>
      <c r="X313" s="9">
        <f t="shared" si="4"/>
        <v>1.5</v>
      </c>
      <c r="Y313" s="14"/>
      <c r="Z313" s="12">
        <f t="shared" si="5"/>
        <v>0.9999540636</v>
      </c>
      <c r="AA313" s="16">
        <f t="shared" si="8"/>
        <v>106.7017064</v>
      </c>
      <c r="AB313" s="14"/>
      <c r="AC313" s="9">
        <f t="shared" si="6"/>
        <v>20.84</v>
      </c>
    </row>
    <row r="314">
      <c r="A314" s="8">
        <v>42184.0</v>
      </c>
      <c r="B314" s="14"/>
      <c r="C314" s="9">
        <f t="array" ref="C314">IFERROR(
  INDEX(
    IR!$B$2:$E2026,                
    MATCH($A314, IR!$A$2:$A2026, 0), 
    MATCH(C$1, IR!$B$1:$E$1, 0) ), "")
</f>
        <v>-0.00064</v>
      </c>
      <c r="D314" s="9">
        <f t="array" ref="D314">IFERROR(
  INDEX(
    IR!$B$2:$E2026,                
    MATCH($A314, IR!$A$2:$A2026, 0), 
    MATCH(D$1, IR!$B$1:$E$1, 0) ), "")
</f>
        <v>-0.00016</v>
      </c>
      <c r="E314" s="9">
        <f t="array" ref="E314">IFERROR(
  INDEX(
    IR!$B$2:$E2026,                
    MATCH($A314, IR!$A$2:$A2026, 0), 
    MATCH(E$1, IR!$B$1:$E$1, 0) ), "")
</f>
        <v>0.0005</v>
      </c>
      <c r="F314" s="9">
        <f t="array" ref="F314">IFERROR(
  INDEX(
    IR!$B$2:$E2026,                
    MATCH($A314, IR!$A$2:$A2026, 0), 
    MATCH(F$1, IR!$B$1:$E$1, 0) ), "")
</f>
        <v>0.00163</v>
      </c>
      <c r="G314" s="14"/>
      <c r="H314" s="9">
        <f t="array" ref="H314">IFERROR(
  INDEX(
    SR!$B$2:$D2026,            
    MATCH($A314, SR!$A$2:$A2026, 0),  
    MATCH(H$1, SR!$B$1:$D$1, 0) ), "")
</f>
        <v>0.00132</v>
      </c>
      <c r="I314" s="9">
        <f t="array" ref="I314">IFERROR(
  INDEX(
    SR!$B$2:$D2026,            
    MATCH($A314, SR!$A$2:$A2026, 0),  
    MATCH(I$1, SR!$B$1:$D$1, 0) ), "")
</f>
        <v>0.0023</v>
      </c>
      <c r="J314" s="9">
        <f t="array" ref="J314">IFERROR(
  INDEX(
    SR!$B$2:$D2026,            
    MATCH($A314, SR!$A$2:$A2026, 0),  
    MATCH(J$1, SR!$B$1:$D$1, 0) ), "")
</f>
        <v>0.004975</v>
      </c>
      <c r="K314" s="14"/>
      <c r="L314" s="9">
        <v>127.0</v>
      </c>
      <c r="M314" s="9">
        <v>24.64</v>
      </c>
      <c r="N314" s="9">
        <v>112.99</v>
      </c>
      <c r="O314" s="9">
        <v>126.56</v>
      </c>
      <c r="P314" s="9">
        <v>136.08</v>
      </c>
      <c r="Q314" s="9">
        <v>1433.4028</v>
      </c>
      <c r="R314" s="14"/>
      <c r="S314" s="12">
        <f t="shared" si="2"/>
        <v>-0.003072876478</v>
      </c>
      <c r="T314" s="12">
        <f t="shared" si="3"/>
        <v>0.9969271235</v>
      </c>
      <c r="U314" s="16">
        <f t="shared" si="7"/>
        <v>104.1347142</v>
      </c>
      <c r="V314" s="17"/>
      <c r="W314" s="12">
        <f t="array" ref="W314">SQRT(252/20) *  SQRT( SUMSQ( LN(U293:U312 / U292:U311) )  - (1/20) * ( SUM( LN(U293:U312 / U292:U311) ) ^ 2 ) )</f>
        <v>0.02253331125</v>
      </c>
      <c r="X314" s="9">
        <f t="shared" si="4"/>
        <v>1.5</v>
      </c>
      <c r="Y314" s="14"/>
      <c r="Z314" s="12">
        <f t="shared" si="5"/>
        <v>0.9953934353</v>
      </c>
      <c r="AA314" s="16">
        <f t="shared" si="8"/>
        <v>106.2101781</v>
      </c>
      <c r="AB314" s="14"/>
      <c r="AC314" s="9">
        <f t="shared" si="6"/>
        <v>16.14</v>
      </c>
    </row>
    <row r="315">
      <c r="A315" s="8">
        <v>42185.0</v>
      </c>
      <c r="B315" s="14"/>
      <c r="C315" s="9">
        <f t="array" ref="C315">IFERROR(
  INDEX(
    IR!$B$2:$E2026,                
    MATCH($A315, IR!$A$2:$A2026, 0), 
    MATCH(C$1, IR!$B$1:$E$1, 0) ), "")
</f>
        <v>-0.00064</v>
      </c>
      <c r="D315" s="9">
        <f t="array" ref="D315">IFERROR(
  INDEX(
    IR!$B$2:$E2026,                
    MATCH($A315, IR!$A$2:$A2026, 0), 
    MATCH(D$1, IR!$B$1:$E$1, 0) ), "")
</f>
        <v>-0.00014</v>
      </c>
      <c r="E315" s="9">
        <f t="array" ref="E315">IFERROR(
  INDEX(
    IR!$B$2:$E2026,                
    MATCH($A315, IR!$A$2:$A2026, 0), 
    MATCH(E$1, IR!$B$1:$E$1, 0) ), "")
</f>
        <v>0.0005</v>
      </c>
      <c r="F315" s="9">
        <f t="array" ref="F315">IFERROR(
  INDEX(
    IR!$B$2:$E2026,                
    MATCH($A315, IR!$A$2:$A2026, 0), 
    MATCH(F$1, IR!$B$1:$E$1, 0) ), "")
</f>
        <v>0.00164</v>
      </c>
      <c r="G315" s="14"/>
      <c r="H315" s="9">
        <f t="array" ref="H315">IFERROR(
  INDEX(
    SR!$B$2:$D2026,            
    MATCH($A315, SR!$A$2:$A2026, 0),  
    MATCH(H$1, SR!$B$1:$D$1, 0) ), "")
</f>
        <v>0.00125</v>
      </c>
      <c r="I315" s="9">
        <f t="array" ref="I315">IFERROR(
  INDEX(
    SR!$B$2:$D2026,            
    MATCH($A315, SR!$A$2:$A2026, 0),  
    MATCH(I$1, SR!$B$1:$D$1, 0) ), "")
</f>
        <v>0.002228</v>
      </c>
      <c r="J315" s="9">
        <f t="array" ref="J315">IFERROR(
  INDEX(
    SR!$B$2:$D2026,            
    MATCH($A315, SR!$A$2:$A2026, 0),  
    MATCH(J$1, SR!$B$1:$D$1, 0) ), "")
</f>
        <v>0.005005</v>
      </c>
      <c r="K315" s="14"/>
      <c r="L315" s="9">
        <v>126.96</v>
      </c>
      <c r="M315" s="9">
        <v>24.64</v>
      </c>
      <c r="N315" s="9">
        <v>113.0</v>
      </c>
      <c r="O315" s="9">
        <v>126.44</v>
      </c>
      <c r="P315" s="9">
        <v>135.11</v>
      </c>
      <c r="Q315" s="9">
        <v>1419.8113</v>
      </c>
      <c r="R315" s="14"/>
      <c r="S315" s="12">
        <f t="shared" si="2"/>
        <v>-0.002963890267</v>
      </c>
      <c r="T315" s="12">
        <f t="shared" si="3"/>
        <v>0.9970361097</v>
      </c>
      <c r="U315" s="16">
        <f t="shared" si="7"/>
        <v>103.8260703</v>
      </c>
      <c r="V315" s="17"/>
      <c r="W315" s="12">
        <f t="array" ref="W315">SQRT(252/20) *  SQRT( SUMSQ( LN(U294:U313 / U293:U312) )  - (1/20) * ( SUM( LN(U294:U313 / U293:U312) ) ^ 2 ) )</f>
        <v>0.0212966642</v>
      </c>
      <c r="X315" s="9">
        <f t="shared" si="4"/>
        <v>1.5</v>
      </c>
      <c r="Y315" s="14"/>
      <c r="Z315" s="12">
        <f t="shared" si="5"/>
        <v>0.9955550535</v>
      </c>
      <c r="AA315" s="16">
        <f t="shared" si="8"/>
        <v>105.7380796</v>
      </c>
      <c r="AB315" s="14"/>
      <c r="AC315" s="9">
        <f t="shared" si="6"/>
        <v>11.62</v>
      </c>
    </row>
    <row r="316">
      <c r="A316" s="8">
        <v>42186.0</v>
      </c>
      <c r="B316" s="14"/>
      <c r="C316" s="9">
        <f t="array" ref="C316">IFERROR(
  INDEX(
    IR!$B$2:$E2026,                
    MATCH($A316, IR!$A$2:$A2026, 0), 
    MATCH(C$1, IR!$B$1:$E$1, 0) ), "")
</f>
        <v>-0.00064</v>
      </c>
      <c r="D316" s="9">
        <f t="array" ref="D316">IFERROR(
  INDEX(
    IR!$B$2:$E2026,                
    MATCH($A316, IR!$A$2:$A2026, 0), 
    MATCH(D$1, IR!$B$1:$E$1, 0) ), "")
</f>
        <v>-0.00014</v>
      </c>
      <c r="E316" s="9">
        <f t="array" ref="E316">IFERROR(
  INDEX(
    IR!$B$2:$E2026,                
    MATCH($A316, IR!$A$2:$A2026, 0), 
    MATCH(E$1, IR!$B$1:$E$1, 0) ), "")
</f>
        <v>0.00049</v>
      </c>
      <c r="F316" s="9">
        <f t="array" ref="F316">IFERROR(
  INDEX(
    IR!$B$2:$E2026,                
    MATCH($A316, IR!$A$2:$A2026, 0), 
    MATCH(F$1, IR!$B$1:$E$1, 0) ), "")
</f>
        <v>0.00164</v>
      </c>
      <c r="G316" s="14"/>
      <c r="H316" s="9">
        <f t="array" ref="H316">IFERROR(
  INDEX(
    SR!$B$2:$D2026,            
    MATCH($A316, SR!$A$2:$A2026, 0),  
    MATCH(H$1, SR!$B$1:$D$1, 0) ), "")
</f>
        <v>0.00122</v>
      </c>
      <c r="I316" s="9">
        <f t="array" ref="I316">IFERROR(
  INDEX(
    SR!$B$2:$D2026,            
    MATCH($A316, SR!$A$2:$A2026, 0),  
    MATCH(I$1, SR!$B$1:$D$1, 0) ), "")
</f>
        <v>0.002187</v>
      </c>
      <c r="J316" s="9">
        <f t="array" ref="J316">IFERROR(
  INDEX(
    SR!$B$2:$D2026,            
    MATCH($A316, SR!$A$2:$A2026, 0),  
    MATCH(J$1, SR!$B$1:$D$1, 0) ), "")
</f>
        <v>0.005086</v>
      </c>
      <c r="K316" s="14"/>
      <c r="L316" s="9">
        <v>127.16</v>
      </c>
      <c r="M316" s="9">
        <v>24.64</v>
      </c>
      <c r="N316" s="9">
        <v>113.05</v>
      </c>
      <c r="O316" s="9">
        <v>126.49</v>
      </c>
      <c r="P316" s="9">
        <v>135.01</v>
      </c>
      <c r="Q316" s="9">
        <v>1421.0356</v>
      </c>
      <c r="R316" s="14"/>
      <c r="S316" s="12">
        <f t="shared" si="2"/>
        <v>0.0004224808183</v>
      </c>
      <c r="T316" s="12">
        <f t="shared" si="3"/>
        <v>1.000422481</v>
      </c>
      <c r="U316" s="16">
        <f t="shared" si="7"/>
        <v>103.8699349</v>
      </c>
      <c r="V316" s="17"/>
      <c r="W316" s="12">
        <f t="array" ref="W316">SQRT(252/20) *  SQRT( SUMSQ( LN(U295:U314 / U294:U313) )  - (1/20) * ( SUM( LN(U295:U314 / U294:U313) ) ^ 2 ) )</f>
        <v>0.02268493861</v>
      </c>
      <c r="X316" s="9">
        <f t="shared" si="4"/>
        <v>1.5</v>
      </c>
      <c r="Y316" s="14"/>
      <c r="Z316" s="12">
        <f t="shared" si="5"/>
        <v>1.00063461</v>
      </c>
      <c r="AA316" s="16">
        <f t="shared" si="8"/>
        <v>105.805182</v>
      </c>
      <c r="AB316" s="14"/>
      <c r="AC316" s="9">
        <f t="shared" si="6"/>
        <v>12.27</v>
      </c>
    </row>
    <row r="317">
      <c r="A317" s="8">
        <v>42187.0</v>
      </c>
      <c r="B317" s="14"/>
      <c r="C317" s="9">
        <f t="array" ref="C317">IFERROR(
  INDEX(
    IR!$B$2:$E2026,                
    MATCH($A317, IR!$A$2:$A2026, 0), 
    MATCH(C$1, IR!$B$1:$E$1, 0) ), "")
</f>
        <v>-0.00066</v>
      </c>
      <c r="D317" s="9">
        <f t="array" ref="D317">IFERROR(
  INDEX(
    IR!$B$2:$E2026,                
    MATCH($A317, IR!$A$2:$A2026, 0), 
    MATCH(D$1, IR!$B$1:$E$1, 0) ), "")
</f>
        <v>-0.00015</v>
      </c>
      <c r="E317" s="9">
        <f t="array" ref="E317">IFERROR(
  INDEX(
    IR!$B$2:$E2026,                
    MATCH($A317, IR!$A$2:$A2026, 0), 
    MATCH(E$1, IR!$B$1:$E$1, 0) ), "")
</f>
        <v>0.00048</v>
      </c>
      <c r="F317" s="9">
        <f t="array" ref="F317">IFERROR(
  INDEX(
    IR!$B$2:$E2026,                
    MATCH($A317, IR!$A$2:$A2026, 0), 
    MATCH(F$1, IR!$B$1:$E$1, 0) ), "")
</f>
        <v>0.00163</v>
      </c>
      <c r="G317" s="14"/>
      <c r="H317" s="9">
        <f t="array" ref="H317">IFERROR(
  INDEX(
    SR!$B$2:$D2026,            
    MATCH($A317, SR!$A$2:$A2026, 0),  
    MATCH(H$1, SR!$B$1:$D$1, 0) ), "")
</f>
        <v>0.0012</v>
      </c>
      <c r="I317" s="9">
        <f t="array" ref="I317">IFERROR(
  INDEX(
    SR!$B$2:$D2026,            
    MATCH($A317, SR!$A$2:$A2026, 0),  
    MATCH(I$1, SR!$B$1:$D$1, 0) ), "")
</f>
        <v>0.002204</v>
      </c>
      <c r="J317" s="9">
        <f t="array" ref="J317">IFERROR(
  INDEX(
    SR!$B$2:$D2026,            
    MATCH($A317, SR!$A$2:$A2026, 0),  
    MATCH(J$1, SR!$B$1:$D$1, 0) ), "")
</f>
        <v>0.005183</v>
      </c>
      <c r="K317" s="14"/>
      <c r="L317" s="9">
        <v>126.99</v>
      </c>
      <c r="M317" s="9">
        <v>24.64</v>
      </c>
      <c r="N317" s="9">
        <v>113.09</v>
      </c>
      <c r="O317" s="9">
        <v>126.45</v>
      </c>
      <c r="P317" s="9">
        <v>135.33</v>
      </c>
      <c r="Q317" s="9">
        <v>1422.4692</v>
      </c>
      <c r="R317" s="14"/>
      <c r="S317" s="12">
        <f t="shared" si="2"/>
        <v>0.0003465844577</v>
      </c>
      <c r="T317" s="12">
        <f t="shared" si="3"/>
        <v>1.000346584</v>
      </c>
      <c r="U317" s="16">
        <f t="shared" si="7"/>
        <v>103.9059346</v>
      </c>
      <c r="V317" s="17"/>
      <c r="W317" s="12">
        <f t="array" ref="W317">SQRT(252/20) *  SQRT( SUMSQ( LN(U296:U315 / U295:U314) )  - (1/20) * ( SUM( LN(U296:U315 / U295:U314) ) ^ 2 ) )</f>
        <v>0.02347626706</v>
      </c>
      <c r="X317" s="9">
        <f t="shared" si="4"/>
        <v>1.5</v>
      </c>
      <c r="Y317" s="14"/>
      <c r="Z317" s="12">
        <f t="shared" si="5"/>
        <v>1.000520766</v>
      </c>
      <c r="AA317" s="16">
        <f t="shared" si="8"/>
        <v>105.8602817</v>
      </c>
      <c r="AB317" s="14"/>
      <c r="AC317" s="9">
        <f t="shared" si="6"/>
        <v>12.79</v>
      </c>
    </row>
    <row r="318">
      <c r="A318" s="8">
        <v>42188.0</v>
      </c>
      <c r="B318" s="14"/>
      <c r="C318" s="9">
        <f t="array" ref="C318">IFERROR(
  INDEX(
    IR!$B$2:$E2026,                
    MATCH($A318, IR!$A$2:$A2026, 0), 
    MATCH(C$1, IR!$B$1:$E$1, 0) ), "")
</f>
        <v>-0.00067</v>
      </c>
      <c r="D318" s="9">
        <f t="array" ref="D318">IFERROR(
  INDEX(
    IR!$B$2:$E2026,                
    MATCH($A318, IR!$A$2:$A2026, 0), 
    MATCH(D$1, IR!$B$1:$E$1, 0) ), "")
</f>
        <v>-0.00015</v>
      </c>
      <c r="E318" s="9">
        <f t="array" ref="E318">IFERROR(
  INDEX(
    IR!$B$2:$E2026,                
    MATCH($A318, IR!$A$2:$A2026, 0), 
    MATCH(E$1, IR!$B$1:$E$1, 0) ), "")
</f>
        <v>0.00049</v>
      </c>
      <c r="F318" s="9">
        <f t="array" ref="F318">IFERROR(
  INDEX(
    IR!$B$2:$E2026,                
    MATCH($A318, IR!$A$2:$A2026, 0), 
    MATCH(F$1, IR!$B$1:$E$1, 0) ), "")
</f>
        <v>0.00163</v>
      </c>
      <c r="G318" s="14"/>
      <c r="H318" s="9">
        <f t="array" ref="H318">IFERROR(
  INDEX(
    SR!$B$2:$D2026,            
    MATCH($A318, SR!$A$2:$A2026, 0),  
    MATCH(H$1, SR!$B$1:$D$1, 0) ), "")
</f>
        <v>0.00124</v>
      </c>
      <c r="I318" s="9">
        <f t="array" ref="I318">IFERROR(
  INDEX(
    SR!$B$2:$D2026,            
    MATCH($A318, SR!$A$2:$A2026, 0),  
    MATCH(I$1, SR!$B$1:$D$1, 0) ), "")
</f>
        <v>0.002105</v>
      </c>
      <c r="J318" s="9">
        <f t="array" ref="J318">IFERROR(
  INDEX(
    SR!$B$2:$D2026,            
    MATCH($A318, SR!$A$2:$A2026, 0),  
    MATCH(J$1, SR!$B$1:$D$1, 0) ), "")
</f>
        <v>0.004922</v>
      </c>
      <c r="K318" s="14"/>
      <c r="L318" s="9">
        <v>126.87</v>
      </c>
      <c r="M318" s="9">
        <v>24.64</v>
      </c>
      <c r="N318" s="9">
        <v>113.11</v>
      </c>
      <c r="O318" s="9">
        <v>126.46</v>
      </c>
      <c r="P318" s="9">
        <v>135.36</v>
      </c>
      <c r="Q318" s="9">
        <v>1420.771</v>
      </c>
      <c r="R318" s="14"/>
      <c r="S318" s="12">
        <f t="shared" si="2"/>
        <v>-0.0002768724015</v>
      </c>
      <c r="T318" s="12">
        <f t="shared" si="3"/>
        <v>0.9997231276</v>
      </c>
      <c r="U318" s="16">
        <f t="shared" si="7"/>
        <v>103.8771659</v>
      </c>
      <c r="V318" s="17"/>
      <c r="W318" s="12">
        <f t="array" ref="W318">SQRT(252/20) *  SQRT( SUMSQ( LN(U297:U316 / U296:U315) )  - (1/20) * ( SUM( LN(U297:U316 / U296:U315) ) ^ 2 ) )</f>
        <v>0.02368517107</v>
      </c>
      <c r="X318" s="9">
        <f t="shared" si="4"/>
        <v>1.5</v>
      </c>
      <c r="Y318" s="14"/>
      <c r="Z318" s="12">
        <f t="shared" si="5"/>
        <v>0.9995856081</v>
      </c>
      <c r="AA318" s="16">
        <f t="shared" si="8"/>
        <v>105.8164141</v>
      </c>
      <c r="AB318" s="14"/>
      <c r="AC318" s="9">
        <f t="shared" si="6"/>
        <v>12.37</v>
      </c>
    </row>
    <row r="319">
      <c r="A319" s="8">
        <v>42191.0</v>
      </c>
      <c r="B319" s="14"/>
      <c r="C319" s="9">
        <f t="array" ref="C319">IFERROR(
  INDEX(
    IR!$B$2:$E2026,                
    MATCH($A319, IR!$A$2:$A2026, 0), 
    MATCH(C$1, IR!$B$1:$E$1, 0) ), "")
</f>
        <v>-0.00068</v>
      </c>
      <c r="D319" s="9">
        <f t="array" ref="D319">IFERROR(
  INDEX(
    IR!$B$2:$E2026,                
    MATCH($A319, IR!$A$2:$A2026, 0), 
    MATCH(D$1, IR!$B$1:$E$1, 0) ), "")
</f>
        <v>-0.00016</v>
      </c>
      <c r="E319" s="9">
        <f t="array" ref="E319">IFERROR(
  INDEX(
    IR!$B$2:$E2026,                
    MATCH($A319, IR!$A$2:$A2026, 0), 
    MATCH(E$1, IR!$B$1:$E$1, 0) ), "")
</f>
        <v>0.00049</v>
      </c>
      <c r="F319" s="9">
        <f t="array" ref="F319">IFERROR(
  INDEX(
    IR!$B$2:$E2026,                
    MATCH($A319, IR!$A$2:$A2026, 0), 
    MATCH(F$1, IR!$B$1:$E$1, 0) ), "")
</f>
        <v>0.00164</v>
      </c>
      <c r="G319" s="14"/>
      <c r="H319" s="9">
        <f t="array" ref="H319">IFERROR(
  INDEX(
    SR!$B$2:$D2026,            
    MATCH($A319, SR!$A$2:$A2026, 0),  
    MATCH(H$1, SR!$B$1:$D$1, 0) ), "")
</f>
        <v>0.00124</v>
      </c>
      <c r="I319" s="9">
        <f t="array" ref="I319">IFERROR(
  INDEX(
    SR!$B$2:$D2026,            
    MATCH($A319, SR!$A$2:$A2026, 0),  
    MATCH(I$1, SR!$B$1:$D$1, 0) ), "")
</f>
        <v>0.002018</v>
      </c>
      <c r="J319" s="9">
        <f t="array" ref="J319">IFERROR(
  INDEX(
    SR!$B$2:$D2026,            
    MATCH($A319, SR!$A$2:$A2026, 0),  
    MATCH(J$1, SR!$B$1:$D$1, 0) ), "")
</f>
        <v>0.004595</v>
      </c>
      <c r="K319" s="14"/>
      <c r="L319" s="9">
        <v>126.13</v>
      </c>
      <c r="M319" s="9">
        <v>24.64</v>
      </c>
      <c r="N319" s="9">
        <v>113.04</v>
      </c>
      <c r="O319" s="9">
        <v>126.46</v>
      </c>
      <c r="P319" s="9">
        <v>135.35</v>
      </c>
      <c r="Q319" s="9">
        <v>1417.8846</v>
      </c>
      <c r="R319" s="14"/>
      <c r="S319" s="12">
        <f t="shared" si="2"/>
        <v>-0.001425809159</v>
      </c>
      <c r="T319" s="12">
        <f t="shared" si="3"/>
        <v>0.9985741908</v>
      </c>
      <c r="U319" s="16">
        <f t="shared" si="7"/>
        <v>103.7290569</v>
      </c>
      <c r="V319" s="17"/>
      <c r="W319" s="12">
        <f t="array" ref="W319">SQRT(252/20) *  SQRT( SUMSQ( LN(U298:U317 / U297:U316) )  - (1/20) * ( SUM( LN(U298:U317 / U297:U316) ) ^ 2 ) )</f>
        <v>0.02355541268</v>
      </c>
      <c r="X319" s="9">
        <f t="shared" si="4"/>
        <v>1.5</v>
      </c>
      <c r="Y319" s="14"/>
      <c r="Z319" s="12">
        <f t="shared" si="5"/>
        <v>0.9978640779</v>
      </c>
      <c r="AA319" s="16">
        <f t="shared" si="8"/>
        <v>105.5903984</v>
      </c>
      <c r="AB319" s="14"/>
      <c r="AC319" s="9">
        <f t="shared" si="6"/>
        <v>10.21</v>
      </c>
    </row>
    <row r="320">
      <c r="A320" s="8">
        <v>42192.0</v>
      </c>
      <c r="B320" s="14"/>
      <c r="C320" s="9">
        <f t="array" ref="C320">IFERROR(
  INDEX(
    IR!$B$2:$E2026,                
    MATCH($A320, IR!$A$2:$A2026, 0), 
    MATCH(C$1, IR!$B$1:$E$1, 0) ), "")
</f>
        <v>-0.00069</v>
      </c>
      <c r="D320" s="9">
        <f t="array" ref="D320">IFERROR(
  INDEX(
    IR!$B$2:$E2026,                
    MATCH($A320, IR!$A$2:$A2026, 0), 
    MATCH(D$1, IR!$B$1:$E$1, 0) ), "")
</f>
        <v>-0.00018</v>
      </c>
      <c r="E320" s="9">
        <f t="array" ref="E320">IFERROR(
  INDEX(
    IR!$B$2:$E2026,                
    MATCH($A320, IR!$A$2:$A2026, 0), 
    MATCH(E$1, IR!$B$1:$E$1, 0) ), "")
</f>
        <v>0.00049</v>
      </c>
      <c r="F320" s="9">
        <f t="array" ref="F320">IFERROR(
  INDEX(
    IR!$B$2:$E2026,                
    MATCH($A320, IR!$A$2:$A2026, 0), 
    MATCH(F$1, IR!$B$1:$E$1, 0) ), "")
</f>
        <v>0.00164</v>
      </c>
      <c r="G320" s="14"/>
      <c r="H320" s="9">
        <f t="array" ref="H320">IFERROR(
  INDEX(
    SR!$B$2:$D2026,            
    MATCH($A320, SR!$A$2:$A2026, 0),  
    MATCH(H$1, SR!$B$1:$D$1, 0) ), "")
</f>
        <v>0.00122</v>
      </c>
      <c r="I320" s="9">
        <f t="array" ref="I320">IFERROR(
  INDEX(
    SR!$B$2:$D2026,            
    MATCH($A320, SR!$A$2:$A2026, 0),  
    MATCH(I$1, SR!$B$1:$D$1, 0) ), "")
</f>
        <v>0.00197</v>
      </c>
      <c r="J320" s="9">
        <f t="array" ref="J320">IFERROR(
  INDEX(
    SR!$B$2:$D2026,            
    MATCH($A320, SR!$A$2:$A2026, 0),  
    MATCH(J$1, SR!$B$1:$D$1, 0) ), "")
</f>
        <v>0.00449</v>
      </c>
      <c r="K320" s="14"/>
      <c r="L320" s="9">
        <v>125.51</v>
      </c>
      <c r="M320" s="9">
        <v>24.65</v>
      </c>
      <c r="N320" s="9">
        <v>113.1</v>
      </c>
      <c r="O320" s="9">
        <v>126.35</v>
      </c>
      <c r="P320" s="9">
        <v>135.13</v>
      </c>
      <c r="Q320" s="9">
        <v>1411.6613</v>
      </c>
      <c r="R320" s="14"/>
      <c r="S320" s="12">
        <f t="shared" si="2"/>
        <v>-0.001810270303</v>
      </c>
      <c r="T320" s="12">
        <f t="shared" si="3"/>
        <v>0.9981897297</v>
      </c>
      <c r="U320" s="16">
        <f t="shared" si="7"/>
        <v>103.5412792</v>
      </c>
      <c r="V320" s="17"/>
      <c r="W320" s="12">
        <f t="array" ref="W320">SQRT(252/20) *  SQRT( SUMSQ( LN(U299:U318 / U298:U317) )  - (1/20) * ( SUM( LN(U299:U318 / U298:U317) ) ^ 2 ) )</f>
        <v>0.02330771447</v>
      </c>
      <c r="X320" s="9">
        <f t="shared" si="4"/>
        <v>1.5</v>
      </c>
      <c r="Y320" s="14"/>
      <c r="Z320" s="12">
        <f t="shared" si="5"/>
        <v>0.997285539</v>
      </c>
      <c r="AA320" s="16">
        <f t="shared" si="8"/>
        <v>105.3037774</v>
      </c>
      <c r="AB320" s="14"/>
      <c r="AC320" s="9">
        <f t="shared" si="6"/>
        <v>7.47</v>
      </c>
    </row>
    <row r="321">
      <c r="A321" s="8">
        <v>42193.0</v>
      </c>
      <c r="B321" s="14"/>
      <c r="C321" s="9">
        <f t="array" ref="C321">IFERROR(
  INDEX(
    IR!$B$2:$E2026,                
    MATCH($A321, IR!$A$2:$A2026, 0), 
    MATCH(C$1, IR!$B$1:$E$1, 0) ), "")
</f>
        <v>-0.00071</v>
      </c>
      <c r="D321" s="9">
        <f t="array" ref="D321">IFERROR(
  INDEX(
    IR!$B$2:$E2026,                
    MATCH($A321, IR!$A$2:$A2026, 0), 
    MATCH(D$1, IR!$B$1:$E$1, 0) ), "")
</f>
        <v>-0.00018</v>
      </c>
      <c r="E321" s="9">
        <f t="array" ref="E321">IFERROR(
  INDEX(
    IR!$B$2:$E2026,                
    MATCH($A321, IR!$A$2:$A2026, 0), 
    MATCH(E$1, IR!$B$1:$E$1, 0) ), "")
</f>
        <v>0.00049</v>
      </c>
      <c r="F321" s="9">
        <f t="array" ref="F321">IFERROR(
  INDEX(
    IR!$B$2:$E2026,                
    MATCH($A321, IR!$A$2:$A2026, 0), 
    MATCH(F$1, IR!$B$1:$E$1, 0) ), "")
</f>
        <v>0.00164</v>
      </c>
      <c r="G321" s="14"/>
      <c r="H321" s="9">
        <f t="array" ref="H321">IFERROR(
  INDEX(
    SR!$B$2:$D2026,            
    MATCH($A321, SR!$A$2:$A2026, 0),  
    MATCH(H$1, SR!$B$1:$D$1, 0) ), "")
</f>
        <v>0.001154</v>
      </c>
      <c r="I321" s="9">
        <f t="array" ref="I321">IFERROR(
  INDEX(
    SR!$B$2:$D2026,            
    MATCH($A321, SR!$A$2:$A2026, 0),  
    MATCH(I$1, SR!$B$1:$D$1, 0) ), "")
</f>
        <v>0.001937</v>
      </c>
      <c r="J321" s="9">
        <f t="array" ref="J321">IFERROR(
  INDEX(
    SR!$B$2:$D2026,            
    MATCH($A321, SR!$A$2:$A2026, 0),  
    MATCH(J$1, SR!$B$1:$D$1, 0) ), "")
</f>
        <v>0.004548</v>
      </c>
      <c r="K321" s="14"/>
      <c r="L321" s="9">
        <v>125.58</v>
      </c>
      <c r="M321" s="9">
        <v>24.63</v>
      </c>
      <c r="N321" s="9">
        <v>112.99</v>
      </c>
      <c r="O321" s="9">
        <v>126.24</v>
      </c>
      <c r="P321" s="9">
        <v>135.28</v>
      </c>
      <c r="Q321" s="9">
        <v>1404.457</v>
      </c>
      <c r="R321" s="14"/>
      <c r="S321" s="12">
        <f t="shared" si="2"/>
        <v>-0.001015137691</v>
      </c>
      <c r="T321" s="12">
        <f t="shared" si="3"/>
        <v>0.9989848623</v>
      </c>
      <c r="U321" s="16">
        <f t="shared" si="7"/>
        <v>103.4361706</v>
      </c>
      <c r="V321" s="17"/>
      <c r="W321" s="12">
        <f t="array" ref="W321">SQRT(252/20) *  SQRT( SUMSQ( LN(U300:U319 / U299:U318) )  - (1/20) * ( SUM( LN(U300:U319 / U299:U318) ) ^ 2 ) )</f>
        <v>0.02318912415</v>
      </c>
      <c r="X321" s="9">
        <f t="shared" si="4"/>
        <v>1.5</v>
      </c>
      <c r="Y321" s="14"/>
      <c r="Z321" s="12">
        <f t="shared" si="5"/>
        <v>0.9984782518</v>
      </c>
      <c r="AA321" s="16">
        <f t="shared" si="8"/>
        <v>105.1435316</v>
      </c>
      <c r="AB321" s="14"/>
      <c r="AC321" s="9">
        <f t="shared" si="6"/>
        <v>5.93</v>
      </c>
    </row>
    <row r="322">
      <c r="A322" s="8">
        <v>42194.0</v>
      </c>
      <c r="B322" s="14"/>
      <c r="C322" s="9">
        <f t="array" ref="C322">IFERROR(
  INDEX(
    IR!$B$2:$E2026,                
    MATCH($A322, IR!$A$2:$A2026, 0), 
    MATCH(C$1, IR!$B$1:$E$1, 0) ), "")
</f>
        <v>-0.00071</v>
      </c>
      <c r="D322" s="9">
        <f t="array" ref="D322">IFERROR(
  INDEX(
    IR!$B$2:$E2026,                
    MATCH($A322, IR!$A$2:$A2026, 0), 
    MATCH(D$1, IR!$B$1:$E$1, 0) ), "")
</f>
        <v>-0.00018</v>
      </c>
      <c r="E322" s="9">
        <f t="array" ref="E322">IFERROR(
  INDEX(
    IR!$B$2:$E2026,                
    MATCH($A322, IR!$A$2:$A2026, 0), 
    MATCH(E$1, IR!$B$1:$E$1, 0) ), "")
</f>
        <v>0.00049</v>
      </c>
      <c r="F322" s="9">
        <f t="array" ref="F322">IFERROR(
  INDEX(
    IR!$B$2:$E2026,                
    MATCH($A322, IR!$A$2:$A2026, 0), 
    MATCH(F$1, IR!$B$1:$E$1, 0) ), "")
</f>
        <v>0.00163</v>
      </c>
      <c r="G322" s="14"/>
      <c r="H322" s="9">
        <f t="array" ref="H322">IFERROR(
  INDEX(
    SR!$B$2:$D2026,            
    MATCH($A322, SR!$A$2:$A2026, 0),  
    MATCH(H$1, SR!$B$1:$D$1, 0) ), "")
</f>
        <v>0.0012</v>
      </c>
      <c r="I322" s="9">
        <f t="array" ref="I322">IFERROR(
  INDEX(
    SR!$B$2:$D2026,            
    MATCH($A322, SR!$A$2:$A2026, 0),  
    MATCH(I$1, SR!$B$1:$D$1, 0) ), "")
</f>
        <v>0.00203</v>
      </c>
      <c r="J322" s="9">
        <f t="array" ref="J322">IFERROR(
  INDEX(
    SR!$B$2:$D2026,            
    MATCH($A322, SR!$A$2:$A2026, 0),  
    MATCH(J$1, SR!$B$1:$D$1, 0) ), "")
</f>
        <v>0.004825</v>
      </c>
      <c r="K322" s="14"/>
      <c r="L322" s="9">
        <v>126.33</v>
      </c>
      <c r="M322" s="9">
        <v>24.63</v>
      </c>
      <c r="N322" s="9">
        <v>113.02</v>
      </c>
      <c r="O322" s="9">
        <v>126.29</v>
      </c>
      <c r="P322" s="9">
        <v>134.88</v>
      </c>
      <c r="Q322" s="9">
        <v>1400.0641</v>
      </c>
      <c r="R322" s="14"/>
      <c r="S322" s="12">
        <f t="shared" si="2"/>
        <v>0.0000911858449</v>
      </c>
      <c r="T322" s="12">
        <f t="shared" si="3"/>
        <v>1.000091186</v>
      </c>
      <c r="U322" s="16">
        <f t="shared" si="7"/>
        <v>103.4456025</v>
      </c>
      <c r="V322" s="17"/>
      <c r="W322" s="12">
        <f t="array" ref="W322">SQRT(252/20) *  SQRT( SUMSQ( LN(U301:U320 / U300:U319) )  - (1/20) * ( SUM( LN(U301:U320 / U300:U319) ) ^ 2 ) )</f>
        <v>0.02357306497</v>
      </c>
      <c r="X322" s="9">
        <f t="shared" si="4"/>
        <v>1.5</v>
      </c>
      <c r="Y322" s="14"/>
      <c r="Z322" s="12">
        <f t="shared" si="5"/>
        <v>1.000137765</v>
      </c>
      <c r="AA322" s="16">
        <f t="shared" si="8"/>
        <v>105.1580167</v>
      </c>
      <c r="AB322" s="14"/>
      <c r="AC322" s="9">
        <f t="shared" si="6"/>
        <v>6.07</v>
      </c>
    </row>
    <row r="323">
      <c r="A323" s="8">
        <v>42195.0</v>
      </c>
      <c r="B323" s="14"/>
      <c r="C323" s="9">
        <f t="array" ref="C323">IFERROR(
  INDEX(
    IR!$B$2:$E2026,                
    MATCH($A323, IR!$A$2:$A2026, 0), 
    MATCH(C$1, IR!$B$1:$E$1, 0) ), "")
</f>
        <v>-0.00071</v>
      </c>
      <c r="D323" s="9">
        <f t="array" ref="D323">IFERROR(
  INDEX(
    IR!$B$2:$E2026,                
    MATCH($A323, IR!$A$2:$A2026, 0), 
    MATCH(D$1, IR!$B$1:$E$1, 0) ), "")
</f>
        <v>-0.00018</v>
      </c>
      <c r="E323" s="9">
        <f t="array" ref="E323">IFERROR(
  INDEX(
    IR!$B$2:$E2026,                
    MATCH($A323, IR!$A$2:$A2026, 0), 
    MATCH(E$1, IR!$B$1:$E$1, 0) ), "")
</f>
        <v>0.00049</v>
      </c>
      <c r="F323" s="9">
        <f t="array" ref="F323">IFERROR(
  INDEX(
    IR!$B$2:$E2026,                
    MATCH($A323, IR!$A$2:$A2026, 0), 
    MATCH(F$1, IR!$B$1:$E$1, 0) ), "")
</f>
        <v>0.00164</v>
      </c>
      <c r="G323" s="14"/>
      <c r="H323" s="9">
        <f t="array" ref="H323">IFERROR(
  INDEX(
    SR!$B$2:$D2026,            
    MATCH($A323, SR!$A$2:$A2026, 0),  
    MATCH(H$1, SR!$B$1:$D$1, 0) ), "")
</f>
        <v>0.00138</v>
      </c>
      <c r="I323" s="9">
        <f t="array" ref="I323">IFERROR(
  INDEX(
    SR!$B$2:$D2026,            
    MATCH($A323, SR!$A$2:$A2026, 0),  
    MATCH(I$1, SR!$B$1:$D$1, 0) ), "")
</f>
        <v>0.002415</v>
      </c>
      <c r="J323" s="9">
        <f t="array" ref="J323">IFERROR(
  INDEX(
    SR!$B$2:$D2026,            
    MATCH($A323, SR!$A$2:$A2026, 0),  
    MATCH(J$1, SR!$B$1:$D$1, 0) ), "")
</f>
        <v>0.005585</v>
      </c>
      <c r="K323" s="14"/>
      <c r="L323" s="9">
        <v>127.18</v>
      </c>
      <c r="M323" s="9">
        <v>24.62</v>
      </c>
      <c r="N323" s="9">
        <v>113.12</v>
      </c>
      <c r="O323" s="9">
        <v>126.35</v>
      </c>
      <c r="P323" s="9">
        <v>135.17</v>
      </c>
      <c r="Q323" s="9">
        <v>1405.264</v>
      </c>
      <c r="R323" s="14"/>
      <c r="S323" s="12">
        <f t="shared" si="2"/>
        <v>0.002257201725</v>
      </c>
      <c r="T323" s="12">
        <f t="shared" si="3"/>
        <v>1.002257202</v>
      </c>
      <c r="U323" s="16">
        <f t="shared" si="7"/>
        <v>103.6791001</v>
      </c>
      <c r="V323" s="17"/>
      <c r="W323" s="12">
        <f t="array" ref="W323">SQRT(252/20) *  SQRT( SUMSQ( LN(U302:U321 / U301:U320) )  - (1/20) * ( SUM( LN(U302:U321 / U301:U320) ) ^ 2 ) )</f>
        <v>0.02328569718</v>
      </c>
      <c r="X323" s="9">
        <f t="shared" si="4"/>
        <v>1.5</v>
      </c>
      <c r="Y323" s="14"/>
      <c r="Z323" s="12">
        <f t="shared" si="5"/>
        <v>1.003386789</v>
      </c>
      <c r="AA323" s="16">
        <f t="shared" si="8"/>
        <v>105.5141647</v>
      </c>
      <c r="AB323" s="14"/>
      <c r="AC323" s="9">
        <f t="shared" si="6"/>
        <v>9.48</v>
      </c>
    </row>
    <row r="324">
      <c r="A324" s="8">
        <v>42198.0</v>
      </c>
      <c r="B324" s="14"/>
      <c r="C324" s="9">
        <f t="array" ref="C324">IFERROR(
  INDEX(
    IR!$B$2:$E2026,                
    MATCH($A324, IR!$A$2:$A2026, 0), 
    MATCH(C$1, IR!$B$1:$E$1, 0) ), "")
</f>
        <v>-0.00071</v>
      </c>
      <c r="D324" s="9">
        <f t="array" ref="D324">IFERROR(
  INDEX(
    IR!$B$2:$E2026,                
    MATCH($A324, IR!$A$2:$A2026, 0), 
    MATCH(D$1, IR!$B$1:$E$1, 0) ), "")
</f>
        <v>-0.00019</v>
      </c>
      <c r="E324" s="9">
        <f t="array" ref="E324">IFERROR(
  INDEX(
    IR!$B$2:$E2026,                
    MATCH($A324, IR!$A$2:$A2026, 0), 
    MATCH(E$1, IR!$B$1:$E$1, 0) ), "")
</f>
        <v>0.00049</v>
      </c>
      <c r="F324" s="9">
        <f t="array" ref="F324">IFERROR(
  INDEX(
    IR!$B$2:$E2026,                
    MATCH($A324, IR!$A$2:$A2026, 0), 
    MATCH(F$1, IR!$B$1:$E$1, 0) ), "")
</f>
        <v>0.00166</v>
      </c>
      <c r="G324" s="14"/>
      <c r="H324" s="9">
        <f t="array" ref="H324">IFERROR(
  INDEX(
    SR!$B$2:$D2026,            
    MATCH($A324, SR!$A$2:$A2026, 0),  
    MATCH(H$1, SR!$B$1:$D$1, 0) ), "")
</f>
        <v>0.001185</v>
      </c>
      <c r="I324" s="9">
        <f t="array" ref="I324">IFERROR(
  INDEX(
    SR!$B$2:$D2026,            
    MATCH($A324, SR!$A$2:$A2026, 0),  
    MATCH(I$1, SR!$B$1:$D$1, 0) ), "")
</f>
        <v>0.002233</v>
      </c>
      <c r="J324" s="9">
        <f t="array" ref="J324">IFERROR(
  INDEX(
    SR!$B$2:$D2026,            
    MATCH($A324, SR!$A$2:$A2026, 0),  
    MATCH(J$1, SR!$B$1:$D$1, 0) ), "")
</f>
        <v>0.00517</v>
      </c>
      <c r="K324" s="14"/>
      <c r="L324" s="9">
        <v>127.7</v>
      </c>
      <c r="M324" s="9">
        <v>24.64</v>
      </c>
      <c r="N324" s="9">
        <v>113.35</v>
      </c>
      <c r="O324" s="9">
        <v>126.3</v>
      </c>
      <c r="P324" s="9">
        <v>135.14</v>
      </c>
      <c r="Q324" s="9">
        <v>1415.9133</v>
      </c>
      <c r="R324" s="14"/>
      <c r="S324" s="12">
        <f t="shared" si="2"/>
        <v>0.002315624837</v>
      </c>
      <c r="T324" s="12">
        <f t="shared" si="3"/>
        <v>1.002315625</v>
      </c>
      <c r="U324" s="16">
        <f t="shared" si="7"/>
        <v>103.919182</v>
      </c>
      <c r="V324" s="17"/>
      <c r="W324" s="12">
        <f t="array" ref="W324">SQRT(252/20) *  SQRT( SUMSQ( LN(U303:U322 / U302:U321) )  - (1/20) * ( SUM( LN(U303:U322 / U302:U321) ) ^ 2 ) )</f>
        <v>0.02333279813</v>
      </c>
      <c r="X324" s="9">
        <f t="shared" si="4"/>
        <v>1.5</v>
      </c>
      <c r="Y324" s="14"/>
      <c r="Z324" s="12">
        <f t="shared" si="5"/>
        <v>1.003476396</v>
      </c>
      <c r="AA324" s="16">
        <f t="shared" si="8"/>
        <v>105.8809736</v>
      </c>
      <c r="AB324" s="14"/>
      <c r="AC324" s="9">
        <f t="shared" si="6"/>
        <v>12.99</v>
      </c>
    </row>
    <row r="325">
      <c r="A325" s="8">
        <v>42199.0</v>
      </c>
      <c r="B325" s="14"/>
      <c r="C325" s="9">
        <f t="array" ref="C325">IFERROR(
  INDEX(
    IR!$B$2:$E2026,                
    MATCH($A325, IR!$A$2:$A2026, 0), 
    MATCH(C$1, IR!$B$1:$E$1, 0) ), "")
</f>
        <v>-0.00071</v>
      </c>
      <c r="D325" s="9">
        <f t="array" ref="D325">IFERROR(
  INDEX(
    IR!$B$2:$E2026,                
    MATCH($A325, IR!$A$2:$A2026, 0), 
    MATCH(D$1, IR!$B$1:$E$1, 0) ), "")
</f>
        <v>-0.00019</v>
      </c>
      <c r="E325" s="9">
        <f t="array" ref="E325">IFERROR(
  INDEX(
    IR!$B$2:$E2026,                
    MATCH($A325, IR!$A$2:$A2026, 0), 
    MATCH(E$1, IR!$B$1:$E$1, 0) ), "")
</f>
        <v>0.00049</v>
      </c>
      <c r="F325" s="9">
        <f t="array" ref="F325">IFERROR(
  INDEX(
    IR!$B$2:$E2026,                
    MATCH($A325, IR!$A$2:$A2026, 0), 
    MATCH(F$1, IR!$B$1:$E$1, 0) ), "")
</f>
        <v>0.00168</v>
      </c>
      <c r="G325" s="14"/>
      <c r="H325" s="9">
        <f t="array" ref="H325">IFERROR(
  INDEX(
    SR!$B$2:$D2026,            
    MATCH($A325, SR!$A$2:$A2026, 0),  
    MATCH(H$1, SR!$B$1:$D$1, 0) ), "")
</f>
        <v>0.00109</v>
      </c>
      <c r="I325" s="9">
        <f t="array" ref="I325">IFERROR(
  INDEX(
    SR!$B$2:$D2026,            
    MATCH($A325, SR!$A$2:$A2026, 0),  
    MATCH(I$1, SR!$B$1:$D$1, 0) ), "")
</f>
        <v>0.00206</v>
      </c>
      <c r="J325" s="9">
        <f t="array" ref="J325">IFERROR(
  INDEX(
    SR!$B$2:$D2026,            
    MATCH($A325, SR!$A$2:$A2026, 0),  
    MATCH(J$1, SR!$B$1:$D$1, 0) ), "")
</f>
        <v>0.004969</v>
      </c>
      <c r="K325" s="14"/>
      <c r="L325" s="23">
        <v>127.7</v>
      </c>
      <c r="M325" s="9">
        <v>24.65</v>
      </c>
      <c r="N325" s="9">
        <v>113.37</v>
      </c>
      <c r="O325" s="9">
        <v>126.29</v>
      </c>
      <c r="P325" s="9">
        <v>135.73</v>
      </c>
      <c r="Q325" s="9">
        <v>1422.4009</v>
      </c>
      <c r="R325" s="14"/>
      <c r="S325" s="12">
        <f t="shared" si="2"/>
        <v>0.001574973805</v>
      </c>
      <c r="T325" s="12">
        <f t="shared" si="3"/>
        <v>1.001574974</v>
      </c>
      <c r="U325" s="16">
        <f t="shared" si="7"/>
        <v>104.082852</v>
      </c>
      <c r="V325" s="17"/>
      <c r="W325" s="12">
        <f t="array" ref="W325">SQRT(252/20) *  SQRT( SUMSQ( LN(U304:U323 / U303:U322) )  - (1/20) * ( SUM( LN(U304:U323 / U303:U322) ) ^ 2 ) )</f>
        <v>0.02384458097</v>
      </c>
      <c r="X325" s="9">
        <f t="shared" si="4"/>
        <v>1.5</v>
      </c>
      <c r="Y325" s="14"/>
      <c r="Z325" s="12">
        <f t="shared" si="5"/>
        <v>1.002363447</v>
      </c>
      <c r="AA325" s="16">
        <f t="shared" si="8"/>
        <v>106.1312177</v>
      </c>
      <c r="AB325" s="14"/>
      <c r="AC325" s="9">
        <f t="shared" si="6"/>
        <v>15.38</v>
      </c>
    </row>
    <row r="326">
      <c r="A326" s="8">
        <v>42200.0</v>
      </c>
      <c r="B326" s="14"/>
      <c r="C326" s="9">
        <f t="array" ref="C326">IFERROR(
  INDEX(
    IR!$B$2:$E2026,                
    MATCH($A326, IR!$A$2:$A2026, 0), 
    MATCH(C$1, IR!$B$1:$E$1, 0) ), "")
</f>
        <v>-0.00072</v>
      </c>
      <c r="D326" s="9">
        <f t="array" ref="D326">IFERROR(
  INDEX(
    IR!$B$2:$E2026,                
    MATCH($A326, IR!$A$2:$A2026, 0), 
    MATCH(D$1, IR!$B$1:$E$1, 0) ), "")
</f>
        <v>-0.00019</v>
      </c>
      <c r="E326" s="9">
        <f t="array" ref="E326">IFERROR(
  INDEX(
    IR!$B$2:$E2026,                
    MATCH($A326, IR!$A$2:$A2026, 0), 
    MATCH(E$1, IR!$B$1:$E$1, 0) ), "")
</f>
        <v>0.00049</v>
      </c>
      <c r="F326" s="9">
        <f t="array" ref="F326">IFERROR(
  INDEX(
    IR!$B$2:$E2026,                
    MATCH($A326, IR!$A$2:$A2026, 0), 
    MATCH(F$1, IR!$B$1:$E$1, 0) ), "")
</f>
        <v>0.00169</v>
      </c>
      <c r="G326" s="14"/>
      <c r="H326" s="9">
        <f t="array" ref="H326">IFERROR(
  INDEX(
    SR!$B$2:$D2026,            
    MATCH($A326, SR!$A$2:$A2026, 0),  
    MATCH(H$1, SR!$B$1:$D$1, 0) ), "")
</f>
        <v>0.00101</v>
      </c>
      <c r="I326" s="9">
        <f t="array" ref="I326">IFERROR(
  INDEX(
    SR!$B$2:$D2026,            
    MATCH($A326, SR!$A$2:$A2026, 0),  
    MATCH(I$1, SR!$B$1:$D$1, 0) ), "")
</f>
        <v>0.001885</v>
      </c>
      <c r="J326" s="9">
        <f t="array" ref="J326">IFERROR(
  INDEX(
    SR!$B$2:$D2026,            
    MATCH($A326, SR!$A$2:$A2026, 0),  
    MATCH(J$1, SR!$B$1:$D$1, 0) ), "")
</f>
        <v>0.00461</v>
      </c>
      <c r="K326" s="14"/>
      <c r="L326" s="9">
        <v>127.91</v>
      </c>
      <c r="M326" s="9">
        <v>24.65</v>
      </c>
      <c r="N326" s="9">
        <v>113.38</v>
      </c>
      <c r="O326" s="9">
        <v>126.3</v>
      </c>
      <c r="P326" s="9">
        <v>135.92</v>
      </c>
      <c r="Q326" s="9">
        <v>1425.7249</v>
      </c>
      <c r="R326" s="14"/>
      <c r="S326" s="12">
        <f t="shared" si="2"/>
        <v>0.0009246305595</v>
      </c>
      <c r="T326" s="12">
        <f t="shared" si="3"/>
        <v>1.000924631</v>
      </c>
      <c r="U326" s="16">
        <f t="shared" si="7"/>
        <v>104.1790901</v>
      </c>
      <c r="V326" s="17"/>
      <c r="W326" s="12">
        <f t="array" ref="W326">SQRT(252/20) *  SQRT( SUMSQ( LN(U305:U324 / U304:U323) )  - (1/20) * ( SUM( LN(U305:U324 / U304:U323) ) ^ 2 ) )</f>
        <v>0.02556382554</v>
      </c>
      <c r="X326" s="9">
        <f t="shared" si="4"/>
        <v>1.5</v>
      </c>
      <c r="Y326" s="14"/>
      <c r="Z326" s="12">
        <f t="shared" si="5"/>
        <v>1.001387932</v>
      </c>
      <c r="AA326" s="16">
        <f t="shared" si="8"/>
        <v>106.2785206</v>
      </c>
      <c r="AB326" s="14"/>
      <c r="AC326" s="9">
        <f t="shared" si="6"/>
        <v>16.79</v>
      </c>
    </row>
    <row r="327">
      <c r="A327" s="8">
        <v>42201.0</v>
      </c>
      <c r="B327" s="14"/>
      <c r="C327" s="9">
        <f t="array" ref="C327">IFERROR(
  INDEX(
    IR!$B$2:$E2026,                
    MATCH($A327, IR!$A$2:$A2026, 0), 
    MATCH(C$1, IR!$B$1:$E$1, 0) ), "")
</f>
        <v>-0.00071</v>
      </c>
      <c r="D327" s="9">
        <f t="array" ref="D327">IFERROR(
  INDEX(
    IR!$B$2:$E2026,                
    MATCH($A327, IR!$A$2:$A2026, 0), 
    MATCH(D$1, IR!$B$1:$E$1, 0) ), "")
</f>
        <v>-0.00019</v>
      </c>
      <c r="E327" s="9">
        <f t="array" ref="E327">IFERROR(
  INDEX(
    IR!$B$2:$E2026,                
    MATCH($A327, IR!$A$2:$A2026, 0), 
    MATCH(E$1, IR!$B$1:$E$1, 0) ), "")
</f>
        <v>0.00049</v>
      </c>
      <c r="F327" s="9">
        <f t="array" ref="F327">IFERROR(
  INDEX(
    IR!$B$2:$E2026,                
    MATCH($A327, IR!$A$2:$A2026, 0), 
    MATCH(F$1, IR!$B$1:$E$1, 0) ), "")
</f>
        <v>0.00169</v>
      </c>
      <c r="G327" s="14"/>
      <c r="H327" s="9">
        <f t="array" ref="H327">IFERROR(
  INDEX(
    SR!$B$2:$D2026,            
    MATCH($A327, SR!$A$2:$A2026, 0),  
    MATCH(H$1, SR!$B$1:$D$1, 0) ), "")
</f>
        <v>0.00104</v>
      </c>
      <c r="I327" s="9">
        <f t="array" ref="I327">IFERROR(
  INDEX(
    SR!$B$2:$D2026,            
    MATCH($A327, SR!$A$2:$A2026, 0),  
    MATCH(I$1, SR!$B$1:$D$1, 0) ), "")
</f>
        <v>0.001961</v>
      </c>
      <c r="J327" s="9">
        <f t="array" ref="J327">IFERROR(
  INDEX(
    SR!$B$2:$D2026,            
    MATCH($A327, SR!$A$2:$A2026, 0),  
    MATCH(J$1, SR!$B$1:$D$1, 0) ), "")
</f>
        <v>0.004795</v>
      </c>
      <c r="K327" s="14"/>
      <c r="L327" s="9">
        <v>128.41</v>
      </c>
      <c r="M327" s="9">
        <v>24.66</v>
      </c>
      <c r="N327" s="9">
        <v>113.39</v>
      </c>
      <c r="O327" s="9">
        <v>126.34</v>
      </c>
      <c r="P327" s="9">
        <v>136.08</v>
      </c>
      <c r="Q327" s="9">
        <v>1425.5521</v>
      </c>
      <c r="R327" s="14"/>
      <c r="S327" s="12">
        <f t="shared" si="2"/>
        <v>0.0009621936426</v>
      </c>
      <c r="T327" s="12">
        <f t="shared" si="3"/>
        <v>1.000962194</v>
      </c>
      <c r="U327" s="16">
        <f t="shared" si="7"/>
        <v>104.2793306</v>
      </c>
      <c r="V327" s="17"/>
      <c r="W327" s="12">
        <f t="array" ref="W327">SQRT(252/20) *  SQRT( SUMSQ( LN(U306:U325 / U305:U324) )  - (1/20) * ( SUM( LN(U306:U325 / U305:U324) ) ^ 2 ) )</f>
        <v>0.02572360236</v>
      </c>
      <c r="X327" s="9">
        <f t="shared" si="4"/>
        <v>1.5</v>
      </c>
      <c r="Y327" s="14"/>
      <c r="Z327" s="12">
        <f t="shared" si="5"/>
        <v>1.00144429</v>
      </c>
      <c r="AA327" s="16">
        <f t="shared" si="8"/>
        <v>106.4320176</v>
      </c>
      <c r="AB327" s="14"/>
      <c r="AC327" s="9">
        <f t="shared" si="6"/>
        <v>18.26</v>
      </c>
    </row>
    <row r="328">
      <c r="A328" s="8">
        <v>42202.0</v>
      </c>
      <c r="B328" s="14"/>
      <c r="C328" s="9">
        <f t="array" ref="C328">IFERROR(
  INDEX(
    IR!$B$2:$E2026,                
    MATCH($A328, IR!$A$2:$A2026, 0), 
    MATCH(C$1, IR!$B$1:$E$1, 0) ), "")
</f>
        <v>-0.00072</v>
      </c>
      <c r="D328" s="9">
        <f t="array" ref="D328">IFERROR(
  INDEX(
    IR!$B$2:$E2026,                
    MATCH($A328, IR!$A$2:$A2026, 0), 
    MATCH(D$1, IR!$B$1:$E$1, 0) ), "")
</f>
        <v>-0.00019</v>
      </c>
      <c r="E328" s="9">
        <f t="array" ref="E328">IFERROR(
  INDEX(
    IR!$B$2:$E2026,                
    MATCH($A328, IR!$A$2:$A2026, 0), 
    MATCH(E$1, IR!$B$1:$E$1, 0) ), "")
</f>
        <v>0.00049</v>
      </c>
      <c r="F328" s="9">
        <f t="array" ref="F328">IFERROR(
  INDEX(
    IR!$B$2:$E2026,                
    MATCH($A328, IR!$A$2:$A2026, 0), 
    MATCH(F$1, IR!$B$1:$E$1, 0) ), "")
</f>
        <v>0.0017</v>
      </c>
      <c r="G328" s="14"/>
      <c r="H328" s="9">
        <f t="array" ref="H328">IFERROR(
  INDEX(
    SR!$B$2:$D2026,            
    MATCH($A328, SR!$A$2:$A2026, 0),  
    MATCH(H$1, SR!$B$1:$D$1, 0) ), "")
</f>
        <v>0.00104</v>
      </c>
      <c r="I328" s="9">
        <f t="array" ref="I328">IFERROR(
  INDEX(
    SR!$B$2:$D2026,            
    MATCH($A328, SR!$A$2:$A2026, 0),  
    MATCH(I$1, SR!$B$1:$D$1, 0) ), "")
</f>
        <v>0.001927</v>
      </c>
      <c r="J328" s="9">
        <f t="array" ref="J328">IFERROR(
  INDEX(
    SR!$B$2:$D2026,            
    MATCH($A328, SR!$A$2:$A2026, 0),  
    MATCH(J$1, SR!$B$1:$D$1, 0) ), "")
</f>
        <v>0.004463</v>
      </c>
      <c r="K328" s="14"/>
      <c r="L328" s="9">
        <v>128.55</v>
      </c>
      <c r="M328" s="9">
        <v>24.66</v>
      </c>
      <c r="N328" s="9">
        <v>113.4</v>
      </c>
      <c r="O328" s="9">
        <v>126.76</v>
      </c>
      <c r="P328" s="9">
        <v>136.43</v>
      </c>
      <c r="Q328" s="9">
        <v>1427.6106</v>
      </c>
      <c r="R328" s="14"/>
      <c r="S328" s="12">
        <f t="shared" si="2"/>
        <v>0.001419381511</v>
      </c>
      <c r="T328" s="12">
        <f t="shared" si="3"/>
        <v>1.001419382</v>
      </c>
      <c r="U328" s="16">
        <f t="shared" si="7"/>
        <v>104.4273428</v>
      </c>
      <c r="V328" s="17"/>
      <c r="W328" s="12">
        <f t="array" ref="W328">SQRT(252/20) *  SQRT( SUMSQ( LN(U307:U326 / U306:U325) )  - (1/20) * ( SUM( LN(U307:U326 / U306:U325) ) ^ 2 ) )</f>
        <v>0.02538313329</v>
      </c>
      <c r="X328" s="9">
        <f t="shared" si="4"/>
        <v>1.5</v>
      </c>
      <c r="Y328" s="14"/>
      <c r="Z328" s="12">
        <f t="shared" si="5"/>
        <v>1.002130058</v>
      </c>
      <c r="AA328" s="16">
        <f t="shared" si="8"/>
        <v>106.6587241</v>
      </c>
      <c r="AB328" s="14"/>
      <c r="AC328" s="9">
        <f t="shared" si="6"/>
        <v>20.43</v>
      </c>
    </row>
    <row r="329">
      <c r="A329" s="8">
        <v>42205.0</v>
      </c>
      <c r="B329" s="14"/>
      <c r="C329" s="9">
        <f t="array" ref="C329">IFERROR(
  INDEX(
    IR!$B$2:$E2026,                
    MATCH($A329, IR!$A$2:$A2026, 0), 
    MATCH(C$1, IR!$B$1:$E$1, 0) ), "")
</f>
        <v>-0.00073</v>
      </c>
      <c r="D329" s="9">
        <f t="array" ref="D329">IFERROR(
  INDEX(
    IR!$B$2:$E2026,                
    MATCH($A329, IR!$A$2:$A2026, 0), 
    MATCH(D$1, IR!$B$1:$E$1, 0) ), "")
</f>
        <v>-0.00019</v>
      </c>
      <c r="E329" s="9">
        <f t="array" ref="E329">IFERROR(
  INDEX(
    IR!$B$2:$E2026,                
    MATCH($A329, IR!$A$2:$A2026, 0), 
    MATCH(E$1, IR!$B$1:$E$1, 0) ), "")
</f>
        <v>0.00049</v>
      </c>
      <c r="F329" s="9">
        <f t="array" ref="F329">IFERROR(
  INDEX(
    IR!$B$2:$E2026,                
    MATCH($A329, IR!$A$2:$A2026, 0), 
    MATCH(F$1, IR!$B$1:$E$1, 0) ), "")
</f>
        <v>0.00171</v>
      </c>
      <c r="G329" s="14"/>
      <c r="H329" s="9">
        <f t="array" ref="H329">IFERROR(
  INDEX(
    SR!$B$2:$D2026,            
    MATCH($A329, SR!$A$2:$A2026, 0),  
    MATCH(H$1, SR!$B$1:$D$1, 0) ), "")
</f>
        <v>0.001055</v>
      </c>
      <c r="I329" s="9">
        <f t="array" ref="I329">IFERROR(
  INDEX(
    SR!$B$2:$D2026,            
    MATCH($A329, SR!$A$2:$A2026, 0),  
    MATCH(I$1, SR!$B$1:$D$1, 0) ), "")
</f>
        <v>0.00183</v>
      </c>
      <c r="J329" s="9">
        <f t="array" ref="J329">IFERROR(
  INDEX(
    SR!$B$2:$D2026,            
    MATCH($A329, SR!$A$2:$A2026, 0),  
    MATCH(J$1, SR!$B$1:$D$1, 0) ), "")
</f>
        <v>0.004419</v>
      </c>
      <c r="K329" s="14"/>
      <c r="L329" s="9">
        <v>128.66</v>
      </c>
      <c r="M329" s="9">
        <v>24.66</v>
      </c>
      <c r="N329" s="9">
        <v>113.43</v>
      </c>
      <c r="O329" s="9">
        <v>126.64</v>
      </c>
      <c r="P329" s="9">
        <v>136.61</v>
      </c>
      <c r="Q329" s="9">
        <v>1429.3012</v>
      </c>
      <c r="R329" s="14"/>
      <c r="S329" s="12">
        <f t="shared" si="2"/>
        <v>0.0004461319374</v>
      </c>
      <c r="T329" s="12">
        <f t="shared" si="3"/>
        <v>1.000446132</v>
      </c>
      <c r="U329" s="16">
        <f t="shared" si="7"/>
        <v>104.4739311</v>
      </c>
      <c r="V329" s="17"/>
      <c r="W329" s="12">
        <f t="array" ref="W329">SQRT(252/20) *  SQRT( SUMSQ( LN(U308:U327 / U307:U326) )  - (1/20) * ( SUM( LN(U308:U327 / U307:U326) ) ^ 2 ) )</f>
        <v>0.02554615711</v>
      </c>
      <c r="X329" s="9">
        <f t="shared" si="4"/>
        <v>1.5</v>
      </c>
      <c r="Y329" s="14"/>
      <c r="Z329" s="12">
        <f t="shared" si="5"/>
        <v>1.000672198</v>
      </c>
      <c r="AA329" s="16">
        <f t="shared" si="8"/>
        <v>106.7304198</v>
      </c>
      <c r="AB329" s="14"/>
      <c r="AC329" s="9">
        <f t="shared" si="6"/>
        <v>21.12</v>
      </c>
    </row>
    <row r="330">
      <c r="A330" s="8">
        <v>42206.0</v>
      </c>
      <c r="B330" s="14"/>
      <c r="C330" s="9">
        <f t="array" ref="C330">IFERROR(
  INDEX(
    IR!$B$2:$E2026,                
    MATCH($A330, IR!$A$2:$A2026, 0), 
    MATCH(C$1, IR!$B$1:$E$1, 0) ), "")
</f>
        <v>-0.00073</v>
      </c>
      <c r="D330" s="9">
        <f t="array" ref="D330">IFERROR(
  INDEX(
    IR!$B$2:$E2026,                
    MATCH($A330, IR!$A$2:$A2026, 0), 
    MATCH(D$1, IR!$B$1:$E$1, 0) ), "")
</f>
        <v>-0.00019</v>
      </c>
      <c r="E330" s="9">
        <f t="array" ref="E330">IFERROR(
  INDEX(
    IR!$B$2:$E2026,                
    MATCH($A330, IR!$A$2:$A2026, 0), 
    MATCH(E$1, IR!$B$1:$E$1, 0) ), "")
</f>
        <v>0.00049</v>
      </c>
      <c r="F330" s="9">
        <f t="array" ref="F330">IFERROR(
  INDEX(
    IR!$B$2:$E2026,                
    MATCH($A330, IR!$A$2:$A2026, 0), 
    MATCH(F$1, IR!$B$1:$E$1, 0) ), "")
</f>
        <v>0.0017</v>
      </c>
      <c r="G330" s="14"/>
      <c r="H330" s="9">
        <f t="array" ref="H330">IFERROR(
  INDEX(
    SR!$B$2:$D2026,            
    MATCH($A330, SR!$A$2:$A2026, 0),  
    MATCH(H$1, SR!$B$1:$D$1, 0) ), "")
</f>
        <v>0.001035</v>
      </c>
      <c r="I330" s="9">
        <f t="array" ref="I330">IFERROR(
  INDEX(
    SR!$B$2:$D2026,            
    MATCH($A330, SR!$A$2:$A2026, 0),  
    MATCH(I$1, SR!$B$1:$D$1, 0) ), "")
</f>
        <v>0.00187</v>
      </c>
      <c r="J330" s="9">
        <f t="array" ref="J330">IFERROR(
  INDEX(
    SR!$B$2:$D2026,            
    MATCH($A330, SR!$A$2:$A2026, 0),  
    MATCH(J$1, SR!$B$1:$D$1, 0) ), "")
</f>
        <v>0.004517</v>
      </c>
      <c r="K330" s="14"/>
      <c r="L330" s="9">
        <v>128.34</v>
      </c>
      <c r="M330" s="9">
        <v>24.66</v>
      </c>
      <c r="N330" s="9">
        <v>113.44</v>
      </c>
      <c r="O330" s="9">
        <v>126.88</v>
      </c>
      <c r="P330" s="9">
        <v>136.47</v>
      </c>
      <c r="Q330" s="9">
        <v>1432.4406</v>
      </c>
      <c r="R330" s="14"/>
      <c r="S330" s="12">
        <f t="shared" si="2"/>
        <v>0.0001114689965</v>
      </c>
      <c r="T330" s="12">
        <f t="shared" si="3"/>
        <v>1.000111469</v>
      </c>
      <c r="U330" s="16">
        <f t="shared" si="7"/>
        <v>104.4855767</v>
      </c>
      <c r="V330" s="17"/>
      <c r="W330" s="12">
        <f t="array" ref="W330">SQRT(252/20) *  SQRT( SUMSQ( LN(U309:U328 / U308:U327) )  - (1/20) * ( SUM( LN(U309:U328 / U308:U327) ) ^ 2 ) )</f>
        <v>0.02588733505</v>
      </c>
      <c r="X330" s="9">
        <f t="shared" si="4"/>
        <v>1.5</v>
      </c>
      <c r="Y330" s="14"/>
      <c r="Z330" s="12">
        <f t="shared" si="5"/>
        <v>1.000168217</v>
      </c>
      <c r="AA330" s="16">
        <f t="shared" si="8"/>
        <v>106.7483737</v>
      </c>
      <c r="AB330" s="14"/>
      <c r="AC330" s="9">
        <f t="shared" si="6"/>
        <v>21.29</v>
      </c>
    </row>
    <row r="331">
      <c r="A331" s="8">
        <v>42207.0</v>
      </c>
      <c r="B331" s="14"/>
      <c r="C331" s="9">
        <f t="array" ref="C331">IFERROR(
  INDEX(
    IR!$B$2:$E2026,                
    MATCH($A331, IR!$A$2:$A2026, 0), 
    MATCH(C$1, IR!$B$1:$E$1, 0) ), "")
</f>
        <v>-0.00073</v>
      </c>
      <c r="D331" s="9">
        <f t="array" ref="D331">IFERROR(
  INDEX(
    IR!$B$2:$E2026,                
    MATCH($A331, IR!$A$2:$A2026, 0), 
    MATCH(D$1, IR!$B$1:$E$1, 0) ), "")
</f>
        <v>-0.00019</v>
      </c>
      <c r="E331" s="9">
        <f t="array" ref="E331">IFERROR(
  INDEX(
    IR!$B$2:$E2026,                
    MATCH($A331, IR!$A$2:$A2026, 0), 
    MATCH(E$1, IR!$B$1:$E$1, 0) ), "")
</f>
        <v>0.00049</v>
      </c>
      <c r="F331" s="9">
        <f t="array" ref="F331">IFERROR(
  INDEX(
    IR!$B$2:$E2026,                
    MATCH($A331, IR!$A$2:$A2026, 0), 
    MATCH(F$1, IR!$B$1:$E$1, 0) ), "")
</f>
        <v>0.00171</v>
      </c>
      <c r="G331" s="14"/>
      <c r="H331" s="9">
        <f t="array" ref="H331">IFERROR(
  INDEX(
    SR!$B$2:$D2026,            
    MATCH($A331, SR!$A$2:$A2026, 0),  
    MATCH(H$1, SR!$B$1:$D$1, 0) ), "")
</f>
        <v>0.00105</v>
      </c>
      <c r="I331" s="9">
        <f t="array" ref="I331">IFERROR(
  INDEX(
    SR!$B$2:$D2026,            
    MATCH($A331, SR!$A$2:$A2026, 0),  
    MATCH(I$1, SR!$B$1:$D$1, 0) ), "")
</f>
        <v>0.001817</v>
      </c>
      <c r="J331" s="9">
        <f t="array" ref="J331">IFERROR(
  INDEX(
    SR!$B$2:$D2026,            
    MATCH($A331, SR!$A$2:$A2026, 0),  
    MATCH(J$1, SR!$B$1:$D$1, 0) ), "")
</f>
        <v>0.00431</v>
      </c>
      <c r="K331" s="14"/>
      <c r="L331" s="9">
        <v>128.09</v>
      </c>
      <c r="M331" s="9">
        <v>24.66</v>
      </c>
      <c r="N331" s="9">
        <v>113.43</v>
      </c>
      <c r="O331" s="9">
        <v>126.09</v>
      </c>
      <c r="P331" s="9">
        <v>136.26</v>
      </c>
      <c r="Q331" s="9">
        <v>1427.4678</v>
      </c>
      <c r="R331" s="14"/>
      <c r="S331" s="12">
        <f t="shared" si="2"/>
        <v>-0.002211598301</v>
      </c>
      <c r="T331" s="12">
        <f t="shared" si="3"/>
        <v>0.9977884017</v>
      </c>
      <c r="U331" s="16">
        <f t="shared" si="7"/>
        <v>104.2544966</v>
      </c>
      <c r="V331" s="17"/>
      <c r="W331" s="12">
        <f t="array" ref="W331">SQRT(252/20) *  SQRT( SUMSQ( LN(U310:U329 / U309:U328) )  - (1/20) * ( SUM( LN(U310:U329 / U309:U328) ) ^ 2 ) )</f>
        <v>0.0258010374</v>
      </c>
      <c r="X331" s="9">
        <f t="shared" si="4"/>
        <v>1.5</v>
      </c>
      <c r="Y331" s="14"/>
      <c r="Z331" s="12">
        <f t="shared" si="5"/>
        <v>0.9966836164</v>
      </c>
      <c r="AA331" s="16">
        <f t="shared" si="8"/>
        <v>106.3943552</v>
      </c>
      <c r="AB331" s="14"/>
      <c r="AC331" s="9">
        <f t="shared" si="6"/>
        <v>17.9</v>
      </c>
    </row>
    <row r="332">
      <c r="A332" s="8">
        <v>42208.0</v>
      </c>
      <c r="B332" s="14"/>
      <c r="C332" s="9">
        <f t="array" ref="C332">IFERROR(
  INDEX(
    IR!$B$2:$E2026,                
    MATCH($A332, IR!$A$2:$A2026, 0), 
    MATCH(C$1, IR!$B$1:$E$1, 0) ), "")
</f>
        <v>-0.00073</v>
      </c>
      <c r="D332" s="9">
        <f t="array" ref="D332">IFERROR(
  INDEX(
    IR!$B$2:$E2026,                
    MATCH($A332, IR!$A$2:$A2026, 0), 
    MATCH(D$1, IR!$B$1:$E$1, 0) ), "")
</f>
        <v>-0.00019</v>
      </c>
      <c r="E332" s="9">
        <f t="array" ref="E332">IFERROR(
  INDEX(
    IR!$B$2:$E2026,                
    MATCH($A332, IR!$A$2:$A2026, 0), 
    MATCH(E$1, IR!$B$1:$E$1, 0) ), "")
</f>
        <v>0.00049</v>
      </c>
      <c r="F332" s="9">
        <f t="array" ref="F332">IFERROR(
  INDEX(
    IR!$B$2:$E2026,                
    MATCH($A332, IR!$A$2:$A2026, 0), 
    MATCH(F$1, IR!$B$1:$E$1, 0) ), "")
</f>
        <v>0.00171</v>
      </c>
      <c r="G332" s="14"/>
      <c r="H332" s="9">
        <f t="array" ref="H332">IFERROR(
  INDEX(
    SR!$B$2:$D2026,            
    MATCH($A332, SR!$A$2:$A2026, 0),  
    MATCH(H$1, SR!$B$1:$D$1, 0) ), "")
</f>
        <v>0.001038</v>
      </c>
      <c r="I332" s="9">
        <f t="array" ref="I332">IFERROR(
  INDEX(
    SR!$B$2:$D2026,            
    MATCH($A332, SR!$A$2:$A2026, 0),  
    MATCH(I$1, SR!$B$1:$D$1, 0) ), "")
</f>
        <v>0.0018</v>
      </c>
      <c r="J332" s="9">
        <f t="array" ref="J332">IFERROR(
  INDEX(
    SR!$B$2:$D2026,            
    MATCH($A332, SR!$A$2:$A2026, 0),  
    MATCH(J$1, SR!$B$1:$D$1, 0) ), "")
</f>
        <v>0.004244</v>
      </c>
      <c r="K332" s="14"/>
      <c r="L332" s="9">
        <v>127.99</v>
      </c>
      <c r="M332" s="9">
        <v>24.64</v>
      </c>
      <c r="N332" s="9">
        <v>113.38</v>
      </c>
      <c r="O332" s="9">
        <v>125.75</v>
      </c>
      <c r="P332" s="9">
        <v>136.15</v>
      </c>
      <c r="Q332" s="9">
        <v>1424.3168</v>
      </c>
      <c r="R332" s="14"/>
      <c r="S332" s="12">
        <f t="shared" si="2"/>
        <v>-0.00129032178</v>
      </c>
      <c r="T332" s="12">
        <f t="shared" si="3"/>
        <v>0.9987096782</v>
      </c>
      <c r="U332" s="16">
        <f t="shared" si="7"/>
        <v>104.1199748</v>
      </c>
      <c r="V332" s="17"/>
      <c r="W332" s="12">
        <f t="array" ref="W332">SQRT(252/20) *  SQRT( SUMSQ( LN(U311:U330 / U310:U329) )  - (1/20) * ( SUM( LN(U311:U330 / U310:U329) ) ^ 2 ) )</f>
        <v>0.02532069292</v>
      </c>
      <c r="X332" s="9">
        <f t="shared" si="4"/>
        <v>1.5</v>
      </c>
      <c r="Y332" s="14"/>
      <c r="Z332" s="12">
        <f t="shared" si="5"/>
        <v>0.9980655312</v>
      </c>
      <c r="AA332" s="16">
        <f t="shared" si="8"/>
        <v>106.1885386</v>
      </c>
      <c r="AB332" s="14"/>
      <c r="AC332" s="9">
        <f t="shared" si="6"/>
        <v>15.93</v>
      </c>
    </row>
    <row r="333">
      <c r="A333" s="8">
        <v>42209.0</v>
      </c>
      <c r="B333" s="14"/>
      <c r="C333" s="9">
        <f t="array" ref="C333">IFERROR(
  INDEX(
    IR!$B$2:$E2026,                
    MATCH($A333, IR!$A$2:$A2026, 0), 
    MATCH(C$1, IR!$B$1:$E$1, 0) ), "")
</f>
        <v>-0.00074</v>
      </c>
      <c r="D333" s="9">
        <f t="array" ref="D333">IFERROR(
  INDEX(
    IR!$B$2:$E2026,                
    MATCH($A333, IR!$A$2:$A2026, 0), 
    MATCH(D$1, IR!$B$1:$E$1, 0) ), "")
</f>
        <v>-0.00019</v>
      </c>
      <c r="E333" s="9">
        <f t="array" ref="E333">IFERROR(
  INDEX(
    IR!$B$2:$E2026,                
    MATCH($A333, IR!$A$2:$A2026, 0), 
    MATCH(E$1, IR!$B$1:$E$1, 0) ), "")
</f>
        <v>0.00048</v>
      </c>
      <c r="F333" s="9">
        <f t="array" ref="F333">IFERROR(
  INDEX(
    IR!$B$2:$E2026,                
    MATCH($A333, IR!$A$2:$A2026, 0), 
    MATCH(F$1, IR!$B$1:$E$1, 0) ), "")
</f>
        <v>0.0017</v>
      </c>
      <c r="G333" s="14"/>
      <c r="H333" s="9">
        <f t="array" ref="H333">IFERROR(
  INDEX(
    SR!$B$2:$D2026,            
    MATCH($A333, SR!$A$2:$A2026, 0),  
    MATCH(H$1, SR!$B$1:$D$1, 0) ), "")
</f>
        <v>0.001023</v>
      </c>
      <c r="I333" s="9">
        <f t="array" ref="I333">IFERROR(
  INDEX(
    SR!$B$2:$D2026,            
    MATCH($A333, SR!$A$2:$A2026, 0),  
    MATCH(I$1, SR!$B$1:$D$1, 0) ), "")
</f>
        <v>0.001744</v>
      </c>
      <c r="J333" s="9">
        <f t="array" ref="J333">IFERROR(
  INDEX(
    SR!$B$2:$D2026,            
    MATCH($A333, SR!$A$2:$A2026, 0),  
    MATCH(J$1, SR!$B$1:$D$1, 0) ), "")
</f>
        <v>0.00411</v>
      </c>
      <c r="K333" s="14"/>
      <c r="L333" s="9">
        <v>127.66</v>
      </c>
      <c r="M333" s="9">
        <v>24.64</v>
      </c>
      <c r="N333" s="9">
        <v>113.36</v>
      </c>
      <c r="O333" s="9">
        <v>125.66</v>
      </c>
      <c r="P333" s="9">
        <v>135.82</v>
      </c>
      <c r="Q333" s="9">
        <v>1423.0209</v>
      </c>
      <c r="R333" s="14"/>
      <c r="S333" s="12">
        <f t="shared" si="2"/>
        <v>-0.001133648572</v>
      </c>
      <c r="T333" s="12">
        <f t="shared" si="3"/>
        <v>0.9988663514</v>
      </c>
      <c r="U333" s="16">
        <f t="shared" si="7"/>
        <v>104.0019393</v>
      </c>
      <c r="V333" s="17"/>
      <c r="W333" s="12">
        <f t="array" ref="W333">SQRT(252/20) *  SQRT( SUMSQ( LN(U312:U331 / U311:U330) )  - (1/20) * ( SUM( LN(U312:U331 / U311:U330) ) ^ 2 ) )</f>
        <v>0.02438440062</v>
      </c>
      <c r="X333" s="9">
        <f t="shared" si="4"/>
        <v>1.5</v>
      </c>
      <c r="Y333" s="14"/>
      <c r="Z333" s="12">
        <f t="shared" si="5"/>
        <v>0.998300541</v>
      </c>
      <c r="AA333" s="16">
        <f t="shared" si="8"/>
        <v>106.0080756</v>
      </c>
      <c r="AB333" s="14"/>
      <c r="AC333" s="9">
        <f t="shared" si="6"/>
        <v>14.21</v>
      </c>
    </row>
    <row r="334">
      <c r="A334" s="8">
        <v>42212.0</v>
      </c>
      <c r="B334" s="14"/>
      <c r="C334" s="9">
        <f t="array" ref="C334">IFERROR(
  INDEX(
    IR!$B$2:$E2026,                
    MATCH($A334, IR!$A$2:$A2026, 0), 
    MATCH(C$1, IR!$B$1:$E$1, 0) ), "")
</f>
        <v>-0.00074</v>
      </c>
      <c r="D334" s="9">
        <f t="array" ref="D334">IFERROR(
  INDEX(
    IR!$B$2:$E2026,                
    MATCH($A334, IR!$A$2:$A2026, 0), 
    MATCH(D$1, IR!$B$1:$E$1, 0) ), "")
</f>
        <v>-0.0002</v>
      </c>
      <c r="E334" s="9">
        <f t="array" ref="E334">IFERROR(
  INDEX(
    IR!$B$2:$E2026,                
    MATCH($A334, IR!$A$2:$A2026, 0), 
    MATCH(E$1, IR!$B$1:$E$1, 0) ), "")
</f>
        <v>0.00049</v>
      </c>
      <c r="F334" s="9">
        <f t="array" ref="F334">IFERROR(
  INDEX(
    IR!$B$2:$E2026,                
    MATCH($A334, IR!$A$2:$A2026, 0), 
    MATCH(F$1, IR!$B$1:$E$1, 0) ), "")
</f>
        <v>0.00169</v>
      </c>
      <c r="G334" s="14"/>
      <c r="H334" s="9">
        <f t="array" ref="H334">IFERROR(
  INDEX(
    SR!$B$2:$D2026,            
    MATCH($A334, SR!$A$2:$A2026, 0),  
    MATCH(H$1, SR!$B$1:$D$1, 0) ), "")
</f>
        <v>0.00104</v>
      </c>
      <c r="I334" s="9">
        <f t="array" ref="I334">IFERROR(
  INDEX(
    SR!$B$2:$D2026,            
    MATCH($A334, SR!$A$2:$A2026, 0),  
    MATCH(I$1, SR!$B$1:$D$1, 0) ), "")
</f>
        <v>0.00171</v>
      </c>
      <c r="J334" s="9">
        <f t="array" ref="J334">IFERROR(
  INDEX(
    SR!$B$2:$D2026,            
    MATCH($A334, SR!$A$2:$A2026, 0),  
    MATCH(J$1, SR!$B$1:$D$1, 0) ), "")
</f>
        <v>0.004062</v>
      </c>
      <c r="K334" s="14"/>
      <c r="L334" s="9">
        <v>126.94</v>
      </c>
      <c r="M334" s="9">
        <v>24.62</v>
      </c>
      <c r="N334" s="9">
        <v>113.35</v>
      </c>
      <c r="O334" s="9">
        <v>125.05</v>
      </c>
      <c r="P334" s="9">
        <v>135.4</v>
      </c>
      <c r="Q334" s="9">
        <v>1415.6035</v>
      </c>
      <c r="R334" s="14"/>
      <c r="S334" s="12">
        <f t="shared" si="2"/>
        <v>-0.003282376857</v>
      </c>
      <c r="T334" s="12">
        <f t="shared" si="3"/>
        <v>0.9967176231</v>
      </c>
      <c r="U334" s="16">
        <f t="shared" si="7"/>
        <v>103.6605657</v>
      </c>
      <c r="V334" s="17"/>
      <c r="W334" s="12">
        <f t="array" ref="W334">SQRT(252/20) *  SQRT( SUMSQ( LN(U313:U332 / U312:U331) )  - (1/20) * ( SUM( LN(U313:U332 / U312:U331) ) ^ 2 ) )</f>
        <v>0.02458504982</v>
      </c>
      <c r="X334" s="9">
        <f t="shared" si="4"/>
        <v>1.5</v>
      </c>
      <c r="Y334" s="14"/>
      <c r="Z334" s="12">
        <f t="shared" si="5"/>
        <v>0.995079518</v>
      </c>
      <c r="AA334" s="16">
        <f t="shared" si="8"/>
        <v>105.4864647</v>
      </c>
      <c r="AB334" s="14"/>
      <c r="AC334" s="9">
        <f t="shared" si="6"/>
        <v>9.22</v>
      </c>
    </row>
    <row r="335">
      <c r="A335" s="8">
        <v>42213.0</v>
      </c>
      <c r="B335" s="14"/>
      <c r="C335" s="9">
        <f t="array" ref="C335">IFERROR(
  INDEX(
    IR!$B$2:$E2026,                
    MATCH($A335, IR!$A$2:$A2026, 0), 
    MATCH(C$1, IR!$B$1:$E$1, 0) ), "")
</f>
        <v>-0.00073</v>
      </c>
      <c r="D335" s="9">
        <f t="array" ref="D335">IFERROR(
  INDEX(
    IR!$B$2:$E2026,                
    MATCH($A335, IR!$A$2:$A2026, 0), 
    MATCH(D$1, IR!$B$1:$E$1, 0) ), "")
</f>
        <v>-0.00021</v>
      </c>
      <c r="E335" s="9">
        <f t="array" ref="E335">IFERROR(
  INDEX(
    IR!$B$2:$E2026,                
    MATCH($A335, IR!$A$2:$A2026, 0), 
    MATCH(E$1, IR!$B$1:$E$1, 0) ), "")
</f>
        <v>0.00048</v>
      </c>
      <c r="F335" s="9">
        <f t="array" ref="F335">IFERROR(
  INDEX(
    IR!$B$2:$E2026,                
    MATCH($A335, IR!$A$2:$A2026, 0), 
    MATCH(F$1, IR!$B$1:$E$1, 0) ), "")
</f>
        <v>0.00169</v>
      </c>
      <c r="G335" s="14"/>
      <c r="H335" s="9">
        <f t="array" ref="H335">IFERROR(
  INDEX(
    SR!$B$2:$D2026,            
    MATCH($A335, SR!$A$2:$A2026, 0),  
    MATCH(H$1, SR!$B$1:$D$1, 0) ), "")
</f>
        <v>0.00102</v>
      </c>
      <c r="I335" s="9">
        <f t="array" ref="I335">IFERROR(
  INDEX(
    SR!$B$2:$D2026,            
    MATCH($A335, SR!$A$2:$A2026, 0),  
    MATCH(I$1, SR!$B$1:$D$1, 0) ), "")
</f>
        <v>0.00177</v>
      </c>
      <c r="J335" s="9">
        <f t="array" ref="J335">IFERROR(
  INDEX(
    SR!$B$2:$D2026,            
    MATCH($A335, SR!$A$2:$A2026, 0),  
    MATCH(J$1, SR!$B$1:$D$1, 0) ), "")
</f>
        <v>0.00416</v>
      </c>
      <c r="K335" s="14"/>
      <c r="L335" s="9">
        <v>127.13</v>
      </c>
      <c r="M335" s="9">
        <v>24.63</v>
      </c>
      <c r="N335" s="9">
        <v>113.34</v>
      </c>
      <c r="O335" s="9">
        <v>123.84</v>
      </c>
      <c r="P335" s="9">
        <v>134.62</v>
      </c>
      <c r="Q335" s="9">
        <v>1407.5565</v>
      </c>
      <c r="R335" s="14"/>
      <c r="S335" s="12">
        <f t="shared" si="2"/>
        <v>-0.003217051051</v>
      </c>
      <c r="T335" s="12">
        <f t="shared" si="3"/>
        <v>0.9967829489</v>
      </c>
      <c r="U335" s="16">
        <f t="shared" si="7"/>
        <v>103.3270844</v>
      </c>
      <c r="V335" s="17"/>
      <c r="W335" s="12">
        <f t="array" ref="W335">SQRT(252/20) *  SQRT( SUMSQ( LN(U314:U333 / U313:U332) )  - (1/20) * ( SUM( LN(U314:U333 / U313:U332) ) ^ 2 ) )</f>
        <v>0.02480604076</v>
      </c>
      <c r="X335" s="9">
        <f t="shared" si="4"/>
        <v>1.5</v>
      </c>
      <c r="Y335" s="14"/>
      <c r="Z335" s="12">
        <f t="shared" si="5"/>
        <v>0.9951754512</v>
      </c>
      <c r="AA335" s="16">
        <f t="shared" si="8"/>
        <v>104.9775401</v>
      </c>
      <c r="AB335" s="14"/>
      <c r="AC335" s="9">
        <f t="shared" si="6"/>
        <v>4.35</v>
      </c>
    </row>
    <row r="336">
      <c r="A336" s="8">
        <v>42214.0</v>
      </c>
      <c r="B336" s="14"/>
      <c r="C336" s="9">
        <f t="array" ref="C336">IFERROR(
  INDEX(
    IR!$B$2:$E2026,                
    MATCH($A336, IR!$A$2:$A2026, 0), 
    MATCH(C$1, IR!$B$1:$E$1, 0) ), "")
</f>
        <v>-0.00074</v>
      </c>
      <c r="D336" s="9">
        <f t="array" ref="D336">IFERROR(
  INDEX(
    IR!$B$2:$E2026,                
    MATCH($A336, IR!$A$2:$A2026, 0), 
    MATCH(D$1, IR!$B$1:$E$1, 0) ), "")
</f>
        <v>-0.00022</v>
      </c>
      <c r="E336" s="9">
        <f t="array" ref="E336">IFERROR(
  INDEX(
    IR!$B$2:$E2026,                
    MATCH($A336, IR!$A$2:$A2026, 0), 
    MATCH(E$1, IR!$B$1:$E$1, 0) ), "")
</f>
        <v>0.00048</v>
      </c>
      <c r="F336" s="9">
        <f t="array" ref="F336">IFERROR(
  INDEX(
    IR!$B$2:$E2026,                
    MATCH($A336, IR!$A$2:$A2026, 0), 
    MATCH(F$1, IR!$B$1:$E$1, 0) ), "")
</f>
        <v>0.00169</v>
      </c>
      <c r="G336" s="14"/>
      <c r="H336" s="9">
        <f t="array" ref="H336">IFERROR(
  INDEX(
    SR!$B$2:$D2026,            
    MATCH($A336, SR!$A$2:$A2026, 0),  
    MATCH(H$1, SR!$B$1:$D$1, 0) ), "")
</f>
        <v>0.000985</v>
      </c>
      <c r="I336" s="9">
        <f t="array" ref="I336">IFERROR(
  INDEX(
    SR!$B$2:$D2026,            
    MATCH($A336, SR!$A$2:$A2026, 0),  
    MATCH(I$1, SR!$B$1:$D$1, 0) ), "")
</f>
        <v>0.00173</v>
      </c>
      <c r="J336" s="9">
        <f t="array" ref="J336">IFERROR(
  INDEX(
    SR!$B$2:$D2026,            
    MATCH($A336, SR!$A$2:$A2026, 0),  
    MATCH(J$1, SR!$B$1:$D$1, 0) ), "")
</f>
        <v>0.004111</v>
      </c>
      <c r="K336" s="14"/>
      <c r="L336" s="9">
        <v>127.37</v>
      </c>
      <c r="M336" s="9">
        <v>24.63</v>
      </c>
      <c r="N336" s="9">
        <v>113.35</v>
      </c>
      <c r="O336" s="9">
        <v>124.06</v>
      </c>
      <c r="P336" s="9">
        <v>135.13</v>
      </c>
      <c r="Q336" s="9">
        <v>1413.339</v>
      </c>
      <c r="R336" s="14"/>
      <c r="S336" s="12">
        <f t="shared" si="2"/>
        <v>0.001941162875</v>
      </c>
      <c r="T336" s="12">
        <f t="shared" si="3"/>
        <v>1.001941163</v>
      </c>
      <c r="U336" s="16">
        <f t="shared" si="7"/>
        <v>103.5276591</v>
      </c>
      <c r="V336" s="17"/>
      <c r="W336" s="12">
        <f t="array" ref="W336">SQRT(252/20) *  SQRT( SUMSQ( LN(U315:U334 / U314:U333) )  - (1/20) * ( SUM( LN(U315:U334 / U314:U333) ) ^ 2 ) )</f>
        <v>0.02512001752</v>
      </c>
      <c r="X336" s="9">
        <f t="shared" si="4"/>
        <v>1.5</v>
      </c>
      <c r="Y336" s="14"/>
      <c r="Z336" s="12">
        <f t="shared" si="5"/>
        <v>1.002912758</v>
      </c>
      <c r="AA336" s="16">
        <f t="shared" si="8"/>
        <v>105.2833143</v>
      </c>
      <c r="AB336" s="14"/>
      <c r="AC336" s="9">
        <f t="shared" si="6"/>
        <v>7.27</v>
      </c>
    </row>
    <row r="337">
      <c r="A337" s="8">
        <v>42215.0</v>
      </c>
      <c r="B337" s="14"/>
      <c r="C337" s="9">
        <f t="array" ref="C337">IFERROR(
  INDEX(
    IR!$B$2:$E2026,                
    MATCH($A337, IR!$A$2:$A2026, 0), 
    MATCH(C$1, IR!$B$1:$E$1, 0) ), "")
</f>
        <v>-0.00074</v>
      </c>
      <c r="D337" s="9">
        <f t="array" ref="D337">IFERROR(
  INDEX(
    IR!$B$2:$E2026,                
    MATCH($A337, IR!$A$2:$A2026, 0), 
    MATCH(D$1, IR!$B$1:$E$1, 0) ), "")
</f>
        <v>-0.00023</v>
      </c>
      <c r="E337" s="9">
        <f t="array" ref="E337">IFERROR(
  INDEX(
    IR!$B$2:$E2026,                
    MATCH($A337, IR!$A$2:$A2026, 0), 
    MATCH(E$1, IR!$B$1:$E$1, 0) ), "")
</f>
        <v>0.00048</v>
      </c>
      <c r="F337" s="9">
        <f t="array" ref="F337">IFERROR(
  INDEX(
    IR!$B$2:$E2026,                
    MATCH($A337, IR!$A$2:$A2026, 0), 
    MATCH(F$1, IR!$B$1:$E$1, 0) ), "")
</f>
        <v>0.00169</v>
      </c>
      <c r="G337" s="14"/>
      <c r="H337" s="9">
        <f t="array" ref="H337">IFERROR(
  INDEX(
    SR!$B$2:$D2026,            
    MATCH($A337, SR!$A$2:$A2026, 0),  
    MATCH(H$1, SR!$B$1:$D$1, 0) ), "")
</f>
        <v>0.00095</v>
      </c>
      <c r="I337" s="9">
        <f t="array" ref="I337">IFERROR(
  INDEX(
    SR!$B$2:$D2026,            
    MATCH($A337, SR!$A$2:$A2026, 0),  
    MATCH(I$1, SR!$B$1:$D$1, 0) ), "")
</f>
        <v>0.00171</v>
      </c>
      <c r="J337" s="9">
        <f t="array" ref="J337">IFERROR(
  INDEX(
    SR!$B$2:$D2026,            
    MATCH($A337, SR!$A$2:$A2026, 0),  
    MATCH(J$1, SR!$B$1:$D$1, 0) ), "")
</f>
        <v>0.00401</v>
      </c>
      <c r="K337" s="14"/>
      <c r="L337" s="9">
        <v>127.46</v>
      </c>
      <c r="M337" s="9">
        <v>24.64</v>
      </c>
      <c r="N337" s="9">
        <v>113.35</v>
      </c>
      <c r="O337" s="9">
        <v>124.06</v>
      </c>
      <c r="P337" s="9">
        <v>135.23</v>
      </c>
      <c r="Q337" s="9">
        <v>1417.421</v>
      </c>
      <c r="R337" s="14"/>
      <c r="S337" s="12">
        <f t="shared" si="2"/>
        <v>0.0007901120691</v>
      </c>
      <c r="T337" s="12">
        <f t="shared" si="3"/>
        <v>1.000790112</v>
      </c>
      <c r="U337" s="16">
        <f t="shared" si="7"/>
        <v>103.6094576</v>
      </c>
      <c r="V337" s="17"/>
      <c r="W337" s="12">
        <f t="array" ref="W337">SQRT(252/20) *  SQRT( SUMSQ( LN(U316:U335 / U315:U334) )  - (1/20) * ( SUM( LN(U316:U335 / U315:U334) ) ^ 2 ) )</f>
        <v>0.02548180424</v>
      </c>
      <c r="X337" s="9">
        <f t="shared" si="4"/>
        <v>1.5</v>
      </c>
      <c r="Y337" s="14"/>
      <c r="Z337" s="12">
        <f t="shared" si="5"/>
        <v>1.001186196</v>
      </c>
      <c r="AA337" s="16">
        <f t="shared" si="8"/>
        <v>105.408201</v>
      </c>
      <c r="AB337" s="14"/>
      <c r="AC337" s="9">
        <f t="shared" si="6"/>
        <v>8.47</v>
      </c>
    </row>
    <row r="338">
      <c r="A338" s="8">
        <v>42216.0</v>
      </c>
      <c r="B338" s="14"/>
      <c r="C338" s="9">
        <f t="array" ref="C338">IFERROR(
  INDEX(
    IR!$B$2:$E2026,                
    MATCH($A338, IR!$A$2:$A2026, 0), 
    MATCH(C$1, IR!$B$1:$E$1, 0) ), "")
</f>
        <v>-0.00075</v>
      </c>
      <c r="D338" s="9">
        <f t="array" ref="D338">IFERROR(
  INDEX(
    IR!$B$2:$E2026,                
    MATCH($A338, IR!$A$2:$A2026, 0), 
    MATCH(D$1, IR!$B$1:$E$1, 0) ), "")
</f>
        <v>-0.00023</v>
      </c>
      <c r="E338" s="9">
        <f t="array" ref="E338">IFERROR(
  INDEX(
    IR!$B$2:$E2026,                
    MATCH($A338, IR!$A$2:$A2026, 0), 
    MATCH(E$1, IR!$B$1:$E$1, 0) ), "")
</f>
        <v>0.00048</v>
      </c>
      <c r="F338" s="9">
        <f t="array" ref="F338">IFERROR(
  INDEX(
    IR!$B$2:$E2026,                
    MATCH($A338, IR!$A$2:$A2026, 0), 
    MATCH(F$1, IR!$B$1:$E$1, 0) ), "")
</f>
        <v>0.00167</v>
      </c>
      <c r="G338" s="14"/>
      <c r="H338" s="9">
        <f t="array" ref="H338">IFERROR(
  INDEX(
    SR!$B$2:$D2026,            
    MATCH($A338, SR!$A$2:$A2026, 0),  
    MATCH(H$1, SR!$B$1:$D$1, 0) ), "")
</f>
        <v>0.00094</v>
      </c>
      <c r="I338" s="9">
        <f t="array" ref="I338">IFERROR(
  INDEX(
    SR!$B$2:$D2026,            
    MATCH($A338, SR!$A$2:$A2026, 0),  
    MATCH(I$1, SR!$B$1:$D$1, 0) ), "")
</f>
        <v>0.00169</v>
      </c>
      <c r="J338" s="9">
        <f t="array" ref="J338">IFERROR(
  INDEX(
    SR!$B$2:$D2026,            
    MATCH($A338, SR!$A$2:$A2026, 0),  
    MATCH(J$1, SR!$B$1:$D$1, 0) ), "")
</f>
        <v>0.003985</v>
      </c>
      <c r="K338" s="14"/>
      <c r="L338" s="9">
        <v>127.48</v>
      </c>
      <c r="M338" s="9">
        <v>24.63</v>
      </c>
      <c r="N338" s="9">
        <v>113.34316</v>
      </c>
      <c r="O338" s="9">
        <v>124.09</v>
      </c>
      <c r="P338" s="9">
        <v>135.33</v>
      </c>
      <c r="Q338" s="9">
        <v>1418.127</v>
      </c>
      <c r="R338" s="14"/>
      <c r="S338" s="12">
        <f t="shared" si="2"/>
        <v>0.0001949902735</v>
      </c>
      <c r="T338" s="12">
        <f t="shared" si="3"/>
        <v>1.00019499</v>
      </c>
      <c r="U338" s="16">
        <f t="shared" si="7"/>
        <v>103.6296604</v>
      </c>
      <c r="V338" s="17"/>
      <c r="W338" s="12">
        <f t="array" ref="W338">SQRT(252/20) *  SQRT( SUMSQ( LN(U317:U336 / U316:U335) )  - (1/20) * ( SUM( LN(U317:U336 / U316:U335) ) ^ 2 ) )</f>
        <v>0.02649940886</v>
      </c>
      <c r="X338" s="9">
        <f t="shared" si="4"/>
        <v>1.5</v>
      </c>
      <c r="Y338" s="14"/>
      <c r="Z338" s="12">
        <f t="shared" si="5"/>
        <v>1.000293513</v>
      </c>
      <c r="AA338" s="16">
        <f t="shared" si="8"/>
        <v>105.4391397</v>
      </c>
      <c r="AB338" s="14"/>
      <c r="AC338" s="9">
        <f t="shared" si="6"/>
        <v>8.76</v>
      </c>
    </row>
    <row r="339">
      <c r="A339" s="8">
        <v>42219.0</v>
      </c>
      <c r="B339" s="14"/>
      <c r="C339" s="9">
        <f t="array" ref="C339">IFERROR(
  INDEX(
    IR!$B$2:$E2026,                
    MATCH($A339, IR!$A$2:$A2026, 0), 
    MATCH(C$1, IR!$B$1:$E$1, 0) ), "")
</f>
        <v>-0.00078</v>
      </c>
      <c r="D339" s="9">
        <f t="array" ref="D339">IFERROR(
  INDEX(
    IR!$B$2:$E2026,                
    MATCH($A339, IR!$A$2:$A2026, 0), 
    MATCH(D$1, IR!$B$1:$E$1, 0) ), "")
</f>
        <v>-0.00023</v>
      </c>
      <c r="E339" s="9">
        <f t="array" ref="E339">IFERROR(
  INDEX(
    IR!$B$2:$E2026,                
    MATCH($A339, IR!$A$2:$A2026, 0), 
    MATCH(E$1, IR!$B$1:$E$1, 0) ), "")
</f>
        <v>0.00049</v>
      </c>
      <c r="F339" s="9">
        <f t="array" ref="F339">IFERROR(
  INDEX(
    IR!$B$2:$E2026,                
    MATCH($A339, IR!$A$2:$A2026, 0), 
    MATCH(F$1, IR!$B$1:$E$1, 0) ), "")
</f>
        <v>0.00166</v>
      </c>
      <c r="G339" s="14"/>
      <c r="H339" s="9">
        <f t="array" ref="H339">IFERROR(
  INDEX(
    SR!$B$2:$D2026,            
    MATCH($A339, SR!$A$2:$A2026, 0),  
    MATCH(H$1, SR!$B$1:$D$1, 0) ), "")
</f>
        <v>0.000907</v>
      </c>
      <c r="I339" s="9">
        <f t="array" ref="I339">IFERROR(
  INDEX(
    SR!$B$2:$D2026,            
    MATCH($A339, SR!$A$2:$A2026, 0),  
    MATCH(I$1, SR!$B$1:$D$1, 0) ), "")
</f>
        <v>0.001595</v>
      </c>
      <c r="J339" s="9">
        <f t="array" ref="J339">IFERROR(
  INDEX(
    SR!$B$2:$D2026,            
    MATCH($A339, SR!$A$2:$A2026, 0),  
    MATCH(J$1, SR!$B$1:$D$1, 0) ), "")
</f>
        <v>0.00384</v>
      </c>
      <c r="K339" s="14"/>
      <c r="L339" s="9">
        <v>127.65</v>
      </c>
      <c r="M339" s="9">
        <v>24.64</v>
      </c>
      <c r="N339" s="9">
        <v>113.25</v>
      </c>
      <c r="O339" s="9">
        <v>124.18</v>
      </c>
      <c r="P339" s="9">
        <v>135.33</v>
      </c>
      <c r="Q339" s="9">
        <v>1415.7982</v>
      </c>
      <c r="R339" s="14"/>
      <c r="S339" s="12">
        <f t="shared" si="2"/>
        <v>-0.00000004148017299</v>
      </c>
      <c r="T339" s="12">
        <f t="shared" si="3"/>
        <v>0.9999999585</v>
      </c>
      <c r="U339" s="16">
        <f t="shared" si="7"/>
        <v>103.6296561</v>
      </c>
      <c r="V339" s="17"/>
      <c r="W339" s="12">
        <f t="array" ref="W339">SQRT(252/20) *  SQRT( SUMSQ( LN(U318:U337 / U317:U336) )  - (1/20) * ( SUM( LN(U318:U337 / U317:U336) ) ^ 2 ) )</f>
        <v>0.02665117408</v>
      </c>
      <c r="X339" s="9">
        <f t="shared" si="4"/>
        <v>1.5</v>
      </c>
      <c r="Y339" s="14"/>
      <c r="Z339" s="12">
        <f t="shared" si="5"/>
        <v>1.000003063</v>
      </c>
      <c r="AA339" s="16">
        <f t="shared" si="8"/>
        <v>105.4394626</v>
      </c>
      <c r="AB339" s="14"/>
      <c r="AC339" s="9">
        <f t="shared" si="6"/>
        <v>8.77</v>
      </c>
    </row>
    <row r="340">
      <c r="A340" s="8">
        <v>42220.0</v>
      </c>
      <c r="B340" s="14"/>
      <c r="C340" s="9">
        <f t="array" ref="C340">IFERROR(
  INDEX(
    IR!$B$2:$E2026,                
    MATCH($A340, IR!$A$2:$A2026, 0), 
    MATCH(C$1, IR!$B$1:$E$1, 0) ), "")
</f>
        <v>-0.00079</v>
      </c>
      <c r="D340" s="9">
        <f t="array" ref="D340">IFERROR(
  INDEX(
    IR!$B$2:$E2026,                
    MATCH($A340, IR!$A$2:$A2026, 0), 
    MATCH(D$1, IR!$B$1:$E$1, 0) ), "")
</f>
        <v>-0.00023</v>
      </c>
      <c r="E340" s="9">
        <f t="array" ref="E340">IFERROR(
  INDEX(
    IR!$B$2:$E2026,                
    MATCH($A340, IR!$A$2:$A2026, 0), 
    MATCH(E$1, IR!$B$1:$E$1, 0) ), "")
</f>
        <v>0.00048</v>
      </c>
      <c r="F340" s="9">
        <f t="array" ref="F340">IFERROR(
  INDEX(
    IR!$B$2:$E2026,                
    MATCH($A340, IR!$A$2:$A2026, 0), 
    MATCH(F$1, IR!$B$1:$E$1, 0) ), "")
</f>
        <v>0.00164</v>
      </c>
      <c r="G340" s="14"/>
      <c r="H340" s="9">
        <f t="array" ref="H340">IFERROR(
  INDEX(
    SR!$B$2:$D2026,            
    MATCH($A340, SR!$A$2:$A2026, 0),  
    MATCH(H$1, SR!$B$1:$D$1, 0) ), "")
</f>
        <v>0.00089</v>
      </c>
      <c r="I340" s="9">
        <f t="array" ref="I340">IFERROR(
  INDEX(
    SR!$B$2:$D2026,            
    MATCH($A340, SR!$A$2:$A2026, 0),  
    MATCH(I$1, SR!$B$1:$D$1, 0) ), "")
</f>
        <v>0.00173</v>
      </c>
      <c r="J340" s="9">
        <f t="array" ref="J340">IFERROR(
  INDEX(
    SR!$B$2:$D2026,            
    MATCH($A340, SR!$A$2:$A2026, 0),  
    MATCH(J$1, SR!$B$1:$D$1, 0) ), "")
</f>
        <v>0.004075</v>
      </c>
      <c r="K340" s="14"/>
      <c r="L340" s="9">
        <v>127.47</v>
      </c>
      <c r="M340" s="9">
        <v>24.64</v>
      </c>
      <c r="N340" s="9">
        <v>113.08</v>
      </c>
      <c r="O340" s="9">
        <v>124.1</v>
      </c>
      <c r="P340" s="9">
        <v>135.63</v>
      </c>
      <c r="Q340" s="9">
        <v>1415.3339</v>
      </c>
      <c r="R340" s="14"/>
      <c r="S340" s="12">
        <f t="shared" si="2"/>
        <v>-0.0002776841028</v>
      </c>
      <c r="T340" s="12">
        <f t="shared" si="3"/>
        <v>0.9997223159</v>
      </c>
      <c r="U340" s="16">
        <f t="shared" si="7"/>
        <v>103.6008798</v>
      </c>
      <c r="V340" s="17"/>
      <c r="W340" s="12">
        <f t="array" ref="W340">SQRT(252/20) *  SQRT( SUMSQ( LN(U319:U338 / U318:U337) )  - (1/20) * ( SUM( LN(U319:U338 / U318:U337) ) ^ 2 ) )</f>
        <v>0.02667126797</v>
      </c>
      <c r="X340" s="9">
        <f t="shared" si="4"/>
        <v>1.5</v>
      </c>
      <c r="Y340" s="14"/>
      <c r="Z340" s="12">
        <f t="shared" si="5"/>
        <v>0.9995845572</v>
      </c>
      <c r="AA340" s="16">
        <f t="shared" si="8"/>
        <v>105.3956585</v>
      </c>
      <c r="AB340" s="14"/>
      <c r="AC340" s="9">
        <f t="shared" si="6"/>
        <v>8.35</v>
      </c>
    </row>
    <row r="341">
      <c r="A341" s="8">
        <v>42221.0</v>
      </c>
      <c r="B341" s="14"/>
      <c r="C341" s="9">
        <f t="array" ref="C341">IFERROR(
  INDEX(
    IR!$B$2:$E2026,                
    MATCH($A341, IR!$A$2:$A2026, 0), 
    MATCH(C$1, IR!$B$1:$E$1, 0) ), "")
</f>
        <v>-0.00079</v>
      </c>
      <c r="D341" s="9">
        <f t="array" ref="D341">IFERROR(
  INDEX(
    IR!$B$2:$E2026,                
    MATCH($A341, IR!$A$2:$A2026, 0), 
    MATCH(D$1, IR!$B$1:$E$1, 0) ), "")
</f>
        <v>-0.00024</v>
      </c>
      <c r="E341" s="9">
        <f t="array" ref="E341">IFERROR(
  INDEX(
    IR!$B$2:$E2026,                
    MATCH($A341, IR!$A$2:$A2026, 0), 
    MATCH(E$1, IR!$B$1:$E$1, 0) ), "")
</f>
        <v>0.00048</v>
      </c>
      <c r="F341" s="9">
        <f t="array" ref="F341">IFERROR(
  INDEX(
    IR!$B$2:$E2026,                
    MATCH($A341, IR!$A$2:$A2026, 0), 
    MATCH(F$1, IR!$B$1:$E$1, 0) ), "")
</f>
        <v>0.00163</v>
      </c>
      <c r="G341" s="14"/>
      <c r="H341" s="9">
        <f t="array" ref="H341">IFERROR(
  INDEX(
    SR!$B$2:$D2026,            
    MATCH($A341, SR!$A$2:$A2026, 0),  
    MATCH(H$1, SR!$B$1:$D$1, 0) ), "")
</f>
        <v>0.00095</v>
      </c>
      <c r="I341" s="9">
        <f t="array" ref="I341">IFERROR(
  INDEX(
    SR!$B$2:$D2026,            
    MATCH($A341, SR!$A$2:$A2026, 0),  
    MATCH(I$1, SR!$B$1:$D$1, 0) ), "")
</f>
        <v>0.001777</v>
      </c>
      <c r="J341" s="9">
        <f t="array" ref="J341">IFERROR(
  INDEX(
    SR!$B$2:$D2026,            
    MATCH($A341, SR!$A$2:$A2026, 0),  
    MATCH(J$1, SR!$B$1:$D$1, 0) ), "")
</f>
        <v>0.004325</v>
      </c>
      <c r="K341" s="14"/>
      <c r="L341" s="9">
        <v>127.9</v>
      </c>
      <c r="M341" s="9">
        <v>24.65</v>
      </c>
      <c r="N341" s="9">
        <v>113.07</v>
      </c>
      <c r="O341" s="9">
        <v>124.1</v>
      </c>
      <c r="P341" s="9">
        <v>135.49</v>
      </c>
      <c r="Q341" s="9">
        <v>1417.3313</v>
      </c>
      <c r="R341" s="14"/>
      <c r="S341" s="12">
        <f t="shared" si="2"/>
        <v>0.0006781683087</v>
      </c>
      <c r="T341" s="12">
        <f t="shared" si="3"/>
        <v>1.000678168</v>
      </c>
      <c r="U341" s="16">
        <f t="shared" si="7"/>
        <v>103.6711386</v>
      </c>
      <c r="V341" s="17"/>
      <c r="W341" s="12">
        <f t="array" ref="W341">SQRT(252/20) *  SQRT( SUMSQ( LN(U320:U339 / U319:U338) )  - (1/20) * ( SUM( LN(U320:U339 / U319:U338) ) ^ 2 ) )</f>
        <v>0.02624330556</v>
      </c>
      <c r="X341" s="9">
        <f t="shared" si="4"/>
        <v>1.5</v>
      </c>
      <c r="Y341" s="14"/>
      <c r="Z341" s="12">
        <f t="shared" si="5"/>
        <v>1.00101835</v>
      </c>
      <c r="AA341" s="16">
        <f t="shared" si="8"/>
        <v>105.5029882</v>
      </c>
      <c r="AB341" s="14"/>
      <c r="AC341" s="9">
        <f t="shared" si="6"/>
        <v>9.37</v>
      </c>
    </row>
    <row r="342">
      <c r="A342" s="8">
        <v>42222.0</v>
      </c>
      <c r="B342" s="14"/>
      <c r="C342" s="9">
        <f t="array" ref="C342">IFERROR(
  INDEX(
    IR!$B$2:$E2026,                
    MATCH($A342, IR!$A$2:$A2026, 0), 
    MATCH(C$1, IR!$B$1:$E$1, 0) ), "")
</f>
        <v>-0.0008</v>
      </c>
      <c r="D342" s="9">
        <f t="array" ref="D342">IFERROR(
  INDEX(
    IR!$B$2:$E2026,                
    MATCH($A342, IR!$A$2:$A2026, 0), 
    MATCH(D$1, IR!$B$1:$E$1, 0) ), "")
</f>
        <v>-0.00024</v>
      </c>
      <c r="E342" s="9">
        <f t="array" ref="E342">IFERROR(
  INDEX(
    IR!$B$2:$E2026,                
    MATCH($A342, IR!$A$2:$A2026, 0), 
    MATCH(E$1, IR!$B$1:$E$1, 0) ), "")
</f>
        <v>0.00047</v>
      </c>
      <c r="F342" s="9">
        <f t="array" ref="F342">IFERROR(
  INDEX(
    IR!$B$2:$E2026,                
    MATCH($A342, IR!$A$2:$A2026, 0), 
    MATCH(F$1, IR!$B$1:$E$1, 0) ), "")
</f>
        <v>0.00163</v>
      </c>
      <c r="G342" s="14"/>
      <c r="H342" s="9">
        <f t="array" ref="H342">IFERROR(
  INDEX(
    SR!$B$2:$D2026,            
    MATCH($A342, SR!$A$2:$A2026, 0),  
    MATCH(H$1, SR!$B$1:$D$1, 0) ), "")
</f>
        <v>0.00096</v>
      </c>
      <c r="I342" s="9">
        <f t="array" ref="I342">IFERROR(
  INDEX(
    SR!$B$2:$D2026,            
    MATCH($A342, SR!$A$2:$A2026, 0),  
    MATCH(I$1, SR!$B$1:$D$1, 0) ), "")
</f>
        <v>0.001768</v>
      </c>
      <c r="J342" s="9">
        <f t="array" ref="J342">IFERROR(
  INDEX(
    SR!$B$2:$D2026,            
    MATCH($A342, SR!$A$2:$A2026, 0),  
    MATCH(J$1, SR!$B$1:$D$1, 0) ), "")
</f>
        <v>0.00414</v>
      </c>
      <c r="K342" s="14"/>
      <c r="L342" s="9">
        <v>127.84</v>
      </c>
      <c r="M342" s="9">
        <v>24.64</v>
      </c>
      <c r="N342" s="9">
        <v>112.99</v>
      </c>
      <c r="O342" s="9">
        <v>123.9</v>
      </c>
      <c r="P342" s="9">
        <v>135.8</v>
      </c>
      <c r="Q342" s="9">
        <v>1422.6758</v>
      </c>
      <c r="R342" s="14"/>
      <c r="S342" s="12">
        <f t="shared" si="2"/>
        <v>0.0004776669247</v>
      </c>
      <c r="T342" s="12">
        <f t="shared" si="3"/>
        <v>1.000477667</v>
      </c>
      <c r="U342" s="16">
        <f t="shared" si="7"/>
        <v>103.7206589</v>
      </c>
      <c r="V342" s="17"/>
      <c r="W342" s="12">
        <f t="array" ref="W342">SQRT(252/20) *  SQRT( SUMSQ( LN(U321:U340 / U320:U339) )  - (1/20) * ( SUM( LN(U321:U340 / U320:U339) ) ^ 2 ) )</f>
        <v>0.02546934063</v>
      </c>
      <c r="X342" s="9">
        <f t="shared" si="4"/>
        <v>1.5</v>
      </c>
      <c r="Y342" s="14"/>
      <c r="Z342" s="12">
        <f t="shared" si="5"/>
        <v>1.000717598</v>
      </c>
      <c r="AA342" s="16">
        <f t="shared" si="8"/>
        <v>105.5786969</v>
      </c>
      <c r="AB342" s="14"/>
      <c r="AC342" s="9">
        <f t="shared" si="6"/>
        <v>10.1</v>
      </c>
    </row>
    <row r="343">
      <c r="A343" s="8">
        <v>42223.0</v>
      </c>
      <c r="B343" s="14"/>
      <c r="C343" s="9">
        <f t="array" ref="C343">IFERROR(
  INDEX(
    IR!$B$2:$E2026,                
    MATCH($A343, IR!$A$2:$A2026, 0), 
    MATCH(C$1, IR!$B$1:$E$1, 0) ), "")
</f>
        <v>-0.00081</v>
      </c>
      <c r="D343" s="9">
        <f t="array" ref="D343">IFERROR(
  INDEX(
    IR!$B$2:$E2026,                
    MATCH($A343, IR!$A$2:$A2026, 0), 
    MATCH(D$1, IR!$B$1:$E$1, 0) ), "")
</f>
        <v>-0.00024</v>
      </c>
      <c r="E343" s="9">
        <f t="array" ref="E343">IFERROR(
  INDEX(
    IR!$B$2:$E2026,                
    MATCH($A343, IR!$A$2:$A2026, 0), 
    MATCH(E$1, IR!$B$1:$E$1, 0) ), "")
</f>
        <v>0.00046</v>
      </c>
      <c r="F343" s="9">
        <f t="array" ref="F343">IFERROR(
  INDEX(
    IR!$B$2:$E2026,                
    MATCH($A343, IR!$A$2:$A2026, 0), 
    MATCH(F$1, IR!$B$1:$E$1, 0) ), "")
</f>
        <v>0.00163</v>
      </c>
      <c r="G343" s="14"/>
      <c r="H343" s="9">
        <f t="array" ref="H343">IFERROR(
  INDEX(
    SR!$B$2:$D2026,            
    MATCH($A343, SR!$A$2:$A2026, 0),  
    MATCH(H$1, SR!$B$1:$D$1, 0) ), "")
</f>
        <v>0.000885</v>
      </c>
      <c r="I343" s="9">
        <f t="array" ref="I343">IFERROR(
  INDEX(
    SR!$B$2:$D2026,            
    MATCH($A343, SR!$A$2:$A2026, 0),  
    MATCH(I$1, SR!$B$1:$D$1, 0) ), "")
</f>
        <v>0.001654</v>
      </c>
      <c r="J343" s="9">
        <f t="array" ref="J343">IFERROR(
  INDEX(
    SR!$B$2:$D2026,            
    MATCH($A343, SR!$A$2:$A2026, 0),  
    MATCH(J$1, SR!$B$1:$D$1, 0) ), "")
</f>
        <v>0.003912</v>
      </c>
      <c r="K343" s="14"/>
      <c r="L343" s="9">
        <v>127.66</v>
      </c>
      <c r="M343" s="9">
        <v>24.64</v>
      </c>
      <c r="N343" s="9">
        <v>112.94</v>
      </c>
      <c r="O343" s="9">
        <v>123.94</v>
      </c>
      <c r="P343" s="9">
        <v>135.13</v>
      </c>
      <c r="Q343" s="9">
        <v>1417.7954</v>
      </c>
      <c r="R343" s="14"/>
      <c r="S343" s="12">
        <f t="shared" si="2"/>
        <v>-0.001648325141</v>
      </c>
      <c r="T343" s="12">
        <f t="shared" si="3"/>
        <v>0.9983516749</v>
      </c>
      <c r="U343" s="16">
        <f t="shared" si="7"/>
        <v>103.5496935</v>
      </c>
      <c r="V343" s="17"/>
      <c r="W343" s="12">
        <f t="array" ref="W343">SQRT(252/20) *  SQRT( SUMSQ( LN(U322:U341 / U321:U340) )  - (1/20) * ( SUM( LN(U322:U341 / U321:U340) ) ^ 2 ) )</f>
        <v>0.02526748404</v>
      </c>
      <c r="X343" s="9">
        <f t="shared" si="4"/>
        <v>1.5</v>
      </c>
      <c r="Y343" s="14"/>
      <c r="Z343" s="12">
        <f t="shared" si="5"/>
        <v>0.9975286234</v>
      </c>
      <c r="AA343" s="16">
        <f t="shared" si="8"/>
        <v>105.3177721</v>
      </c>
      <c r="AB343" s="14"/>
      <c r="AC343" s="9">
        <f t="shared" si="6"/>
        <v>7.6</v>
      </c>
    </row>
    <row r="344">
      <c r="A344" s="8">
        <v>42226.0</v>
      </c>
      <c r="B344" s="14"/>
      <c r="C344" s="9">
        <f t="array" ref="C344">IFERROR(
  INDEX(
    IR!$B$2:$E2026,                
    MATCH($A344, IR!$A$2:$A2026, 0), 
    MATCH(C$1, IR!$B$1:$E$1, 0) ), "")
</f>
        <v>-0.00082</v>
      </c>
      <c r="D344" s="9">
        <f t="array" ref="D344">IFERROR(
  INDEX(
    IR!$B$2:$E2026,                
    MATCH($A344, IR!$A$2:$A2026, 0), 
    MATCH(D$1, IR!$B$1:$E$1, 0) ), "")
</f>
        <v>-0.00024</v>
      </c>
      <c r="E344" s="9">
        <f t="array" ref="E344">IFERROR(
  INDEX(
    IR!$B$2:$E2026,                
    MATCH($A344, IR!$A$2:$A2026, 0), 
    MATCH(E$1, IR!$B$1:$E$1, 0) ), "")
</f>
        <v>0.00048</v>
      </c>
      <c r="F344" s="9">
        <f t="array" ref="F344">IFERROR(
  INDEX(
    IR!$B$2:$E2026,                
    MATCH($A344, IR!$A$2:$A2026, 0), 
    MATCH(F$1, IR!$B$1:$E$1, 0) ), "")
</f>
        <v>0.00162</v>
      </c>
      <c r="G344" s="14"/>
      <c r="H344" s="9">
        <f t="array" ref="H344">IFERROR(
  INDEX(
    SR!$B$2:$D2026,            
    MATCH($A344, SR!$A$2:$A2026, 0),  
    MATCH(H$1, SR!$B$1:$D$1, 0) ), "")
</f>
        <v>0.00089</v>
      </c>
      <c r="I344" s="9">
        <f t="array" ref="I344">IFERROR(
  INDEX(
    SR!$B$2:$D2026,            
    MATCH($A344, SR!$A$2:$A2026, 0),  
    MATCH(I$1, SR!$B$1:$D$1, 0) ), "")
</f>
        <v>0.00171</v>
      </c>
      <c r="J344" s="9">
        <f t="array" ref="J344">IFERROR(
  INDEX(
    SR!$B$2:$D2026,            
    MATCH($A344, SR!$A$2:$A2026, 0),  
    MATCH(J$1, SR!$B$1:$D$1, 0) ), "")
</f>
        <v>0.004093</v>
      </c>
      <c r="K344" s="14"/>
      <c r="L344" s="9">
        <v>127.94</v>
      </c>
      <c r="M344" s="9">
        <v>24.64</v>
      </c>
      <c r="N344" s="9">
        <v>112.94</v>
      </c>
      <c r="O344" s="9">
        <v>124.02</v>
      </c>
      <c r="P344" s="9">
        <v>134.9</v>
      </c>
      <c r="Q344" s="9">
        <v>1418.324</v>
      </c>
      <c r="R344" s="14"/>
      <c r="S344" s="12">
        <f t="shared" si="2"/>
        <v>0.0002515311982</v>
      </c>
      <c r="T344" s="12">
        <f t="shared" si="3"/>
        <v>1.000251531</v>
      </c>
      <c r="U344" s="16">
        <f t="shared" si="7"/>
        <v>103.5757395</v>
      </c>
      <c r="V344" s="17"/>
      <c r="W344" s="12">
        <f t="array" ref="W344">SQRT(252/20) *  SQRT( SUMSQ( LN(U323:U342 / U322:U341) )  - (1/20) * ( SUM( LN(U323:U342 / U322:U341) ) ^ 2 ) )</f>
        <v>0.02529853402</v>
      </c>
      <c r="X344" s="9">
        <f t="shared" si="4"/>
        <v>1.5</v>
      </c>
      <c r="Y344" s="14"/>
      <c r="Z344" s="12">
        <f t="shared" si="5"/>
        <v>1.000380672</v>
      </c>
      <c r="AA344" s="16">
        <f t="shared" si="8"/>
        <v>105.3578636</v>
      </c>
      <c r="AB344" s="14"/>
      <c r="AC344" s="9">
        <f t="shared" si="6"/>
        <v>7.99</v>
      </c>
    </row>
    <row r="345">
      <c r="A345" s="8">
        <v>42227.0</v>
      </c>
      <c r="B345" s="14"/>
      <c r="C345" s="9">
        <f t="array" ref="C345">IFERROR(
  INDEX(
    IR!$B$2:$E2026,                
    MATCH($A345, IR!$A$2:$A2026, 0), 
    MATCH(C$1, IR!$B$1:$E$1, 0) ), "")
</f>
        <v>-0.00082</v>
      </c>
      <c r="D345" s="9">
        <f t="array" ref="D345">IFERROR(
  INDEX(
    IR!$B$2:$E2026,                
    MATCH($A345, IR!$A$2:$A2026, 0), 
    MATCH(D$1, IR!$B$1:$E$1, 0) ), "")
</f>
        <v>-0.00024</v>
      </c>
      <c r="E345" s="9">
        <f t="array" ref="E345">IFERROR(
  INDEX(
    IR!$B$2:$E2026,                
    MATCH($A345, IR!$A$2:$A2026, 0), 
    MATCH(E$1, IR!$B$1:$E$1, 0) ), "")
</f>
        <v>0.00046</v>
      </c>
      <c r="F345" s="9">
        <f t="array" ref="F345">IFERROR(
  INDEX(
    IR!$B$2:$E2026,                
    MATCH($A345, IR!$A$2:$A2026, 0), 
    MATCH(F$1, IR!$B$1:$E$1, 0) ), "")
</f>
        <v>0.00162</v>
      </c>
      <c r="G345" s="14"/>
      <c r="H345" s="9">
        <f t="array" ref="H345">IFERROR(
  INDEX(
    SR!$B$2:$D2026,            
    MATCH($A345, SR!$A$2:$A2026, 0),  
    MATCH(H$1, SR!$B$1:$D$1, 0) ), "")
</f>
        <v>0.00084</v>
      </c>
      <c r="I345" s="9">
        <f t="array" ref="I345">IFERROR(
  INDEX(
    SR!$B$2:$D2026,            
    MATCH($A345, SR!$A$2:$A2026, 0),  
    MATCH(I$1, SR!$B$1:$D$1, 0) ), "")
</f>
        <v>0.001576</v>
      </c>
      <c r="J345" s="9">
        <f t="array" ref="J345">IFERROR(
  INDEX(
    SR!$B$2:$D2026,            
    MATCH($A345, SR!$A$2:$A2026, 0),  
    MATCH(J$1, SR!$B$1:$D$1, 0) ), "")
</f>
        <v>0.00383</v>
      </c>
      <c r="K345" s="14"/>
      <c r="L345" s="9">
        <v>127.45</v>
      </c>
      <c r="M345" s="9">
        <v>24.62</v>
      </c>
      <c r="N345" s="9">
        <v>112.89</v>
      </c>
      <c r="O345" s="9">
        <v>123.99</v>
      </c>
      <c r="P345" s="9">
        <v>135.08</v>
      </c>
      <c r="Q345" s="9">
        <v>1423.2842</v>
      </c>
      <c r="R345" s="14"/>
      <c r="S345" s="12">
        <f t="shared" si="2"/>
        <v>-0.00008206229546</v>
      </c>
      <c r="T345" s="12">
        <f t="shared" si="3"/>
        <v>0.9999179377</v>
      </c>
      <c r="U345" s="16">
        <f t="shared" si="7"/>
        <v>103.5672399</v>
      </c>
      <c r="V345" s="17"/>
      <c r="W345" s="12">
        <f t="array" ref="W345">SQRT(252/20) *  SQRT( SUMSQ( LN(U324:U343 / U323:U342) )  - (1/20) * ( SUM( LN(U324:U343 / U323:U342) ) ^ 2 ) )</f>
        <v>0.02477325072</v>
      </c>
      <c r="X345" s="9">
        <f t="shared" si="4"/>
        <v>1.5</v>
      </c>
      <c r="Y345" s="14"/>
      <c r="Z345" s="12">
        <f t="shared" si="5"/>
        <v>0.9998780454</v>
      </c>
      <c r="AA345" s="16">
        <f t="shared" si="8"/>
        <v>105.3450148</v>
      </c>
      <c r="AB345" s="14"/>
      <c r="AC345" s="9">
        <f t="shared" si="6"/>
        <v>7.86</v>
      </c>
    </row>
    <row r="346">
      <c r="A346" s="8">
        <v>42228.0</v>
      </c>
      <c r="B346" s="14"/>
      <c r="C346" s="9">
        <f t="array" ref="C346">IFERROR(
  INDEX(
    IR!$B$2:$E2026,                
    MATCH($A346, IR!$A$2:$A2026, 0), 
    MATCH(C$1, IR!$B$1:$E$1, 0) ), "")
</f>
        <v>-0.00083</v>
      </c>
      <c r="D346" s="9">
        <f t="array" ref="D346">IFERROR(
  INDEX(
    IR!$B$2:$E2026,                
    MATCH($A346, IR!$A$2:$A2026, 0), 
    MATCH(D$1, IR!$B$1:$E$1, 0) ), "")
</f>
        <v>-0.00024</v>
      </c>
      <c r="E346" s="9">
        <f t="array" ref="E346">IFERROR(
  INDEX(
    IR!$B$2:$E2026,                
    MATCH($A346, IR!$A$2:$A2026, 0), 
    MATCH(E$1, IR!$B$1:$E$1, 0) ), "")
</f>
        <v>0.00046</v>
      </c>
      <c r="F346" s="9">
        <f t="array" ref="F346">IFERROR(
  INDEX(
    IR!$B$2:$E2026,                
    MATCH($A346, IR!$A$2:$A2026, 0), 
    MATCH(F$1, IR!$B$1:$E$1, 0) ), "")
</f>
        <v>0.00161</v>
      </c>
      <c r="G346" s="14"/>
      <c r="H346" s="9">
        <f t="array" ref="H346">IFERROR(
  INDEX(
    SR!$B$2:$D2026,            
    MATCH($A346, SR!$A$2:$A2026, 0),  
    MATCH(H$1, SR!$B$1:$D$1, 0) ), "")
</f>
        <v>0.0009</v>
      </c>
      <c r="I346" s="9">
        <f t="array" ref="I346">IFERROR(
  INDEX(
    SR!$B$2:$D2026,            
    MATCH($A346, SR!$A$2:$A2026, 0),  
    MATCH(I$1, SR!$B$1:$D$1, 0) ), "")
</f>
        <v>0.00153</v>
      </c>
      <c r="J346" s="9">
        <f t="array" ref="J346">IFERROR(
  INDEX(
    SR!$B$2:$D2026,            
    MATCH($A346, SR!$A$2:$A2026, 0),  
    MATCH(J$1, SR!$B$1:$D$1, 0) ), "")
</f>
        <v>0.00375</v>
      </c>
      <c r="K346" s="14"/>
      <c r="L346" s="9">
        <v>126.55</v>
      </c>
      <c r="M346" s="9">
        <v>24.61</v>
      </c>
      <c r="N346" s="9">
        <v>112.8</v>
      </c>
      <c r="O346" s="9">
        <v>124.0</v>
      </c>
      <c r="P346" s="9">
        <v>134.65</v>
      </c>
      <c r="Q346" s="9">
        <v>1415.2915</v>
      </c>
      <c r="R346" s="14"/>
      <c r="S346" s="12">
        <f t="shared" si="2"/>
        <v>-0.002829983336</v>
      </c>
      <c r="T346" s="12">
        <f t="shared" si="3"/>
        <v>0.9971700167</v>
      </c>
      <c r="U346" s="16">
        <f t="shared" si="7"/>
        <v>103.2741463</v>
      </c>
      <c r="V346" s="17"/>
      <c r="W346" s="12">
        <f t="array" ref="W346">SQRT(252/20) *  SQRT( SUMSQ( LN(U325:U344 / U324:U343) )  - (1/20) * ( SUM( LN(U325:U344 / U324:U343) ) ^ 2 ) )</f>
        <v>0.02326334321</v>
      </c>
      <c r="X346" s="9">
        <f t="shared" si="4"/>
        <v>1.5</v>
      </c>
      <c r="Y346" s="14"/>
      <c r="Z346" s="12">
        <f t="shared" si="5"/>
        <v>0.9957561639</v>
      </c>
      <c r="AA346" s="16">
        <f t="shared" si="8"/>
        <v>104.8979478</v>
      </c>
      <c r="AB346" s="14"/>
      <c r="AC346" s="9">
        <f t="shared" si="6"/>
        <v>3.59</v>
      </c>
    </row>
    <row r="347">
      <c r="A347" s="8">
        <v>42229.0</v>
      </c>
      <c r="B347" s="14"/>
      <c r="C347" s="9">
        <f t="array" ref="C347">IFERROR(
  INDEX(
    IR!$B$2:$E2026,                
    MATCH($A347, IR!$A$2:$A2026, 0), 
    MATCH(C$1, IR!$B$1:$E$1, 0) ), "")
</f>
        <v>-0.00084</v>
      </c>
      <c r="D347" s="9">
        <f t="array" ref="D347">IFERROR(
  INDEX(
    IR!$B$2:$E2026,                
    MATCH($A347, IR!$A$2:$A2026, 0), 
    MATCH(D$1, IR!$B$1:$E$1, 0) ), "")
</f>
        <v>-0.00024</v>
      </c>
      <c r="E347" s="9">
        <f t="array" ref="E347">IFERROR(
  INDEX(
    IR!$B$2:$E2026,                
    MATCH($A347, IR!$A$2:$A2026, 0), 
    MATCH(E$1, IR!$B$1:$E$1, 0) ), "")
</f>
        <v>0.00046</v>
      </c>
      <c r="F347" s="9">
        <f t="array" ref="F347">IFERROR(
  INDEX(
    IR!$B$2:$E2026,                
    MATCH($A347, IR!$A$2:$A2026, 0), 
    MATCH(F$1, IR!$B$1:$E$1, 0) ), "")
</f>
        <v>0.00161</v>
      </c>
      <c r="G347" s="14"/>
      <c r="H347" s="9">
        <f t="array" ref="H347">IFERROR(
  INDEX(
    SR!$B$2:$D2026,            
    MATCH($A347, SR!$A$2:$A2026, 0),  
    MATCH(H$1, SR!$B$1:$D$1, 0) ), "")
</f>
        <v>0.00083</v>
      </c>
      <c r="I347" s="9">
        <f t="array" ref="I347">IFERROR(
  INDEX(
    SR!$B$2:$D2026,            
    MATCH($A347, SR!$A$2:$A2026, 0),  
    MATCH(I$1, SR!$B$1:$D$1, 0) ), "")
</f>
        <v>0.001585</v>
      </c>
      <c r="J347" s="9">
        <f t="array" ref="J347">IFERROR(
  INDEX(
    SR!$B$2:$D2026,            
    MATCH($A347, SR!$A$2:$A2026, 0),  
    MATCH(J$1, SR!$B$1:$D$1, 0) ), "")
</f>
        <v>0.00384</v>
      </c>
      <c r="K347" s="14"/>
      <c r="L347" s="9">
        <v>126.72</v>
      </c>
      <c r="M347" s="9">
        <v>24.62</v>
      </c>
      <c r="N347" s="9">
        <v>112.87</v>
      </c>
      <c r="O347" s="9">
        <v>123.89</v>
      </c>
      <c r="P347" s="9">
        <v>133.96</v>
      </c>
      <c r="Q347" s="9">
        <v>1409.6956</v>
      </c>
      <c r="R347" s="14"/>
      <c r="S347" s="12">
        <f t="shared" si="2"/>
        <v>-0.00126574399</v>
      </c>
      <c r="T347" s="12">
        <f t="shared" si="3"/>
        <v>0.998734256</v>
      </c>
      <c r="U347" s="16">
        <f t="shared" si="7"/>
        <v>103.1434277</v>
      </c>
      <c r="V347" s="17"/>
      <c r="W347" s="12">
        <f t="array" ref="W347">SQRT(252/20) *  SQRT( SUMSQ( LN(U326:U345 / U325:U344) )  - (1/20) * ( SUM( LN(U326:U345 / U325:U344) ) ^ 2 ) )</f>
        <v>0.02239260146</v>
      </c>
      <c r="X347" s="9">
        <f t="shared" si="4"/>
        <v>1.5</v>
      </c>
      <c r="Y347" s="14"/>
      <c r="Z347" s="12">
        <f t="shared" si="5"/>
        <v>0.9981025368</v>
      </c>
      <c r="AA347" s="16">
        <f t="shared" si="8"/>
        <v>104.6989078</v>
      </c>
      <c r="AB347" s="14"/>
      <c r="AC347" s="9">
        <f t="shared" si="6"/>
        <v>1.68</v>
      </c>
    </row>
    <row r="348">
      <c r="A348" s="8">
        <v>42230.0</v>
      </c>
      <c r="B348" s="14"/>
      <c r="C348" s="9">
        <f t="array" ref="C348">IFERROR(
  INDEX(
    IR!$B$2:$E2026,                
    MATCH($A348, IR!$A$2:$A2026, 0), 
    MATCH(C$1, IR!$B$1:$E$1, 0) ), "")
</f>
        <v>-0.00085</v>
      </c>
      <c r="D348" s="9">
        <f t="array" ref="D348">IFERROR(
  INDEX(
    IR!$B$2:$E2026,                
    MATCH($A348, IR!$A$2:$A2026, 0), 
    MATCH(D$1, IR!$B$1:$E$1, 0) ), "")
</f>
        <v>-0.00025</v>
      </c>
      <c r="E348" s="9">
        <f t="array" ref="E348">IFERROR(
  INDEX(
    IR!$B$2:$E2026,                
    MATCH($A348, IR!$A$2:$A2026, 0), 
    MATCH(E$1, IR!$B$1:$E$1, 0) ), "")
</f>
        <v>0.00046</v>
      </c>
      <c r="F348" s="9">
        <f t="array" ref="F348">IFERROR(
  INDEX(
    IR!$B$2:$E2026,                
    MATCH($A348, IR!$A$2:$A2026, 0), 
    MATCH(F$1, IR!$B$1:$E$1, 0) ), "")
</f>
        <v>0.00161</v>
      </c>
      <c r="G348" s="14"/>
      <c r="H348" s="9">
        <f t="array" ref="H348">IFERROR(
  INDEX(
    SR!$B$2:$D2026,            
    MATCH($A348, SR!$A$2:$A2026, 0),  
    MATCH(H$1, SR!$B$1:$D$1, 0) ), "")
</f>
        <v>0.00086</v>
      </c>
      <c r="I348" s="9">
        <f t="array" ref="I348">IFERROR(
  INDEX(
    SR!$B$2:$D2026,            
    MATCH($A348, SR!$A$2:$A2026, 0),  
    MATCH(I$1, SR!$B$1:$D$1, 0) ), "")
</f>
        <v>0.001665</v>
      </c>
      <c r="J348" s="9">
        <f t="array" ref="J348">IFERROR(
  INDEX(
    SR!$B$2:$D2026,            
    MATCH($A348, SR!$A$2:$A2026, 0),  
    MATCH(J$1, SR!$B$1:$D$1, 0) ), "")
</f>
        <v>0.00402</v>
      </c>
      <c r="K348" s="14"/>
      <c r="L348" s="9">
        <v>126.72</v>
      </c>
      <c r="M348" s="9">
        <v>24.62</v>
      </c>
      <c r="N348" s="9">
        <v>112.9</v>
      </c>
      <c r="O348" s="9">
        <v>123.9</v>
      </c>
      <c r="P348" s="9">
        <v>133.71</v>
      </c>
      <c r="Q348" s="9">
        <v>1411.5336</v>
      </c>
      <c r="R348" s="14"/>
      <c r="S348" s="12">
        <f t="shared" si="2"/>
        <v>-0.00003583720401</v>
      </c>
      <c r="T348" s="12">
        <f t="shared" si="3"/>
        <v>0.9999641628</v>
      </c>
      <c r="U348" s="16">
        <f t="shared" si="7"/>
        <v>103.1397313</v>
      </c>
      <c r="V348" s="17"/>
      <c r="W348" s="12">
        <f t="array" ref="W348">SQRT(252/20) *  SQRT( SUMSQ( LN(U327:U346 / U326:U345) )  - (1/20) * ( SUM( LN(U327:U346 / U326:U345) ) ^ 2 ) )</f>
        <v>0.0236526728</v>
      </c>
      <c r="X348" s="9">
        <f t="shared" si="4"/>
        <v>1.5</v>
      </c>
      <c r="Y348" s="14"/>
      <c r="Z348" s="12">
        <f t="shared" si="5"/>
        <v>0.9999474109</v>
      </c>
      <c r="AA348" s="16">
        <f t="shared" si="8"/>
        <v>104.6934018</v>
      </c>
      <c r="AB348" s="14"/>
      <c r="AC348" s="9">
        <f t="shared" si="6"/>
        <v>1.63</v>
      </c>
    </row>
    <row r="349">
      <c r="A349" s="8">
        <v>42233.0</v>
      </c>
      <c r="B349" s="14"/>
      <c r="C349" s="9">
        <f t="array" ref="C349">IFERROR(
  INDEX(
    IR!$B$2:$E2026,                
    MATCH($A349, IR!$A$2:$A2026, 0), 
    MATCH(C$1, IR!$B$1:$E$1, 0) ), "")
</f>
        <v>-0.00088</v>
      </c>
      <c r="D349" s="9">
        <f t="array" ref="D349">IFERROR(
  INDEX(
    IR!$B$2:$E2026,                
    MATCH($A349, IR!$A$2:$A2026, 0), 
    MATCH(D$1, IR!$B$1:$E$1, 0) ), "")
</f>
        <v>-0.00027</v>
      </c>
      <c r="E349" s="9">
        <f t="array" ref="E349">IFERROR(
  INDEX(
    IR!$B$2:$E2026,                
    MATCH($A349, IR!$A$2:$A2026, 0), 
    MATCH(E$1, IR!$B$1:$E$1, 0) ), "")
</f>
        <v>0.00044</v>
      </c>
      <c r="F349" s="9">
        <f t="array" ref="F349">IFERROR(
  INDEX(
    IR!$B$2:$E2026,                
    MATCH($A349, IR!$A$2:$A2026, 0), 
    MATCH(F$1, IR!$B$1:$E$1, 0) ), "")
</f>
        <v>0.00161</v>
      </c>
      <c r="G349" s="14"/>
      <c r="H349" s="9">
        <f t="array" ref="H349">IFERROR(
  INDEX(
    SR!$B$2:$D2026,            
    MATCH($A349, SR!$A$2:$A2026, 0),  
    MATCH(H$1, SR!$B$1:$D$1, 0) ), "")
</f>
        <v>0.000862</v>
      </c>
      <c r="I349" s="9">
        <f t="array" ref="I349">IFERROR(
  INDEX(
    SR!$B$2:$D2026,            
    MATCH($A349, SR!$A$2:$A2026, 0),  
    MATCH(I$1, SR!$B$1:$D$1, 0) ), "")
</f>
        <v>0.00166</v>
      </c>
      <c r="J349" s="9">
        <f t="array" ref="J349">IFERROR(
  INDEX(
    SR!$B$2:$D2026,            
    MATCH($A349, SR!$A$2:$A2026, 0),  
    MATCH(J$1, SR!$B$1:$D$1, 0) ), "")
</f>
        <v>0.003901</v>
      </c>
      <c r="K349" s="14"/>
      <c r="L349" s="9">
        <v>126.77</v>
      </c>
      <c r="M349" s="9">
        <v>24.62</v>
      </c>
      <c r="N349" s="9">
        <v>112.94</v>
      </c>
      <c r="O349" s="9">
        <v>123.85</v>
      </c>
      <c r="P349" s="9">
        <v>133.78</v>
      </c>
      <c r="Q349" s="9">
        <v>1413.1023</v>
      </c>
      <c r="R349" s="14"/>
      <c r="S349" s="12">
        <f t="shared" si="2"/>
        <v>0.0003300092513</v>
      </c>
      <c r="T349" s="12">
        <f t="shared" si="3"/>
        <v>1.000330009</v>
      </c>
      <c r="U349" s="16">
        <f t="shared" si="7"/>
        <v>103.1737684</v>
      </c>
      <c r="V349" s="17"/>
      <c r="W349" s="12">
        <f t="array" ref="W349">SQRT(252/20) *  SQRT( SUMSQ( LN(U328:U347 / U327:U346) )  - (1/20) * ( SUM( LN(U328:U347 / U327:U346) ) ^ 2 ) )</f>
        <v>0.02324616336</v>
      </c>
      <c r="X349" s="9">
        <f t="shared" si="4"/>
        <v>1.5</v>
      </c>
      <c r="Y349" s="14"/>
      <c r="Z349" s="12">
        <f t="shared" si="5"/>
        <v>1.000498556</v>
      </c>
      <c r="AA349" s="16">
        <f t="shared" si="8"/>
        <v>104.7455973</v>
      </c>
      <c r="AB349" s="14"/>
      <c r="AC349" s="9">
        <f t="shared" si="6"/>
        <v>2.13</v>
      </c>
    </row>
    <row r="350">
      <c r="A350" s="8">
        <v>42234.0</v>
      </c>
      <c r="B350" s="14"/>
      <c r="C350" s="9">
        <f t="array" ref="C350">IFERROR(
  INDEX(
    IR!$B$2:$E2026,                
    MATCH($A350, IR!$A$2:$A2026, 0), 
    MATCH(C$1, IR!$B$1:$E$1, 0) ), "")
</f>
        <v>-0.00089</v>
      </c>
      <c r="D350" s="9">
        <f t="array" ref="D350">IFERROR(
  INDEX(
    IR!$B$2:$E2026,                
    MATCH($A350, IR!$A$2:$A2026, 0), 
    MATCH(D$1, IR!$B$1:$E$1, 0) ), "")
</f>
        <v>-0.00028</v>
      </c>
      <c r="E350" s="9">
        <f t="array" ref="E350">IFERROR(
  INDEX(
    IR!$B$2:$E2026,                
    MATCH($A350, IR!$A$2:$A2026, 0), 
    MATCH(E$1, IR!$B$1:$E$1, 0) ), "")
</f>
        <v>0.00043</v>
      </c>
      <c r="F350" s="9">
        <f t="array" ref="F350">IFERROR(
  INDEX(
    IR!$B$2:$E2026,                
    MATCH($A350, IR!$A$2:$A2026, 0), 
    MATCH(F$1, IR!$B$1:$E$1, 0) ), "")
</f>
        <v>0.00159</v>
      </c>
      <c r="G350" s="14"/>
      <c r="H350" s="9">
        <f t="array" ref="H350">IFERROR(
  INDEX(
    SR!$B$2:$D2026,            
    MATCH($A350, SR!$A$2:$A2026, 0),  
    MATCH(H$1, SR!$B$1:$D$1, 0) ), "")
</f>
        <v>0.000865</v>
      </c>
      <c r="I350" s="9">
        <f t="array" ref="I350">IFERROR(
  INDEX(
    SR!$B$2:$D2026,            
    MATCH($A350, SR!$A$2:$A2026, 0),  
    MATCH(I$1, SR!$B$1:$D$1, 0) ), "")
</f>
        <v>0.00167</v>
      </c>
      <c r="J350" s="9">
        <f t="array" ref="J350">IFERROR(
  INDEX(
    SR!$B$2:$D2026,            
    MATCH($A350, SR!$A$2:$A2026, 0),  
    MATCH(J$1, SR!$B$1:$D$1, 0) ), "")
</f>
        <v>0.003953</v>
      </c>
      <c r="K350" s="14"/>
      <c r="L350" s="9">
        <v>126.68</v>
      </c>
      <c r="M350" s="9">
        <v>24.63</v>
      </c>
      <c r="N350" s="9">
        <v>112.9</v>
      </c>
      <c r="O350" s="9">
        <v>123.92</v>
      </c>
      <c r="P350" s="9">
        <v>134.18</v>
      </c>
      <c r="Q350" s="9">
        <v>1413.9382</v>
      </c>
      <c r="R350" s="14"/>
      <c r="S350" s="12">
        <f t="shared" si="2"/>
        <v>0.0005812890864</v>
      </c>
      <c r="T350" s="12">
        <f t="shared" si="3"/>
        <v>1.000581289</v>
      </c>
      <c r="U350" s="16">
        <f t="shared" si="7"/>
        <v>103.2337421</v>
      </c>
      <c r="V350" s="17"/>
      <c r="W350" s="12">
        <f t="array" ref="W350">SQRT(252/20) *  SQRT( SUMSQ( LN(U329:U348 / U328:U347) )  - (1/20) * ( SUM( LN(U329:U348 / U328:U347) ) ^ 2 ) )</f>
        <v>0.02221825491</v>
      </c>
      <c r="X350" s="9">
        <f t="shared" si="4"/>
        <v>1.5</v>
      </c>
      <c r="Y350" s="14"/>
      <c r="Z350" s="12">
        <f t="shared" si="5"/>
        <v>1.000873156</v>
      </c>
      <c r="AA350" s="16">
        <f t="shared" si="8"/>
        <v>104.8370565</v>
      </c>
      <c r="AB350" s="14"/>
      <c r="AC350" s="9">
        <f t="shared" si="6"/>
        <v>3</v>
      </c>
    </row>
    <row r="351">
      <c r="A351" s="8">
        <v>42235.0</v>
      </c>
      <c r="B351" s="14"/>
      <c r="C351" s="9">
        <f t="array" ref="C351">IFERROR(
  INDEX(
    IR!$B$2:$E2026,                
    MATCH($A351, IR!$A$2:$A2026, 0), 
    MATCH(C$1, IR!$B$1:$E$1, 0) ), "")
</f>
        <v>-0.00089</v>
      </c>
      <c r="D351" s="9">
        <f t="array" ref="D351">IFERROR(
  INDEX(
    IR!$B$2:$E2026,                
    MATCH($A351, IR!$A$2:$A2026, 0), 
    MATCH(D$1, IR!$B$1:$E$1, 0) ), "")
</f>
        <v>-0.00029</v>
      </c>
      <c r="E351" s="9">
        <f t="array" ref="E351">IFERROR(
  INDEX(
    IR!$B$2:$E2026,                
    MATCH($A351, IR!$A$2:$A2026, 0), 
    MATCH(E$1, IR!$B$1:$E$1, 0) ), "")
</f>
        <v>0.00042</v>
      </c>
      <c r="F351" s="9">
        <f t="array" ref="F351">IFERROR(
  INDEX(
    IR!$B$2:$E2026,                
    MATCH($A351, IR!$A$2:$A2026, 0), 
    MATCH(F$1, IR!$B$1:$E$1, 0) ), "")
</f>
        <v>0.0016</v>
      </c>
      <c r="G351" s="14"/>
      <c r="H351" s="9">
        <f t="array" ref="H351">IFERROR(
  INDEX(
    SR!$B$2:$D2026,            
    MATCH($A351, SR!$A$2:$A2026, 0),  
    MATCH(H$1, SR!$B$1:$D$1, 0) ), "")
</f>
        <v>0.00085</v>
      </c>
      <c r="I351" s="9">
        <f t="array" ref="I351">IFERROR(
  INDEX(
    SR!$B$2:$D2026,            
    MATCH($A351, SR!$A$2:$A2026, 0),  
    MATCH(I$1, SR!$B$1:$D$1, 0) ), "")
</f>
        <v>0.00161</v>
      </c>
      <c r="J351" s="9">
        <f t="array" ref="J351">IFERROR(
  INDEX(
    SR!$B$2:$D2026,            
    MATCH($A351, SR!$A$2:$A2026, 0),  
    MATCH(J$1, SR!$B$1:$D$1, 0) ), "")
</f>
        <v>0.003647</v>
      </c>
      <c r="K351" s="14"/>
      <c r="L351" s="9">
        <v>126.11</v>
      </c>
      <c r="M351" s="9">
        <v>24.62</v>
      </c>
      <c r="N351" s="9">
        <v>112.84</v>
      </c>
      <c r="O351" s="9">
        <v>123.85</v>
      </c>
      <c r="P351" s="9">
        <v>134.16</v>
      </c>
      <c r="Q351" s="9">
        <v>1409.598</v>
      </c>
      <c r="R351" s="14"/>
      <c r="S351" s="12">
        <f t="shared" si="2"/>
        <v>-0.001536441536</v>
      </c>
      <c r="T351" s="12">
        <f t="shared" si="3"/>
        <v>0.9984635585</v>
      </c>
      <c r="U351" s="16">
        <f t="shared" si="7"/>
        <v>103.0751295</v>
      </c>
      <c r="V351" s="17"/>
      <c r="W351" s="12">
        <f t="array" ref="W351">SQRT(252/20) *  SQRT( SUMSQ( LN(U330:U349 / U329:U348) )  - (1/20) * ( SUM( LN(U330:U349 / U329:U348) ) ^ 2 ) )</f>
        <v>0.0221515873</v>
      </c>
      <c r="X351" s="9">
        <f t="shared" si="4"/>
        <v>1.5</v>
      </c>
      <c r="Y351" s="14"/>
      <c r="Z351" s="12">
        <f t="shared" si="5"/>
        <v>0.9976965738</v>
      </c>
      <c r="AA351" s="16">
        <f t="shared" si="8"/>
        <v>104.5955721</v>
      </c>
      <c r="AB351" s="14"/>
      <c r="AC351" s="9">
        <f t="shared" si="6"/>
        <v>0.69</v>
      </c>
    </row>
    <row r="352">
      <c r="A352" s="8">
        <v>42236.0</v>
      </c>
      <c r="B352" s="14"/>
      <c r="C352" s="9">
        <f t="array" ref="C352">IFERROR(
  INDEX(
    IR!$B$2:$E2026,                
    MATCH($A352, IR!$A$2:$A2026, 0), 
    MATCH(C$1, IR!$B$1:$E$1, 0) ), "")
</f>
        <v>-0.00091</v>
      </c>
      <c r="D352" s="9">
        <f t="array" ref="D352">IFERROR(
  INDEX(
    IR!$B$2:$E2026,                
    MATCH($A352, IR!$A$2:$A2026, 0), 
    MATCH(D$1, IR!$B$1:$E$1, 0) ), "")
</f>
        <v>-0.0003</v>
      </c>
      <c r="E352" s="9">
        <f t="array" ref="E352">IFERROR(
  INDEX(
    IR!$B$2:$E2026,                
    MATCH($A352, IR!$A$2:$A2026, 0), 
    MATCH(E$1, IR!$B$1:$E$1, 0) ), "")
</f>
        <v>0.00042</v>
      </c>
      <c r="F352" s="9">
        <f t="array" ref="F352">IFERROR(
  INDEX(
    IR!$B$2:$E2026,                
    MATCH($A352, IR!$A$2:$A2026, 0), 
    MATCH(F$1, IR!$B$1:$E$1, 0) ), "")
</f>
        <v>0.00159</v>
      </c>
      <c r="G352" s="14"/>
      <c r="H352" s="9">
        <f t="array" ref="H352">IFERROR(
  INDEX(
    SR!$B$2:$D2026,            
    MATCH($A352, SR!$A$2:$A2026, 0),  
    MATCH(H$1, SR!$B$1:$D$1, 0) ), "")
</f>
        <v>0.00079</v>
      </c>
      <c r="I352" s="9">
        <f t="array" ref="I352">IFERROR(
  INDEX(
    SR!$B$2:$D2026,            
    MATCH($A352, SR!$A$2:$A2026, 0),  
    MATCH(I$1, SR!$B$1:$D$1, 0) ), "")
</f>
        <v>0.001495</v>
      </c>
      <c r="J352" s="9">
        <f t="array" ref="J352">IFERROR(
  INDEX(
    SR!$B$2:$D2026,            
    MATCH($A352, SR!$A$2:$A2026, 0),  
    MATCH(J$1, SR!$B$1:$D$1, 0) ), "")
</f>
        <v>0.00354</v>
      </c>
      <c r="K352" s="14"/>
      <c r="L352" s="9">
        <v>125.49</v>
      </c>
      <c r="M352" s="9">
        <v>24.6</v>
      </c>
      <c r="N352" s="9">
        <v>112.79</v>
      </c>
      <c r="O352" s="9">
        <v>123.83</v>
      </c>
      <c r="P352" s="9">
        <v>134.03</v>
      </c>
      <c r="Q352" s="9">
        <v>1401.8948</v>
      </c>
      <c r="R352" s="14"/>
      <c r="S352" s="12">
        <f t="shared" si="2"/>
        <v>-0.00212754438</v>
      </c>
      <c r="T352" s="12">
        <f t="shared" si="3"/>
        <v>0.9978724556</v>
      </c>
      <c r="U352" s="16">
        <f t="shared" si="7"/>
        <v>102.8558326</v>
      </c>
      <c r="V352" s="17"/>
      <c r="W352" s="12">
        <f t="array" ref="W352">SQRT(252/20) *  SQRT( SUMSQ( LN(U331:U350 / U330:U349) )  - (1/20) * ( SUM( LN(U331:U350 / U330:U349) ) ^ 2 ) )</f>
        <v>0.02240676286</v>
      </c>
      <c r="X352" s="9">
        <f t="shared" si="4"/>
        <v>1.5</v>
      </c>
      <c r="Y352" s="14"/>
      <c r="Z352" s="12">
        <f t="shared" si="5"/>
        <v>0.9968099195</v>
      </c>
      <c r="AA352" s="16">
        <f t="shared" si="8"/>
        <v>104.2619038</v>
      </c>
      <c r="AB352" s="14"/>
      <c r="AC352" s="9">
        <f t="shared" si="6"/>
        <v>0</v>
      </c>
    </row>
    <row r="353">
      <c r="A353" s="8">
        <v>42237.0</v>
      </c>
      <c r="B353" s="14"/>
      <c r="C353" s="9">
        <f t="array" ref="C353">IFERROR(
  INDEX(
    IR!$B$2:$E2026,                
    MATCH($A353, IR!$A$2:$A2026, 0), 
    MATCH(C$1, IR!$B$1:$E$1, 0) ), "")
</f>
        <v>-0.00092</v>
      </c>
      <c r="D353" s="9">
        <f t="array" ref="D353">IFERROR(
  INDEX(
    IR!$B$2:$E2026,                
    MATCH($A353, IR!$A$2:$A2026, 0), 
    MATCH(D$1, IR!$B$1:$E$1, 0) ), "")
</f>
        <v>-0.00031</v>
      </c>
      <c r="E353" s="9">
        <f t="array" ref="E353">IFERROR(
  INDEX(
    IR!$B$2:$E2026,                
    MATCH($A353, IR!$A$2:$A2026, 0), 
    MATCH(E$1, IR!$B$1:$E$1, 0) ), "")
</f>
        <v>0.00042</v>
      </c>
      <c r="F353" s="9">
        <f t="array" ref="F353">IFERROR(
  INDEX(
    IR!$B$2:$E2026,                
    MATCH($A353, IR!$A$2:$A2026, 0), 
    MATCH(F$1, IR!$B$1:$E$1, 0) ), "")
</f>
        <v>0.0016</v>
      </c>
      <c r="G353" s="14"/>
      <c r="H353" s="9">
        <f t="array" ref="H353">IFERROR(
  INDEX(
    SR!$B$2:$D2026,            
    MATCH($A353, SR!$A$2:$A2026, 0),  
    MATCH(H$1, SR!$B$1:$D$1, 0) ), "")
</f>
        <v>0.0008</v>
      </c>
      <c r="I353" s="9">
        <f t="array" ref="I353">IFERROR(
  INDEX(
    SR!$B$2:$D2026,            
    MATCH($A353, SR!$A$2:$A2026, 0),  
    MATCH(I$1, SR!$B$1:$D$1, 0) ), "")
</f>
        <v>0.00152</v>
      </c>
      <c r="J353" s="9">
        <f t="array" ref="J353">IFERROR(
  INDEX(
    SR!$B$2:$D2026,            
    MATCH($A353, SR!$A$2:$A2026, 0),  
    MATCH(J$1, SR!$B$1:$D$1, 0) ), "")
</f>
        <v>0.003568</v>
      </c>
      <c r="K353" s="14"/>
      <c r="L353" s="9">
        <v>124.69</v>
      </c>
      <c r="M353" s="9">
        <v>24.59</v>
      </c>
      <c r="N353" s="9">
        <v>112.74</v>
      </c>
      <c r="O353" s="9">
        <v>123.88</v>
      </c>
      <c r="P353" s="9">
        <v>133.05</v>
      </c>
      <c r="Q353" s="9">
        <v>1386.8016</v>
      </c>
      <c r="R353" s="14"/>
      <c r="S353" s="12">
        <f t="shared" si="2"/>
        <v>-0.004149269683</v>
      </c>
      <c r="T353" s="12">
        <f t="shared" si="3"/>
        <v>0.9958507303</v>
      </c>
      <c r="U353" s="16">
        <f t="shared" si="7"/>
        <v>102.429056</v>
      </c>
      <c r="V353" s="17"/>
      <c r="W353" s="12">
        <f t="array" ref="W353">SQRT(252/20) *  SQRT( SUMSQ( LN(U332:U351 / U331:U350) )  - (1/20) * ( SUM( LN(U332:U351 / U331:U350) ) ^ 2 ) )</f>
        <v>0.02191055505</v>
      </c>
      <c r="X353" s="9">
        <f t="shared" si="4"/>
        <v>1.5</v>
      </c>
      <c r="Y353" s="14"/>
      <c r="Z353" s="12">
        <f t="shared" si="5"/>
        <v>0.9937773594</v>
      </c>
      <c r="AA353" s="16">
        <f t="shared" si="8"/>
        <v>103.6131194</v>
      </c>
      <c r="AB353" s="14"/>
      <c r="AC353" s="9">
        <f t="shared" si="6"/>
        <v>0</v>
      </c>
    </row>
    <row r="354">
      <c r="A354" s="8">
        <v>42240.0</v>
      </c>
      <c r="B354" s="14"/>
      <c r="C354" s="9">
        <f t="array" ref="C354">IFERROR(
  INDEX(
    IR!$B$2:$E2026,                
    MATCH($A354, IR!$A$2:$A2026, 0), 
    MATCH(C$1, IR!$B$1:$E$1, 0) ), "")
</f>
        <v>-0.00094</v>
      </c>
      <c r="D354" s="9">
        <f t="array" ref="D354">IFERROR(
  INDEX(
    IR!$B$2:$E2026,                
    MATCH($A354, IR!$A$2:$A2026, 0), 
    MATCH(D$1, IR!$B$1:$E$1, 0) ), "")
</f>
        <v>-0.00032</v>
      </c>
      <c r="E354" s="9">
        <f t="array" ref="E354">IFERROR(
  INDEX(
    IR!$B$2:$E2026,                
    MATCH($A354, IR!$A$2:$A2026, 0), 
    MATCH(E$1, IR!$B$1:$E$1, 0) ), "")
</f>
        <v>0.00041</v>
      </c>
      <c r="F354" s="9">
        <f t="array" ref="F354">IFERROR(
  INDEX(
    IR!$B$2:$E2026,                
    MATCH($A354, IR!$A$2:$A2026, 0), 
    MATCH(F$1, IR!$B$1:$E$1, 0) ), "")
</f>
        <v>0.0016</v>
      </c>
      <c r="G354" s="14"/>
      <c r="H354" s="9">
        <f t="array" ref="H354">IFERROR(
  INDEX(
    SR!$B$2:$D2026,            
    MATCH($A354, SR!$A$2:$A2026, 0),  
    MATCH(H$1, SR!$B$1:$D$1, 0) ), "")
</f>
        <v>0.00096</v>
      </c>
      <c r="I354" s="9">
        <f t="array" ref="I354">IFERROR(
  INDEX(
    SR!$B$2:$D2026,            
    MATCH($A354, SR!$A$2:$A2026, 0),  
    MATCH(I$1, SR!$B$1:$D$1, 0) ), "")
</f>
        <v>0.001609</v>
      </c>
      <c r="J354" s="9">
        <f t="array" ref="J354">IFERROR(
  INDEX(
    SR!$B$2:$D2026,            
    MATCH($A354, SR!$A$2:$A2026, 0),  
    MATCH(J$1, SR!$B$1:$D$1, 0) ), "")
</f>
        <v>0.003742</v>
      </c>
      <c r="K354" s="14"/>
      <c r="L354" s="9">
        <v>122.96</v>
      </c>
      <c r="M354" s="9">
        <v>24.54</v>
      </c>
      <c r="N354" s="9">
        <v>112.64</v>
      </c>
      <c r="O354" s="9">
        <v>123.81</v>
      </c>
      <c r="P354" s="9">
        <v>132.28</v>
      </c>
      <c r="Q354" s="9">
        <v>1370.0254</v>
      </c>
      <c r="R354" s="14"/>
      <c r="S354" s="12">
        <f t="shared" si="2"/>
        <v>-0.005872886268</v>
      </c>
      <c r="T354" s="12">
        <f t="shared" si="3"/>
        <v>0.9941271137</v>
      </c>
      <c r="U354" s="16">
        <f t="shared" si="7"/>
        <v>101.8275018</v>
      </c>
      <c r="V354" s="17"/>
      <c r="W354" s="12">
        <f t="array" ref="W354">SQRT(252/20) *  SQRT( SUMSQ( LN(U333:U352 / U332:U351) )  - (1/20) * ( SUM( LN(U333:U352 / U332:U351) ) ^ 2 ) )</f>
        <v>0.02244452899</v>
      </c>
      <c r="X354" s="9">
        <f t="shared" si="4"/>
        <v>1.5</v>
      </c>
      <c r="Y354" s="14"/>
      <c r="Z354" s="12">
        <f t="shared" si="5"/>
        <v>0.9911945039</v>
      </c>
      <c r="AA354" s="16">
        <f t="shared" si="8"/>
        <v>102.7007545</v>
      </c>
      <c r="AB354" s="14"/>
      <c r="AC354" s="9">
        <f t="shared" si="6"/>
        <v>0</v>
      </c>
    </row>
    <row r="355">
      <c r="A355" s="8">
        <v>42241.0</v>
      </c>
      <c r="B355" s="14"/>
      <c r="C355" s="9">
        <f t="array" ref="C355">IFERROR(
  INDEX(
    IR!$B$2:$E2026,                
    MATCH($A355, IR!$A$2:$A2026, 0), 
    MATCH(C$1, IR!$B$1:$E$1, 0) ), "")
</f>
        <v>-0.00096</v>
      </c>
      <c r="D355" s="9">
        <f t="array" ref="D355">IFERROR(
  INDEX(
    IR!$B$2:$E2026,                
    MATCH($A355, IR!$A$2:$A2026, 0), 
    MATCH(D$1, IR!$B$1:$E$1, 0) ), "")
</f>
        <v>-0.00033</v>
      </c>
      <c r="E355" s="9">
        <f t="array" ref="E355">IFERROR(
  INDEX(
    IR!$B$2:$E2026,                
    MATCH($A355, IR!$A$2:$A2026, 0), 
    MATCH(E$1, IR!$B$1:$E$1, 0) ), "")
</f>
        <v>0.00041</v>
      </c>
      <c r="F355" s="9">
        <f t="array" ref="F355">IFERROR(
  INDEX(
    IR!$B$2:$E2026,                
    MATCH($A355, IR!$A$2:$A2026, 0), 
    MATCH(F$1, IR!$B$1:$E$1, 0) ), "")
</f>
        <v>0.00161</v>
      </c>
      <c r="G355" s="14"/>
      <c r="H355" s="9">
        <f t="array" ref="H355">IFERROR(
  INDEX(
    SR!$B$2:$D2026,            
    MATCH($A355, SR!$A$2:$A2026, 0),  
    MATCH(H$1, SR!$B$1:$D$1, 0) ), "")
</f>
        <v>0.00096</v>
      </c>
      <c r="I355" s="9">
        <f t="array" ref="I355">IFERROR(
  INDEX(
    SR!$B$2:$D2026,            
    MATCH($A355, SR!$A$2:$A2026, 0),  
    MATCH(I$1, SR!$B$1:$D$1, 0) ), "")
</f>
        <v>0.001852</v>
      </c>
      <c r="J355" s="9">
        <f t="array" ref="J355">IFERROR(
  INDEX(
    SR!$B$2:$D2026,            
    MATCH($A355, SR!$A$2:$A2026, 0),  
    MATCH(J$1, SR!$B$1:$D$1, 0) ), "")
</f>
        <v>0.004339</v>
      </c>
      <c r="K355" s="14"/>
      <c r="L355" s="9">
        <v>124.11</v>
      </c>
      <c r="M355" s="9">
        <v>24.55</v>
      </c>
      <c r="N355" s="9">
        <v>112.71</v>
      </c>
      <c r="O355" s="9">
        <v>123.76</v>
      </c>
      <c r="P355" s="9">
        <v>131.05</v>
      </c>
      <c r="Q355" s="9">
        <v>1350.9399</v>
      </c>
      <c r="R355" s="14"/>
      <c r="S355" s="12">
        <f t="shared" si="2"/>
        <v>-0.002209090345</v>
      </c>
      <c r="T355" s="12">
        <f t="shared" si="3"/>
        <v>0.9977909097</v>
      </c>
      <c r="U355" s="16">
        <f t="shared" si="7"/>
        <v>101.6025557</v>
      </c>
      <c r="V355" s="17"/>
      <c r="W355" s="12">
        <f t="array" ref="W355">SQRT(252/20) *  SQRT( SUMSQ( LN(U334:U353 / U333:U352) )  - (1/20) * ( SUM( LN(U334:U353 / U333:U352) ) ^ 2 ) )</f>
        <v>0.02555540103</v>
      </c>
      <c r="X355" s="9">
        <f t="shared" si="4"/>
        <v>1.5</v>
      </c>
      <c r="Y355" s="14"/>
      <c r="Z355" s="12">
        <f t="shared" si="5"/>
        <v>0.99668767</v>
      </c>
      <c r="AA355" s="16">
        <f t="shared" si="8"/>
        <v>102.3605757</v>
      </c>
      <c r="AB355" s="14"/>
      <c r="AC355" s="9">
        <f t="shared" si="6"/>
        <v>0</v>
      </c>
    </row>
    <row r="356">
      <c r="A356" s="8">
        <v>42242.0</v>
      </c>
      <c r="B356" s="14"/>
      <c r="C356" s="9">
        <f t="array" ref="C356">IFERROR(
  INDEX(
    IR!$B$2:$E2026,                
    MATCH($A356, IR!$A$2:$A2026, 0), 
    MATCH(C$1, IR!$B$1:$E$1, 0) ), "")
</f>
        <v>-0.00098</v>
      </c>
      <c r="D356" s="9">
        <f t="array" ref="D356">IFERROR(
  INDEX(
    IR!$B$2:$E2026,                
    MATCH($A356, IR!$A$2:$A2026, 0), 
    MATCH(D$1, IR!$B$1:$E$1, 0) ), "")
</f>
        <v>-0.00033</v>
      </c>
      <c r="E356" s="9">
        <f t="array" ref="E356">IFERROR(
  INDEX(
    IR!$B$2:$E2026,                
    MATCH($A356, IR!$A$2:$A2026, 0), 
    MATCH(E$1, IR!$B$1:$E$1, 0) ), "")
</f>
        <v>0.00039</v>
      </c>
      <c r="F356" s="9">
        <f t="array" ref="F356">IFERROR(
  INDEX(
    IR!$B$2:$E2026,                
    MATCH($A356, IR!$A$2:$A2026, 0), 
    MATCH(F$1, IR!$B$1:$E$1, 0) ), "")
</f>
        <v>0.0016</v>
      </c>
      <c r="G356" s="14"/>
      <c r="H356" s="9">
        <f t="array" ref="H356">IFERROR(
  INDEX(
    SR!$B$2:$D2026,            
    MATCH($A356, SR!$A$2:$A2026, 0),  
    MATCH(H$1, SR!$B$1:$D$1, 0) ), "")
</f>
        <v>0.00097</v>
      </c>
      <c r="I356" s="9">
        <f t="array" ref="I356">IFERROR(
  INDEX(
    SR!$B$2:$D2026,            
    MATCH($A356, SR!$A$2:$A2026, 0),  
    MATCH(I$1, SR!$B$1:$D$1, 0) ), "")
</f>
        <v>0.001743</v>
      </c>
      <c r="J356" s="9">
        <f t="array" ref="J356">IFERROR(
  INDEX(
    SR!$B$2:$D2026,            
    MATCH($A356, SR!$A$2:$A2026, 0),  
    MATCH(J$1, SR!$B$1:$D$1, 0) ), "")
</f>
        <v>0.004319</v>
      </c>
      <c r="K356" s="14"/>
      <c r="L356" s="9">
        <v>123.82</v>
      </c>
      <c r="M356" s="9">
        <v>24.54</v>
      </c>
      <c r="N356" s="9">
        <v>112.81</v>
      </c>
      <c r="O356" s="9">
        <v>123.46</v>
      </c>
      <c r="P356" s="9">
        <v>131.44</v>
      </c>
      <c r="Q356" s="9">
        <v>1361.2028</v>
      </c>
      <c r="R356" s="14"/>
      <c r="S356" s="12">
        <f t="shared" si="2"/>
        <v>0.001049013511</v>
      </c>
      <c r="T356" s="12">
        <f t="shared" si="3"/>
        <v>1.001049014</v>
      </c>
      <c r="U356" s="16">
        <f t="shared" si="7"/>
        <v>101.7091381</v>
      </c>
      <c r="V356" s="17"/>
      <c r="W356" s="12">
        <f t="array" ref="W356">SQRT(252/20) *  SQRT( SUMSQ( LN(U335:U354 / U334:U353) )  - (1/20) * ( SUM( LN(U335:U354 / U334:U353) ) ^ 2 ) )</f>
        <v>0.02999654364</v>
      </c>
      <c r="X356" s="9">
        <f t="shared" si="4"/>
        <v>1.5</v>
      </c>
      <c r="Y356" s="14"/>
      <c r="Z356" s="12">
        <f t="shared" si="5"/>
        <v>1.001574854</v>
      </c>
      <c r="AA356" s="16">
        <f t="shared" si="8"/>
        <v>102.5217786</v>
      </c>
      <c r="AB356" s="14"/>
      <c r="AC356" s="9">
        <f t="shared" si="6"/>
        <v>0</v>
      </c>
    </row>
    <row r="357">
      <c r="A357" s="8">
        <v>42243.0</v>
      </c>
      <c r="B357" s="14"/>
      <c r="C357" s="9">
        <f t="array" ref="C357">IFERROR(
  INDEX(
    IR!$B$2:$E2026,                
    MATCH($A357, IR!$A$2:$A2026, 0), 
    MATCH(C$1, IR!$B$1:$E$1, 0) ), "")
</f>
        <v>-0.00099</v>
      </c>
      <c r="D357" s="9">
        <f t="array" ref="D357">IFERROR(
  INDEX(
    IR!$B$2:$E2026,                
    MATCH($A357, IR!$A$2:$A2026, 0), 
    MATCH(D$1, IR!$B$1:$E$1, 0) ), "")
</f>
        <v>-0.00033</v>
      </c>
      <c r="E357" s="9">
        <f t="array" ref="E357">IFERROR(
  INDEX(
    IR!$B$2:$E2026,                
    MATCH($A357, IR!$A$2:$A2026, 0), 
    MATCH(E$1, IR!$B$1:$E$1, 0) ), "")
</f>
        <v>0.00039</v>
      </c>
      <c r="F357" s="9">
        <f t="array" ref="F357">IFERROR(
  INDEX(
    IR!$B$2:$E2026,                
    MATCH($A357, IR!$A$2:$A2026, 0), 
    MATCH(F$1, IR!$B$1:$E$1, 0) ), "")
</f>
        <v>0.0016</v>
      </c>
      <c r="G357" s="14"/>
      <c r="H357" s="9">
        <f t="array" ref="H357">IFERROR(
  INDEX(
    SR!$B$2:$D2026,            
    MATCH($A357, SR!$A$2:$A2026, 0),  
    MATCH(H$1, SR!$B$1:$D$1, 0) ), "")
</f>
        <v>0.00091</v>
      </c>
      <c r="I357" s="9">
        <f t="array" ref="I357">IFERROR(
  INDEX(
    SR!$B$2:$D2026,            
    MATCH($A357, SR!$A$2:$A2026, 0),  
    MATCH(I$1, SR!$B$1:$D$1, 0) ), "")
</f>
        <v>0.00175</v>
      </c>
      <c r="J357" s="9">
        <f t="array" ref="J357">IFERROR(
  INDEX(
    SR!$B$2:$D2026,            
    MATCH($A357, SR!$A$2:$A2026, 0),  
    MATCH(J$1, SR!$B$1:$D$1, 0) ), "")
</f>
        <v>0.004226</v>
      </c>
      <c r="K357" s="14"/>
      <c r="L357" s="9">
        <v>124.64</v>
      </c>
      <c r="M357" s="9">
        <v>24.57</v>
      </c>
      <c r="N357" s="9">
        <v>112.93</v>
      </c>
      <c r="O357" s="9">
        <v>123.5</v>
      </c>
      <c r="P357" s="9">
        <v>131.98</v>
      </c>
      <c r="Q357" s="9">
        <v>1367.9498</v>
      </c>
      <c r="R357" s="14"/>
      <c r="S357" s="12">
        <f t="shared" si="2"/>
        <v>0.003048896084</v>
      </c>
      <c r="T357" s="12">
        <f t="shared" si="3"/>
        <v>1.003048896</v>
      </c>
      <c r="U357" s="16">
        <f t="shared" si="7"/>
        <v>102.0192387</v>
      </c>
      <c r="V357" s="17"/>
      <c r="W357" s="12">
        <f t="array" ref="W357">SQRT(252/20) *  SQRT( SUMSQ( LN(U336:U355 / U335:U354) )  - (1/20) * ( SUM( LN(U336:U355 / U335:U354) ) ^ 2 ) )</f>
        <v>0.0292005434</v>
      </c>
      <c r="X357" s="9">
        <f t="shared" si="4"/>
        <v>1.5</v>
      </c>
      <c r="Y357" s="14"/>
      <c r="Z357" s="12">
        <f t="shared" si="5"/>
        <v>1.004574705</v>
      </c>
      <c r="AA357" s="16">
        <f t="shared" si="8"/>
        <v>102.9907856</v>
      </c>
      <c r="AB357" s="14"/>
      <c r="AC357" s="9">
        <f t="shared" si="6"/>
        <v>0</v>
      </c>
    </row>
    <row r="358">
      <c r="A358" s="8">
        <v>42244.0</v>
      </c>
      <c r="B358" s="14"/>
      <c r="C358" s="9">
        <f t="array" ref="C358">IFERROR(
  INDEX(
    IR!$B$2:$E2026,                
    MATCH($A358, IR!$A$2:$A2026, 0), 
    MATCH(C$1, IR!$B$1:$E$1, 0) ), "")
</f>
        <v>-0.00098</v>
      </c>
      <c r="D358" s="9">
        <f t="array" ref="D358">IFERROR(
  INDEX(
    IR!$B$2:$E2026,                
    MATCH($A358, IR!$A$2:$A2026, 0), 
    MATCH(D$1, IR!$B$1:$E$1, 0) ), "")
</f>
        <v>-0.00033</v>
      </c>
      <c r="E358" s="9">
        <f t="array" ref="E358">IFERROR(
  INDEX(
    IR!$B$2:$E2026,                
    MATCH($A358, IR!$A$2:$A2026, 0), 
    MATCH(E$1, IR!$B$1:$E$1, 0) ), "")
</f>
        <v>0.0004</v>
      </c>
      <c r="F358" s="9">
        <f t="array" ref="F358">IFERROR(
  INDEX(
    IR!$B$2:$E2026,                
    MATCH($A358, IR!$A$2:$A2026, 0), 
    MATCH(F$1, IR!$B$1:$E$1, 0) ), "")
</f>
        <v>0.00161</v>
      </c>
      <c r="G358" s="14"/>
      <c r="H358" s="9">
        <f t="array" ref="H358">IFERROR(
  INDEX(
    SR!$B$2:$D2026,            
    MATCH($A358, SR!$A$2:$A2026, 0),  
    MATCH(H$1, SR!$B$1:$D$1, 0) ), "")
</f>
        <v>0.00094</v>
      </c>
      <c r="I358" s="9">
        <f t="array" ref="I358">IFERROR(
  INDEX(
    SR!$B$2:$D2026,            
    MATCH($A358, SR!$A$2:$A2026, 0),  
    MATCH(I$1, SR!$B$1:$D$1, 0) ), "")
</f>
        <v>0.00178</v>
      </c>
      <c r="J358" s="9">
        <f t="array" ref="J358">IFERROR(
  INDEX(
    SR!$B$2:$D2026,            
    MATCH($A358, SR!$A$2:$A2026, 0),  
    MATCH(J$1, SR!$B$1:$D$1, 0) ), "")
</f>
        <v>0.004284</v>
      </c>
      <c r="K358" s="14"/>
      <c r="L358" s="9">
        <v>124.69</v>
      </c>
      <c r="M358" s="9">
        <v>24.57</v>
      </c>
      <c r="N358" s="9">
        <v>112.97</v>
      </c>
      <c r="O358" s="9">
        <v>123.44</v>
      </c>
      <c r="P358" s="9">
        <v>133.04</v>
      </c>
      <c r="Q358" s="9">
        <v>1384.1194</v>
      </c>
      <c r="R358" s="14"/>
      <c r="S358" s="12">
        <f t="shared" si="2"/>
        <v>0.003353401243</v>
      </c>
      <c r="T358" s="12">
        <f t="shared" si="3"/>
        <v>1.003353401</v>
      </c>
      <c r="U358" s="16">
        <f t="shared" si="7"/>
        <v>102.3613502</v>
      </c>
      <c r="V358" s="17"/>
      <c r="W358" s="12">
        <f t="array" ref="W358">SQRT(252/20) *  SQRT( SUMSQ( LN(U337:U356 / U336:U355) )  - (1/20) * ( SUM( LN(U337:U356 / U336:U355) ) ^ 2 ) )</f>
        <v>0.02827976304</v>
      </c>
      <c r="X358" s="9">
        <f t="shared" si="4"/>
        <v>1.5</v>
      </c>
      <c r="Y358" s="14"/>
      <c r="Z358" s="12">
        <f t="shared" si="5"/>
        <v>1.005031477</v>
      </c>
      <c r="AA358" s="16">
        <f t="shared" si="8"/>
        <v>103.5089813</v>
      </c>
      <c r="AB358" s="14"/>
      <c r="AC358" s="9">
        <f t="shared" si="6"/>
        <v>0</v>
      </c>
    </row>
    <row r="359">
      <c r="A359" s="8">
        <v>42247.0</v>
      </c>
      <c r="B359" s="14"/>
      <c r="C359" s="9">
        <f t="array" ref="C359">IFERROR(
  INDEX(
    IR!$B$2:$E2026,                
    MATCH($A359, IR!$A$2:$A2026, 0), 
    MATCH(C$1, IR!$B$1:$E$1, 0) ), "")
</f>
        <v>-0.00098</v>
      </c>
      <c r="D359" s="9">
        <f t="array" ref="D359">IFERROR(
  INDEX(
    IR!$B$2:$E2026,                
    MATCH($A359, IR!$A$2:$A2026, 0), 
    MATCH(D$1, IR!$B$1:$E$1, 0) ), "")
</f>
        <v>-0.00033</v>
      </c>
      <c r="E359" s="9">
        <f t="array" ref="E359">IFERROR(
  INDEX(
    IR!$B$2:$E2026,                
    MATCH($A359, IR!$A$2:$A2026, 0), 
    MATCH(E$1, IR!$B$1:$E$1, 0) ), "")
</f>
        <v>0.00039</v>
      </c>
      <c r="F359" s="9">
        <f t="array" ref="F359">IFERROR(
  INDEX(
    IR!$B$2:$E2026,                
    MATCH($A359, IR!$A$2:$A2026, 0), 
    MATCH(F$1, IR!$B$1:$E$1, 0) ), "")
</f>
        <v>0.0016</v>
      </c>
      <c r="G359" s="14"/>
      <c r="H359" s="9">
        <f t="array" ref="H359">IFERROR(
  INDEX(
    SR!$B$2:$D2026,            
    MATCH($A359, SR!$A$2:$A2026, 0),  
    MATCH(H$1, SR!$B$1:$D$1, 0) ), "")
</f>
        <v>0.00137</v>
      </c>
      <c r="I359" s="9">
        <f t="array" ref="I359">IFERROR(
  INDEX(
    SR!$B$2:$D2026,            
    MATCH($A359, SR!$A$2:$A2026, 0),  
    MATCH(I$1, SR!$B$1:$D$1, 0) ), "")
</f>
        <v>0.001835</v>
      </c>
      <c r="J359" s="9">
        <f t="array" ref="J359">IFERROR(
  INDEX(
    SR!$B$2:$D2026,            
    MATCH($A359, SR!$A$2:$A2026, 0),  
    MATCH(J$1, SR!$B$1:$D$1, 0) ), "")
</f>
        <v>0.004678</v>
      </c>
      <c r="K359" s="14"/>
      <c r="L359" s="9">
        <v>124.56</v>
      </c>
      <c r="M359" s="9">
        <v>24.57</v>
      </c>
      <c r="N359" s="9">
        <v>112.97</v>
      </c>
      <c r="O359" s="9">
        <v>123.52</v>
      </c>
      <c r="P359" s="9">
        <v>133.15</v>
      </c>
      <c r="Q359" s="9">
        <v>1385.0156</v>
      </c>
      <c r="R359" s="14"/>
      <c r="S359" s="12">
        <f t="shared" si="2"/>
        <v>0.0001799609319</v>
      </c>
      <c r="T359" s="12">
        <f t="shared" si="3"/>
        <v>1.000179961</v>
      </c>
      <c r="U359" s="16">
        <f t="shared" si="7"/>
        <v>102.3797712</v>
      </c>
      <c r="V359" s="17"/>
      <c r="W359" s="12">
        <f t="array" ref="W359">SQRT(252/20) *  SQRT( SUMSQ( LN(U338:U357 / U337:U356) )  - (1/20) * ( SUM( LN(U338:U357 / U337:U356) ) ^ 2 ) )</f>
        <v>0.03091592299</v>
      </c>
      <c r="X359" s="9">
        <f t="shared" si="4"/>
        <v>1.5</v>
      </c>
      <c r="Y359" s="14"/>
      <c r="Z359" s="12">
        <f t="shared" si="5"/>
        <v>1.000274025</v>
      </c>
      <c r="AA359" s="16">
        <f t="shared" si="8"/>
        <v>103.5373453</v>
      </c>
      <c r="AB359" s="14"/>
      <c r="AC359" s="9">
        <f t="shared" si="6"/>
        <v>0</v>
      </c>
    </row>
    <row r="360">
      <c r="A360" s="8">
        <v>42248.0</v>
      </c>
      <c r="B360" s="14"/>
      <c r="C360" s="9">
        <f t="array" ref="C360">IFERROR(
  INDEX(
    IR!$B$2:$E2026,                
    MATCH($A360, IR!$A$2:$A2026, 0), 
    MATCH(C$1, IR!$B$1:$E$1, 0) ), "")
</f>
        <v>-0.00099</v>
      </c>
      <c r="D360" s="9">
        <f t="array" ref="D360">IFERROR(
  INDEX(
    IR!$B$2:$E2026,                
    MATCH($A360, IR!$A$2:$A2026, 0), 
    MATCH(D$1, IR!$B$1:$E$1, 0) ), "")
</f>
        <v>-0.00033</v>
      </c>
      <c r="E360" s="9">
        <f t="array" ref="E360">IFERROR(
  INDEX(
    IR!$B$2:$E2026,                
    MATCH($A360, IR!$A$2:$A2026, 0), 
    MATCH(E$1, IR!$B$1:$E$1, 0) ), "")
</f>
        <v>0.00039</v>
      </c>
      <c r="F360" s="9">
        <f t="array" ref="F360">IFERROR(
  INDEX(
    IR!$B$2:$E2026,                
    MATCH($A360, IR!$A$2:$A2026, 0), 
    MATCH(F$1, IR!$B$1:$E$1, 0) ), "")
</f>
        <v>0.00161</v>
      </c>
      <c r="G360" s="14"/>
      <c r="H360" s="9">
        <f t="array" ref="H360">IFERROR(
  INDEX(
    SR!$B$2:$D2026,            
    MATCH($A360, SR!$A$2:$A2026, 0),  
    MATCH(H$1, SR!$B$1:$D$1, 0) ), "")
</f>
        <v>0.00094</v>
      </c>
      <c r="I360" s="9">
        <f t="array" ref="I360">IFERROR(
  INDEX(
    SR!$B$2:$D2026,            
    MATCH($A360, SR!$A$2:$A2026, 0),  
    MATCH(I$1, SR!$B$1:$D$1, 0) ), "")
</f>
        <v>0.00186</v>
      </c>
      <c r="J360" s="9">
        <f t="array" ref="J360">IFERROR(
  INDEX(
    SR!$B$2:$D2026,            
    MATCH($A360, SR!$A$2:$A2026, 0),  
    MATCH(J$1, SR!$B$1:$D$1, 0) ), "")
</f>
        <v>0.004553</v>
      </c>
      <c r="K360" s="14"/>
      <c r="L360" s="9">
        <v>123.94</v>
      </c>
      <c r="M360" s="9">
        <v>24.55</v>
      </c>
      <c r="N360" s="9">
        <v>112.95</v>
      </c>
      <c r="O360" s="9">
        <v>123.47</v>
      </c>
      <c r="P360" s="9">
        <v>132.97</v>
      </c>
      <c r="Q360" s="9">
        <v>1380.2829</v>
      </c>
      <c r="R360" s="14"/>
      <c r="S360" s="12">
        <f t="shared" si="2"/>
        <v>-0.001856646358</v>
      </c>
      <c r="T360" s="12">
        <f t="shared" si="3"/>
        <v>0.9981433536</v>
      </c>
      <c r="U360" s="16">
        <f t="shared" si="7"/>
        <v>102.1896882</v>
      </c>
      <c r="V360" s="17"/>
      <c r="W360" s="12">
        <f t="array" ref="W360">SQRT(252/20) *  SQRT( SUMSQ( LN(U339:U358 / U338:U357) )  - (1/20) * ( SUM( LN(U339:U358 / U338:U357) ) ^ 2 ) )</f>
        <v>0.03393691687</v>
      </c>
      <c r="X360" s="9">
        <f t="shared" si="4"/>
        <v>1.5</v>
      </c>
      <c r="Y360" s="14"/>
      <c r="Z360" s="12">
        <f t="shared" si="5"/>
        <v>0.9972163916</v>
      </c>
      <c r="AA360" s="16">
        <f t="shared" si="8"/>
        <v>103.2491379</v>
      </c>
      <c r="AB360" s="14"/>
      <c r="AC360" s="9">
        <f t="shared" si="6"/>
        <v>0</v>
      </c>
    </row>
    <row r="361">
      <c r="A361" s="8">
        <v>42249.0</v>
      </c>
      <c r="B361" s="14"/>
      <c r="C361" s="9">
        <f t="array" ref="C361">IFERROR(
  INDEX(
    IR!$B$2:$E2026,                
    MATCH($A361, IR!$A$2:$A2026, 0), 
    MATCH(C$1, IR!$B$1:$E$1, 0) ), "")
</f>
        <v>-0.00102</v>
      </c>
      <c r="D361" s="9">
        <f t="array" ref="D361">IFERROR(
  INDEX(
    IR!$B$2:$E2026,                
    MATCH($A361, IR!$A$2:$A2026, 0), 
    MATCH(D$1, IR!$B$1:$E$1, 0) ), "")
</f>
        <v>-0.00033</v>
      </c>
      <c r="E361" s="9">
        <f t="array" ref="E361">IFERROR(
  INDEX(
    IR!$B$2:$E2026,                
    MATCH($A361, IR!$A$2:$A2026, 0), 
    MATCH(E$1, IR!$B$1:$E$1, 0) ), "")
</f>
        <v>0.00039</v>
      </c>
      <c r="F361" s="9">
        <f t="array" ref="F361">IFERROR(
  INDEX(
    IR!$B$2:$E2026,                
    MATCH($A361, IR!$A$2:$A2026, 0), 
    MATCH(F$1, IR!$B$1:$E$1, 0) ), "")
</f>
        <v>0.0016</v>
      </c>
      <c r="G361" s="14"/>
      <c r="H361" s="9">
        <f t="array" ref="H361">IFERROR(
  INDEX(
    SR!$B$2:$D2026,            
    MATCH($A361, SR!$A$2:$A2026, 0),  
    MATCH(H$1, SR!$B$1:$D$1, 0) ), "")
</f>
        <v>0.0009</v>
      </c>
      <c r="I361" s="9">
        <f t="array" ref="I361">IFERROR(
  INDEX(
    SR!$B$2:$D2026,            
    MATCH($A361, SR!$A$2:$A2026, 0),  
    MATCH(I$1, SR!$B$1:$D$1, 0) ), "")
</f>
        <v>0.00179</v>
      </c>
      <c r="J361" s="9">
        <f t="array" ref="J361">IFERROR(
  INDEX(
    SR!$B$2:$D2026,            
    MATCH($A361, SR!$A$2:$A2026, 0),  
    MATCH(J$1, SR!$B$1:$D$1, 0) ), "")
</f>
        <v>0.004438</v>
      </c>
      <c r="K361" s="14"/>
      <c r="L361" s="9">
        <v>124.13</v>
      </c>
      <c r="M361" s="9">
        <v>24.55</v>
      </c>
      <c r="N361" s="9">
        <v>112.88</v>
      </c>
      <c r="O361" s="9">
        <v>123.41</v>
      </c>
      <c r="P361" s="9">
        <v>132.1</v>
      </c>
      <c r="Q361" s="9">
        <v>1368.6773</v>
      </c>
      <c r="R361" s="14"/>
      <c r="S361" s="12">
        <f t="shared" si="2"/>
        <v>-0.002420481241</v>
      </c>
      <c r="T361" s="12">
        <f t="shared" si="3"/>
        <v>0.9975795188</v>
      </c>
      <c r="U361" s="16">
        <f t="shared" si="7"/>
        <v>101.94234</v>
      </c>
      <c r="V361" s="17"/>
      <c r="W361" s="12">
        <f t="array" ref="W361">SQRT(252/20) *  SQRT( SUMSQ( LN(U340:U359 / U339:U358) )  - (1/20) * ( SUM( LN(U340:U359 / U339:U358) ) ^ 2 ) )</f>
        <v>0.03398374017</v>
      </c>
      <c r="X361" s="9">
        <f t="shared" si="4"/>
        <v>1.5</v>
      </c>
      <c r="Y361" s="14"/>
      <c r="Z361" s="12">
        <f t="shared" si="5"/>
        <v>0.9963706531</v>
      </c>
      <c r="AA361" s="16">
        <f t="shared" si="8"/>
        <v>102.874411</v>
      </c>
      <c r="AB361" s="14"/>
      <c r="AC361" s="9">
        <f t="shared" si="6"/>
        <v>0</v>
      </c>
    </row>
    <row r="362">
      <c r="A362" s="8">
        <v>42250.0</v>
      </c>
      <c r="B362" s="14"/>
      <c r="C362" s="9">
        <f t="array" ref="C362">IFERROR(
  INDEX(
    IR!$B$2:$E2026,                
    MATCH($A362, IR!$A$2:$A2026, 0), 
    MATCH(C$1, IR!$B$1:$E$1, 0) ), "")
</f>
        <v>-0.00103</v>
      </c>
      <c r="D362" s="9">
        <f t="array" ref="D362">IFERROR(
  INDEX(
    IR!$B$2:$E2026,                
    MATCH($A362, IR!$A$2:$A2026, 0), 
    MATCH(D$1, IR!$B$1:$E$1, 0) ), "")
</f>
        <v>-0.00033</v>
      </c>
      <c r="E362" s="9">
        <f t="array" ref="E362">IFERROR(
  INDEX(
    IR!$B$2:$E2026,                
    MATCH($A362, IR!$A$2:$A2026, 0), 
    MATCH(E$1, IR!$B$1:$E$1, 0) ), "")
</f>
        <v>0.00038</v>
      </c>
      <c r="F362" s="9">
        <f t="array" ref="F362">IFERROR(
  INDEX(
    IR!$B$2:$E2026,                
    MATCH($A362, IR!$A$2:$A2026, 0), 
    MATCH(F$1, IR!$B$1:$E$1, 0) ), "")
</f>
        <v>0.00161</v>
      </c>
      <c r="G362" s="14"/>
      <c r="H362" s="9">
        <f t="array" ref="H362">IFERROR(
  INDEX(
    SR!$B$2:$D2026,            
    MATCH($A362, SR!$A$2:$A2026, 0),  
    MATCH(H$1, SR!$B$1:$D$1, 0) ), "")
</f>
        <v>0.00076</v>
      </c>
      <c r="I362" s="9">
        <f t="array" ref="I362">IFERROR(
  INDEX(
    SR!$B$2:$D2026,            
    MATCH($A362, SR!$A$2:$A2026, 0),  
    MATCH(I$1, SR!$B$1:$D$1, 0) ), "")
</f>
        <v>0.00157</v>
      </c>
      <c r="J362" s="9">
        <f t="array" ref="J362">IFERROR(
  INDEX(
    SR!$B$2:$D2026,            
    MATCH($A362, SR!$A$2:$A2026, 0),  
    MATCH(J$1, SR!$B$1:$D$1, 0) ), "")
</f>
        <v>0.00402</v>
      </c>
      <c r="K362" s="14"/>
      <c r="L362" s="9">
        <v>124.68</v>
      </c>
      <c r="M362" s="9">
        <v>24.57</v>
      </c>
      <c r="N362" s="9">
        <v>112.78</v>
      </c>
      <c r="O362" s="9">
        <v>123.39</v>
      </c>
      <c r="P362" s="9">
        <v>132.39</v>
      </c>
      <c r="Q362" s="9">
        <v>1374.0199</v>
      </c>
      <c r="R362" s="14"/>
      <c r="S362" s="12">
        <f t="shared" si="2"/>
        <v>0.001715758586</v>
      </c>
      <c r="T362" s="12">
        <f t="shared" si="3"/>
        <v>1.001715759</v>
      </c>
      <c r="U362" s="16">
        <f t="shared" si="7"/>
        <v>102.1172484</v>
      </c>
      <c r="V362" s="17"/>
      <c r="W362" s="12">
        <f t="array" ref="W362">SQRT(252/20) *  SQRT( SUMSQ( LN(U341:U360 / U340:U359) )  - (1/20) * ( SUM( LN(U341:U360 / U340:U359) ) ^ 2 ) )</f>
        <v>0.03423005016</v>
      </c>
      <c r="X362" s="9">
        <f t="shared" si="4"/>
        <v>1.5</v>
      </c>
      <c r="Y362" s="14"/>
      <c r="Z362" s="12">
        <f t="shared" si="5"/>
        <v>1.002575055</v>
      </c>
      <c r="AA362" s="16">
        <f t="shared" si="8"/>
        <v>103.1393182</v>
      </c>
      <c r="AB362" s="14"/>
      <c r="AC362" s="9">
        <f t="shared" si="6"/>
        <v>0</v>
      </c>
    </row>
    <row r="363">
      <c r="A363" s="8">
        <v>42251.0</v>
      </c>
      <c r="B363" s="14"/>
      <c r="C363" s="9">
        <f t="array" ref="C363">IFERROR(
  INDEX(
    IR!$B$2:$E2026,                
    MATCH($A363, IR!$A$2:$A2026, 0), 
    MATCH(C$1, IR!$B$1:$E$1, 0) ), "")
</f>
        <v>-0.00104</v>
      </c>
      <c r="D363" s="9">
        <f t="array" ref="D363">IFERROR(
  INDEX(
    IR!$B$2:$E2026,                
    MATCH($A363, IR!$A$2:$A2026, 0), 
    MATCH(D$1, IR!$B$1:$E$1, 0) ), "")
</f>
        <v>-0.00034</v>
      </c>
      <c r="E363" s="9">
        <f t="array" ref="E363">IFERROR(
  INDEX(
    IR!$B$2:$E2026,                
    MATCH($A363, IR!$A$2:$A2026, 0), 
    MATCH(E$1, IR!$B$1:$E$1, 0) ), "")
</f>
        <v>0.00038</v>
      </c>
      <c r="F363" s="9">
        <f t="array" ref="F363">IFERROR(
  INDEX(
    IR!$B$2:$E2026,                
    MATCH($A363, IR!$A$2:$A2026, 0), 
    MATCH(F$1, IR!$B$1:$E$1, 0) ), "")
</f>
        <v>0.00158</v>
      </c>
      <c r="G363" s="14"/>
      <c r="H363" s="9">
        <f t="array" ref="H363">IFERROR(
  INDEX(
    SR!$B$2:$D2026,            
    MATCH($A363, SR!$A$2:$A2026, 0),  
    MATCH(H$1, SR!$B$1:$D$1, 0) ), "")
</f>
        <v>0.00078</v>
      </c>
      <c r="I363" s="9">
        <f t="array" ref="I363">IFERROR(
  INDEX(
    SR!$B$2:$D2026,            
    MATCH($A363, SR!$A$2:$A2026, 0),  
    MATCH(I$1, SR!$B$1:$D$1, 0) ), "")
</f>
        <v>0.00153</v>
      </c>
      <c r="J363" s="9">
        <f t="array" ref="J363">IFERROR(
  INDEX(
    SR!$B$2:$D2026,            
    MATCH($A363, SR!$A$2:$A2026, 0),  
    MATCH(J$1, SR!$B$1:$D$1, 0) ), "")
</f>
        <v>0.003798</v>
      </c>
      <c r="K363" s="14"/>
      <c r="L363" s="9">
        <v>124.04</v>
      </c>
      <c r="M363" s="9">
        <v>24.56</v>
      </c>
      <c r="N363" s="9">
        <v>112.65</v>
      </c>
      <c r="O363" s="9">
        <v>123.52</v>
      </c>
      <c r="P363" s="9">
        <v>132.69</v>
      </c>
      <c r="Q363" s="9">
        <v>1379.0192</v>
      </c>
      <c r="R363" s="14"/>
      <c r="S363" s="12">
        <f t="shared" si="2"/>
        <v>0.00004454987933</v>
      </c>
      <c r="T363" s="12">
        <f t="shared" si="3"/>
        <v>1.00004455</v>
      </c>
      <c r="U363" s="16">
        <f t="shared" si="7"/>
        <v>102.1217977</v>
      </c>
      <c r="V363" s="17"/>
      <c r="W363" s="12">
        <f t="array" ref="W363">SQRT(252/20) *  SQRT( SUMSQ( LN(U342:U361 / U341:U360) )  - (1/20) * ( SUM( LN(U342:U361 / U341:U360) ) ^ 2 ) )</f>
        <v>0.03435477368</v>
      </c>
      <c r="X363" s="9">
        <f t="shared" si="4"/>
        <v>1.5</v>
      </c>
      <c r="Y363" s="14"/>
      <c r="Z363" s="12">
        <f t="shared" si="5"/>
        <v>1.000068255</v>
      </c>
      <c r="AA363" s="16">
        <f t="shared" si="8"/>
        <v>103.146358</v>
      </c>
      <c r="AB363" s="14"/>
      <c r="AC363" s="9">
        <f t="shared" si="6"/>
        <v>0</v>
      </c>
    </row>
    <row r="364">
      <c r="A364" s="8">
        <v>42254.0</v>
      </c>
      <c r="B364" s="14"/>
      <c r="C364" s="9">
        <f t="array" ref="C364">IFERROR(
  INDEX(
    IR!$B$2:$E2026,                
    MATCH($A364, IR!$A$2:$A2026, 0), 
    MATCH(C$1, IR!$B$1:$E$1, 0) ), "")
</f>
        <v>-0.00104</v>
      </c>
      <c r="D364" s="9">
        <f t="array" ref="D364">IFERROR(
  INDEX(
    IR!$B$2:$E2026,                
    MATCH($A364, IR!$A$2:$A2026, 0), 
    MATCH(D$1, IR!$B$1:$E$1, 0) ), "")
</f>
        <v>-0.00034</v>
      </c>
      <c r="E364" s="9">
        <f t="array" ref="E364">IFERROR(
  INDEX(
    IR!$B$2:$E2026,                
    MATCH($A364, IR!$A$2:$A2026, 0), 
    MATCH(E$1, IR!$B$1:$E$1, 0) ), "")
</f>
        <v>0.00038</v>
      </c>
      <c r="F364" s="9">
        <f t="array" ref="F364">IFERROR(
  INDEX(
    IR!$B$2:$E2026,                
    MATCH($A364, IR!$A$2:$A2026, 0), 
    MATCH(F$1, IR!$B$1:$E$1, 0) ), "")
</f>
        <v>0.00158</v>
      </c>
      <c r="G364" s="14"/>
      <c r="H364" s="9">
        <f t="array" ref="H364">IFERROR(
  INDEX(
    SR!$B$2:$D2026,            
    MATCH($A364, SR!$A$2:$A2026, 0),  
    MATCH(H$1, SR!$B$1:$D$1, 0) ), "")
</f>
        <v>0.0008</v>
      </c>
      <c r="I364" s="9">
        <f t="array" ref="I364">IFERROR(
  INDEX(
    SR!$B$2:$D2026,            
    MATCH($A364, SR!$A$2:$A2026, 0),  
    MATCH(I$1, SR!$B$1:$D$1, 0) ), "")
</f>
        <v>0.00152</v>
      </c>
      <c r="J364" s="9">
        <f t="array" ref="J364">IFERROR(
  INDEX(
    SR!$B$2:$D2026,            
    MATCH($A364, SR!$A$2:$A2026, 0),  
    MATCH(J$1, SR!$B$1:$D$1, 0) ), "")
</f>
        <v>0.003758</v>
      </c>
      <c r="K364" s="14"/>
      <c r="L364" s="9">
        <v>123.96</v>
      </c>
      <c r="M364" s="9">
        <v>24.55</v>
      </c>
      <c r="N364" s="9">
        <v>112.67</v>
      </c>
      <c r="O364" s="9">
        <v>123.59</v>
      </c>
      <c r="P364" s="9">
        <v>132.46</v>
      </c>
      <c r="Q364" s="9">
        <v>1372.4583</v>
      </c>
      <c r="R364" s="14"/>
      <c r="S364" s="12">
        <f t="shared" si="2"/>
        <v>-0.001133170621</v>
      </c>
      <c r="T364" s="12">
        <f t="shared" si="3"/>
        <v>0.9988668294</v>
      </c>
      <c r="U364" s="16">
        <f t="shared" si="7"/>
        <v>102.0060763</v>
      </c>
      <c r="V364" s="17"/>
      <c r="W364" s="12">
        <f t="array" ref="W364">SQRT(252/20) *  SQRT( SUMSQ( LN(U343:U362 / U342:U361) )  - (1/20) * ( SUM( LN(U343:U362 / U342:U361) ) ^ 2 ) )</f>
        <v>0.03520861863</v>
      </c>
      <c r="X364" s="9">
        <f t="shared" si="4"/>
        <v>1.5</v>
      </c>
      <c r="Y364" s="14"/>
      <c r="Z364" s="12">
        <f t="shared" si="5"/>
        <v>0.9983045774</v>
      </c>
      <c r="AA364" s="16">
        <f t="shared" si="8"/>
        <v>102.9714813</v>
      </c>
      <c r="AB364" s="14"/>
      <c r="AC364" s="9">
        <f t="shared" si="6"/>
        <v>0</v>
      </c>
    </row>
    <row r="365">
      <c r="A365" s="8">
        <v>42255.0</v>
      </c>
      <c r="B365" s="14"/>
      <c r="C365" s="9">
        <f t="array" ref="C365">IFERROR(
  INDEX(
    IR!$B$2:$E2026,                
    MATCH($A365, IR!$A$2:$A2026, 0), 
    MATCH(C$1, IR!$B$1:$E$1, 0) ), "")
</f>
        <v>-0.00104</v>
      </c>
      <c r="D365" s="9">
        <f t="array" ref="D365">IFERROR(
  INDEX(
    IR!$B$2:$E2026,                
    MATCH($A365, IR!$A$2:$A2026, 0), 
    MATCH(D$1, IR!$B$1:$E$1, 0) ), "")
</f>
        <v>-0.00035</v>
      </c>
      <c r="E365" s="9">
        <f t="array" ref="E365">IFERROR(
  INDEX(
    IR!$B$2:$E2026,                
    MATCH($A365, IR!$A$2:$A2026, 0), 
    MATCH(E$1, IR!$B$1:$E$1, 0) ), "")
</f>
        <v>0.00038</v>
      </c>
      <c r="F365" s="9">
        <f t="array" ref="F365">IFERROR(
  INDEX(
    IR!$B$2:$E2026,                
    MATCH($A365, IR!$A$2:$A2026, 0), 
    MATCH(F$1, IR!$B$1:$E$1, 0) ), "")
</f>
        <v>0.00158</v>
      </c>
      <c r="G365" s="14"/>
      <c r="H365" s="9">
        <f t="array" ref="H365">IFERROR(
  INDEX(
    SR!$B$2:$D2026,            
    MATCH($A365, SR!$A$2:$A2026, 0),  
    MATCH(H$1, SR!$B$1:$D$1, 0) ), "")
</f>
        <v>0.00082</v>
      </c>
      <c r="I365" s="9">
        <f t="array" ref="I365">IFERROR(
  INDEX(
    SR!$B$2:$D2026,            
    MATCH($A365, SR!$A$2:$A2026, 0),  
    MATCH(I$1, SR!$B$1:$D$1, 0) ), "")
</f>
        <v>0.001551</v>
      </c>
      <c r="J365" s="9">
        <f t="array" ref="J365">IFERROR(
  INDEX(
    SR!$B$2:$D2026,            
    MATCH($A365, SR!$A$2:$A2026, 0),  
    MATCH(J$1, SR!$B$1:$D$1, 0) ), "")
</f>
        <v>0.00383</v>
      </c>
      <c r="K365" s="14"/>
      <c r="L365" s="9">
        <v>124.23</v>
      </c>
      <c r="M365" s="9">
        <v>24.55</v>
      </c>
      <c r="N365" s="9">
        <v>112.65</v>
      </c>
      <c r="O365" s="9">
        <v>123.51</v>
      </c>
      <c r="P365" s="9">
        <v>132.45</v>
      </c>
      <c r="Q365" s="9">
        <v>1371.8909</v>
      </c>
      <c r="R365" s="14"/>
      <c r="S365" s="12">
        <f t="shared" si="2"/>
        <v>0.0001439673032</v>
      </c>
      <c r="T365" s="12">
        <f t="shared" si="3"/>
        <v>1.000143967</v>
      </c>
      <c r="U365" s="16">
        <f t="shared" si="7"/>
        <v>102.0207618</v>
      </c>
      <c r="V365" s="17"/>
      <c r="W365" s="12">
        <f t="array" ref="W365">SQRT(252/20) *  SQRT( SUMSQ( LN(U344:U363 / U343:U362) )  - (1/20) * ( SUM( LN(U344:U363 / U343:U362) ) ^ 2 ) )</f>
        <v>0.0351686154</v>
      </c>
      <c r="X365" s="9">
        <f t="shared" si="4"/>
        <v>1.5</v>
      </c>
      <c r="Y365" s="14"/>
      <c r="Z365" s="12">
        <f t="shared" si="5"/>
        <v>1.000217395</v>
      </c>
      <c r="AA365" s="16">
        <f t="shared" si="8"/>
        <v>102.9938669</v>
      </c>
      <c r="AB365" s="14"/>
      <c r="AC365" s="9">
        <f t="shared" si="6"/>
        <v>0</v>
      </c>
    </row>
    <row r="366">
      <c r="A366" s="8">
        <v>42256.0</v>
      </c>
      <c r="B366" s="14"/>
      <c r="C366" s="9">
        <f t="array" ref="C366">IFERROR(
  INDEX(
    IR!$B$2:$E2026,                
    MATCH($A366, IR!$A$2:$A2026, 0), 
    MATCH(C$1, IR!$B$1:$E$1, 0) ), "")
</f>
        <v>-0.00104</v>
      </c>
      <c r="D366" s="9">
        <f t="array" ref="D366">IFERROR(
  INDEX(
    IR!$B$2:$E2026,                
    MATCH($A366, IR!$A$2:$A2026, 0), 
    MATCH(D$1, IR!$B$1:$E$1, 0) ), "")
</f>
        <v>-0.00035</v>
      </c>
      <c r="E366" s="9">
        <f t="array" ref="E366">IFERROR(
  INDEX(
    IR!$B$2:$E2026,                
    MATCH($A366, IR!$A$2:$A2026, 0), 
    MATCH(E$1, IR!$B$1:$E$1, 0) ), "")
</f>
        <v>0.00038</v>
      </c>
      <c r="F366" s="9">
        <f t="array" ref="F366">IFERROR(
  INDEX(
    IR!$B$2:$E2026,                
    MATCH($A366, IR!$A$2:$A2026, 0), 
    MATCH(F$1, IR!$B$1:$E$1, 0) ), "")
</f>
        <v>0.00158</v>
      </c>
      <c r="G366" s="14"/>
      <c r="H366" s="9">
        <f t="array" ref="H366">IFERROR(
  INDEX(
    SR!$B$2:$D2026,            
    MATCH($A366, SR!$A$2:$A2026, 0),  
    MATCH(H$1, SR!$B$1:$D$1, 0) ), "")
</f>
        <v>0.00075</v>
      </c>
      <c r="I366" s="9">
        <f t="array" ref="I366">IFERROR(
  INDEX(
    SR!$B$2:$D2026,            
    MATCH($A366, SR!$A$2:$A2026, 0),  
    MATCH(I$1, SR!$B$1:$D$1, 0) ), "")
</f>
        <v>0.00154</v>
      </c>
      <c r="J366" s="9">
        <f t="array" ref="J366">IFERROR(
  INDEX(
    SR!$B$2:$D2026,            
    MATCH($A366, SR!$A$2:$A2026, 0),  
    MATCH(J$1, SR!$B$1:$D$1, 0) ), "")
</f>
        <v>0.003735</v>
      </c>
      <c r="K366" s="14"/>
      <c r="L366" s="9">
        <v>124.52</v>
      </c>
      <c r="M366" s="9">
        <v>24.55</v>
      </c>
      <c r="N366" s="9">
        <v>112.71</v>
      </c>
      <c r="O366" s="9">
        <v>123.49</v>
      </c>
      <c r="P366" s="9">
        <v>132.76</v>
      </c>
      <c r="Q366" s="9">
        <v>1384.8827</v>
      </c>
      <c r="R366" s="14"/>
      <c r="S366" s="12">
        <f t="shared" si="2"/>
        <v>0.002419241564</v>
      </c>
      <c r="T366" s="12">
        <f t="shared" si="3"/>
        <v>1.002419242</v>
      </c>
      <c r="U366" s="16">
        <f t="shared" si="7"/>
        <v>102.2675747</v>
      </c>
      <c r="V366" s="17"/>
      <c r="W366" s="12">
        <f t="array" ref="W366">SQRT(252/20) *  SQRT( SUMSQ( LN(U345:U364 / U344:U363) )  - (1/20) * ( SUM( LN(U345:U364 / U344:U363) ) ^ 2 ) )</f>
        <v>0.0350255089</v>
      </c>
      <c r="X366" s="9">
        <f t="shared" si="4"/>
        <v>1.5</v>
      </c>
      <c r="Y366" s="14"/>
      <c r="Z366" s="12">
        <f t="shared" si="5"/>
        <v>1.003630307</v>
      </c>
      <c r="AA366" s="16">
        <f t="shared" si="8"/>
        <v>103.3677662</v>
      </c>
      <c r="AB366" s="14"/>
      <c r="AC366" s="9">
        <f t="shared" si="6"/>
        <v>0</v>
      </c>
    </row>
    <row r="367">
      <c r="A367" s="8">
        <v>42257.0</v>
      </c>
      <c r="B367" s="14"/>
      <c r="C367" s="9">
        <f t="array" ref="C367">IFERROR(
  INDEX(
    IR!$B$2:$E2026,                
    MATCH($A367, IR!$A$2:$A2026, 0), 
    MATCH(C$1, IR!$B$1:$E$1, 0) ), "")
</f>
        <v>-0.00103</v>
      </c>
      <c r="D367" s="9">
        <f t="array" ref="D367">IFERROR(
  INDEX(
    IR!$B$2:$E2026,                
    MATCH($A367, IR!$A$2:$A2026, 0), 
    MATCH(D$1, IR!$B$1:$E$1, 0) ), "")
</f>
        <v>-0.00036</v>
      </c>
      <c r="E367" s="9">
        <f t="array" ref="E367">IFERROR(
  INDEX(
    IR!$B$2:$E2026,                
    MATCH($A367, IR!$A$2:$A2026, 0), 
    MATCH(E$1, IR!$B$1:$E$1, 0) ), "")
</f>
        <v>0.00038</v>
      </c>
      <c r="F367" s="9">
        <f t="array" ref="F367">IFERROR(
  INDEX(
    IR!$B$2:$E2026,                
    MATCH($A367, IR!$A$2:$A2026, 0), 
    MATCH(F$1, IR!$B$1:$E$1, 0) ), "")
</f>
        <v>0.00157</v>
      </c>
      <c r="G367" s="14"/>
      <c r="H367" s="9">
        <f t="array" ref="H367">IFERROR(
  INDEX(
    SR!$B$2:$D2026,            
    MATCH($A367, SR!$A$2:$A2026, 0),  
    MATCH(H$1, SR!$B$1:$D$1, 0) ), "")
</f>
        <v>0.000793</v>
      </c>
      <c r="I367" s="9">
        <f t="array" ref="I367">IFERROR(
  INDEX(
    SR!$B$2:$D2026,            
    MATCH($A367, SR!$A$2:$A2026, 0),  
    MATCH(I$1, SR!$B$1:$D$1, 0) ), "")
</f>
        <v>0.00153</v>
      </c>
      <c r="J367" s="9">
        <f t="array" ref="J367">IFERROR(
  INDEX(
    SR!$B$2:$D2026,            
    MATCH($A367, SR!$A$2:$A2026, 0),  
    MATCH(J$1, SR!$B$1:$D$1, 0) ), "")
</f>
        <v>0.003841</v>
      </c>
      <c r="K367" s="14"/>
      <c r="L367" s="9">
        <v>124.24</v>
      </c>
      <c r="M367" s="9">
        <v>24.54</v>
      </c>
      <c r="N367" s="9">
        <v>112.65</v>
      </c>
      <c r="O367" s="9">
        <v>123.46</v>
      </c>
      <c r="P367" s="9">
        <v>132.73</v>
      </c>
      <c r="Q367" s="9">
        <v>1384.9425</v>
      </c>
      <c r="R367" s="14"/>
      <c r="S367" s="12">
        <f t="shared" si="2"/>
        <v>-0.0006020934368</v>
      </c>
      <c r="T367" s="12">
        <f t="shared" si="3"/>
        <v>0.9993979066</v>
      </c>
      <c r="U367" s="16">
        <f t="shared" si="7"/>
        <v>102.2060001</v>
      </c>
      <c r="V367" s="17"/>
      <c r="W367" s="12">
        <f t="array" ref="W367">SQRT(252/20) *  SQRT( SUMSQ( LN(U346:U365 / U345:U364) )  - (1/20) * ( SUM( LN(U346:U365 / U345:U364) ) ^ 2 ) )</f>
        <v>0.03508958935</v>
      </c>
      <c r="X367" s="9">
        <f t="shared" si="4"/>
        <v>1.5</v>
      </c>
      <c r="Y367" s="14"/>
      <c r="Z367" s="12">
        <f t="shared" si="5"/>
        <v>0.9990983043</v>
      </c>
      <c r="AA367" s="16">
        <f t="shared" si="8"/>
        <v>103.2745599</v>
      </c>
      <c r="AB367" s="14"/>
      <c r="AC367" s="9">
        <f t="shared" si="6"/>
        <v>0</v>
      </c>
    </row>
    <row r="368">
      <c r="A368" s="8">
        <v>42258.0</v>
      </c>
      <c r="B368" s="14"/>
      <c r="C368" s="9">
        <f t="array" ref="C368">IFERROR(
  INDEX(
    IR!$B$2:$E2026,                
    MATCH($A368, IR!$A$2:$A2026, 0), 
    MATCH(C$1, IR!$B$1:$E$1, 0) ), "")
</f>
        <v>-0.00104</v>
      </c>
      <c r="D368" s="9">
        <f t="array" ref="D368">IFERROR(
  INDEX(
    IR!$B$2:$E2026,                
    MATCH($A368, IR!$A$2:$A2026, 0), 
    MATCH(D$1, IR!$B$1:$E$1, 0) ), "")
</f>
        <v>-0.00038</v>
      </c>
      <c r="E368" s="9">
        <f t="array" ref="E368">IFERROR(
  INDEX(
    IR!$B$2:$E2026,                
    MATCH($A368, IR!$A$2:$A2026, 0), 
    MATCH(E$1, IR!$B$1:$E$1, 0) ), "")
</f>
        <v>0.00037</v>
      </c>
      <c r="F368" s="9">
        <f t="array" ref="F368">IFERROR(
  INDEX(
    IR!$B$2:$E2026,                
    MATCH($A368, IR!$A$2:$A2026, 0), 
    MATCH(F$1, IR!$B$1:$E$1, 0) ), "")
</f>
        <v>0.00157</v>
      </c>
      <c r="G368" s="14"/>
      <c r="H368" s="9">
        <f t="array" ref="H368">IFERROR(
  INDEX(
    SR!$B$2:$D2026,            
    MATCH($A368, SR!$A$2:$A2026, 0),  
    MATCH(H$1, SR!$B$1:$D$1, 0) ), "")
</f>
        <v>0.00075</v>
      </c>
      <c r="I368" s="9">
        <f t="array" ref="I368">IFERROR(
  INDEX(
    SR!$B$2:$D2026,            
    MATCH($A368, SR!$A$2:$A2026, 0),  
    MATCH(I$1, SR!$B$1:$D$1, 0) ), "")
</f>
        <v>0.00147</v>
      </c>
      <c r="J368" s="9">
        <f t="array" ref="J368">IFERROR(
  INDEX(
    SR!$B$2:$D2026,            
    MATCH($A368, SR!$A$2:$A2026, 0),  
    MATCH(J$1, SR!$B$1:$D$1, 0) ), "")
</f>
        <v>0.0037</v>
      </c>
      <c r="K368" s="14"/>
      <c r="L368" s="9">
        <v>123.89</v>
      </c>
      <c r="M368" s="9">
        <v>24.53</v>
      </c>
      <c r="N368" s="9">
        <v>112.72</v>
      </c>
      <c r="O368" s="9">
        <v>123.42</v>
      </c>
      <c r="P368" s="9">
        <v>132.63</v>
      </c>
      <c r="Q368" s="9">
        <v>1383.9509</v>
      </c>
      <c r="R368" s="14"/>
      <c r="S368" s="12">
        <f t="shared" si="2"/>
        <v>-0.0007325484175</v>
      </c>
      <c r="T368" s="12">
        <f t="shared" si="3"/>
        <v>0.9992674516</v>
      </c>
      <c r="U368" s="16">
        <f t="shared" si="7"/>
        <v>102.1311292</v>
      </c>
      <c r="V368" s="17"/>
      <c r="W368" s="12">
        <f t="array" ref="W368">SQRT(252/20) *  SQRT( SUMSQ( LN(U347:U366 / U346:U365) )  - (1/20) * ( SUM( LN(U347:U366 / U346:U365) ) ^ 2 ) )</f>
        <v>0.03585817545</v>
      </c>
      <c r="X368" s="9">
        <f t="shared" si="4"/>
        <v>1.5</v>
      </c>
      <c r="Y368" s="14"/>
      <c r="Z368" s="12">
        <f t="shared" si="5"/>
        <v>0.9989026079</v>
      </c>
      <c r="AA368" s="16">
        <f t="shared" si="8"/>
        <v>103.1612272</v>
      </c>
      <c r="AB368" s="14"/>
      <c r="AC368" s="9">
        <f t="shared" si="6"/>
        <v>0</v>
      </c>
    </row>
    <row r="369">
      <c r="A369" s="8">
        <v>42261.0</v>
      </c>
      <c r="B369" s="14"/>
      <c r="C369" s="9">
        <f t="array" ref="C369">IFERROR(
  INDEX(
    IR!$B$2:$E2026,                
    MATCH($A369, IR!$A$2:$A2026, 0), 
    MATCH(C$1, IR!$B$1:$E$1, 0) ), "")
</f>
        <v>-0.00104</v>
      </c>
      <c r="D369" s="9">
        <f t="array" ref="D369">IFERROR(
  INDEX(
    IR!$B$2:$E2026,                
    MATCH($A369, IR!$A$2:$A2026, 0), 
    MATCH(D$1, IR!$B$1:$E$1, 0) ), "")
</f>
        <v>-0.00038</v>
      </c>
      <c r="E369" s="9">
        <f t="array" ref="E369">IFERROR(
  INDEX(
    IR!$B$2:$E2026,                
    MATCH($A369, IR!$A$2:$A2026, 0), 
    MATCH(E$1, IR!$B$1:$E$1, 0) ), "")
</f>
        <v>0.00037</v>
      </c>
      <c r="F369" s="9">
        <f t="array" ref="F369">IFERROR(
  INDEX(
    IR!$B$2:$E2026,                
    MATCH($A369, IR!$A$2:$A2026, 0), 
    MATCH(F$1, IR!$B$1:$E$1, 0) ), "")
</f>
        <v>0.00157</v>
      </c>
      <c r="G369" s="14"/>
      <c r="H369" s="9">
        <f t="array" ref="H369">IFERROR(
  INDEX(
    SR!$B$2:$D2026,            
    MATCH($A369, SR!$A$2:$A2026, 0),  
    MATCH(H$1, SR!$B$1:$D$1, 0) ), "")
</f>
        <v>0.00072</v>
      </c>
      <c r="I369" s="9">
        <f t="array" ref="I369">IFERROR(
  INDEX(
    SR!$B$2:$D2026,            
    MATCH($A369, SR!$A$2:$A2026, 0),  
    MATCH(I$1, SR!$B$1:$D$1, 0) ), "")
</f>
        <v>0.001422</v>
      </c>
      <c r="J369" s="9">
        <f t="array" ref="J369">IFERROR(
  INDEX(
    SR!$B$2:$D2026,            
    MATCH($A369, SR!$A$2:$A2026, 0),  
    MATCH(J$1, SR!$B$1:$D$1, 0) ), "")
</f>
        <v>0.003659</v>
      </c>
      <c r="K369" s="14"/>
      <c r="L369" s="9">
        <v>123.66</v>
      </c>
      <c r="M369" s="9">
        <v>24.53</v>
      </c>
      <c r="N369" s="9">
        <v>112.7</v>
      </c>
      <c r="O369" s="9">
        <v>123.46</v>
      </c>
      <c r="P369" s="9">
        <v>132.52</v>
      </c>
      <c r="Q369" s="9">
        <v>1383.6679</v>
      </c>
      <c r="R369" s="14"/>
      <c r="S369" s="12">
        <f t="shared" si="2"/>
        <v>-0.0004571178348</v>
      </c>
      <c r="T369" s="12">
        <f t="shared" si="3"/>
        <v>0.9995428822</v>
      </c>
      <c r="U369" s="16">
        <f t="shared" si="7"/>
        <v>102.0844433</v>
      </c>
      <c r="V369" s="17"/>
      <c r="W369" s="12">
        <f t="array" ref="W369">SQRT(252/20) *  SQRT( SUMSQ( LN(U348:U367 / U347:U366) )  - (1/20) * ( SUM( LN(U348:U367 / U347:U366) ) ^ 2 ) )</f>
        <v>0.03575034003</v>
      </c>
      <c r="X369" s="9">
        <f t="shared" si="4"/>
        <v>1.5</v>
      </c>
      <c r="Y369" s="14"/>
      <c r="Z369" s="12">
        <f t="shared" si="5"/>
        <v>0.9993186566</v>
      </c>
      <c r="AA369" s="16">
        <f t="shared" si="8"/>
        <v>103.090939</v>
      </c>
      <c r="AB369" s="14"/>
      <c r="AC369" s="9">
        <f t="shared" si="6"/>
        <v>0</v>
      </c>
    </row>
    <row r="370">
      <c r="A370" s="8">
        <v>42262.0</v>
      </c>
      <c r="B370" s="14"/>
      <c r="C370" s="9">
        <f t="array" ref="C370">IFERROR(
  INDEX(
    IR!$B$2:$E2026,                
    MATCH($A370, IR!$A$2:$A2026, 0), 
    MATCH(C$1, IR!$B$1:$E$1, 0) ), "")
</f>
        <v>-0.00104</v>
      </c>
      <c r="D370" s="9">
        <f t="array" ref="D370">IFERROR(
  INDEX(
    IR!$B$2:$E2026,                
    MATCH($A370, IR!$A$2:$A2026, 0), 
    MATCH(D$1, IR!$B$1:$E$1, 0) ), "")
</f>
        <v>-0.00036</v>
      </c>
      <c r="E370" s="9">
        <f t="array" ref="E370">IFERROR(
  INDEX(
    IR!$B$2:$E2026,                
    MATCH($A370, IR!$A$2:$A2026, 0), 
    MATCH(E$1, IR!$B$1:$E$1, 0) ), "")
</f>
        <v>0.00036</v>
      </c>
      <c r="F370" s="9">
        <f t="array" ref="F370">IFERROR(
  INDEX(
    IR!$B$2:$E2026,                
    MATCH($A370, IR!$A$2:$A2026, 0), 
    MATCH(F$1, IR!$B$1:$E$1, 0) ), "")
</f>
        <v>0.00155</v>
      </c>
      <c r="G370" s="14"/>
      <c r="H370" s="9">
        <f t="array" ref="H370">IFERROR(
  INDEX(
    SR!$B$2:$D2026,            
    MATCH($A370, SR!$A$2:$A2026, 0),  
    MATCH(H$1, SR!$B$1:$D$1, 0) ), "")
</f>
        <v>0.0008</v>
      </c>
      <c r="I370" s="9">
        <f t="array" ref="I370">IFERROR(
  INDEX(
    SR!$B$2:$D2026,            
    MATCH($A370, SR!$A$2:$A2026, 0),  
    MATCH(I$1, SR!$B$1:$D$1, 0) ), "")
</f>
        <v>0.001577</v>
      </c>
      <c r="J370" s="9">
        <f t="array" ref="J370">IFERROR(
  INDEX(
    SR!$B$2:$D2026,            
    MATCH($A370, SR!$A$2:$A2026, 0),  
    MATCH(J$1, SR!$B$1:$D$1, 0) ), "")
</f>
        <v>0.004192</v>
      </c>
      <c r="K370" s="14"/>
      <c r="L370" s="9">
        <v>123.69</v>
      </c>
      <c r="M370" s="9">
        <v>24.53</v>
      </c>
      <c r="N370" s="9">
        <v>112.71</v>
      </c>
      <c r="O370" s="9">
        <v>123.42</v>
      </c>
      <c r="P370" s="9">
        <v>132.5</v>
      </c>
      <c r="Q370" s="9">
        <v>1382.5247</v>
      </c>
      <c r="R370" s="14"/>
      <c r="S370" s="12">
        <f t="shared" si="2"/>
        <v>-0.0001616496655</v>
      </c>
      <c r="T370" s="12">
        <f t="shared" si="3"/>
        <v>0.9998383503</v>
      </c>
      <c r="U370" s="16">
        <f t="shared" si="7"/>
        <v>102.0679413</v>
      </c>
      <c r="V370" s="17"/>
      <c r="W370" s="12">
        <f t="array" ref="W370">SQRT(252/20) *  SQRT( SUMSQ( LN(U349:U368 / U348:U367) )  - (1/20) * ( SUM( LN(U349:U368 / U348:U367) ) ^ 2 ) )</f>
        <v>0.03572832238</v>
      </c>
      <c r="X370" s="9">
        <f t="shared" si="4"/>
        <v>1.5</v>
      </c>
      <c r="Y370" s="14"/>
      <c r="Z370" s="12">
        <f t="shared" si="5"/>
        <v>0.9997589699</v>
      </c>
      <c r="AA370" s="16">
        <f t="shared" si="8"/>
        <v>103.066091</v>
      </c>
      <c r="AB370" s="14"/>
      <c r="AC370" s="9">
        <f t="shared" si="6"/>
        <v>0</v>
      </c>
    </row>
    <row r="371">
      <c r="A371" s="8">
        <v>42263.0</v>
      </c>
      <c r="B371" s="14"/>
      <c r="C371" s="9">
        <f t="array" ref="C371">IFERROR(
  INDEX(
    IR!$B$2:$E2026,                
    MATCH($A371, IR!$A$2:$A2026, 0), 
    MATCH(C$1, IR!$B$1:$E$1, 0) ), "")
</f>
        <v>-0.00103</v>
      </c>
      <c r="D371" s="9">
        <f t="array" ref="D371">IFERROR(
  INDEX(
    IR!$B$2:$E2026,                
    MATCH($A371, IR!$A$2:$A2026, 0), 
    MATCH(D$1, IR!$B$1:$E$1, 0) ), "")
</f>
        <v>-0.00037</v>
      </c>
      <c r="E371" s="9">
        <f t="array" ref="E371">IFERROR(
  INDEX(
    IR!$B$2:$E2026,                
    MATCH($A371, IR!$A$2:$A2026, 0), 
    MATCH(E$1, IR!$B$1:$E$1, 0) ), "")
</f>
        <v>0.00036</v>
      </c>
      <c r="F371" s="9">
        <f t="array" ref="F371">IFERROR(
  INDEX(
    IR!$B$2:$E2026,                
    MATCH($A371, IR!$A$2:$A2026, 0), 
    MATCH(F$1, IR!$B$1:$E$1, 0) ), "")
</f>
        <v>0.00156</v>
      </c>
      <c r="G371" s="14"/>
      <c r="H371" s="9">
        <f t="array" ref="H371">IFERROR(
  INDEX(
    SR!$B$2:$D2026,            
    MATCH($A371, SR!$A$2:$A2026, 0),  
    MATCH(H$1, SR!$B$1:$D$1, 0) ), "")
</f>
        <v>0.000842</v>
      </c>
      <c r="I371" s="9">
        <f t="array" ref="I371">IFERROR(
  INDEX(
    SR!$B$2:$D2026,            
    MATCH($A371, SR!$A$2:$A2026, 0),  
    MATCH(I$1, SR!$B$1:$D$1, 0) ), "")
</f>
        <v>0.001638</v>
      </c>
      <c r="J371" s="9">
        <f t="array" ref="J371">IFERROR(
  INDEX(
    SR!$B$2:$D2026,            
    MATCH($A371, SR!$A$2:$A2026, 0),  
    MATCH(J$1, SR!$B$1:$D$1, 0) ), "")
</f>
        <v>0.00427</v>
      </c>
      <c r="K371" s="14"/>
      <c r="L371" s="9">
        <v>123.86</v>
      </c>
      <c r="M371" s="9">
        <v>24.53</v>
      </c>
      <c r="N371" s="9">
        <v>112.72</v>
      </c>
      <c r="O371" s="9">
        <v>123.21</v>
      </c>
      <c r="P371" s="9">
        <v>132.55</v>
      </c>
      <c r="Q371" s="9">
        <v>1386.0831</v>
      </c>
      <c r="R371" s="14"/>
      <c r="S371" s="12">
        <f t="shared" si="2"/>
        <v>0.0004522132569</v>
      </c>
      <c r="T371" s="12">
        <f t="shared" si="3"/>
        <v>1.000452213</v>
      </c>
      <c r="U371" s="16">
        <f t="shared" si="7"/>
        <v>102.1140978</v>
      </c>
      <c r="V371" s="17"/>
      <c r="W371" s="12">
        <f t="array" ref="W371">SQRT(252/20) *  SQRT( SUMSQ( LN(U350:U369 / U349:U368) )  - (1/20) * ( SUM( LN(U350:U369 / U349:U368) ) ^ 2 ) )</f>
        <v>0.03560390399</v>
      </c>
      <c r="X371" s="9">
        <f t="shared" si="4"/>
        <v>1.5</v>
      </c>
      <c r="Y371" s="14"/>
      <c r="Z371" s="12">
        <f t="shared" si="5"/>
        <v>1.000679764</v>
      </c>
      <c r="AA371" s="16">
        <f t="shared" si="8"/>
        <v>103.1361517</v>
      </c>
      <c r="AB371" s="14"/>
      <c r="AC371" s="9">
        <f t="shared" si="6"/>
        <v>0</v>
      </c>
    </row>
    <row r="372">
      <c r="A372" s="8">
        <v>42264.0</v>
      </c>
      <c r="B372" s="14"/>
      <c r="C372" s="9">
        <f t="array" ref="C372">IFERROR(
  INDEX(
    IR!$B$2:$E2026,                
    MATCH($A372, IR!$A$2:$A2026, 0), 
    MATCH(C$1, IR!$B$1:$E$1, 0) ), "")
</f>
        <v>-0.00103</v>
      </c>
      <c r="D372" s="9">
        <f t="array" ref="D372">IFERROR(
  INDEX(
    IR!$B$2:$E2026,                
    MATCH($A372, IR!$A$2:$A2026, 0), 
    MATCH(D$1, IR!$B$1:$E$1, 0) ), "")
</f>
        <v>-0.00037</v>
      </c>
      <c r="E372" s="9">
        <f t="array" ref="E372">IFERROR(
  INDEX(
    IR!$B$2:$E2026,                
    MATCH($A372, IR!$A$2:$A2026, 0), 
    MATCH(E$1, IR!$B$1:$E$1, 0) ), "")
</f>
        <v>0.00036</v>
      </c>
      <c r="F372" s="9">
        <f t="array" ref="F372">IFERROR(
  INDEX(
    IR!$B$2:$E2026,                
    MATCH($A372, IR!$A$2:$A2026, 0), 
    MATCH(F$1, IR!$B$1:$E$1, 0) ), "")
</f>
        <v>0.00156</v>
      </c>
      <c r="G372" s="14"/>
      <c r="H372" s="9">
        <f t="array" ref="H372">IFERROR(
  INDEX(
    SR!$B$2:$D2026,            
    MATCH($A372, SR!$A$2:$A2026, 0),  
    MATCH(H$1, SR!$B$1:$D$1, 0) ), "")
</f>
        <v>0.00058</v>
      </c>
      <c r="I372" s="9">
        <f t="array" ref="I372">IFERROR(
  INDEX(
    SR!$B$2:$D2026,            
    MATCH($A372, SR!$A$2:$A2026, 0),  
    MATCH(I$1, SR!$B$1:$D$1, 0) ), "")
</f>
        <v>0.001797</v>
      </c>
      <c r="J372" s="9">
        <f t="array" ref="J372">IFERROR(
  INDEX(
    SR!$B$2:$D2026,            
    MATCH($A372, SR!$A$2:$A2026, 0),  
    MATCH(J$1, SR!$B$1:$D$1, 0) ), "")
</f>
        <v>0.0039</v>
      </c>
      <c r="K372" s="14"/>
      <c r="L372" s="9">
        <v>123.81</v>
      </c>
      <c r="M372" s="9">
        <v>24.52</v>
      </c>
      <c r="N372" s="9">
        <v>112.75</v>
      </c>
      <c r="O372" s="9">
        <v>123.17</v>
      </c>
      <c r="P372" s="9">
        <v>132.6</v>
      </c>
      <c r="Q372" s="9">
        <v>1390.614</v>
      </c>
      <c r="R372" s="14"/>
      <c r="S372" s="12">
        <f t="shared" si="2"/>
        <v>0.0004628450277</v>
      </c>
      <c r="T372" s="12">
        <f t="shared" si="3"/>
        <v>1.000462845</v>
      </c>
      <c r="U372" s="16">
        <f t="shared" si="7"/>
        <v>102.1613608</v>
      </c>
      <c r="V372" s="17"/>
      <c r="W372" s="12">
        <f t="array" ref="W372">SQRT(252/20) *  SQRT( SUMSQ( LN(U351:U370 / U350:U369) )  - (1/20) * ( SUM( LN(U351:U370 / U350:U369) ) ^ 2 ) )</f>
        <v>0.03540382291</v>
      </c>
      <c r="X372" s="9">
        <f t="shared" si="4"/>
        <v>1.5</v>
      </c>
      <c r="Y372" s="14"/>
      <c r="Z372" s="12">
        <f t="shared" si="5"/>
        <v>1.000695698</v>
      </c>
      <c r="AA372" s="16">
        <f t="shared" si="8"/>
        <v>103.2079033</v>
      </c>
      <c r="AB372" s="14"/>
      <c r="AC372" s="9">
        <f t="shared" si="6"/>
        <v>0</v>
      </c>
    </row>
    <row r="373">
      <c r="A373" s="8">
        <v>42265.0</v>
      </c>
      <c r="B373" s="14"/>
      <c r="C373" s="9">
        <f t="array" ref="C373">IFERROR(
  INDEX(
    IR!$B$2:$E2026,                
    MATCH($A373, IR!$A$2:$A2026, 0), 
    MATCH(C$1, IR!$B$1:$E$1, 0) ), "")
</f>
        <v>-0.00102</v>
      </c>
      <c r="D373" s="9">
        <f t="array" ref="D373">IFERROR(
  INDEX(
    IR!$B$2:$E2026,                
    MATCH($A373, IR!$A$2:$A2026, 0), 
    MATCH(D$1, IR!$B$1:$E$1, 0) ), "")
</f>
        <v>-0.00037</v>
      </c>
      <c r="E373" s="9">
        <f t="array" ref="E373">IFERROR(
  INDEX(
    IR!$B$2:$E2026,                
    MATCH($A373, IR!$A$2:$A2026, 0), 
    MATCH(E$1, IR!$B$1:$E$1, 0) ), "")
</f>
        <v>0.00036</v>
      </c>
      <c r="F373" s="9">
        <f t="array" ref="F373">IFERROR(
  INDEX(
    IR!$B$2:$E2026,                
    MATCH($A373, IR!$A$2:$A2026, 0), 
    MATCH(F$1, IR!$B$1:$E$1, 0) ), "")
</f>
        <v>0.00154</v>
      </c>
      <c r="G373" s="14"/>
      <c r="H373" s="9">
        <f t="array" ref="H373">IFERROR(
  INDEX(
    SR!$B$2:$D2026,            
    MATCH($A373, SR!$A$2:$A2026, 0),  
    MATCH(H$1, SR!$B$1:$D$1, 0) ), "")
</f>
        <v>0.00061</v>
      </c>
      <c r="I373" s="9">
        <f t="array" ref="I373">IFERROR(
  INDEX(
    SR!$B$2:$D2026,            
    MATCH($A373, SR!$A$2:$A2026, 0),  
    MATCH(I$1, SR!$B$1:$D$1, 0) ), "")
</f>
        <v>0.0015</v>
      </c>
      <c r="J373" s="9">
        <f t="array" ref="J373">IFERROR(
  INDEX(
    SR!$B$2:$D2026,            
    MATCH($A373, SR!$A$2:$A2026, 0),  
    MATCH(J$1, SR!$B$1:$D$1, 0) ), "")
</f>
        <v>0.003827</v>
      </c>
      <c r="K373" s="14"/>
      <c r="L373" s="9">
        <v>123.13</v>
      </c>
      <c r="M373" s="9">
        <v>24.53</v>
      </c>
      <c r="N373" s="9">
        <v>112.63</v>
      </c>
      <c r="O373" s="9">
        <v>123.14</v>
      </c>
      <c r="P373" s="9">
        <v>132.65</v>
      </c>
      <c r="Q373" s="9">
        <v>1390.0137</v>
      </c>
      <c r="R373" s="14"/>
      <c r="S373" s="12">
        <f t="shared" si="2"/>
        <v>-0.001074101622</v>
      </c>
      <c r="T373" s="12">
        <f t="shared" si="3"/>
        <v>0.9989258984</v>
      </c>
      <c r="U373" s="16">
        <f t="shared" si="7"/>
        <v>102.0516291</v>
      </c>
      <c r="V373" s="17"/>
      <c r="W373" s="12">
        <f t="array" ref="W373">SQRT(252/20) *  SQRT( SUMSQ( LN(U352:U371 / U351:U370) )  - (1/20) * ( SUM( LN(U352:U371 / U351:U370) ) ^ 2 ) )</f>
        <v>0.03538636621</v>
      </c>
      <c r="X373" s="9">
        <f t="shared" si="4"/>
        <v>1.5</v>
      </c>
      <c r="Y373" s="14"/>
      <c r="Z373" s="12">
        <f t="shared" si="5"/>
        <v>0.9983902781</v>
      </c>
      <c r="AA373" s="16">
        <f t="shared" si="8"/>
        <v>103.0417673</v>
      </c>
      <c r="AB373" s="14"/>
      <c r="AC373" s="9">
        <f t="shared" si="6"/>
        <v>0</v>
      </c>
    </row>
    <row r="374">
      <c r="A374" s="8">
        <v>42268.0</v>
      </c>
      <c r="B374" s="14"/>
      <c r="C374" s="9">
        <f t="array" ref="C374">IFERROR(
  INDEX(
    IR!$B$2:$E2026,                
    MATCH($A374, IR!$A$2:$A2026, 0), 
    MATCH(C$1, IR!$B$1:$E$1, 0) ), "")
</f>
        <v>-0.00104</v>
      </c>
      <c r="D374" s="9">
        <f t="array" ref="D374">IFERROR(
  INDEX(
    IR!$B$2:$E2026,                
    MATCH($A374, IR!$A$2:$A2026, 0), 
    MATCH(D$1, IR!$B$1:$E$1, 0) ), "")
</f>
        <v>-0.00038</v>
      </c>
      <c r="E374" s="9">
        <f t="array" ref="E374">IFERROR(
  INDEX(
    IR!$B$2:$E2026,                
    MATCH($A374, IR!$A$2:$A2026, 0), 
    MATCH(E$1, IR!$B$1:$E$1, 0) ), "")
</f>
        <v>0.00036</v>
      </c>
      <c r="F374" s="9">
        <f t="array" ref="F374">IFERROR(
  INDEX(
    IR!$B$2:$E2026,                
    MATCH($A374, IR!$A$2:$A2026, 0), 
    MATCH(F$1, IR!$B$1:$E$1, 0) ), "")
</f>
        <v>0.00152</v>
      </c>
      <c r="G374" s="14"/>
      <c r="H374" s="9">
        <f t="array" ref="H374">IFERROR(
  INDEX(
    SR!$B$2:$D2026,            
    MATCH($A374, SR!$A$2:$A2026, 0),  
    MATCH(H$1, SR!$B$1:$D$1, 0) ), "")
</f>
        <v>0.0007</v>
      </c>
      <c r="I374" s="9">
        <f t="array" ref="I374">IFERROR(
  INDEX(
    SR!$B$2:$D2026,            
    MATCH($A374, SR!$A$2:$A2026, 0),  
    MATCH(I$1, SR!$B$1:$D$1, 0) ), "")
</f>
        <v>0.00151</v>
      </c>
      <c r="J374" s="9">
        <f t="array" ref="J374">IFERROR(
  INDEX(
    SR!$B$2:$D2026,            
    MATCH($A374, SR!$A$2:$A2026, 0),  
    MATCH(J$1, SR!$B$1:$D$1, 0) ), "")
</f>
        <v>0.003916</v>
      </c>
      <c r="K374" s="14"/>
      <c r="L374" s="9">
        <v>123.56</v>
      </c>
      <c r="M374" s="9">
        <v>24.54</v>
      </c>
      <c r="N374" s="9">
        <v>112.41</v>
      </c>
      <c r="O374" s="9">
        <v>123.36</v>
      </c>
      <c r="P374" s="9">
        <v>132.36</v>
      </c>
      <c r="Q374" s="9">
        <v>1385.0681</v>
      </c>
      <c r="R374" s="14"/>
      <c r="S374" s="12">
        <f t="shared" si="2"/>
        <v>-0.0003353818679</v>
      </c>
      <c r="T374" s="12">
        <f t="shared" si="3"/>
        <v>0.9996646181</v>
      </c>
      <c r="U374" s="16">
        <f t="shared" si="7"/>
        <v>102.0174029</v>
      </c>
      <c r="V374" s="17"/>
      <c r="W374" s="12">
        <f t="array" ref="W374">SQRT(252/20) *  SQRT( SUMSQ( LN(U353:U372 / U352:U371) )  - (1/20) * ( SUM( LN(U353:U372 / U352:U371) ) ^ 2 ) )</f>
        <v>0.03498718564</v>
      </c>
      <c r="X374" s="9">
        <f t="shared" si="4"/>
        <v>1.5</v>
      </c>
      <c r="Y374" s="14"/>
      <c r="Z374" s="12">
        <f t="shared" si="5"/>
        <v>0.9995011772</v>
      </c>
      <c r="AA374" s="16">
        <f t="shared" si="8"/>
        <v>102.9903677</v>
      </c>
      <c r="AB374" s="14"/>
      <c r="AC374" s="9">
        <f t="shared" si="6"/>
        <v>0</v>
      </c>
    </row>
    <row r="375">
      <c r="A375" s="8">
        <v>42269.0</v>
      </c>
      <c r="B375" s="14"/>
      <c r="C375" s="9">
        <f t="array" ref="C375">IFERROR(
  INDEX(
    IR!$B$2:$E2026,                
    MATCH($A375, IR!$A$2:$A2026, 0), 
    MATCH(C$1, IR!$B$1:$E$1, 0) ), "")
</f>
        <v>-0.00103</v>
      </c>
      <c r="D375" s="9">
        <f t="array" ref="D375">IFERROR(
  INDEX(
    IR!$B$2:$E2026,                
    MATCH($A375, IR!$A$2:$A2026, 0), 
    MATCH(D$1, IR!$B$1:$E$1, 0) ), "")
</f>
        <v>-0.00039</v>
      </c>
      <c r="E375" s="9">
        <f t="array" ref="E375">IFERROR(
  INDEX(
    IR!$B$2:$E2026,                
    MATCH($A375, IR!$A$2:$A2026, 0), 
    MATCH(E$1, IR!$B$1:$E$1, 0) ), "")
</f>
        <v>0.00034</v>
      </c>
      <c r="F375" s="9">
        <f t="array" ref="F375">IFERROR(
  INDEX(
    IR!$B$2:$E2026,                
    MATCH($A375, IR!$A$2:$A2026, 0), 
    MATCH(F$1, IR!$B$1:$E$1, 0) ), "")
</f>
        <v>0.0015</v>
      </c>
      <c r="G375" s="14"/>
      <c r="H375" s="9">
        <f t="array" ref="H375">IFERROR(
  INDEX(
    SR!$B$2:$D2026,            
    MATCH($A375, SR!$A$2:$A2026, 0),  
    MATCH(H$1, SR!$B$1:$D$1, 0) ), "")
</f>
        <v>0.00047</v>
      </c>
      <c r="I375" s="9">
        <f t="array" ref="I375">IFERROR(
  INDEX(
    SR!$B$2:$D2026,            
    MATCH($A375, SR!$A$2:$A2026, 0),  
    MATCH(I$1, SR!$B$1:$D$1, 0) ), "")
</f>
        <v>0.001167</v>
      </c>
      <c r="J375" s="9">
        <f t="array" ref="J375">IFERROR(
  INDEX(
    SR!$B$2:$D2026,            
    MATCH($A375, SR!$A$2:$A2026, 0),  
    MATCH(J$1, SR!$B$1:$D$1, 0) ), "")
</f>
        <v>0.003525</v>
      </c>
      <c r="K375" s="14"/>
      <c r="L375" s="9">
        <v>122.9</v>
      </c>
      <c r="M375" s="9">
        <v>24.54</v>
      </c>
      <c r="N375" s="9">
        <v>112.37</v>
      </c>
      <c r="O375" s="9">
        <v>123.3</v>
      </c>
      <c r="P375" s="9">
        <v>132.27</v>
      </c>
      <c r="Q375" s="9">
        <v>1385.7063</v>
      </c>
      <c r="R375" s="14"/>
      <c r="S375" s="12">
        <f t="shared" si="2"/>
        <v>-0.001066685092</v>
      </c>
      <c r="T375" s="12">
        <f t="shared" si="3"/>
        <v>0.9989333149</v>
      </c>
      <c r="U375" s="16">
        <f t="shared" si="7"/>
        <v>101.9085824</v>
      </c>
      <c r="V375" s="17"/>
      <c r="W375" s="12">
        <f t="array" ref="W375">SQRT(252/20) *  SQRT( SUMSQ( LN(U354:U373 / U353:U372) )  - (1/20) * ( SUM( LN(U354:U373 / U353:U372) ) ^ 2 ) )</f>
        <v>0.03226693137</v>
      </c>
      <c r="X375" s="9">
        <f t="shared" si="4"/>
        <v>1.5</v>
      </c>
      <c r="Y375" s="14"/>
      <c r="Z375" s="12">
        <f t="shared" si="5"/>
        <v>0.9984014168</v>
      </c>
      <c r="AA375" s="16">
        <f t="shared" si="8"/>
        <v>102.825729</v>
      </c>
      <c r="AB375" s="14"/>
      <c r="AC375" s="9">
        <f t="shared" si="6"/>
        <v>0</v>
      </c>
    </row>
    <row r="376">
      <c r="A376" s="8">
        <v>42270.0</v>
      </c>
      <c r="B376" s="14"/>
      <c r="C376" s="9">
        <f t="array" ref="C376">IFERROR(
  INDEX(
    IR!$B$2:$E2026,                
    MATCH($A376, IR!$A$2:$A2026, 0), 
    MATCH(C$1, IR!$B$1:$E$1, 0) ), "")
</f>
        <v>-0.00107</v>
      </c>
      <c r="D376" s="9">
        <f t="array" ref="D376">IFERROR(
  INDEX(
    IR!$B$2:$E2026,                
    MATCH($A376, IR!$A$2:$A2026, 0), 
    MATCH(D$1, IR!$B$1:$E$1, 0) ), "")
</f>
        <v>-0.00039</v>
      </c>
      <c r="E376" s="9">
        <f t="array" ref="E376">IFERROR(
  INDEX(
    IR!$B$2:$E2026,                
    MATCH($A376, IR!$A$2:$A2026, 0), 
    MATCH(E$1, IR!$B$1:$E$1, 0) ), "")
</f>
        <v>0.00033</v>
      </c>
      <c r="F376" s="9">
        <f t="array" ref="F376">IFERROR(
  INDEX(
    IR!$B$2:$E2026,                
    MATCH($A376, IR!$A$2:$A2026, 0), 
    MATCH(F$1, IR!$B$1:$E$1, 0) ), "")
</f>
        <v>0.00147</v>
      </c>
      <c r="G376" s="14"/>
      <c r="H376" s="9">
        <f t="array" ref="H376">IFERROR(
  INDEX(
    SR!$B$2:$D2026,            
    MATCH($A376, SR!$A$2:$A2026, 0),  
    MATCH(H$1, SR!$B$1:$D$1, 0) ), "")
</f>
        <v>0.00052</v>
      </c>
      <c r="I376" s="9">
        <f t="array" ref="I376">IFERROR(
  INDEX(
    SR!$B$2:$D2026,            
    MATCH($A376, SR!$A$2:$A2026, 0),  
    MATCH(I$1, SR!$B$1:$D$1, 0) ), "")
</f>
        <v>0.00125</v>
      </c>
      <c r="J376" s="9">
        <f t="array" ref="J376">IFERROR(
  INDEX(
    SR!$B$2:$D2026,            
    MATCH($A376, SR!$A$2:$A2026, 0),  
    MATCH(J$1, SR!$B$1:$D$1, 0) ), "")
</f>
        <v>0.00356</v>
      </c>
      <c r="K376" s="14"/>
      <c r="L376" s="9">
        <v>122.91</v>
      </c>
      <c r="M376" s="9">
        <v>24.53</v>
      </c>
      <c r="N376" s="9">
        <v>112.52</v>
      </c>
      <c r="O376" s="9">
        <v>123.53</v>
      </c>
      <c r="P376" s="9">
        <v>131.8</v>
      </c>
      <c r="Q376" s="9">
        <v>1376.2806</v>
      </c>
      <c r="R376" s="14"/>
      <c r="S376" s="12">
        <f t="shared" si="2"/>
        <v>-0.001247067244</v>
      </c>
      <c r="T376" s="12">
        <f t="shared" si="3"/>
        <v>0.9987529328</v>
      </c>
      <c r="U376" s="16">
        <f t="shared" si="7"/>
        <v>101.7814956</v>
      </c>
      <c r="V376" s="17"/>
      <c r="W376" s="12">
        <f t="array" ref="W376">SQRT(252/20) *  SQRT( SUMSQ( LN(U355:U374 / U354:U373) )  - (1/20) * ( SUM( LN(U355:U374 / U354:U373) ) ^ 2 ) )</f>
        <v>0.0247350143</v>
      </c>
      <c r="X376" s="9">
        <f t="shared" si="4"/>
        <v>1.5</v>
      </c>
      <c r="Y376" s="14"/>
      <c r="Z376" s="12">
        <f t="shared" si="5"/>
        <v>0.9981308297</v>
      </c>
      <c r="AA376" s="16">
        <f t="shared" si="8"/>
        <v>102.6335302</v>
      </c>
      <c r="AB376" s="14"/>
      <c r="AC376" s="9">
        <f t="shared" si="6"/>
        <v>0</v>
      </c>
    </row>
    <row r="377">
      <c r="A377" s="8">
        <v>42271.0</v>
      </c>
      <c r="B377" s="14"/>
      <c r="C377" s="9">
        <f t="array" ref="C377">IFERROR(
  INDEX(
    IR!$B$2:$E2026,                
    MATCH($A377, IR!$A$2:$A2026, 0), 
    MATCH(C$1, IR!$B$1:$E$1, 0) ), "")
</f>
        <v>-0.00109</v>
      </c>
      <c r="D377" s="9">
        <f t="array" ref="D377">IFERROR(
  INDEX(
    IR!$B$2:$E2026,                
    MATCH($A377, IR!$A$2:$A2026, 0), 
    MATCH(D$1, IR!$B$1:$E$1, 0) ), "")
</f>
        <v>-0.0004</v>
      </c>
      <c r="E377" s="9">
        <f t="array" ref="E377">IFERROR(
  INDEX(
    IR!$B$2:$E2026,                
    MATCH($A377, IR!$A$2:$A2026, 0), 
    MATCH(E$1, IR!$B$1:$E$1, 0) ), "")
</f>
        <v>0.00032</v>
      </c>
      <c r="F377" s="9">
        <f t="array" ref="F377">IFERROR(
  INDEX(
    IR!$B$2:$E2026,                
    MATCH($A377, IR!$A$2:$A2026, 0), 
    MATCH(F$1, IR!$B$1:$E$1, 0) ), "")
</f>
        <v>0.00148</v>
      </c>
      <c r="G377" s="14"/>
      <c r="H377" s="9">
        <f t="array" ref="H377">IFERROR(
  INDEX(
    SR!$B$2:$D2026,            
    MATCH($A377, SR!$A$2:$A2026, 0),  
    MATCH(H$1, SR!$B$1:$D$1, 0) ), "")
</f>
        <v>0.00071</v>
      </c>
      <c r="I377" s="9">
        <f t="array" ref="I377">IFERROR(
  INDEX(
    SR!$B$2:$D2026,            
    MATCH($A377, SR!$A$2:$A2026, 0),  
    MATCH(I$1, SR!$B$1:$D$1, 0) ), "")
</f>
        <v>0.00132</v>
      </c>
      <c r="J377" s="9">
        <f t="array" ref="J377">IFERROR(
  INDEX(
    SR!$B$2:$D2026,            
    MATCH($A377, SR!$A$2:$A2026, 0),  
    MATCH(J$1, SR!$B$1:$D$1, 0) ), "")
</f>
        <v>0.003776</v>
      </c>
      <c r="K377" s="14"/>
      <c r="L377" s="9">
        <v>122.47</v>
      </c>
      <c r="M377" s="9">
        <v>24.5</v>
      </c>
      <c r="N377" s="9">
        <v>112.99</v>
      </c>
      <c r="O377" s="9">
        <v>123.47</v>
      </c>
      <c r="P377" s="9">
        <v>131.64</v>
      </c>
      <c r="Q377" s="9">
        <v>1374.093</v>
      </c>
      <c r="R377" s="14"/>
      <c r="S377" s="12">
        <f t="shared" si="2"/>
        <v>-0.0006523956513</v>
      </c>
      <c r="T377" s="12">
        <f t="shared" si="3"/>
        <v>0.9993476043</v>
      </c>
      <c r="U377" s="16">
        <f t="shared" si="7"/>
        <v>101.7150938</v>
      </c>
      <c r="V377" s="17"/>
      <c r="W377" s="12">
        <f t="array" ref="W377">SQRT(252/20) *  SQRT( SUMSQ( LN(U356:U375 / U355:U374) )  - (1/20) * ( SUM( LN(U356:U375 / U355:U374) ) ^ 2 ) )</f>
        <v>0.02368620637</v>
      </c>
      <c r="X377" s="9">
        <f t="shared" si="4"/>
        <v>1.5</v>
      </c>
      <c r="Y377" s="14"/>
      <c r="Z377" s="12">
        <f t="shared" si="5"/>
        <v>0.9990228926</v>
      </c>
      <c r="AA377" s="16">
        <f t="shared" si="8"/>
        <v>102.5332462</v>
      </c>
      <c r="AB377" s="14"/>
      <c r="AC377" s="9">
        <f t="shared" si="6"/>
        <v>0</v>
      </c>
    </row>
    <row r="378">
      <c r="A378" s="8">
        <v>42272.0</v>
      </c>
      <c r="B378" s="14"/>
      <c r="C378" s="9">
        <f t="array" ref="C378">IFERROR(
  INDEX(
    IR!$B$2:$E2026,                
    MATCH($A378, IR!$A$2:$A2026, 0), 
    MATCH(C$1, IR!$B$1:$E$1, 0) ), "")
</f>
        <v>-0.00111</v>
      </c>
      <c r="D378" s="9">
        <f t="array" ref="D378">IFERROR(
  INDEX(
    IR!$B$2:$E2026,                
    MATCH($A378, IR!$A$2:$A2026, 0), 
    MATCH(D$1, IR!$B$1:$E$1, 0) ), "")
</f>
        <v>-0.00041</v>
      </c>
      <c r="E378" s="9">
        <f t="array" ref="E378">IFERROR(
  INDEX(
    IR!$B$2:$E2026,                
    MATCH($A378, IR!$A$2:$A2026, 0), 
    MATCH(E$1, IR!$B$1:$E$1, 0) ), "")
</f>
        <v>0.0003</v>
      </c>
      <c r="F378" s="9">
        <f t="array" ref="F378">IFERROR(
  INDEX(
    IR!$B$2:$E2026,                
    MATCH($A378, IR!$A$2:$A2026, 0), 
    MATCH(F$1, IR!$B$1:$E$1, 0) ), "")
</f>
        <v>0.00146</v>
      </c>
      <c r="G378" s="14"/>
      <c r="H378" s="9">
        <f t="array" ref="H378">IFERROR(
  INDEX(
    SR!$B$2:$D2026,            
    MATCH($A378, SR!$A$2:$A2026, 0),  
    MATCH(H$1, SR!$B$1:$D$1, 0) ), "")
</f>
        <v>0.00064</v>
      </c>
      <c r="I378" s="9">
        <f t="array" ref="I378">IFERROR(
  INDEX(
    SR!$B$2:$D2026,            
    MATCH($A378, SR!$A$2:$A2026, 0),  
    MATCH(I$1, SR!$B$1:$D$1, 0) ), "")
</f>
        <v>0.00141</v>
      </c>
      <c r="J378" s="9">
        <f t="array" ref="J378">IFERROR(
  INDEX(
    SR!$B$2:$D2026,            
    MATCH($A378, SR!$A$2:$A2026, 0),  
    MATCH(J$1, SR!$B$1:$D$1, 0) ), "")
</f>
        <v>0.00372</v>
      </c>
      <c r="K378" s="14"/>
      <c r="L378" s="9">
        <v>122.95</v>
      </c>
      <c r="M378" s="9">
        <v>24.51</v>
      </c>
      <c r="N378" s="9">
        <v>112.94</v>
      </c>
      <c r="O378" s="9">
        <v>123.48</v>
      </c>
      <c r="P378" s="9">
        <v>131.24</v>
      </c>
      <c r="Q378" s="9">
        <v>1370.8932</v>
      </c>
      <c r="R378" s="14"/>
      <c r="S378" s="12">
        <f t="shared" si="2"/>
        <v>-0.0002336875627</v>
      </c>
      <c r="T378" s="12">
        <f t="shared" si="3"/>
        <v>0.9997663124</v>
      </c>
      <c r="U378" s="16">
        <f t="shared" si="7"/>
        <v>101.6913242</v>
      </c>
      <c r="V378" s="17"/>
      <c r="W378" s="12">
        <f t="array" ref="W378">SQRT(252/20) *  SQRT( SUMSQ( LN(U357:U376 / U356:U375) )  - (1/20) * ( SUM( LN(U357:U376 / U356:U375) ) ^ 2 ) )</f>
        <v>0.02392038542</v>
      </c>
      <c r="X378" s="9">
        <f t="shared" si="4"/>
        <v>1.5</v>
      </c>
      <c r="Y378" s="14"/>
      <c r="Z378" s="12">
        <f t="shared" si="5"/>
        <v>0.9996509825</v>
      </c>
      <c r="AA378" s="16">
        <f t="shared" si="8"/>
        <v>102.4974603</v>
      </c>
      <c r="AB378" s="14"/>
      <c r="AC378" s="9">
        <f t="shared" si="6"/>
        <v>0</v>
      </c>
    </row>
    <row r="379">
      <c r="A379" s="8">
        <v>42275.0</v>
      </c>
      <c r="B379" s="14"/>
      <c r="C379" s="9">
        <f t="array" ref="C379">IFERROR(
  INDEX(
    IR!$B$2:$E2026,                
    MATCH($A379, IR!$A$2:$A2026, 0), 
    MATCH(C$1, IR!$B$1:$E$1, 0) ), "")
</f>
        <v>-0.00111</v>
      </c>
      <c r="D379" s="9">
        <f t="array" ref="D379">IFERROR(
  INDEX(
    IR!$B$2:$E2026,                
    MATCH($A379, IR!$A$2:$A2026, 0), 
    MATCH(D$1, IR!$B$1:$E$1, 0) ), "")
</f>
        <v>-0.00041</v>
      </c>
      <c r="E379" s="9">
        <f t="array" ref="E379">IFERROR(
  INDEX(
    IR!$B$2:$E2026,                
    MATCH($A379, IR!$A$2:$A2026, 0), 
    MATCH(E$1, IR!$B$1:$E$1, 0) ), "")
</f>
        <v>0.00029</v>
      </c>
      <c r="F379" s="9">
        <f t="array" ref="F379">IFERROR(
  INDEX(
    IR!$B$2:$E2026,                
    MATCH($A379, IR!$A$2:$A2026, 0), 
    MATCH(F$1, IR!$B$1:$E$1, 0) ), "")
</f>
        <v>0.00145</v>
      </c>
      <c r="G379" s="14"/>
      <c r="H379" s="9">
        <f t="array" ref="H379">IFERROR(
  INDEX(
    SR!$B$2:$D2026,            
    MATCH($A379, SR!$A$2:$A2026, 0),  
    MATCH(H$1, SR!$B$1:$D$1, 0) ), "")
</f>
        <v>0.00056</v>
      </c>
      <c r="I379" s="9">
        <f t="array" ref="I379">IFERROR(
  INDEX(
    SR!$B$2:$D2026,            
    MATCH($A379, SR!$A$2:$A2026, 0),  
    MATCH(I$1, SR!$B$1:$D$1, 0) ), "")
</f>
        <v>0.0013</v>
      </c>
      <c r="J379" s="9">
        <f t="array" ref="J379">IFERROR(
  INDEX(
    SR!$B$2:$D2026,            
    MATCH($A379, SR!$A$2:$A2026, 0),  
    MATCH(J$1, SR!$B$1:$D$1, 0) ), "")
</f>
        <v>0.003535</v>
      </c>
      <c r="K379" s="14"/>
      <c r="L379" s="9">
        <v>122.23</v>
      </c>
      <c r="M379" s="9">
        <v>24.5</v>
      </c>
      <c r="N379" s="9">
        <v>112.84</v>
      </c>
      <c r="O379" s="9">
        <v>123.34</v>
      </c>
      <c r="P379" s="9">
        <v>130.99</v>
      </c>
      <c r="Q379" s="9">
        <v>1373.8123</v>
      </c>
      <c r="R379" s="14"/>
      <c r="S379" s="12">
        <f t="shared" si="2"/>
        <v>-0.001342385461</v>
      </c>
      <c r="T379" s="12">
        <f t="shared" si="3"/>
        <v>0.9986576145</v>
      </c>
      <c r="U379" s="16">
        <f t="shared" si="7"/>
        <v>101.5548153</v>
      </c>
      <c r="V379" s="17"/>
      <c r="W379" s="12">
        <f t="array" ref="W379">SQRT(252/20) *  SQRT( SUMSQ( LN(U358:U377 / U357:U376) )  - (1/20) * ( SUM( LN(U358:U377 / U357:U376) ) ^ 2 ) )</f>
        <v>0.02134205076</v>
      </c>
      <c r="X379" s="9">
        <f t="shared" si="4"/>
        <v>1.5</v>
      </c>
      <c r="Y379" s="14"/>
      <c r="Z379" s="12">
        <f t="shared" si="5"/>
        <v>0.9979910468</v>
      </c>
      <c r="AA379" s="16">
        <f t="shared" si="8"/>
        <v>102.2915477</v>
      </c>
      <c r="AB379" s="14"/>
      <c r="AC379" s="9">
        <f t="shared" si="6"/>
        <v>0</v>
      </c>
    </row>
    <row r="380">
      <c r="A380" s="8">
        <v>42276.0</v>
      </c>
      <c r="B380" s="14"/>
      <c r="C380" s="9">
        <f t="array" ref="C380">IFERROR(
  INDEX(
    IR!$B$2:$E2026,                
    MATCH($A380, IR!$A$2:$A2026, 0), 
    MATCH(C$1, IR!$B$1:$E$1, 0) ), "")
</f>
        <v>-0.00113</v>
      </c>
      <c r="D380" s="9">
        <f t="array" ref="D380">IFERROR(
  INDEX(
    IR!$B$2:$E2026,                
    MATCH($A380, IR!$A$2:$A2026, 0), 
    MATCH(D$1, IR!$B$1:$E$1, 0) ), "")
</f>
        <v>-0.00041</v>
      </c>
      <c r="E380" s="9">
        <f t="array" ref="E380">IFERROR(
  INDEX(
    IR!$B$2:$E2026,                
    MATCH($A380, IR!$A$2:$A2026, 0), 
    MATCH(E$1, IR!$B$1:$E$1, 0) ), "")
</f>
        <v>0.00029</v>
      </c>
      <c r="F380" s="9">
        <f t="array" ref="F380">IFERROR(
  INDEX(
    IR!$B$2:$E2026,                
    MATCH($A380, IR!$A$2:$A2026, 0), 
    MATCH(F$1, IR!$B$1:$E$1, 0) ), "")
</f>
        <v>0.00143</v>
      </c>
      <c r="G380" s="14"/>
      <c r="H380" s="9">
        <f t="array" ref="H380">IFERROR(
  INDEX(
    SR!$B$2:$D2026,            
    MATCH($A380, SR!$A$2:$A2026, 0),  
    MATCH(H$1, SR!$B$1:$D$1, 0) ), "")
</f>
        <v>0.00051</v>
      </c>
      <c r="I380" s="9">
        <f t="array" ref="I380">IFERROR(
  INDEX(
    SR!$B$2:$D2026,            
    MATCH($A380, SR!$A$2:$A2026, 0),  
    MATCH(I$1, SR!$B$1:$D$1, 0) ), "")
</f>
        <v>0.00126</v>
      </c>
      <c r="J380" s="9">
        <f t="array" ref="J380">IFERROR(
  INDEX(
    SR!$B$2:$D2026,            
    MATCH($A380, SR!$A$2:$A2026, 0),  
    MATCH(J$1, SR!$B$1:$D$1, 0) ), "")
</f>
        <v>0.003536</v>
      </c>
      <c r="K380" s="14"/>
      <c r="L380" s="9">
        <v>121.82</v>
      </c>
      <c r="M380" s="9">
        <v>24.5</v>
      </c>
      <c r="N380" s="9">
        <v>112.64</v>
      </c>
      <c r="O380" s="9">
        <v>123.37</v>
      </c>
      <c r="P380" s="9">
        <v>130.27</v>
      </c>
      <c r="Q380" s="9">
        <v>1358.1242</v>
      </c>
      <c r="R380" s="14"/>
      <c r="S380" s="12">
        <f t="shared" si="2"/>
        <v>-0.003632941464</v>
      </c>
      <c r="T380" s="12">
        <f t="shared" si="3"/>
        <v>0.9963670585</v>
      </c>
      <c r="U380" s="16">
        <f t="shared" si="7"/>
        <v>101.1858726</v>
      </c>
      <c r="V380" s="17"/>
      <c r="W380" s="12">
        <f t="array" ref="W380">SQRT(252/20) *  SQRT( SUMSQ( LN(U359:U378 / U358:U377) )  - (1/20) * ( SUM( LN(U359:U378 / U358:U377) ) ^ 2 ) )</f>
        <v>0.01712891072</v>
      </c>
      <c r="X380" s="9">
        <f t="shared" si="4"/>
        <v>1.5</v>
      </c>
      <c r="Y380" s="14"/>
      <c r="Z380" s="12">
        <f t="shared" si="5"/>
        <v>0.9945521295</v>
      </c>
      <c r="AA380" s="16">
        <f t="shared" si="8"/>
        <v>101.7342766</v>
      </c>
      <c r="AB380" s="14"/>
      <c r="AC380" s="9">
        <f t="shared" si="6"/>
        <v>0</v>
      </c>
    </row>
    <row r="381">
      <c r="A381" s="8">
        <v>42277.0</v>
      </c>
      <c r="B381" s="14"/>
      <c r="C381" s="9">
        <f t="array" ref="C381">IFERROR(
  INDEX(
    IR!$B$2:$E2026,                
    MATCH($A381, IR!$A$2:$A2026, 0), 
    MATCH(C$1, IR!$B$1:$E$1, 0) ), "")
</f>
        <v>-0.00113</v>
      </c>
      <c r="D381" s="9">
        <f t="array" ref="D381">IFERROR(
  INDEX(
    IR!$B$2:$E2026,                
    MATCH($A381, IR!$A$2:$A2026, 0), 
    MATCH(D$1, IR!$B$1:$E$1, 0) ), "")
</f>
        <v>-0.0004</v>
      </c>
      <c r="E381" s="9">
        <f t="array" ref="E381">IFERROR(
  INDEX(
    IR!$B$2:$E2026,                
    MATCH($A381, IR!$A$2:$A2026, 0), 
    MATCH(E$1, IR!$B$1:$E$1, 0) ), "")
</f>
        <v>0.00029</v>
      </c>
      <c r="F381" s="9">
        <f t="array" ref="F381">IFERROR(
  INDEX(
    IR!$B$2:$E2026,                
    MATCH($A381, IR!$A$2:$A2026, 0), 
    MATCH(F$1, IR!$B$1:$E$1, 0) ), "")
</f>
        <v>0.00142</v>
      </c>
      <c r="G381" s="14"/>
      <c r="H381" s="9">
        <f t="array" ref="H381">IFERROR(
  INDEX(
    SR!$B$2:$D2026,            
    MATCH($A381, SR!$A$2:$A2026, 0),  
    MATCH(H$1, SR!$B$1:$D$1, 0) ), "")
</f>
        <v>0.00048</v>
      </c>
      <c r="I381" s="9">
        <f t="array" ref="I381">IFERROR(
  INDEX(
    SR!$B$2:$D2026,            
    MATCH($A381, SR!$A$2:$A2026, 0),  
    MATCH(I$1, SR!$B$1:$D$1, 0) ), "")
</f>
        <v>0.00122</v>
      </c>
      <c r="J381" s="9">
        <f t="array" ref="J381">IFERROR(
  INDEX(
    SR!$B$2:$D2026,            
    MATCH($A381, SR!$A$2:$A2026, 0),  
    MATCH(J$1, SR!$B$1:$D$1, 0) ), "")
</f>
        <v>0.00347</v>
      </c>
      <c r="K381" s="14"/>
      <c r="L381" s="9">
        <v>122.22</v>
      </c>
      <c r="M381" s="9">
        <v>24.45</v>
      </c>
      <c r="N381" s="9">
        <v>112.65</v>
      </c>
      <c r="O381" s="9">
        <v>123.31</v>
      </c>
      <c r="P381" s="9">
        <v>130.04</v>
      </c>
      <c r="Q381" s="9">
        <v>1355.8882</v>
      </c>
      <c r="R381" s="14"/>
      <c r="S381" s="12">
        <f t="shared" si="2"/>
        <v>-0.0004277933549</v>
      </c>
      <c r="T381" s="12">
        <f t="shared" si="3"/>
        <v>0.9995722066</v>
      </c>
      <c r="U381" s="16">
        <f t="shared" si="7"/>
        <v>101.1425859</v>
      </c>
      <c r="V381" s="17"/>
      <c r="W381" s="12">
        <f t="array" ref="W381">SQRT(252/20) *  SQRT( SUMSQ( LN(U360:U379 / U359:U378) )  - (1/20) * ( SUM( LN(U360:U379 / U359:U378) ) ^ 2 ) )</f>
        <v>0.01736839892</v>
      </c>
      <c r="X381" s="9">
        <f t="shared" si="4"/>
        <v>1.5</v>
      </c>
      <c r="Y381" s="14"/>
      <c r="Z381" s="12">
        <f t="shared" si="5"/>
        <v>0.9993598794</v>
      </c>
      <c r="AA381" s="16">
        <f t="shared" si="8"/>
        <v>101.6691544</v>
      </c>
      <c r="AB381" s="14"/>
      <c r="AC381" s="9">
        <f t="shared" si="6"/>
        <v>0</v>
      </c>
    </row>
    <row r="382">
      <c r="A382" s="8">
        <v>42278.0</v>
      </c>
      <c r="B382" s="14"/>
      <c r="C382" s="9">
        <f t="array" ref="C382">IFERROR(
  INDEX(
    IR!$B$2:$E2026,                
    MATCH($A382, IR!$A$2:$A2026, 0), 
    MATCH(C$1, IR!$B$1:$E$1, 0) ), "")
</f>
        <v>-0.00113</v>
      </c>
      <c r="D382" s="9">
        <f t="array" ref="D382">IFERROR(
  INDEX(
    IR!$B$2:$E2026,                
    MATCH($A382, IR!$A$2:$A2026, 0), 
    MATCH(D$1, IR!$B$1:$E$1, 0) ), "")
</f>
        <v>-0.00043</v>
      </c>
      <c r="E382" s="9">
        <f t="array" ref="E382">IFERROR(
  INDEX(
    IR!$B$2:$E2026,                
    MATCH($A382, IR!$A$2:$A2026, 0), 
    MATCH(E$1, IR!$B$1:$E$1, 0) ), "")
</f>
        <v>0.00027</v>
      </c>
      <c r="F382" s="9">
        <f t="array" ref="F382">IFERROR(
  INDEX(
    IR!$B$2:$E2026,                
    MATCH($A382, IR!$A$2:$A2026, 0), 
    MATCH(F$1, IR!$B$1:$E$1, 0) ), "")
</f>
        <v>0.0014</v>
      </c>
      <c r="G382" s="14"/>
      <c r="H382" s="9">
        <f t="array" ref="H382">IFERROR(
  INDEX(
    SR!$B$2:$D2026,            
    MATCH($A382, SR!$A$2:$A2026, 0),  
    MATCH(H$1, SR!$B$1:$D$1, 0) ), "")
</f>
        <v>0.00039</v>
      </c>
      <c r="I382" s="9">
        <f t="array" ref="I382">IFERROR(
  INDEX(
    SR!$B$2:$D2026,            
    MATCH($A382, SR!$A$2:$A2026, 0),  
    MATCH(I$1, SR!$B$1:$D$1, 0) ), "")
</f>
        <v>0.00108</v>
      </c>
      <c r="J382" s="9">
        <f t="array" ref="J382">IFERROR(
  INDEX(
    SR!$B$2:$D2026,            
    MATCH($A382, SR!$A$2:$A2026, 0),  
    MATCH(J$1, SR!$B$1:$D$1, 0) ), "")
</f>
        <v>0.00325</v>
      </c>
      <c r="K382" s="14"/>
      <c r="L382" s="9">
        <v>121.98</v>
      </c>
      <c r="M382" s="9">
        <v>24.45</v>
      </c>
      <c r="N382" s="9">
        <v>112.75</v>
      </c>
      <c r="O382" s="9">
        <v>123.31</v>
      </c>
      <c r="P382" s="9">
        <v>130.25</v>
      </c>
      <c r="Q382" s="9">
        <v>1367.7524</v>
      </c>
      <c r="R382" s="14"/>
      <c r="S382" s="12">
        <f t="shared" si="2"/>
        <v>0.001548431144</v>
      </c>
      <c r="T382" s="12">
        <f t="shared" si="3"/>
        <v>1.001548431</v>
      </c>
      <c r="U382" s="16">
        <f t="shared" si="7"/>
        <v>101.2991983</v>
      </c>
      <c r="V382" s="17"/>
      <c r="W382" s="12">
        <f t="array" ref="W382">SQRT(252/20) *  SQRT( SUMSQ( LN(U361:U380 / U360:U379) )  - (1/20) * ( SUM( LN(U361:U380 / U360:U379) ) ^ 2 ) )</f>
        <v>0.02012199834</v>
      </c>
      <c r="X382" s="9">
        <f t="shared" si="4"/>
        <v>1.5</v>
      </c>
      <c r="Y382" s="14"/>
      <c r="Z382" s="12">
        <f t="shared" si="5"/>
        <v>1.002324216</v>
      </c>
      <c r="AA382" s="16">
        <f t="shared" si="8"/>
        <v>101.9054555</v>
      </c>
      <c r="AB382" s="14"/>
      <c r="AC382" s="9">
        <f t="shared" si="6"/>
        <v>0</v>
      </c>
    </row>
    <row r="383">
      <c r="A383" s="8">
        <v>42279.0</v>
      </c>
      <c r="B383" s="14"/>
      <c r="C383" s="9">
        <f t="array" ref="C383">IFERROR(
  INDEX(
    IR!$B$2:$E2026,                
    MATCH($A383, IR!$A$2:$A2026, 0), 
    MATCH(C$1, IR!$B$1:$E$1, 0) ), "")
</f>
        <v>-0.00113</v>
      </c>
      <c r="D383" s="9">
        <f t="array" ref="D383">IFERROR(
  INDEX(
    IR!$B$2:$E2026,                
    MATCH($A383, IR!$A$2:$A2026, 0), 
    MATCH(D$1, IR!$B$1:$E$1, 0) ), "")
</f>
        <v>-0.00044</v>
      </c>
      <c r="E383" s="9">
        <f t="array" ref="E383">IFERROR(
  INDEX(
    IR!$B$2:$E2026,                
    MATCH($A383, IR!$A$2:$A2026, 0), 
    MATCH(E$1, IR!$B$1:$E$1, 0) ), "")
</f>
        <v>0.00026</v>
      </c>
      <c r="F383" s="9">
        <f t="array" ref="F383">IFERROR(
  INDEX(
    IR!$B$2:$E2026,                
    MATCH($A383, IR!$A$2:$A2026, 0), 
    MATCH(F$1, IR!$B$1:$E$1, 0) ), "")
</f>
        <v>0.00139</v>
      </c>
      <c r="G383" s="14"/>
      <c r="H383" s="9">
        <f t="array" ref="H383">IFERROR(
  INDEX(
    SR!$B$2:$D2026,            
    MATCH($A383, SR!$A$2:$A2026, 0),  
    MATCH(H$1, SR!$B$1:$D$1, 0) ), "")
</f>
        <v>0.00037</v>
      </c>
      <c r="I383" s="9">
        <f t="array" ref="I383">IFERROR(
  INDEX(
    SR!$B$2:$D2026,            
    MATCH($A383, SR!$A$2:$A2026, 0),  
    MATCH(I$1, SR!$B$1:$D$1, 0) ), "")
</f>
        <v>0.001007</v>
      </c>
      <c r="J383" s="9">
        <f t="array" ref="J383">IFERROR(
  INDEX(
    SR!$B$2:$D2026,            
    MATCH($A383, SR!$A$2:$A2026, 0),  
    MATCH(J$1, SR!$B$1:$D$1, 0) ), "")
</f>
        <v>0.003186</v>
      </c>
      <c r="K383" s="14"/>
      <c r="L383" s="9">
        <v>122.09</v>
      </c>
      <c r="M383" s="9">
        <v>24.44</v>
      </c>
      <c r="N383" s="9">
        <v>112.51</v>
      </c>
      <c r="O383" s="9">
        <v>123.44</v>
      </c>
      <c r="P383" s="9">
        <v>130.28</v>
      </c>
      <c r="Q383" s="9">
        <v>1366.5399</v>
      </c>
      <c r="R383" s="14"/>
      <c r="S383" s="12">
        <f t="shared" si="2"/>
        <v>-0.0002062936236</v>
      </c>
      <c r="T383" s="12">
        <f t="shared" si="3"/>
        <v>0.9997937064</v>
      </c>
      <c r="U383" s="16">
        <f t="shared" si="7"/>
        <v>101.2783009</v>
      </c>
      <c r="V383" s="17"/>
      <c r="W383" s="12">
        <f t="array" ref="W383">SQRT(252/20) *  SQRT( SUMSQ( LN(U362:U381 / U361:U380) )  - (1/20) * ( SUM( LN(U362:U381 / U361:U380) ) ^ 2 ) )</f>
        <v>0.01885509962</v>
      </c>
      <c r="X383" s="9">
        <f t="shared" si="4"/>
        <v>1.5</v>
      </c>
      <c r="Y383" s="14"/>
      <c r="Z383" s="12">
        <f t="shared" si="5"/>
        <v>0.999692129</v>
      </c>
      <c r="AA383" s="16">
        <f t="shared" si="8"/>
        <v>101.8740818</v>
      </c>
      <c r="AB383" s="14"/>
      <c r="AC383" s="9">
        <f t="shared" si="6"/>
        <v>0</v>
      </c>
    </row>
    <row r="384">
      <c r="A384" s="8">
        <v>42282.0</v>
      </c>
      <c r="B384" s="14"/>
      <c r="C384" s="9">
        <f t="array" ref="C384">IFERROR(
  INDEX(
    IR!$B$2:$E2026,                
    MATCH($A384, IR!$A$2:$A2026, 0), 
    MATCH(C$1, IR!$B$1:$E$1, 0) ), "")
</f>
        <v>-0.00113</v>
      </c>
      <c r="D384" s="9">
        <f t="array" ref="D384">IFERROR(
  INDEX(
    IR!$B$2:$E2026,                
    MATCH($A384, IR!$A$2:$A2026, 0), 
    MATCH(D$1, IR!$B$1:$E$1, 0) ), "")
</f>
        <v>-0.00046</v>
      </c>
      <c r="E384" s="9">
        <f t="array" ref="E384">IFERROR(
  INDEX(
    IR!$B$2:$E2026,                
    MATCH($A384, IR!$A$2:$A2026, 0), 
    MATCH(E$1, IR!$B$1:$E$1, 0) ), "")
</f>
        <v>0.00027</v>
      </c>
      <c r="F384" s="9">
        <f t="array" ref="F384">IFERROR(
  INDEX(
    IR!$B$2:$E2026,                
    MATCH($A384, IR!$A$2:$A2026, 0), 
    MATCH(F$1, IR!$B$1:$E$1, 0) ), "")
</f>
        <v>0.00137</v>
      </c>
      <c r="G384" s="14"/>
      <c r="H384" s="9">
        <f t="array" ref="H384">IFERROR(
  INDEX(
    SR!$B$2:$D2026,            
    MATCH($A384, SR!$A$2:$A2026, 0),  
    MATCH(H$1, SR!$B$1:$D$1, 0) ), "")
</f>
        <v>0.00042</v>
      </c>
      <c r="I384" s="9">
        <f t="array" ref="I384">IFERROR(
  INDEX(
    SR!$B$2:$D2026,            
    MATCH($A384, SR!$A$2:$A2026, 0),  
    MATCH(I$1, SR!$B$1:$D$1, 0) ), "")
</f>
        <v>0.00109</v>
      </c>
      <c r="J384" s="9">
        <f t="array" ref="J384">IFERROR(
  INDEX(
    SR!$B$2:$D2026,            
    MATCH($A384, SR!$A$2:$A2026, 0),  
    MATCH(J$1, SR!$B$1:$D$1, 0) ), "")
</f>
        <v>0.003379</v>
      </c>
      <c r="K384" s="14"/>
      <c r="L384" s="9">
        <v>122.86</v>
      </c>
      <c r="M384" s="9">
        <v>24.45</v>
      </c>
      <c r="N384" s="9">
        <v>112.62</v>
      </c>
      <c r="O384" s="9">
        <v>123.56</v>
      </c>
      <c r="P384" s="9">
        <v>130.4</v>
      </c>
      <c r="Q384" s="9">
        <v>1373.528</v>
      </c>
      <c r="R384" s="14"/>
      <c r="S384" s="12">
        <f t="shared" si="2"/>
        <v>0.002449635077</v>
      </c>
      <c r="T384" s="12">
        <f t="shared" si="3"/>
        <v>1.002449635</v>
      </c>
      <c r="U384" s="16">
        <f t="shared" si="7"/>
        <v>101.5263958</v>
      </c>
      <c r="V384" s="17"/>
      <c r="W384" s="12">
        <f t="array" ref="W384">SQRT(252/20) *  SQRT( SUMSQ( LN(U363:U382 / U362:U381) )  - (1/20) * ( SUM( LN(U363:U382 / U362:U381) ) ^ 2 ) )</f>
        <v>0.01862724408</v>
      </c>
      <c r="X384" s="9">
        <f t="shared" si="4"/>
        <v>1.5</v>
      </c>
      <c r="Y384" s="14"/>
      <c r="Z384" s="12">
        <f t="shared" si="5"/>
        <v>1.003679161</v>
      </c>
      <c r="AA384" s="16">
        <f t="shared" si="8"/>
        <v>102.2488929</v>
      </c>
      <c r="AB384" s="14"/>
      <c r="AC384" s="9">
        <f t="shared" si="6"/>
        <v>0</v>
      </c>
    </row>
    <row r="385">
      <c r="A385" s="8">
        <v>42283.0</v>
      </c>
      <c r="B385" s="14"/>
      <c r="C385" s="9">
        <f t="array" ref="C385">IFERROR(
  INDEX(
    IR!$B$2:$E2026,                
    MATCH($A385, IR!$A$2:$A2026, 0), 
    MATCH(C$1, IR!$B$1:$E$1, 0) ), "")
</f>
        <v>-0.00112</v>
      </c>
      <c r="D385" s="9">
        <f t="array" ref="D385">IFERROR(
  INDEX(
    IR!$B$2:$E2026,                
    MATCH($A385, IR!$A$2:$A2026, 0), 
    MATCH(D$1, IR!$B$1:$E$1, 0) ), "")
</f>
        <v>-0.00046</v>
      </c>
      <c r="E385" s="9">
        <f t="array" ref="E385">IFERROR(
  INDEX(
    IR!$B$2:$E2026,                
    MATCH($A385, IR!$A$2:$A2026, 0), 
    MATCH(E$1, IR!$B$1:$E$1, 0) ), "")
</f>
        <v>0.00027</v>
      </c>
      <c r="F385" s="9">
        <f t="array" ref="F385">IFERROR(
  INDEX(
    IR!$B$2:$E2026,                
    MATCH($A385, IR!$A$2:$A2026, 0), 
    MATCH(F$1, IR!$B$1:$E$1, 0) ), "")
</f>
        <v>0.00139</v>
      </c>
      <c r="G385" s="14"/>
      <c r="H385" s="9">
        <f t="array" ref="H385">IFERROR(
  INDEX(
    SR!$B$2:$D2026,            
    MATCH($A385, SR!$A$2:$A2026, 0),  
    MATCH(H$1, SR!$B$1:$D$1, 0) ), "")
</f>
        <v>0.00054</v>
      </c>
      <c r="I385" s="9">
        <f t="array" ref="I385">IFERROR(
  INDEX(
    SR!$B$2:$D2026,            
    MATCH($A385, SR!$A$2:$A2026, 0),  
    MATCH(I$1, SR!$B$1:$D$1, 0) ), "")
</f>
        <v>0.001231</v>
      </c>
      <c r="J385" s="9">
        <f t="array" ref="J385">IFERROR(
  INDEX(
    SR!$B$2:$D2026,            
    MATCH($A385, SR!$A$2:$A2026, 0),  
    MATCH(J$1, SR!$B$1:$D$1, 0) ), "")
</f>
        <v>0.003514</v>
      </c>
      <c r="K385" s="14"/>
      <c r="L385" s="9">
        <v>123.17</v>
      </c>
      <c r="M385" s="9">
        <v>24.45</v>
      </c>
      <c r="N385" s="9">
        <v>112.65</v>
      </c>
      <c r="O385" s="9">
        <v>123.33</v>
      </c>
      <c r="P385" s="9">
        <v>130.46</v>
      </c>
      <c r="Q385" s="9">
        <v>1383.0659</v>
      </c>
      <c r="R385" s="14"/>
      <c r="S385" s="12">
        <f t="shared" si="2"/>
        <v>0.001388863425</v>
      </c>
      <c r="T385" s="12">
        <f t="shared" si="3"/>
        <v>1.001388863</v>
      </c>
      <c r="U385" s="16">
        <f t="shared" si="7"/>
        <v>101.6674021</v>
      </c>
      <c r="V385" s="17"/>
      <c r="W385" s="12">
        <f t="array" ref="W385">SQRT(252/20) *  SQRT( SUMSQ( LN(U364:U383 / U363:U382) )  - (1/20) * ( SUM( LN(U364:U383 / U363:U382) ) ^ 2 ) )</f>
        <v>0.01857157913</v>
      </c>
      <c r="X385" s="9">
        <f t="shared" si="4"/>
        <v>1.5</v>
      </c>
      <c r="Y385" s="14"/>
      <c r="Z385" s="12">
        <f t="shared" si="5"/>
        <v>1.002084865</v>
      </c>
      <c r="AA385" s="16">
        <f t="shared" si="8"/>
        <v>102.462068</v>
      </c>
      <c r="AB385" s="14"/>
      <c r="AC385" s="9">
        <f t="shared" si="6"/>
        <v>0</v>
      </c>
    </row>
    <row r="386">
      <c r="A386" s="8">
        <v>42284.0</v>
      </c>
      <c r="B386" s="14"/>
      <c r="C386" s="9">
        <f t="array" ref="C386">IFERROR(
  INDEX(
    IR!$B$2:$E2026,                
    MATCH($A386, IR!$A$2:$A2026, 0), 
    MATCH(C$1, IR!$B$1:$E$1, 0) ), "")
</f>
        <v>-0.00113</v>
      </c>
      <c r="D386" s="9">
        <f t="array" ref="D386">IFERROR(
  INDEX(
    IR!$B$2:$E2026,                
    MATCH($A386, IR!$A$2:$A2026, 0), 
    MATCH(D$1, IR!$B$1:$E$1, 0) ), "")
</f>
        <v>-0.00046</v>
      </c>
      <c r="E386" s="9">
        <f t="array" ref="E386">IFERROR(
  INDEX(
    IR!$B$2:$E2026,                
    MATCH($A386, IR!$A$2:$A2026, 0), 
    MATCH(E$1, IR!$B$1:$E$1, 0) ), "")
</f>
        <v>0.00028</v>
      </c>
      <c r="F386" s="9">
        <f t="array" ref="F386">IFERROR(
  INDEX(
    IR!$B$2:$E2026,                
    MATCH($A386, IR!$A$2:$A2026, 0), 
    MATCH(F$1, IR!$B$1:$E$1, 0) ), "")
</f>
        <v>0.0014</v>
      </c>
      <c r="G386" s="14"/>
      <c r="H386" s="9">
        <f t="array" ref="H386">IFERROR(
  INDEX(
    SR!$B$2:$D2026,            
    MATCH($A386, SR!$A$2:$A2026, 0),  
    MATCH(H$1, SR!$B$1:$D$1, 0) ), "")
</f>
        <v>0.00058</v>
      </c>
      <c r="I386" s="9">
        <f t="array" ref="I386">IFERROR(
  INDEX(
    SR!$B$2:$D2026,            
    MATCH($A386, SR!$A$2:$A2026, 0),  
    MATCH(I$1, SR!$B$1:$D$1, 0) ), "")
</f>
        <v>0.00131</v>
      </c>
      <c r="J386" s="9">
        <f t="array" ref="J386">IFERROR(
  INDEX(
    SR!$B$2:$D2026,            
    MATCH($A386, SR!$A$2:$A2026, 0),  
    MATCH(J$1, SR!$B$1:$D$1, 0) ), "")
</f>
        <v>0.00364</v>
      </c>
      <c r="K386" s="14"/>
      <c r="L386" s="9">
        <v>123.24</v>
      </c>
      <c r="M386" s="9">
        <v>24.48</v>
      </c>
      <c r="N386" s="9">
        <v>112.71</v>
      </c>
      <c r="O386" s="9">
        <v>123.24</v>
      </c>
      <c r="P386" s="9">
        <v>130.46</v>
      </c>
      <c r="Q386" s="9">
        <v>1386.0225</v>
      </c>
      <c r="R386" s="14"/>
      <c r="S386" s="12">
        <f t="shared" si="2"/>
        <v>0.0006226150894</v>
      </c>
      <c r="T386" s="12">
        <f t="shared" si="3"/>
        <v>1.000622615</v>
      </c>
      <c r="U386" s="16">
        <f t="shared" si="7"/>
        <v>101.7307017</v>
      </c>
      <c r="V386" s="17"/>
      <c r="W386" s="12">
        <f t="array" ref="W386">SQRT(252/20) *  SQRT( SUMSQ( LN(U365:U384 / U364:U383) )  - (1/20) * ( SUM( LN(U365:U384 / U364:U383) ) ^ 2 ) )</f>
        <v>0.02081996673</v>
      </c>
      <c r="X386" s="9">
        <f t="shared" si="4"/>
        <v>1.5</v>
      </c>
      <c r="Y386" s="14"/>
      <c r="Z386" s="12">
        <f t="shared" si="5"/>
        <v>1.000935478</v>
      </c>
      <c r="AA386" s="16">
        <f t="shared" si="8"/>
        <v>102.557919</v>
      </c>
      <c r="AB386" s="14"/>
      <c r="AC386" s="9">
        <f t="shared" si="6"/>
        <v>0</v>
      </c>
    </row>
    <row r="387">
      <c r="A387" s="8">
        <v>42285.0</v>
      </c>
      <c r="B387" s="14"/>
      <c r="C387" s="9">
        <f t="array" ref="C387">IFERROR(
  INDEX(
    IR!$B$2:$E2026,                
    MATCH($A387, IR!$A$2:$A2026, 0), 
    MATCH(C$1, IR!$B$1:$E$1, 0) ), "")
</f>
        <v>-0.00114</v>
      </c>
      <c r="D387" s="9">
        <f t="array" ref="D387">IFERROR(
  INDEX(
    IR!$B$2:$E2026,                
    MATCH($A387, IR!$A$2:$A2026, 0), 
    MATCH(D$1, IR!$B$1:$E$1, 0) ), "")
</f>
        <v>-0.00048</v>
      </c>
      <c r="E387" s="9">
        <f t="array" ref="E387">IFERROR(
  INDEX(
    IR!$B$2:$E2026,                
    MATCH($A387, IR!$A$2:$A2026, 0), 
    MATCH(E$1, IR!$B$1:$E$1, 0) ), "")
</f>
        <v>0.00028</v>
      </c>
      <c r="F387" s="9">
        <f t="array" ref="F387">IFERROR(
  INDEX(
    IR!$B$2:$E2026,                
    MATCH($A387, IR!$A$2:$A2026, 0), 
    MATCH(F$1, IR!$B$1:$E$1, 0) ), "")
</f>
        <v>0.00139</v>
      </c>
      <c r="G387" s="14"/>
      <c r="H387" s="9">
        <f t="array" ref="H387">IFERROR(
  INDEX(
    SR!$B$2:$D2026,            
    MATCH($A387, SR!$A$2:$A2026, 0),  
    MATCH(H$1, SR!$B$1:$D$1, 0) ), "")
</f>
        <v>0.00056</v>
      </c>
      <c r="I387" s="9">
        <f t="array" ref="I387">IFERROR(
  INDEX(
    SR!$B$2:$D2026,            
    MATCH($A387, SR!$A$2:$A2026, 0),  
    MATCH(I$1, SR!$B$1:$D$1, 0) ), "")
</f>
        <v>0.001275</v>
      </c>
      <c r="J387" s="9">
        <f t="array" ref="J387">IFERROR(
  INDEX(
    SR!$B$2:$D2026,            
    MATCH($A387, SR!$A$2:$A2026, 0),  
    MATCH(J$1, SR!$B$1:$D$1, 0) ), "")
</f>
        <v>0.003631</v>
      </c>
      <c r="K387" s="14"/>
      <c r="L387" s="9">
        <v>123.31</v>
      </c>
      <c r="M387" s="9">
        <v>24.47</v>
      </c>
      <c r="N387" s="9">
        <v>112.74</v>
      </c>
      <c r="O387" s="9">
        <v>123.23</v>
      </c>
      <c r="P387" s="9">
        <v>130.68</v>
      </c>
      <c r="Q387" s="9">
        <v>1387.2809</v>
      </c>
      <c r="R387" s="14"/>
      <c r="S387" s="12">
        <f t="shared" si="2"/>
        <v>0.0004896932747</v>
      </c>
      <c r="T387" s="12">
        <f t="shared" si="3"/>
        <v>1.000489693</v>
      </c>
      <c r="U387" s="16">
        <f t="shared" si="7"/>
        <v>101.7805185</v>
      </c>
      <c r="V387" s="17"/>
      <c r="W387" s="12">
        <f t="array" ref="W387">SQRT(252/20) *  SQRT( SUMSQ( LN(U366:U385 / U365:U384) )  - (1/20) * ( SUM( LN(U366:U385 / U365:U384) ) ^ 2 ) )</f>
        <v>0.02153819576</v>
      </c>
      <c r="X387" s="9">
        <f t="shared" si="4"/>
        <v>1.5</v>
      </c>
      <c r="Y387" s="14"/>
      <c r="Z387" s="12">
        <f t="shared" si="5"/>
        <v>1.000736109</v>
      </c>
      <c r="AA387" s="16">
        <f t="shared" si="8"/>
        <v>102.6334129</v>
      </c>
      <c r="AB387" s="14"/>
      <c r="AC387" s="9">
        <f t="shared" si="6"/>
        <v>0</v>
      </c>
    </row>
    <row r="388">
      <c r="A388" s="8">
        <v>42286.0</v>
      </c>
      <c r="B388" s="14"/>
      <c r="C388" s="9">
        <f t="array" ref="C388">IFERROR(
  INDEX(
    IR!$B$2:$E2026,                
    MATCH($A388, IR!$A$2:$A2026, 0), 
    MATCH(C$1, IR!$B$1:$E$1, 0) ), "")
</f>
        <v>-0.00113</v>
      </c>
      <c r="D388" s="9">
        <f t="array" ref="D388">IFERROR(
  INDEX(
    IR!$B$2:$E2026,                
    MATCH($A388, IR!$A$2:$A2026, 0), 
    MATCH(D$1, IR!$B$1:$E$1, 0) ), "")
</f>
        <v>-0.00049</v>
      </c>
      <c r="E388" s="9">
        <f t="array" ref="E388">IFERROR(
  INDEX(
    IR!$B$2:$E2026,                
    MATCH($A388, IR!$A$2:$A2026, 0), 
    MATCH(E$1, IR!$B$1:$E$1, 0) ), "")
</f>
        <v>0.00028</v>
      </c>
      <c r="F388" s="9">
        <f t="array" ref="F388">IFERROR(
  INDEX(
    IR!$B$2:$E2026,                
    MATCH($A388, IR!$A$2:$A2026, 0), 
    MATCH(F$1, IR!$B$1:$E$1, 0) ), "")
</f>
        <v>0.00139</v>
      </c>
      <c r="G388" s="14"/>
      <c r="H388" s="9">
        <f t="array" ref="H388">IFERROR(
  INDEX(
    SR!$B$2:$D2026,            
    MATCH($A388, SR!$A$2:$A2026, 0),  
    MATCH(H$1, SR!$B$1:$D$1, 0) ), "")
</f>
        <v>0.00059</v>
      </c>
      <c r="I388" s="9">
        <f t="array" ref="I388">IFERROR(
  INDEX(
    SR!$B$2:$D2026,            
    MATCH($A388, SR!$A$2:$A2026, 0),  
    MATCH(I$1, SR!$B$1:$D$1, 0) ), "")
</f>
        <v>0.00132</v>
      </c>
      <c r="J388" s="9">
        <f t="array" ref="J388">IFERROR(
  INDEX(
    SR!$B$2:$D2026,            
    MATCH($A388, SR!$A$2:$A2026, 0),  
    MATCH(J$1, SR!$B$1:$D$1, 0) ), "")
</f>
        <v>0.00365</v>
      </c>
      <c r="K388" s="14"/>
      <c r="L388" s="9">
        <v>123.46</v>
      </c>
      <c r="M388" s="9">
        <v>24.46</v>
      </c>
      <c r="N388" s="9">
        <v>112.77</v>
      </c>
      <c r="O388" s="9">
        <v>123.29</v>
      </c>
      <c r="P388" s="9">
        <v>130.62</v>
      </c>
      <c r="Q388" s="9">
        <v>1392.1285</v>
      </c>
      <c r="R388" s="14"/>
      <c r="S388" s="12">
        <f t="shared" si="2"/>
        <v>0.0007660358395</v>
      </c>
      <c r="T388" s="12">
        <f t="shared" si="3"/>
        <v>1.000766036</v>
      </c>
      <c r="U388" s="16">
        <f t="shared" si="7"/>
        <v>101.8584861</v>
      </c>
      <c r="V388" s="17"/>
      <c r="W388" s="12">
        <f t="array" ref="W388">SQRT(252/20) *  SQRT( SUMSQ( LN(U367:U386 / U366:U385) )  - (1/20) * ( SUM( LN(U367:U386 / U366:U385) ) ^ 2 ) )</f>
        <v>0.01963005426</v>
      </c>
      <c r="X388" s="9">
        <f t="shared" si="4"/>
        <v>1.5</v>
      </c>
      <c r="Y388" s="14"/>
      <c r="Z388" s="12">
        <f t="shared" si="5"/>
        <v>1.001150637</v>
      </c>
      <c r="AA388" s="16">
        <f t="shared" si="8"/>
        <v>102.7515067</v>
      </c>
      <c r="AB388" s="14"/>
      <c r="AC388" s="9">
        <f t="shared" si="6"/>
        <v>0</v>
      </c>
    </row>
    <row r="389">
      <c r="A389" s="8">
        <v>42289.0</v>
      </c>
      <c r="B389" s="14"/>
      <c r="C389" s="9">
        <f t="array" ref="C389">IFERROR(
  INDEX(
    IR!$B$2:$E2026,                
    MATCH($A389, IR!$A$2:$A2026, 0), 
    MATCH(C$1, IR!$B$1:$E$1, 0) ), "")
</f>
        <v>-0.00113</v>
      </c>
      <c r="D389" s="9">
        <f t="array" ref="D389">IFERROR(
  INDEX(
    IR!$B$2:$E2026,                
    MATCH($A389, IR!$A$2:$A2026, 0), 
    MATCH(D$1, IR!$B$1:$E$1, 0) ), "")
</f>
        <v>-0.00049</v>
      </c>
      <c r="E389" s="9">
        <f t="array" ref="E389">IFERROR(
  INDEX(
    IR!$B$2:$E2026,                
    MATCH($A389, IR!$A$2:$A2026, 0), 
    MATCH(E$1, IR!$B$1:$E$1, 0) ), "")
</f>
        <v>0.00027</v>
      </c>
      <c r="F389" s="9">
        <f t="array" ref="F389">IFERROR(
  INDEX(
    IR!$B$2:$E2026,                
    MATCH($A389, IR!$A$2:$A2026, 0), 
    MATCH(F$1, IR!$B$1:$E$1, 0) ), "")
</f>
        <v>0.00139</v>
      </c>
      <c r="G389" s="14"/>
      <c r="H389" s="9">
        <f t="array" ref="H389">IFERROR(
  INDEX(
    SR!$B$2:$D2026,            
    MATCH($A389, SR!$A$2:$A2026, 0),  
    MATCH(H$1, SR!$B$1:$D$1, 0) ), "")
</f>
        <v>0.000538</v>
      </c>
      <c r="I389" s="9">
        <f t="array" ref="I389">IFERROR(
  INDEX(
    SR!$B$2:$D2026,            
    MATCH($A389, SR!$A$2:$A2026, 0),  
    MATCH(I$1, SR!$B$1:$D$1, 0) ), "")
</f>
        <v>0.00123</v>
      </c>
      <c r="J389" s="9">
        <f t="array" ref="J389">IFERROR(
  INDEX(
    SR!$B$2:$D2026,            
    MATCH($A389, SR!$A$2:$A2026, 0),  
    MATCH(J$1, SR!$B$1:$D$1, 0) ), "")
</f>
        <v>0.00344</v>
      </c>
      <c r="K389" s="14"/>
      <c r="L389" s="9">
        <v>123.32</v>
      </c>
      <c r="M389" s="9">
        <v>24.46</v>
      </c>
      <c r="N389" s="9">
        <v>112.82</v>
      </c>
      <c r="O389" s="9">
        <v>123.14</v>
      </c>
      <c r="P389" s="9">
        <v>130.69</v>
      </c>
      <c r="Q389" s="9">
        <v>1392.8058</v>
      </c>
      <c r="R389" s="14"/>
      <c r="S389" s="12">
        <f t="shared" si="2"/>
        <v>-0.0001473601958</v>
      </c>
      <c r="T389" s="12">
        <f t="shared" si="3"/>
        <v>0.9998526398</v>
      </c>
      <c r="U389" s="16">
        <f t="shared" si="7"/>
        <v>101.8434762</v>
      </c>
      <c r="V389" s="17"/>
      <c r="W389" s="12">
        <f t="array" ref="W389">SQRT(252/20) *  SQRT( SUMSQ( LN(U368:U387 / U367:U386) )  - (1/20) * ( SUM( LN(U368:U387 / U367:U386) ) ^ 2 ) )</f>
        <v>0.01975547251</v>
      </c>
      <c r="X389" s="9">
        <f t="shared" si="4"/>
        <v>1.5</v>
      </c>
      <c r="Y389" s="14"/>
      <c r="Z389" s="12">
        <f t="shared" si="5"/>
        <v>0.999783668</v>
      </c>
      <c r="AA389" s="16">
        <f t="shared" si="8"/>
        <v>102.7292783</v>
      </c>
      <c r="AB389" s="14"/>
      <c r="AC389" s="9">
        <f t="shared" si="6"/>
        <v>0</v>
      </c>
    </row>
    <row r="390">
      <c r="A390" s="8">
        <v>42290.0</v>
      </c>
      <c r="B390" s="14"/>
      <c r="C390" s="9">
        <f t="array" ref="C390">IFERROR(
  INDEX(
    IR!$B$2:$E2026,                
    MATCH($A390, IR!$A$2:$A2026, 0), 
    MATCH(C$1, IR!$B$1:$E$1, 0) ), "")
</f>
        <v>-0.00113</v>
      </c>
      <c r="D390" s="9">
        <f t="array" ref="D390">IFERROR(
  INDEX(
    IR!$B$2:$E2026,                
    MATCH($A390, IR!$A$2:$A2026, 0), 
    MATCH(D$1, IR!$B$1:$E$1, 0) ), "")
</f>
        <v>-0.00049</v>
      </c>
      <c r="E390" s="9">
        <f t="array" ref="E390">IFERROR(
  INDEX(
    IR!$B$2:$E2026,                
    MATCH($A390, IR!$A$2:$A2026, 0), 
    MATCH(E$1, IR!$B$1:$E$1, 0) ), "")
</f>
        <v>0.00026</v>
      </c>
      <c r="F390" s="9">
        <f t="array" ref="F390">IFERROR(
  INDEX(
    IR!$B$2:$E2026,                
    MATCH($A390, IR!$A$2:$A2026, 0), 
    MATCH(F$1, IR!$B$1:$E$1, 0) ), "")
</f>
        <v>0.00139</v>
      </c>
      <c r="G390" s="14"/>
      <c r="H390" s="9">
        <f t="array" ref="H390">IFERROR(
  INDEX(
    SR!$B$2:$D2026,            
    MATCH($A390, SR!$A$2:$A2026, 0),  
    MATCH(H$1, SR!$B$1:$D$1, 0) ), "")
</f>
        <v>0.0005</v>
      </c>
      <c r="I390" s="9">
        <f t="array" ref="I390">IFERROR(
  INDEX(
    SR!$B$2:$D2026,            
    MATCH($A390, SR!$A$2:$A2026, 0),  
    MATCH(I$1, SR!$B$1:$D$1, 0) ), "")
</f>
        <v>0.001245</v>
      </c>
      <c r="J390" s="9">
        <f t="array" ref="J390">IFERROR(
  INDEX(
    SR!$B$2:$D2026,            
    MATCH($A390, SR!$A$2:$A2026, 0),  
    MATCH(J$1, SR!$B$1:$D$1, 0) ), "")
</f>
        <v>0.003434</v>
      </c>
      <c r="K390" s="14"/>
      <c r="L390" s="9">
        <v>123.07</v>
      </c>
      <c r="M390" s="9">
        <v>24.45</v>
      </c>
      <c r="N390" s="9">
        <v>112.82</v>
      </c>
      <c r="O390" s="9">
        <v>123.3</v>
      </c>
      <c r="P390" s="9">
        <v>130.88</v>
      </c>
      <c r="Q390" s="9">
        <v>1392.8093</v>
      </c>
      <c r="R390" s="14"/>
      <c r="S390" s="12">
        <f t="shared" si="2"/>
        <v>0.00005324429401</v>
      </c>
      <c r="T390" s="12">
        <f t="shared" si="3"/>
        <v>1.000053244</v>
      </c>
      <c r="U390" s="16">
        <f t="shared" si="7"/>
        <v>101.8488988</v>
      </c>
      <c r="V390" s="17"/>
      <c r="W390" s="12">
        <f t="array" ref="W390">SQRT(252/20) *  SQRT( SUMSQ( LN(U369:U388 / U368:U387) )  - (1/20) * ( SUM( LN(U369:U388 / U368:U387) ) ^ 2 ) )</f>
        <v>0.01993395336</v>
      </c>
      <c r="X390" s="9">
        <f t="shared" si="4"/>
        <v>1.5</v>
      </c>
      <c r="Y390" s="14"/>
      <c r="Z390" s="12">
        <f t="shared" si="5"/>
        <v>1.000081436</v>
      </c>
      <c r="AA390" s="16">
        <f t="shared" si="8"/>
        <v>102.7376441</v>
      </c>
      <c r="AB390" s="14"/>
      <c r="AC390" s="9">
        <f t="shared" si="6"/>
        <v>0</v>
      </c>
    </row>
    <row r="391">
      <c r="A391" s="8">
        <v>42291.0</v>
      </c>
      <c r="B391" s="14"/>
      <c r="C391" s="9">
        <f t="array" ref="C391">IFERROR(
  INDEX(
    IR!$B$2:$E2026,                
    MATCH($A391, IR!$A$2:$A2026, 0), 
    MATCH(C$1, IR!$B$1:$E$1, 0) ), "")
</f>
        <v>-0.00113</v>
      </c>
      <c r="D391" s="9">
        <f t="array" ref="D391">IFERROR(
  INDEX(
    IR!$B$2:$E2026,                
    MATCH($A391, IR!$A$2:$A2026, 0), 
    MATCH(D$1, IR!$B$1:$E$1, 0) ), "")
</f>
        <v>-0.00049</v>
      </c>
      <c r="E391" s="9">
        <f t="array" ref="E391">IFERROR(
  INDEX(
    IR!$B$2:$E2026,                
    MATCH($A391, IR!$A$2:$A2026, 0), 
    MATCH(E$1, IR!$B$1:$E$1, 0) ), "")
</f>
        <v>0.00027</v>
      </c>
      <c r="F391" s="9">
        <f t="array" ref="F391">IFERROR(
  INDEX(
    IR!$B$2:$E2026,                
    MATCH($A391, IR!$A$2:$A2026, 0), 
    MATCH(F$1, IR!$B$1:$E$1, 0) ), "")
</f>
        <v>0.00137</v>
      </c>
      <c r="G391" s="14"/>
      <c r="H391" s="9">
        <f t="array" ref="H391">IFERROR(
  INDEX(
    SR!$B$2:$D2026,            
    MATCH($A391, SR!$A$2:$A2026, 0),  
    MATCH(H$1, SR!$B$1:$D$1, 0) ), "")
</f>
        <v>0.00041</v>
      </c>
      <c r="I391" s="9">
        <f t="array" ref="I391">IFERROR(
  INDEX(
    SR!$B$2:$D2026,            
    MATCH($A391, SR!$A$2:$A2026, 0),  
    MATCH(I$1, SR!$B$1:$D$1, 0) ), "")
</f>
        <v>0.001075</v>
      </c>
      <c r="J391" s="9">
        <f t="array" ref="J391">IFERROR(
  INDEX(
    SR!$B$2:$D2026,            
    MATCH($A391, SR!$A$2:$A2026, 0),  
    MATCH(J$1, SR!$B$1:$D$1, 0) ), "")
</f>
        <v>0.003193</v>
      </c>
      <c r="K391" s="14"/>
      <c r="L391" s="9">
        <v>122.92</v>
      </c>
      <c r="M391" s="9">
        <v>24.45</v>
      </c>
      <c r="N391" s="9">
        <v>112.82</v>
      </c>
      <c r="O391" s="9">
        <v>123.22</v>
      </c>
      <c r="P391" s="9">
        <v>130.94</v>
      </c>
      <c r="Q391" s="9">
        <v>1388.4833</v>
      </c>
      <c r="R391" s="14"/>
      <c r="S391" s="12">
        <f t="shared" si="2"/>
        <v>-0.000752536284</v>
      </c>
      <c r="T391" s="12">
        <f t="shared" si="3"/>
        <v>0.9992474637</v>
      </c>
      <c r="U391" s="16">
        <f t="shared" si="7"/>
        <v>101.7722538</v>
      </c>
      <c r="V391" s="17"/>
      <c r="W391" s="12">
        <f t="array" ref="W391">SQRT(252/20) *  SQRT( SUMSQ( LN(U370:U389 / U369:U388) )  - (1/20) * ( SUM( LN(U370:U389 / U369:U388) ) ^ 2 ) )</f>
        <v>0.01989937734</v>
      </c>
      <c r="X391" s="9">
        <f t="shared" si="4"/>
        <v>1.5</v>
      </c>
      <c r="Y391" s="14"/>
      <c r="Z391" s="12">
        <f t="shared" si="5"/>
        <v>0.998872765</v>
      </c>
      <c r="AA391" s="16">
        <f t="shared" si="8"/>
        <v>102.6218346</v>
      </c>
      <c r="AB391" s="14"/>
      <c r="AC391" s="9">
        <f t="shared" si="6"/>
        <v>0</v>
      </c>
    </row>
    <row r="392">
      <c r="A392" s="8">
        <v>42292.0</v>
      </c>
      <c r="B392" s="14"/>
      <c r="C392" s="9">
        <f t="array" ref="C392">IFERROR(
  INDEX(
    IR!$B$2:$E2026,                
    MATCH($A392, IR!$A$2:$A2026, 0), 
    MATCH(C$1, IR!$B$1:$E$1, 0) ), "")
</f>
        <v>-0.00114</v>
      </c>
      <c r="D392" s="9">
        <f t="array" ref="D392">IFERROR(
  INDEX(
    IR!$B$2:$E2026,                
    MATCH($A392, IR!$A$2:$A2026, 0), 
    MATCH(D$1, IR!$B$1:$E$1, 0) ), "")
</f>
        <v>-0.00052</v>
      </c>
      <c r="E392" s="9">
        <f t="array" ref="E392">IFERROR(
  INDEX(
    IR!$B$2:$E2026,                
    MATCH($A392, IR!$A$2:$A2026, 0), 
    MATCH(E$1, IR!$B$1:$E$1, 0) ), "")
</f>
        <v>0.00024</v>
      </c>
      <c r="F392" s="9">
        <f t="array" ref="F392">IFERROR(
  INDEX(
    IR!$B$2:$E2026,                
    MATCH($A392, IR!$A$2:$A2026, 0), 
    MATCH(F$1, IR!$B$1:$E$1, 0) ), "")
</f>
        <v>0.00134</v>
      </c>
      <c r="G392" s="14"/>
      <c r="H392" s="9">
        <f t="array" ref="H392">IFERROR(
  INDEX(
    SR!$B$2:$D2026,            
    MATCH($A392, SR!$A$2:$A2026, 0),  
    MATCH(H$1, SR!$B$1:$D$1, 0) ), "")
</f>
        <v>0.00044</v>
      </c>
      <c r="I392" s="9">
        <f t="array" ref="I392">IFERROR(
  INDEX(
    SR!$B$2:$D2026,            
    MATCH($A392, SR!$A$2:$A2026, 0),  
    MATCH(I$1, SR!$B$1:$D$1, 0) ), "")
</f>
        <v>0.001111</v>
      </c>
      <c r="J392" s="9">
        <f t="array" ref="J392">IFERROR(
  INDEX(
    SR!$B$2:$D2026,            
    MATCH($A392, SR!$A$2:$A2026, 0),  
    MATCH(J$1, SR!$B$1:$D$1, 0) ), "")
</f>
        <v>0.003373</v>
      </c>
      <c r="K392" s="14"/>
      <c r="L392" s="9">
        <v>123.27</v>
      </c>
      <c r="M392" s="9">
        <v>24.45</v>
      </c>
      <c r="N392" s="9">
        <v>112.85</v>
      </c>
      <c r="O392" s="9">
        <v>123.44</v>
      </c>
      <c r="P392" s="9">
        <v>130.98</v>
      </c>
      <c r="Q392" s="9">
        <v>1392.0107</v>
      </c>
      <c r="R392" s="14"/>
      <c r="S392" s="12">
        <f t="shared" si="2"/>
        <v>0.001290515812</v>
      </c>
      <c r="T392" s="12">
        <f t="shared" si="3"/>
        <v>1.001290516</v>
      </c>
      <c r="U392" s="16">
        <f t="shared" si="7"/>
        <v>101.9035925</v>
      </c>
      <c r="V392" s="17"/>
      <c r="W392" s="12">
        <f t="array" ref="W392">SQRT(252/20) *  SQRT( SUMSQ( LN(U371:U390 / U370:U389) )  - (1/20) * ( SUM( LN(U371:U390 / U370:U389) ) ^ 2 ) )</f>
        <v>0.01990734707</v>
      </c>
      <c r="X392" s="9">
        <f t="shared" si="4"/>
        <v>1.5</v>
      </c>
      <c r="Y392" s="14"/>
      <c r="Z392" s="12">
        <f t="shared" si="5"/>
        <v>1.001937343</v>
      </c>
      <c r="AA392" s="16">
        <f t="shared" si="8"/>
        <v>102.8206484</v>
      </c>
      <c r="AB392" s="14"/>
      <c r="AC392" s="9">
        <f t="shared" si="6"/>
        <v>0</v>
      </c>
    </row>
    <row r="393">
      <c r="A393" s="8">
        <v>42293.0</v>
      </c>
      <c r="B393" s="14"/>
      <c r="C393" s="9">
        <f t="array" ref="C393">IFERROR(
  INDEX(
    IR!$B$2:$E2026,                
    MATCH($A393, IR!$A$2:$A2026, 0), 
    MATCH(C$1, IR!$B$1:$E$1, 0) ), "")
</f>
        <v>-0.00116</v>
      </c>
      <c r="D393" s="9">
        <f t="array" ref="D393">IFERROR(
  INDEX(
    IR!$B$2:$E2026,                
    MATCH($A393, IR!$A$2:$A2026, 0), 
    MATCH(D$1, IR!$B$1:$E$1, 0) ), "")
</f>
        <v>-0.00051</v>
      </c>
      <c r="E393" s="9">
        <f t="array" ref="E393">IFERROR(
  INDEX(
    IR!$B$2:$E2026,                
    MATCH($A393, IR!$A$2:$A2026, 0), 
    MATCH(E$1, IR!$B$1:$E$1, 0) ), "")
</f>
        <v>0.00021</v>
      </c>
      <c r="F393" s="9">
        <f t="array" ref="F393">IFERROR(
  INDEX(
    IR!$B$2:$E2026,                
    MATCH($A393, IR!$A$2:$A2026, 0), 
    MATCH(F$1, IR!$B$1:$E$1, 0) ), "")
</f>
        <v>0.00129</v>
      </c>
      <c r="G393" s="14"/>
      <c r="H393" s="9">
        <f t="array" ref="H393">IFERROR(
  INDEX(
    SR!$B$2:$D2026,            
    MATCH($A393, SR!$A$2:$A2026, 0),  
    MATCH(H$1, SR!$B$1:$D$1, 0) ), "")
</f>
        <v>0.0003</v>
      </c>
      <c r="I393" s="9">
        <f t="array" ref="I393">IFERROR(
  INDEX(
    SR!$B$2:$D2026,            
    MATCH($A393, SR!$A$2:$A2026, 0),  
    MATCH(I$1, SR!$B$1:$D$1, 0) ), "")
</f>
        <v>0.001</v>
      </c>
      <c r="J393" s="9">
        <f t="array" ref="J393">IFERROR(
  INDEX(
    SR!$B$2:$D2026,            
    MATCH($A393, SR!$A$2:$A2026, 0),  
    MATCH(J$1, SR!$B$1:$D$1, 0) ), "")
</f>
        <v>0.003251</v>
      </c>
      <c r="K393" s="14"/>
      <c r="L393" s="9">
        <v>123.49</v>
      </c>
      <c r="M393" s="9">
        <v>24.45</v>
      </c>
      <c r="N393" s="9">
        <v>112.88</v>
      </c>
      <c r="O393" s="9">
        <v>123.38</v>
      </c>
      <c r="P393" s="9">
        <v>131.07</v>
      </c>
      <c r="Q393" s="9">
        <v>1398.0237</v>
      </c>
      <c r="R393" s="14"/>
      <c r="S393" s="12">
        <f t="shared" si="2"/>
        <v>0.001095202593</v>
      </c>
      <c r="T393" s="12">
        <f t="shared" si="3"/>
        <v>1.001095203</v>
      </c>
      <c r="U393" s="16">
        <f t="shared" si="7"/>
        <v>102.0151976</v>
      </c>
      <c r="V393" s="17"/>
      <c r="W393" s="12">
        <f t="array" ref="W393">SQRT(252/20) *  SQRT( SUMSQ( LN(U372:U391 / U371:U390) )  - (1/20) * ( SUM( LN(U372:U391 / U371:U390) ) ^ 2 ) )</f>
        <v>0.01991711665</v>
      </c>
      <c r="X393" s="9">
        <f t="shared" si="4"/>
        <v>1.5</v>
      </c>
      <c r="Y393" s="14"/>
      <c r="Z393" s="12">
        <f t="shared" si="5"/>
        <v>1.001644387</v>
      </c>
      <c r="AA393" s="16">
        <f t="shared" si="8"/>
        <v>102.9897253</v>
      </c>
      <c r="AB393" s="14"/>
      <c r="AC393" s="9">
        <f t="shared" si="6"/>
        <v>0</v>
      </c>
    </row>
    <row r="394">
      <c r="A394" s="8">
        <v>42296.0</v>
      </c>
      <c r="B394" s="14"/>
      <c r="C394" s="9">
        <f t="array" ref="C394">IFERROR(
  INDEX(
    IR!$B$2:$E2026,                
    MATCH($A394, IR!$A$2:$A2026, 0), 
    MATCH(C$1, IR!$B$1:$E$1, 0) ), "")
</f>
        <v>-0.00117</v>
      </c>
      <c r="D394" s="9">
        <f t="array" ref="D394">IFERROR(
  INDEX(
    IR!$B$2:$E2026,                
    MATCH($A394, IR!$A$2:$A2026, 0), 
    MATCH(D$1, IR!$B$1:$E$1, 0) ), "")
</f>
        <v>-0.00054</v>
      </c>
      <c r="E394" s="9">
        <f t="array" ref="E394">IFERROR(
  INDEX(
    IR!$B$2:$E2026,                
    MATCH($A394, IR!$A$2:$A2026, 0), 
    MATCH(E$1, IR!$B$1:$E$1, 0) ), "")
</f>
        <v>0.00019</v>
      </c>
      <c r="F394" s="9">
        <f t="array" ref="F394">IFERROR(
  INDEX(
    IR!$B$2:$E2026,                
    MATCH($A394, IR!$A$2:$A2026, 0), 
    MATCH(F$1, IR!$B$1:$E$1, 0) ), "")
</f>
        <v>0.00128</v>
      </c>
      <c r="G394" s="14"/>
      <c r="H394" s="9">
        <f t="array" ref="H394">IFERROR(
  INDEX(
    SR!$B$2:$D2026,            
    MATCH($A394, SR!$A$2:$A2026, 0),  
    MATCH(H$1, SR!$B$1:$D$1, 0) ), "")
</f>
        <v>0.00027</v>
      </c>
      <c r="I394" s="9">
        <f t="array" ref="I394">IFERROR(
  INDEX(
    SR!$B$2:$D2026,            
    MATCH($A394, SR!$A$2:$A2026, 0),  
    MATCH(I$1, SR!$B$1:$D$1, 0) ), "")
</f>
        <v>0.00098</v>
      </c>
      <c r="J394" s="9">
        <f t="array" ref="J394">IFERROR(
  INDEX(
    SR!$B$2:$D2026,            
    MATCH($A394, SR!$A$2:$A2026, 0),  
    MATCH(J$1, SR!$B$1:$D$1, 0) ), "")
</f>
        <v>0.003236</v>
      </c>
      <c r="K394" s="14"/>
      <c r="L394" s="9">
        <v>123.61</v>
      </c>
      <c r="M394" s="9">
        <v>24.46</v>
      </c>
      <c r="N394" s="9">
        <v>112.89</v>
      </c>
      <c r="O394" s="9">
        <v>123.44</v>
      </c>
      <c r="P394" s="9">
        <v>131.32</v>
      </c>
      <c r="Q394" s="9">
        <v>1400.7376</v>
      </c>
      <c r="R394" s="14"/>
      <c r="S394" s="12">
        <f t="shared" si="2"/>
        <v>0.0009671816351</v>
      </c>
      <c r="T394" s="12">
        <f t="shared" si="3"/>
        <v>1.000967182</v>
      </c>
      <c r="U394" s="16">
        <f t="shared" si="7"/>
        <v>102.1138648</v>
      </c>
      <c r="V394" s="17"/>
      <c r="W394" s="12">
        <f t="array" ref="W394">SQRT(252/20) *  SQRT( SUMSQ( LN(U373:U392 / U372:U391) )  - (1/20) * ( SUM( LN(U373:U392 / U372:U391) ) ^ 2 ) )</f>
        <v>0.0204453923</v>
      </c>
      <c r="X394" s="9">
        <f t="shared" si="4"/>
        <v>1.5</v>
      </c>
      <c r="Y394" s="14"/>
      <c r="Z394" s="12">
        <f t="shared" si="5"/>
        <v>1.001455606</v>
      </c>
      <c r="AA394" s="16">
        <f t="shared" si="8"/>
        <v>103.1396378</v>
      </c>
      <c r="AB394" s="14"/>
      <c r="AC394" s="9">
        <f t="shared" si="6"/>
        <v>0</v>
      </c>
    </row>
    <row r="395">
      <c r="A395" s="8">
        <v>42297.0</v>
      </c>
      <c r="B395" s="14"/>
      <c r="C395" s="9">
        <f t="array" ref="C395">IFERROR(
  INDEX(
    IR!$B$2:$E2026,                
    MATCH($A395, IR!$A$2:$A2026, 0), 
    MATCH(C$1, IR!$B$1:$E$1, 0) ), "")
</f>
        <v>-0.00117</v>
      </c>
      <c r="D395" s="9">
        <f t="array" ref="D395">IFERROR(
  INDEX(
    IR!$B$2:$E2026,                
    MATCH($A395, IR!$A$2:$A2026, 0), 
    MATCH(D$1, IR!$B$1:$E$1, 0) ), "")
</f>
        <v>-0.00053</v>
      </c>
      <c r="E395" s="9">
        <f t="array" ref="E395">IFERROR(
  INDEX(
    IR!$B$2:$E2026,                
    MATCH($A395, IR!$A$2:$A2026, 0), 
    MATCH(E$1, IR!$B$1:$E$1, 0) ), "")
</f>
        <v>0.00018</v>
      </c>
      <c r="F395" s="9">
        <f t="array" ref="F395">IFERROR(
  INDEX(
    IR!$B$2:$E2026,                
    MATCH($A395, IR!$A$2:$A2026, 0), 
    MATCH(F$1, IR!$B$1:$E$1, 0) ), "")
</f>
        <v>0.00129</v>
      </c>
      <c r="G395" s="14"/>
      <c r="H395" s="9">
        <f t="array" ref="H395">IFERROR(
  INDEX(
    SR!$B$2:$D2026,            
    MATCH($A395, SR!$A$2:$A2026, 0),  
    MATCH(H$1, SR!$B$1:$D$1, 0) ), "")
</f>
        <v>0.00045</v>
      </c>
      <c r="I395" s="9">
        <f t="array" ref="I395">IFERROR(
  INDEX(
    SR!$B$2:$D2026,            
    MATCH($A395, SR!$A$2:$A2026, 0),  
    MATCH(I$1, SR!$B$1:$D$1, 0) ), "")
</f>
        <v>0.001195</v>
      </c>
      <c r="J395" s="9">
        <f t="array" ref="J395">IFERROR(
  INDEX(
    SR!$B$2:$D2026,            
    MATCH($A395, SR!$A$2:$A2026, 0),  
    MATCH(J$1, SR!$B$1:$D$1, 0) ), "")
</f>
        <v>0.003554</v>
      </c>
      <c r="K395" s="14"/>
      <c r="L395" s="9">
        <v>123.52</v>
      </c>
      <c r="M395" s="9">
        <v>24.45</v>
      </c>
      <c r="N395" s="9">
        <v>112.88</v>
      </c>
      <c r="O395" s="9">
        <v>123.37</v>
      </c>
      <c r="P395" s="9">
        <v>131.4</v>
      </c>
      <c r="Q395" s="9">
        <v>1404.349</v>
      </c>
      <c r="R395" s="14"/>
      <c r="S395" s="12">
        <f t="shared" si="2"/>
        <v>0.0002326358126</v>
      </c>
      <c r="T395" s="12">
        <f t="shared" si="3"/>
        <v>1.000232636</v>
      </c>
      <c r="U395" s="16">
        <f t="shared" si="7"/>
        <v>102.1376201</v>
      </c>
      <c r="V395" s="17"/>
      <c r="W395" s="12">
        <f t="array" ref="W395">SQRT(252/20) *  SQRT( SUMSQ( LN(U374:U393 / U373:U392) )  - (1/20) * ( SUM( LN(U374:U393 / U373:U392) ) ^ 2 ) )</f>
        <v>0.02055478635</v>
      </c>
      <c r="X395" s="9">
        <f t="shared" si="4"/>
        <v>1.5</v>
      </c>
      <c r="Y395" s="14"/>
      <c r="Z395" s="12">
        <f t="shared" si="5"/>
        <v>1.000350579</v>
      </c>
      <c r="AA395" s="16">
        <f t="shared" si="8"/>
        <v>103.1757963</v>
      </c>
      <c r="AB395" s="14"/>
      <c r="AC395" s="9">
        <f t="shared" si="6"/>
        <v>0</v>
      </c>
    </row>
    <row r="396">
      <c r="A396" s="8">
        <v>42298.0</v>
      </c>
      <c r="B396" s="14"/>
      <c r="C396" s="9">
        <f t="array" ref="C396">IFERROR(
  INDEX(
    IR!$B$2:$E2026,                
    MATCH($A396, IR!$A$2:$A2026, 0), 
    MATCH(C$1, IR!$B$1:$E$1, 0) ), "")
</f>
        <v>-0.00118</v>
      </c>
      <c r="D396" s="9">
        <f t="array" ref="D396">IFERROR(
  INDEX(
    IR!$B$2:$E2026,                
    MATCH($A396, IR!$A$2:$A2026, 0), 
    MATCH(D$1, IR!$B$1:$E$1, 0) ), "")
</f>
        <v>-0.00053</v>
      </c>
      <c r="E396" s="9">
        <f t="array" ref="E396">IFERROR(
  INDEX(
    IR!$B$2:$E2026,                
    MATCH($A396, IR!$A$2:$A2026, 0), 
    MATCH(E$1, IR!$B$1:$E$1, 0) ), "")
</f>
        <v>0.00019</v>
      </c>
      <c r="F396" s="9">
        <f t="array" ref="F396">IFERROR(
  INDEX(
    IR!$B$2:$E2026,                
    MATCH($A396, IR!$A$2:$A2026, 0), 
    MATCH(F$1, IR!$B$1:$E$1, 0) ), "")
</f>
        <v>0.0013</v>
      </c>
      <c r="G396" s="14"/>
      <c r="H396" s="9">
        <f t="array" ref="H396">IFERROR(
  INDEX(
    SR!$B$2:$D2026,            
    MATCH($A396, SR!$A$2:$A2026, 0),  
    MATCH(H$1, SR!$B$1:$D$1, 0) ), "")
</f>
        <v>0.00038</v>
      </c>
      <c r="I396" s="9">
        <f t="array" ref="I396">IFERROR(
  INDEX(
    SR!$B$2:$D2026,            
    MATCH($A396, SR!$A$2:$A2026, 0),  
    MATCH(I$1, SR!$B$1:$D$1, 0) ), "")
</f>
        <v>0.001042</v>
      </c>
      <c r="J396" s="9">
        <f t="array" ref="J396">IFERROR(
  INDEX(
    SR!$B$2:$D2026,            
    MATCH($A396, SR!$A$2:$A2026, 0),  
    MATCH(J$1, SR!$B$1:$D$1, 0) ), "")
</f>
        <v>0.003244</v>
      </c>
      <c r="K396" s="14"/>
      <c r="L396" s="9">
        <v>123.61</v>
      </c>
      <c r="M396" s="9">
        <v>24.45</v>
      </c>
      <c r="N396" s="9">
        <v>112.9</v>
      </c>
      <c r="O396" s="9">
        <v>123.05</v>
      </c>
      <c r="P396" s="9">
        <v>131.33</v>
      </c>
      <c r="Q396" s="9">
        <v>1404.1025</v>
      </c>
      <c r="R396" s="14"/>
      <c r="S396" s="12">
        <f t="shared" si="2"/>
        <v>-0.0003992357821</v>
      </c>
      <c r="T396" s="12">
        <f t="shared" si="3"/>
        <v>0.9996007642</v>
      </c>
      <c r="U396" s="16">
        <f t="shared" si="7"/>
        <v>102.0968431</v>
      </c>
      <c r="V396" s="17"/>
      <c r="W396" s="12">
        <f t="array" ref="W396">SQRT(252/20) *  SQRT( SUMSQ( LN(U375:U394 / U374:U393) )  - (1/20) * ( SUM( LN(U375:U394 / U374:U393) ) ^ 2 ) )</f>
        <v>0.02079361106</v>
      </c>
      <c r="X396" s="9">
        <f t="shared" si="4"/>
        <v>1.5</v>
      </c>
      <c r="Y396" s="14"/>
      <c r="Z396" s="12">
        <f t="shared" si="5"/>
        <v>0.9994027713</v>
      </c>
      <c r="AA396" s="16">
        <f t="shared" si="8"/>
        <v>103.1141768</v>
      </c>
      <c r="AB396" s="14"/>
      <c r="AC396" s="9">
        <f t="shared" si="6"/>
        <v>0</v>
      </c>
    </row>
    <row r="397">
      <c r="A397" s="8">
        <v>42299.0</v>
      </c>
      <c r="B397" s="14"/>
      <c r="C397" s="9">
        <f t="array" ref="C397">IFERROR(
  INDEX(
    IR!$B$2:$E2026,                
    MATCH($A397, IR!$A$2:$A2026, 0), 
    MATCH(C$1, IR!$B$1:$E$1, 0) ), "")
</f>
        <v>-0.00118</v>
      </c>
      <c r="D397" s="9">
        <f t="array" ref="D397">IFERROR(
  INDEX(
    IR!$B$2:$E2026,                
    MATCH($A397, IR!$A$2:$A2026, 0), 
    MATCH(D$1, IR!$B$1:$E$1, 0) ), "")
</f>
        <v>-0.00053</v>
      </c>
      <c r="E397" s="9">
        <f t="array" ref="E397">IFERROR(
  INDEX(
    IR!$B$2:$E2026,                
    MATCH($A397, IR!$A$2:$A2026, 0), 
    MATCH(E$1, IR!$B$1:$E$1, 0) ), "")
</f>
        <v>0.00019</v>
      </c>
      <c r="F397" s="9">
        <f t="array" ref="F397">IFERROR(
  INDEX(
    IR!$B$2:$E2026,                
    MATCH($A397, IR!$A$2:$A2026, 0), 
    MATCH(F$1, IR!$B$1:$E$1, 0) ), "")
</f>
        <v>0.00129</v>
      </c>
      <c r="G397" s="14"/>
      <c r="H397" s="9">
        <f t="array" ref="H397">IFERROR(
  INDEX(
    SR!$B$2:$D2026,            
    MATCH($A397, SR!$A$2:$A2026, 0),  
    MATCH(H$1, SR!$B$1:$D$1, 0) ), "")
</f>
        <v>-0.00006</v>
      </c>
      <c r="I397" s="9">
        <f t="array" ref="I397">IFERROR(
  INDEX(
    SR!$B$2:$D2026,            
    MATCH($A397, SR!$A$2:$A2026, 0),  
    MATCH(I$1, SR!$B$1:$D$1, 0) ), "")
</f>
        <v>0.000585</v>
      </c>
      <c r="J397" s="9">
        <f t="array" ref="J397">IFERROR(
  INDEX(
    SR!$B$2:$D2026,            
    MATCH($A397, SR!$A$2:$A2026, 0),  
    MATCH(J$1, SR!$B$1:$D$1, 0) ), "")
</f>
        <v>0.002763</v>
      </c>
      <c r="K397" s="14"/>
      <c r="L397" s="9">
        <v>124.33</v>
      </c>
      <c r="M397" s="9">
        <v>24.48</v>
      </c>
      <c r="N397" s="9">
        <v>112.81</v>
      </c>
      <c r="O397" s="9">
        <v>123.28</v>
      </c>
      <c r="P397" s="9">
        <v>130.96</v>
      </c>
      <c r="Q397" s="9">
        <v>1401.6248</v>
      </c>
      <c r="R397" s="14"/>
      <c r="S397" s="12">
        <f t="shared" si="2"/>
        <v>0.0005898896538</v>
      </c>
      <c r="T397" s="12">
        <f t="shared" si="3"/>
        <v>1.00058989</v>
      </c>
      <c r="U397" s="16">
        <f t="shared" si="7"/>
        <v>102.157069</v>
      </c>
      <c r="V397" s="17"/>
      <c r="W397" s="12">
        <f t="array" ref="W397">SQRT(252/20) *  SQRT( SUMSQ( LN(U376:U395 / U375:U394) )  - (1/20) * ( SUM( LN(U376:U395 / U375:U394) ) ^ 2 ) )</f>
        <v>0.02039832892</v>
      </c>
      <c r="X397" s="9">
        <f t="shared" si="4"/>
        <v>1.5</v>
      </c>
      <c r="Y397" s="14"/>
      <c r="Z397" s="12">
        <f t="shared" si="5"/>
        <v>1.000886473</v>
      </c>
      <c r="AA397" s="16">
        <f t="shared" si="8"/>
        <v>103.2055847</v>
      </c>
      <c r="AB397" s="14"/>
      <c r="AC397" s="9">
        <f t="shared" si="6"/>
        <v>0</v>
      </c>
    </row>
    <row r="398">
      <c r="A398" s="8">
        <v>42300.0</v>
      </c>
      <c r="B398" s="14"/>
      <c r="C398" s="9">
        <f t="array" ref="C398">IFERROR(
  INDEX(
    IR!$B$2:$E2026,                
    MATCH($A398, IR!$A$2:$A2026, 0), 
    MATCH(C$1, IR!$B$1:$E$1, 0) ), "")
</f>
        <v>-0.00119</v>
      </c>
      <c r="D398" s="9">
        <f t="array" ref="D398">IFERROR(
  INDEX(
    IR!$B$2:$E2026,                
    MATCH($A398, IR!$A$2:$A2026, 0), 
    MATCH(D$1, IR!$B$1:$E$1, 0) ), "")
</f>
        <v>-0.00061</v>
      </c>
      <c r="E398" s="9">
        <f t="array" ref="E398">IFERROR(
  INDEX(
    IR!$B$2:$E2026,                
    MATCH($A398, IR!$A$2:$A2026, 0), 
    MATCH(E$1, IR!$B$1:$E$1, 0) ), "")
</f>
        <v>0.0001</v>
      </c>
      <c r="F398" s="9">
        <f t="array" ref="F398">IFERROR(
  INDEX(
    IR!$B$2:$E2026,                
    MATCH($A398, IR!$A$2:$A2026, 0), 
    MATCH(F$1, IR!$B$1:$E$1, 0) ), "")
</f>
        <v>0.00114</v>
      </c>
      <c r="G398" s="14"/>
      <c r="H398" s="9">
        <f t="array" ref="H398">IFERROR(
  INDEX(
    SR!$B$2:$D2026,            
    MATCH($A398, SR!$A$2:$A2026, 0),  
    MATCH(H$1, SR!$B$1:$D$1, 0) ), "")
</f>
        <v>-0.00018</v>
      </c>
      <c r="I398" s="9">
        <f t="array" ref="I398">IFERROR(
  INDEX(
    SR!$B$2:$D2026,            
    MATCH($A398, SR!$A$2:$A2026, 0),  
    MATCH(I$1, SR!$B$1:$D$1, 0) ), "")
</f>
        <v>0.000482</v>
      </c>
      <c r="J398" s="9">
        <f t="array" ref="J398">IFERROR(
  INDEX(
    SR!$B$2:$D2026,            
    MATCH($A398, SR!$A$2:$A2026, 0),  
    MATCH(J$1, SR!$B$1:$D$1, 0) ), "")
</f>
        <v>0.00274</v>
      </c>
      <c r="K398" s="14"/>
      <c r="L398" s="9">
        <v>125.07</v>
      </c>
      <c r="M398" s="9">
        <v>24.51</v>
      </c>
      <c r="N398" s="9">
        <v>112.86</v>
      </c>
      <c r="O398" s="9">
        <v>123.69</v>
      </c>
      <c r="P398" s="9">
        <v>131.08</v>
      </c>
      <c r="Q398" s="9">
        <v>1412.578</v>
      </c>
      <c r="R398" s="14"/>
      <c r="S398" s="12">
        <f t="shared" si="2"/>
        <v>0.003279025169</v>
      </c>
      <c r="T398" s="12">
        <f t="shared" si="3"/>
        <v>1.003279025</v>
      </c>
      <c r="U398" s="16">
        <f t="shared" si="7"/>
        <v>102.4920446</v>
      </c>
      <c r="V398" s="17"/>
      <c r="W398" s="12">
        <f t="array" ref="W398">SQRT(252/20) *  SQRT( SUMSQ( LN(U377:U396 / U376:U395) )  - (1/20) * ( SUM( LN(U377:U396 / U376:U395) ) ^ 2 ) )</f>
        <v>0.01989038566</v>
      </c>
      <c r="X398" s="9">
        <f t="shared" si="4"/>
        <v>1.5</v>
      </c>
      <c r="Y398" s="14"/>
      <c r="Z398" s="12">
        <f t="shared" si="5"/>
        <v>1.004920177</v>
      </c>
      <c r="AA398" s="16">
        <f t="shared" si="8"/>
        <v>103.7133745</v>
      </c>
      <c r="AB398" s="14"/>
      <c r="AC398" s="9">
        <f t="shared" si="6"/>
        <v>0</v>
      </c>
    </row>
    <row r="399">
      <c r="A399" s="8">
        <v>42303.0</v>
      </c>
      <c r="B399" s="14"/>
      <c r="C399" s="9">
        <f t="array" ref="C399">IFERROR(
  INDEX(
    IR!$B$2:$E2026,                
    MATCH($A399, IR!$A$2:$A2026, 0), 
    MATCH(C$1, IR!$B$1:$E$1, 0) ), "")
</f>
        <v>-0.00119</v>
      </c>
      <c r="D399" s="9">
        <f t="array" ref="D399">IFERROR(
  INDEX(
    IR!$B$2:$E2026,                
    MATCH($A399, IR!$A$2:$A2026, 0), 
    MATCH(D$1, IR!$B$1:$E$1, 0) ), "")
</f>
        <v>-0.00064</v>
      </c>
      <c r="E399" s="9">
        <f t="array" ref="E399">IFERROR(
  INDEX(
    IR!$B$2:$E2026,                
    MATCH($A399, IR!$A$2:$A2026, 0), 
    MATCH(E$1, IR!$B$1:$E$1, 0) ), "")
</f>
        <v>0.00008</v>
      </c>
      <c r="F399" s="9">
        <f t="array" ref="F399">IFERROR(
  INDEX(
    IR!$B$2:$E2026,                
    MATCH($A399, IR!$A$2:$A2026, 0), 
    MATCH(F$1, IR!$B$1:$E$1, 0) ), "")
</f>
        <v>0.0011</v>
      </c>
      <c r="G399" s="14"/>
      <c r="H399" s="9">
        <f t="array" ref="H399">IFERROR(
  INDEX(
    SR!$B$2:$D2026,            
    MATCH($A399, SR!$A$2:$A2026, 0),  
    MATCH(H$1, SR!$B$1:$D$1, 0) ), "")
</f>
        <v>-0.00033</v>
      </c>
      <c r="I399" s="9">
        <f t="array" ref="I399">IFERROR(
  INDEX(
    SR!$B$2:$D2026,            
    MATCH($A399, SR!$A$2:$A2026, 0),  
    MATCH(I$1, SR!$B$1:$D$1, 0) ), "")
</f>
        <v>0.000288</v>
      </c>
      <c r="J399" s="9">
        <f t="array" ref="J399">IFERROR(
  INDEX(
    SR!$B$2:$D2026,            
    MATCH($A399, SR!$A$2:$A2026, 0),  
    MATCH(J$1, SR!$B$1:$D$1, 0) ), "")
</f>
        <v>0.002552</v>
      </c>
      <c r="K399" s="14"/>
      <c r="L399" s="9">
        <v>125.08</v>
      </c>
      <c r="M399" s="9">
        <v>24.51</v>
      </c>
      <c r="N399" s="9">
        <v>112.92</v>
      </c>
      <c r="O399" s="9">
        <v>123.68</v>
      </c>
      <c r="P399" s="9">
        <v>131.54</v>
      </c>
      <c r="Q399" s="9">
        <v>1420.6121</v>
      </c>
      <c r="R399" s="14"/>
      <c r="S399" s="12">
        <f t="shared" si="2"/>
        <v>0.001621185529</v>
      </c>
      <c r="T399" s="12">
        <f t="shared" si="3"/>
        <v>1.001621186</v>
      </c>
      <c r="U399" s="16">
        <f t="shared" si="7"/>
        <v>102.6582032</v>
      </c>
      <c r="V399" s="17"/>
      <c r="W399" s="12">
        <f t="array" ref="W399">SQRT(252/20) *  SQRT( SUMSQ( LN(U378:U397 / U377:U396) )  - (1/20) * ( SUM( LN(U378:U397 / U377:U396) ) ^ 2 ) )</f>
        <v>0.01971872995</v>
      </c>
      <c r="X399" s="9">
        <f t="shared" si="4"/>
        <v>1.5</v>
      </c>
      <c r="Y399" s="14"/>
      <c r="Z399" s="12">
        <f t="shared" si="5"/>
        <v>1.002436737</v>
      </c>
      <c r="AA399" s="16">
        <f t="shared" si="8"/>
        <v>103.9660966</v>
      </c>
      <c r="AB399" s="14"/>
      <c r="AC399" s="9">
        <f t="shared" si="6"/>
        <v>0</v>
      </c>
    </row>
    <row r="400">
      <c r="A400" s="8">
        <v>42304.0</v>
      </c>
      <c r="B400" s="14"/>
      <c r="C400" s="9">
        <f t="array" ref="C400">IFERROR(
  INDEX(
    IR!$B$2:$E2026,                
    MATCH($A400, IR!$A$2:$A2026, 0), 
    MATCH(C$1, IR!$B$1:$E$1, 0) ), "")
</f>
        <v>-0.00119</v>
      </c>
      <c r="D400" s="9">
        <f t="array" ref="D400">IFERROR(
  INDEX(
    IR!$B$2:$E2026,                
    MATCH($A400, IR!$A$2:$A2026, 0), 
    MATCH(D$1, IR!$B$1:$E$1, 0) ), "")
</f>
        <v>-0.00066</v>
      </c>
      <c r="E400" s="9">
        <f t="array" ref="E400">IFERROR(
  INDEX(
    IR!$B$2:$E2026,                
    MATCH($A400, IR!$A$2:$A2026, 0), 
    MATCH(E$1, IR!$B$1:$E$1, 0) ), "")
</f>
        <v>0.00008</v>
      </c>
      <c r="F400" s="9">
        <f t="array" ref="F400">IFERROR(
  INDEX(
    IR!$B$2:$E2026,                
    MATCH($A400, IR!$A$2:$A2026, 0), 
    MATCH(F$1, IR!$B$1:$E$1, 0) ), "")
</f>
        <v>0.00108</v>
      </c>
      <c r="G400" s="14"/>
      <c r="H400" s="9">
        <f t="array" ref="H400">IFERROR(
  INDEX(
    SR!$B$2:$D2026,            
    MATCH($A400, SR!$A$2:$A2026, 0),  
    MATCH(H$1, SR!$B$1:$D$1, 0) ), "")
</f>
        <v>-0.0004</v>
      </c>
      <c r="I400" s="9">
        <f t="array" ref="I400">IFERROR(
  INDEX(
    SR!$B$2:$D2026,            
    MATCH($A400, SR!$A$2:$A2026, 0),  
    MATCH(I$1, SR!$B$1:$D$1, 0) ), "")
</f>
        <v>0.000175</v>
      </c>
      <c r="J400" s="9">
        <f t="array" ref="J400">IFERROR(
  INDEX(
    SR!$B$2:$D2026,            
    MATCH($A400, SR!$A$2:$A2026, 0),  
    MATCH(J$1, SR!$B$1:$D$1, 0) ), "")
</f>
        <v>0.002304</v>
      </c>
      <c r="K400" s="14"/>
      <c r="L400" s="9">
        <v>124.84</v>
      </c>
      <c r="M400" s="9">
        <v>24.5</v>
      </c>
      <c r="N400" s="9">
        <v>112.91</v>
      </c>
      <c r="O400" s="9">
        <v>123.73</v>
      </c>
      <c r="P400" s="9">
        <v>131.69</v>
      </c>
      <c r="Q400" s="9">
        <v>1422.4163</v>
      </c>
      <c r="R400" s="14"/>
      <c r="S400" s="12">
        <f t="shared" si="2"/>
        <v>0.00006664964189</v>
      </c>
      <c r="T400" s="12">
        <f t="shared" si="3"/>
        <v>1.00006665</v>
      </c>
      <c r="U400" s="16">
        <f t="shared" si="7"/>
        <v>102.6650454</v>
      </c>
      <c r="V400" s="17"/>
      <c r="W400" s="12">
        <f t="array" ref="W400">SQRT(252/20) *  SQRT( SUMSQ( LN(U379:U398 / U378:U397) )  - (1/20) * ( SUM( LN(U379:U398 / U378:U397) ) ^ 2 ) )</f>
        <v>0.02227691965</v>
      </c>
      <c r="X400" s="9">
        <f t="shared" si="4"/>
        <v>1.5</v>
      </c>
      <c r="Y400" s="14"/>
      <c r="Z400" s="12">
        <f t="shared" si="5"/>
        <v>1.000101627</v>
      </c>
      <c r="AA400" s="16">
        <f t="shared" si="8"/>
        <v>103.9766624</v>
      </c>
      <c r="AB400" s="14"/>
      <c r="AC400" s="9">
        <f t="shared" si="6"/>
        <v>0</v>
      </c>
    </row>
    <row r="401">
      <c r="A401" s="8">
        <v>42305.0</v>
      </c>
      <c r="B401" s="14"/>
      <c r="C401" s="9">
        <f t="array" ref="C401">IFERROR(
  INDEX(
    IR!$B$2:$E2026,                
    MATCH($A401, IR!$A$2:$A2026, 0), 
    MATCH(C$1, IR!$B$1:$E$1, 0) ), "")
</f>
        <v>-0.00119</v>
      </c>
      <c r="D401" s="9">
        <f t="array" ref="D401">IFERROR(
  INDEX(
    IR!$B$2:$E2026,                
    MATCH($A401, IR!$A$2:$A2026, 0), 
    MATCH(D$1, IR!$B$1:$E$1, 0) ), "")
</f>
        <v>-0.00067</v>
      </c>
      <c r="E401" s="9">
        <f t="array" ref="E401">IFERROR(
  INDEX(
    IR!$B$2:$E2026,                
    MATCH($A401, IR!$A$2:$A2026, 0), 
    MATCH(E$1, IR!$B$1:$E$1, 0) ), "")
</f>
        <v>0.00006</v>
      </c>
      <c r="F401" s="9">
        <f t="array" ref="F401">IFERROR(
  INDEX(
    IR!$B$2:$E2026,                
    MATCH($A401, IR!$A$2:$A2026, 0), 
    MATCH(F$1, IR!$B$1:$E$1, 0) ), "")
</f>
        <v>0.00104</v>
      </c>
      <c r="G401" s="14"/>
      <c r="H401" s="9">
        <f t="array" ref="H401">IFERROR(
  INDEX(
    SR!$B$2:$D2026,            
    MATCH($A401, SR!$A$2:$A2026, 0),  
    MATCH(H$1, SR!$B$1:$D$1, 0) ), "")
</f>
        <v>-0.00036</v>
      </c>
      <c r="I401" s="9">
        <f t="array" ref="I401">IFERROR(
  INDEX(
    SR!$B$2:$D2026,            
    MATCH($A401, SR!$A$2:$A2026, 0),  
    MATCH(I$1, SR!$B$1:$D$1, 0) ), "")
</f>
        <v>0.000224</v>
      </c>
      <c r="J401" s="9">
        <f t="array" ref="J401">IFERROR(
  INDEX(
    SR!$B$2:$D2026,            
    MATCH($A401, SR!$A$2:$A2026, 0),  
    MATCH(J$1, SR!$B$1:$D$1, 0) ), "")
</f>
        <v>0.002443</v>
      </c>
      <c r="K401" s="14"/>
      <c r="L401" s="9">
        <v>125.21</v>
      </c>
      <c r="M401" s="9">
        <v>24.49</v>
      </c>
      <c r="N401" s="9">
        <v>112.88</v>
      </c>
      <c r="O401" s="9">
        <v>123.76</v>
      </c>
      <c r="P401" s="9">
        <v>131.93</v>
      </c>
      <c r="Q401" s="9">
        <v>1420.9678</v>
      </c>
      <c r="R401" s="14"/>
      <c r="S401" s="12">
        <f t="shared" si="2"/>
        <v>0.0005557623513</v>
      </c>
      <c r="T401" s="12">
        <f t="shared" si="3"/>
        <v>1.000555762</v>
      </c>
      <c r="U401" s="16">
        <f t="shared" si="7"/>
        <v>102.7221027</v>
      </c>
      <c r="V401" s="17"/>
      <c r="W401" s="12">
        <f t="array" ref="W401">SQRT(252/20) *  SQRT( SUMSQ( LN(U380:U399 / U379:U398) )  - (1/20) * ( SUM( LN(U380:U399 / U379:U398) ) ^ 2 ) )</f>
        <v>0.02172033391</v>
      </c>
      <c r="X401" s="9">
        <f t="shared" si="4"/>
        <v>1.5</v>
      </c>
      <c r="Y401" s="14"/>
      <c r="Z401" s="12">
        <f t="shared" si="5"/>
        <v>1.000835296</v>
      </c>
      <c r="AA401" s="16">
        <f t="shared" si="8"/>
        <v>104.0635137</v>
      </c>
      <c r="AB401" s="14"/>
      <c r="AC401" s="9">
        <f t="shared" si="6"/>
        <v>0</v>
      </c>
    </row>
    <row r="402">
      <c r="A402" s="8">
        <v>42306.0</v>
      </c>
      <c r="B402" s="14"/>
      <c r="C402" s="9">
        <f t="array" ref="C402">IFERROR(
  INDEX(
    IR!$B$2:$E2026,                
    MATCH($A402, IR!$A$2:$A2026, 0), 
    MATCH(C$1, IR!$B$1:$E$1, 0) ), "")
</f>
        <v>-0.00119</v>
      </c>
      <c r="D402" s="9">
        <f t="array" ref="D402">IFERROR(
  INDEX(
    IR!$B$2:$E2026,                
    MATCH($A402, IR!$A$2:$A2026, 0), 
    MATCH(D$1, IR!$B$1:$E$1, 0) ), "")
</f>
        <v>-0.00068</v>
      </c>
      <c r="E402" s="9">
        <f t="array" ref="E402">IFERROR(
  INDEX(
    IR!$B$2:$E2026,                
    MATCH($A402, IR!$A$2:$A2026, 0), 
    MATCH(E$1, IR!$B$1:$E$1, 0) ), "")
</f>
        <v>0.00004</v>
      </c>
      <c r="F402" s="9">
        <f t="array" ref="F402">IFERROR(
  INDEX(
    IR!$B$2:$E2026,                
    MATCH($A402, IR!$A$2:$A2026, 0), 
    MATCH(F$1, IR!$B$1:$E$1, 0) ), "")
</f>
        <v>0.00104</v>
      </c>
      <c r="G402" s="14"/>
      <c r="H402" s="9">
        <f t="array" ref="H402">IFERROR(
  INDEX(
    SR!$B$2:$D2026,            
    MATCH($A402, SR!$A$2:$A2026, 0),  
    MATCH(H$1, SR!$B$1:$D$1, 0) ), "")
</f>
        <v>-0.000232</v>
      </c>
      <c r="I402" s="9">
        <f t="array" ref="I402">IFERROR(
  INDEX(
    SR!$B$2:$D2026,            
    MATCH($A402, SR!$A$2:$A2026, 0),  
    MATCH(I$1, SR!$B$1:$D$1, 0) ), "")
</f>
        <v>0.00039</v>
      </c>
      <c r="J402" s="9">
        <f t="array" ref="J402">IFERROR(
  INDEX(
    SR!$B$2:$D2026,            
    MATCH($A402, SR!$A$2:$A2026, 0),  
    MATCH(J$1, SR!$B$1:$D$1, 0) ), "")
</f>
        <v>0.002725</v>
      </c>
      <c r="K402" s="14"/>
      <c r="L402" s="9">
        <v>125.45</v>
      </c>
      <c r="M402" s="9">
        <v>24.5</v>
      </c>
      <c r="N402" s="9">
        <v>112.83</v>
      </c>
      <c r="O402" s="9">
        <v>124.09</v>
      </c>
      <c r="P402" s="9">
        <v>132.13</v>
      </c>
      <c r="Q402" s="9">
        <v>1424.1327</v>
      </c>
      <c r="R402" s="14"/>
      <c r="S402" s="12">
        <f t="shared" si="2"/>
        <v>0.001381645424</v>
      </c>
      <c r="T402" s="12">
        <f t="shared" si="3"/>
        <v>1.001381645</v>
      </c>
      <c r="U402" s="16">
        <f t="shared" si="7"/>
        <v>102.8640283</v>
      </c>
      <c r="V402" s="17"/>
      <c r="W402" s="12">
        <f t="array" ref="W402">SQRT(252/20) *  SQRT( SUMSQ( LN(U381:U400 / U380:U399) )  - (1/20) * ( SUM( LN(U381:U400 / U380:U399) ) ^ 2 ) )</f>
        <v>0.01567824142</v>
      </c>
      <c r="X402" s="9">
        <f t="shared" si="4"/>
        <v>1.5</v>
      </c>
      <c r="Y402" s="14"/>
      <c r="Z402" s="12">
        <f t="shared" si="5"/>
        <v>1.002074121</v>
      </c>
      <c r="AA402" s="16">
        <f t="shared" si="8"/>
        <v>104.2793541</v>
      </c>
      <c r="AB402" s="14"/>
      <c r="AC402" s="9">
        <f t="shared" si="6"/>
        <v>0</v>
      </c>
    </row>
    <row r="403">
      <c r="A403" s="8">
        <v>42307.0</v>
      </c>
      <c r="B403" s="14"/>
      <c r="C403" s="9">
        <f t="array" ref="C403">IFERROR(
  INDEX(
    IR!$B$2:$E2026,                
    MATCH($A403, IR!$A$2:$A2026, 0), 
    MATCH(C$1, IR!$B$1:$E$1, 0) ), "")
</f>
        <v>-0.00119</v>
      </c>
      <c r="D403" s="9">
        <f t="array" ref="D403">IFERROR(
  INDEX(
    IR!$B$2:$E2026,                
    MATCH($A403, IR!$A$2:$A2026, 0), 
    MATCH(D$1, IR!$B$1:$E$1, 0) ), "")
</f>
        <v>-0.00068</v>
      </c>
      <c r="E403" s="9">
        <f t="array" ref="E403">IFERROR(
  INDEX(
    IR!$B$2:$E2026,                
    MATCH($A403, IR!$A$2:$A2026, 0), 
    MATCH(E$1, IR!$B$1:$E$1, 0) ), "")
</f>
        <v>0.00006</v>
      </c>
      <c r="F403" s="9">
        <f t="array" ref="F403">IFERROR(
  INDEX(
    IR!$B$2:$E2026,                
    MATCH($A403, IR!$A$2:$A2026, 0), 
    MATCH(F$1, IR!$B$1:$E$1, 0) ), "")
</f>
        <v>0.00107</v>
      </c>
      <c r="G403" s="14"/>
      <c r="H403" s="9">
        <f t="array" ref="H403">IFERROR(
  INDEX(
    SR!$B$2:$D2026,            
    MATCH($A403, SR!$A$2:$A2026, 0),  
    MATCH(H$1, SR!$B$1:$D$1, 0) ), "")
</f>
        <v>-0.000204</v>
      </c>
      <c r="I403" s="9">
        <f t="array" ref="I403">IFERROR(
  INDEX(
    SR!$B$2:$D2026,            
    MATCH($A403, SR!$A$2:$A2026, 0),  
    MATCH(I$1, SR!$B$1:$D$1, 0) ), "")
</f>
        <v>0.000416</v>
      </c>
      <c r="J403" s="9">
        <f t="array" ref="J403">IFERROR(
  INDEX(
    SR!$B$2:$D2026,            
    MATCH($A403, SR!$A$2:$A2026, 0),  
    MATCH(J$1, SR!$B$1:$D$1, 0) ), "")
</f>
        <v>0.002709</v>
      </c>
      <c r="K403" s="14"/>
      <c r="L403" s="9">
        <v>125.67</v>
      </c>
      <c r="M403" s="9">
        <v>24.5</v>
      </c>
      <c r="N403" s="9">
        <v>112.83</v>
      </c>
      <c r="O403" s="9">
        <v>123.51</v>
      </c>
      <c r="P403" s="9">
        <v>132.33</v>
      </c>
      <c r="Q403" s="9">
        <v>1421.4951</v>
      </c>
      <c r="R403" s="14"/>
      <c r="S403" s="12">
        <f t="shared" si="2"/>
        <v>-0.0005430936237</v>
      </c>
      <c r="T403" s="12">
        <f t="shared" si="3"/>
        <v>0.9994569064</v>
      </c>
      <c r="U403" s="16">
        <f t="shared" si="7"/>
        <v>102.8081635</v>
      </c>
      <c r="V403" s="17"/>
      <c r="W403" s="12">
        <f t="array" ref="W403">SQRT(252/20) *  SQRT( SUMSQ( LN(U382:U401 / U381:U400) )  - (1/20) * ( SUM( LN(U382:U401 / U381:U400) ) ^ 2 ) )</f>
        <v>0.01512602577</v>
      </c>
      <c r="X403" s="9">
        <f t="shared" si="4"/>
        <v>1.5</v>
      </c>
      <c r="Y403" s="14"/>
      <c r="Z403" s="12">
        <f t="shared" si="5"/>
        <v>0.9991870123</v>
      </c>
      <c r="AA403" s="16">
        <f t="shared" si="8"/>
        <v>104.1945762</v>
      </c>
      <c r="AB403" s="14"/>
      <c r="AC403" s="9">
        <f t="shared" si="6"/>
        <v>0</v>
      </c>
    </row>
    <row r="404">
      <c r="A404" s="8">
        <v>42310.0</v>
      </c>
      <c r="B404" s="14"/>
      <c r="C404" s="9">
        <f t="array" ref="C404">IFERROR(
  INDEX(
    IR!$B$2:$E2026,                
    MATCH($A404, IR!$A$2:$A2026, 0), 
    MATCH(C$1, IR!$B$1:$E$1, 0) ), "")
</f>
        <v>-0.00119</v>
      </c>
      <c r="D404" s="9">
        <f t="array" ref="D404">IFERROR(
  INDEX(
    IR!$B$2:$E2026,                
    MATCH($A404, IR!$A$2:$A2026, 0), 
    MATCH(D$1, IR!$B$1:$E$1, 0) ), "")
</f>
        <v>-0.00066</v>
      </c>
      <c r="E404" s="9">
        <f t="array" ref="E404">IFERROR(
  INDEX(
    IR!$B$2:$E2026,                
    MATCH($A404, IR!$A$2:$A2026, 0), 
    MATCH(E$1, IR!$B$1:$E$1, 0) ), "")
</f>
        <v>0.00007</v>
      </c>
      <c r="F404" s="9">
        <f t="array" ref="F404">IFERROR(
  INDEX(
    IR!$B$2:$E2026,                
    MATCH($A404, IR!$A$2:$A2026, 0), 
    MATCH(F$1, IR!$B$1:$E$1, 0) ), "")
</f>
        <v>0.00109</v>
      </c>
      <c r="G404" s="14"/>
      <c r="H404" s="9">
        <f t="array" ref="H404">IFERROR(
  INDEX(
    SR!$B$2:$D2026,            
    MATCH($A404, SR!$A$2:$A2026, 0),  
    MATCH(H$1, SR!$B$1:$D$1, 0) ), "")
</f>
        <v>0</v>
      </c>
      <c r="I404" s="9">
        <f t="array" ref="I404">IFERROR(
  INDEX(
    SR!$B$2:$D2026,            
    MATCH($A404, SR!$A$2:$A2026, 0),  
    MATCH(I$1, SR!$B$1:$D$1, 0) ), "")
</f>
        <v>0.000575</v>
      </c>
      <c r="J404" s="9">
        <f t="array" ref="J404">IFERROR(
  INDEX(
    SR!$B$2:$D2026,            
    MATCH($A404, SR!$A$2:$A2026, 0),  
    MATCH(J$1, SR!$B$1:$D$1, 0) ), "")
</f>
        <v>0.002952</v>
      </c>
      <c r="K404" s="14"/>
      <c r="L404" s="9">
        <v>125.89</v>
      </c>
      <c r="M404" s="9">
        <v>24.5</v>
      </c>
      <c r="N404" s="9">
        <v>112.89</v>
      </c>
      <c r="O404" s="9">
        <v>123.58</v>
      </c>
      <c r="P404" s="9">
        <v>131.97</v>
      </c>
      <c r="Q404" s="9">
        <v>1422.9398</v>
      </c>
      <c r="R404" s="14"/>
      <c r="S404" s="12">
        <f t="shared" si="2"/>
        <v>0.0001908584042</v>
      </c>
      <c r="T404" s="12">
        <f t="shared" si="3"/>
        <v>1.000190858</v>
      </c>
      <c r="U404" s="16">
        <f t="shared" si="7"/>
        <v>102.8277853</v>
      </c>
      <c r="V404" s="17"/>
      <c r="W404" s="12">
        <f t="array" ref="W404">SQRT(252/20) *  SQRT( SUMSQ( LN(U383:U402 / U382:U401) )  - (1/20) * ( SUM( LN(U383:U402 / U382:U401) ) ^ 2 ) )</f>
        <v>0.01502953353</v>
      </c>
      <c r="X404" s="9">
        <f t="shared" si="4"/>
        <v>1.5</v>
      </c>
      <c r="Y404" s="14"/>
      <c r="Z404" s="12">
        <f t="shared" si="5"/>
        <v>1.000291246</v>
      </c>
      <c r="AA404" s="16">
        <f t="shared" si="8"/>
        <v>104.2249225</v>
      </c>
      <c r="AB404" s="14"/>
      <c r="AC404" s="9">
        <f t="shared" si="6"/>
        <v>0</v>
      </c>
    </row>
    <row r="405">
      <c r="A405" s="8">
        <v>42311.0</v>
      </c>
      <c r="B405" s="14"/>
      <c r="C405" s="9">
        <f t="array" ref="C405">IFERROR(
  INDEX(
    IR!$B$2:$E2026,                
    MATCH($A405, IR!$A$2:$A2026, 0), 
    MATCH(C$1, IR!$B$1:$E$1, 0) ), "")
</f>
        <v>-0.00121</v>
      </c>
      <c r="D405" s="9">
        <f t="array" ref="D405">IFERROR(
  INDEX(
    IR!$B$2:$E2026,                
    MATCH($A405, IR!$A$2:$A2026, 0), 
    MATCH(D$1, IR!$B$1:$E$1, 0) ), "")
</f>
        <v>-0.00069</v>
      </c>
      <c r="E405" s="9">
        <f t="array" ref="E405">IFERROR(
  INDEX(
    IR!$B$2:$E2026,                
    MATCH($A405, IR!$A$2:$A2026, 0), 
    MATCH(E$1, IR!$B$1:$E$1, 0) ), "")
</f>
        <v>0.00003</v>
      </c>
      <c r="F405" s="9">
        <f t="array" ref="F405">IFERROR(
  INDEX(
    IR!$B$2:$E2026,                
    MATCH($A405, IR!$A$2:$A2026, 0), 
    MATCH(F$1, IR!$B$1:$E$1, 0) ), "")
</f>
        <v>0.00106</v>
      </c>
      <c r="G405" s="14"/>
      <c r="H405" s="9">
        <f t="array" ref="H405">IFERROR(
  INDEX(
    SR!$B$2:$D2026,            
    MATCH($A405, SR!$A$2:$A2026, 0),  
    MATCH(H$1, SR!$B$1:$D$1, 0) ), "")
</f>
        <v>-0.00023</v>
      </c>
      <c r="I405" s="9">
        <f t="array" ref="I405">IFERROR(
  INDEX(
    SR!$B$2:$D2026,            
    MATCH($A405, SR!$A$2:$A2026, 0),  
    MATCH(I$1, SR!$B$1:$D$1, 0) ), "")
</f>
        <v>0.00047</v>
      </c>
      <c r="J405" s="9">
        <f t="array" ref="J405">IFERROR(
  INDEX(
    SR!$B$2:$D2026,            
    MATCH($A405, SR!$A$2:$A2026, 0),  
    MATCH(J$1, SR!$B$1:$D$1, 0) ), "")
</f>
        <v>0.002883</v>
      </c>
      <c r="K405" s="14"/>
      <c r="L405" s="9">
        <v>125.95</v>
      </c>
      <c r="M405" s="9">
        <v>24.52</v>
      </c>
      <c r="N405" s="9">
        <v>112.93</v>
      </c>
      <c r="O405" s="9">
        <v>123.83</v>
      </c>
      <c r="P405" s="9">
        <v>132.36</v>
      </c>
      <c r="Q405" s="9">
        <v>1428.2821</v>
      </c>
      <c r="R405" s="14"/>
      <c r="S405" s="12">
        <f t="shared" si="2"/>
        <v>0.001729661597</v>
      </c>
      <c r="T405" s="12">
        <f t="shared" si="3"/>
        <v>1.001729662</v>
      </c>
      <c r="U405" s="16">
        <f t="shared" si="7"/>
        <v>103.0056425</v>
      </c>
      <c r="V405" s="17"/>
      <c r="W405" s="12">
        <f t="array" ref="W405">SQRT(252/20) *  SQRT( SUMSQ( LN(U384:U403 / U383:U402) )  - (1/20) * ( SUM( LN(U384:U403 / U383:U402) ) ^ 2 ) )</f>
        <v>0.01534617931</v>
      </c>
      <c r="X405" s="9">
        <f t="shared" si="4"/>
        <v>1.5</v>
      </c>
      <c r="Y405" s="14"/>
      <c r="Z405" s="12">
        <f t="shared" si="5"/>
        <v>1.002596145</v>
      </c>
      <c r="AA405" s="16">
        <f t="shared" si="8"/>
        <v>104.4955055</v>
      </c>
      <c r="AB405" s="14"/>
      <c r="AC405" s="9">
        <f t="shared" si="6"/>
        <v>0</v>
      </c>
    </row>
    <row r="406">
      <c r="A406" s="8">
        <v>42312.0</v>
      </c>
      <c r="B406" s="14"/>
      <c r="C406" s="9">
        <f t="array" ref="C406">IFERROR(
  INDEX(
    IR!$B$2:$E2026,                
    MATCH($A406, IR!$A$2:$A2026, 0), 
    MATCH(C$1, IR!$B$1:$E$1, 0) ), "")
</f>
        <v>-0.00122</v>
      </c>
      <c r="D406" s="9">
        <f t="array" ref="D406">IFERROR(
  INDEX(
    IR!$B$2:$E2026,                
    MATCH($A406, IR!$A$2:$A2026, 0), 
    MATCH(D$1, IR!$B$1:$E$1, 0) ), "")
</f>
        <v>-0.00069</v>
      </c>
      <c r="E406" s="9">
        <f t="array" ref="E406">IFERROR(
  INDEX(
    IR!$B$2:$E2026,                
    MATCH($A406, IR!$A$2:$A2026, 0), 
    MATCH(E$1, IR!$B$1:$E$1, 0) ), "")
</f>
        <v>0</v>
      </c>
      <c r="F406" s="9">
        <f t="array" ref="F406">IFERROR(
  INDEX(
    IR!$B$2:$E2026,                
    MATCH($A406, IR!$A$2:$A2026, 0), 
    MATCH(F$1, IR!$B$1:$E$1, 0) ), "")
</f>
        <v>0.00101</v>
      </c>
      <c r="G406" s="14"/>
      <c r="H406" s="9">
        <f t="array" ref="H406">IFERROR(
  INDEX(
    SR!$B$2:$D2026,            
    MATCH($A406, SR!$A$2:$A2026, 0),  
    MATCH(H$1, SR!$B$1:$D$1, 0) ), "")
</f>
        <v>-0.00021</v>
      </c>
      <c r="I406" s="9">
        <f t="array" ref="I406">IFERROR(
  INDEX(
    SR!$B$2:$D2026,            
    MATCH($A406, SR!$A$2:$A2026, 0),  
    MATCH(I$1, SR!$B$1:$D$1, 0) ), "")
</f>
        <v>0.000436</v>
      </c>
      <c r="J406" s="9">
        <f t="array" ref="J406">IFERROR(
  INDEX(
    SR!$B$2:$D2026,            
    MATCH($A406, SR!$A$2:$A2026, 0),  
    MATCH(J$1, SR!$B$1:$D$1, 0) ), "")
</f>
        <v>0.00282</v>
      </c>
      <c r="K406" s="14"/>
      <c r="L406" s="9">
        <v>125.99</v>
      </c>
      <c r="M406" s="9">
        <v>24.54</v>
      </c>
      <c r="N406" s="9">
        <v>113.0</v>
      </c>
      <c r="O406" s="9">
        <v>123.78</v>
      </c>
      <c r="P406" s="9">
        <v>132.56</v>
      </c>
      <c r="Q406" s="9">
        <v>1429.5048</v>
      </c>
      <c r="R406" s="14"/>
      <c r="S406" s="12">
        <f t="shared" si="2"/>
        <v>0.0006192402723</v>
      </c>
      <c r="T406" s="12">
        <f t="shared" si="3"/>
        <v>1.00061924</v>
      </c>
      <c r="U406" s="16">
        <f t="shared" si="7"/>
        <v>103.0694278</v>
      </c>
      <c r="V406" s="17"/>
      <c r="W406" s="12">
        <f t="array" ref="W406">SQRT(252/20) *  SQRT( SUMSQ( LN(U385:U404 / U384:U403) )  - (1/20) * ( SUM( LN(U385:U404 / U384:U403) ) ^ 2 ) )</f>
        <v>0.01414028353</v>
      </c>
      <c r="X406" s="9">
        <f t="shared" si="4"/>
        <v>1.5</v>
      </c>
      <c r="Y406" s="14"/>
      <c r="Z406" s="12">
        <f t="shared" si="5"/>
        <v>1.000930541</v>
      </c>
      <c r="AA406" s="16">
        <f t="shared" si="8"/>
        <v>104.5927429</v>
      </c>
      <c r="AB406" s="14"/>
      <c r="AC406" s="9">
        <f t="shared" si="6"/>
        <v>0.67</v>
      </c>
    </row>
    <row r="407">
      <c r="A407" s="8">
        <v>42313.0</v>
      </c>
      <c r="B407" s="14"/>
      <c r="C407" s="9">
        <f t="array" ref="C407">IFERROR(
  INDEX(
    IR!$B$2:$E2026,                
    MATCH($A407, IR!$A$2:$A2026, 0), 
    MATCH(C$1, IR!$B$1:$E$1, 0) ), "")
</f>
        <v>-0.00123</v>
      </c>
      <c r="D407" s="9">
        <f t="array" ref="D407">IFERROR(
  INDEX(
    IR!$B$2:$E2026,                
    MATCH($A407, IR!$A$2:$A2026, 0), 
    MATCH(D$1, IR!$B$1:$E$1, 0) ), "")
</f>
        <v>-0.00071</v>
      </c>
      <c r="E407" s="9">
        <f t="array" ref="E407">IFERROR(
  INDEX(
    IR!$B$2:$E2026,                
    MATCH($A407, IR!$A$2:$A2026, 0), 
    MATCH(E$1, IR!$B$1:$E$1, 0) ), "")
</f>
        <v>0.00001</v>
      </c>
      <c r="F407" s="9">
        <f t="array" ref="F407">IFERROR(
  INDEX(
    IR!$B$2:$E2026,                
    MATCH($A407, IR!$A$2:$A2026, 0), 
    MATCH(F$1, IR!$B$1:$E$1, 0) ), "")
</f>
        <v>0.00098</v>
      </c>
      <c r="G407" s="14"/>
      <c r="H407" s="9">
        <f t="array" ref="H407">IFERROR(
  INDEX(
    SR!$B$2:$D2026,            
    MATCH($A407, SR!$A$2:$A2026, 0),  
    MATCH(H$1, SR!$B$1:$D$1, 0) ), "")
</f>
        <v>-0.00032</v>
      </c>
      <c r="I407" s="9">
        <f t="array" ref="I407">IFERROR(
  INDEX(
    SR!$B$2:$D2026,            
    MATCH($A407, SR!$A$2:$A2026, 0),  
    MATCH(I$1, SR!$B$1:$D$1, 0) ), "")
</f>
        <v>0.00037</v>
      </c>
      <c r="J407" s="9">
        <f t="array" ref="J407">IFERROR(
  INDEX(
    SR!$B$2:$D2026,            
    MATCH($A407, SR!$A$2:$A2026, 0),  
    MATCH(J$1, SR!$B$1:$D$1, 0) ), "")
</f>
        <v>0.002795</v>
      </c>
      <c r="K407" s="14"/>
      <c r="L407" s="9">
        <v>125.98</v>
      </c>
      <c r="M407" s="9">
        <v>24.53</v>
      </c>
      <c r="N407" s="9">
        <v>113.02</v>
      </c>
      <c r="O407" s="9">
        <v>123.21</v>
      </c>
      <c r="P407" s="9">
        <v>132.56</v>
      </c>
      <c r="Q407" s="9">
        <v>1431.8925</v>
      </c>
      <c r="R407" s="14"/>
      <c r="S407" s="12">
        <f t="shared" si="2"/>
        <v>-0.0005403706274</v>
      </c>
      <c r="T407" s="12">
        <f t="shared" si="3"/>
        <v>0.9994596294</v>
      </c>
      <c r="U407" s="16">
        <f t="shared" si="7"/>
        <v>103.0137321</v>
      </c>
      <c r="V407" s="17"/>
      <c r="W407" s="12">
        <f t="array" ref="W407">SQRT(252/20) *  SQRT( SUMSQ( LN(U386:U405 / U385:U404) )  - (1/20) * ( SUM( LN(U386:U405 / U385:U404) ) ^ 2 ) )</f>
        <v>0.01441435686</v>
      </c>
      <c r="X407" s="9">
        <f t="shared" si="4"/>
        <v>1.5</v>
      </c>
      <c r="Y407" s="14"/>
      <c r="Z407" s="12">
        <f t="shared" si="5"/>
        <v>0.9991911385</v>
      </c>
      <c r="AA407" s="16">
        <f t="shared" si="8"/>
        <v>104.5081418</v>
      </c>
      <c r="AB407" s="14"/>
      <c r="AC407" s="9">
        <f t="shared" si="6"/>
        <v>0</v>
      </c>
    </row>
    <row r="408">
      <c r="A408" s="8">
        <v>42314.0</v>
      </c>
      <c r="B408" s="14"/>
      <c r="C408" s="9">
        <f t="array" ref="C408">IFERROR(
  INDEX(
    IR!$B$2:$E2026,                
    MATCH($A408, IR!$A$2:$A2026, 0), 
    MATCH(C$1, IR!$B$1:$E$1, 0) ), "")
</f>
        <v>-0.00124</v>
      </c>
      <c r="D408" s="9">
        <f t="array" ref="D408">IFERROR(
  INDEX(
    IR!$B$2:$E2026,                
    MATCH($A408, IR!$A$2:$A2026, 0), 
    MATCH(D$1, IR!$B$1:$E$1, 0) ), "")
</f>
        <v>-0.00073</v>
      </c>
      <c r="E408" s="9">
        <f t="array" ref="E408">IFERROR(
  INDEX(
    IR!$B$2:$E2026,                
    MATCH($A408, IR!$A$2:$A2026, 0), 
    MATCH(E$1, IR!$B$1:$E$1, 0) ), "")
</f>
        <v>-0.00002</v>
      </c>
      <c r="F408" s="9">
        <f t="array" ref="F408">IFERROR(
  INDEX(
    IR!$B$2:$E2026,                
    MATCH($A408, IR!$A$2:$A2026, 0), 
    MATCH(F$1, IR!$B$1:$E$1, 0) ), "")
</f>
        <v>0.00096</v>
      </c>
      <c r="G408" s="14"/>
      <c r="H408" s="9">
        <f t="array" ref="H408">IFERROR(
  INDEX(
    SR!$B$2:$D2026,            
    MATCH($A408, SR!$A$2:$A2026, 0),  
    MATCH(H$1, SR!$B$1:$D$1, 0) ), "")
</f>
        <v>-0.00004</v>
      </c>
      <c r="I408" s="9">
        <f t="array" ref="I408">IFERROR(
  INDEX(
    SR!$B$2:$D2026,            
    MATCH($A408, SR!$A$2:$A2026, 0),  
    MATCH(I$1, SR!$B$1:$D$1, 0) ), "")
</f>
        <v>0.00069</v>
      </c>
      <c r="J408" s="9">
        <f t="array" ref="J408">IFERROR(
  INDEX(
    SR!$B$2:$D2026,            
    MATCH($A408, SR!$A$2:$A2026, 0),  
    MATCH(J$1, SR!$B$1:$D$1, 0) ), "")
</f>
        <v>0.003186</v>
      </c>
      <c r="K408" s="14"/>
      <c r="L408" s="9">
        <v>126.15</v>
      </c>
      <c r="M408" s="9">
        <v>24.54</v>
      </c>
      <c r="N408" s="9">
        <v>113.04</v>
      </c>
      <c r="O408" s="9">
        <v>123.45</v>
      </c>
      <c r="P408" s="9">
        <v>132.34</v>
      </c>
      <c r="Q408" s="9">
        <v>1431.8785</v>
      </c>
      <c r="R408" s="14"/>
      <c r="S408" s="12">
        <f t="shared" si="2"/>
        <v>0.0003686073862</v>
      </c>
      <c r="T408" s="12">
        <f t="shared" si="3"/>
        <v>1.000368607</v>
      </c>
      <c r="U408" s="16">
        <f t="shared" si="7"/>
        <v>103.0517037</v>
      </c>
      <c r="V408" s="17"/>
      <c r="W408" s="12">
        <f t="array" ref="W408">SQRT(252/20) *  SQRT( SUMSQ( LN(U387:U406 / U386:U405) )  - (1/20) * ( SUM( LN(U387:U406 / U386:U405) ) ^ 2 ) )</f>
        <v>0.01441445425</v>
      </c>
      <c r="X408" s="9">
        <f t="shared" si="4"/>
        <v>1.5</v>
      </c>
      <c r="Y408" s="14"/>
      <c r="Z408" s="12">
        <f t="shared" si="5"/>
        <v>1.000554619</v>
      </c>
      <c r="AA408" s="16">
        <f t="shared" si="8"/>
        <v>104.5661041</v>
      </c>
      <c r="AB408" s="14"/>
      <c r="AC408" s="9">
        <f t="shared" si="6"/>
        <v>0.41</v>
      </c>
    </row>
    <row r="409">
      <c r="A409" s="8">
        <v>42317.0</v>
      </c>
      <c r="B409" s="14"/>
      <c r="C409" s="9">
        <f t="array" ref="C409">IFERROR(
  INDEX(
    IR!$B$2:$E2026,                
    MATCH($A409, IR!$A$2:$A2026, 0), 
    MATCH(C$1, IR!$B$1:$E$1, 0) ), "")
</f>
        <v>-0.00125</v>
      </c>
      <c r="D409" s="9">
        <f t="array" ref="D409">IFERROR(
  INDEX(
    IR!$B$2:$E2026,                
    MATCH($A409, IR!$A$2:$A2026, 0), 
    MATCH(D$1, IR!$B$1:$E$1, 0) ), "")
</f>
        <v>-0.00073</v>
      </c>
      <c r="E409" s="9">
        <f t="array" ref="E409">IFERROR(
  INDEX(
    IR!$B$2:$E2026,                
    MATCH($A409, IR!$A$2:$A2026, 0), 
    MATCH(E$1, IR!$B$1:$E$1, 0) ), "")
</f>
        <v>0.00001</v>
      </c>
      <c r="F409" s="9">
        <f t="array" ref="F409">IFERROR(
  INDEX(
    IR!$B$2:$E2026,                
    MATCH($A409, IR!$A$2:$A2026, 0), 
    MATCH(F$1, IR!$B$1:$E$1, 0) ), "")
</f>
        <v>0.00101</v>
      </c>
      <c r="G409" s="14"/>
      <c r="H409" s="9">
        <f t="array" ref="H409">IFERROR(
  INDEX(
    SR!$B$2:$D2026,            
    MATCH($A409, SR!$A$2:$A2026, 0),  
    MATCH(H$1, SR!$B$1:$D$1, 0) ), "")
</f>
        <v>-0.00053</v>
      </c>
      <c r="I409" s="9">
        <f t="array" ref="I409">IFERROR(
  INDEX(
    SR!$B$2:$D2026,            
    MATCH($A409, SR!$A$2:$A2026, 0),  
    MATCH(I$1, SR!$B$1:$D$1, 0) ), "")
</f>
        <v>0.000166</v>
      </c>
      <c r="J409" s="9">
        <f t="array" ref="J409">IFERROR(
  INDEX(
    SR!$B$2:$D2026,            
    MATCH($A409, SR!$A$2:$A2026, 0),  
    MATCH(J$1, SR!$B$1:$D$1, 0) ), "")
</f>
        <v>0.002662</v>
      </c>
      <c r="K409" s="14"/>
      <c r="L409" s="9">
        <v>125.6</v>
      </c>
      <c r="M409" s="9">
        <v>24.54</v>
      </c>
      <c r="N409" s="9">
        <v>113.14</v>
      </c>
      <c r="O409" s="9">
        <v>123.48</v>
      </c>
      <c r="P409" s="9">
        <v>132.21</v>
      </c>
      <c r="Q409" s="9">
        <v>1433.2742</v>
      </c>
      <c r="R409" s="14"/>
      <c r="S409" s="12">
        <f t="shared" si="2"/>
        <v>-0.000539656169</v>
      </c>
      <c r="T409" s="12">
        <f t="shared" si="3"/>
        <v>0.9994603438</v>
      </c>
      <c r="U409" s="16">
        <f t="shared" si="7"/>
        <v>102.9960912</v>
      </c>
      <c r="V409" s="17"/>
      <c r="W409" s="12">
        <f t="array" ref="W409">SQRT(252/20) *  SQRT( SUMSQ( LN(U388:U407 / U387:U406) )  - (1/20) * ( SUM( LN(U388:U407 / U387:U406) ) ^ 2 ) )</f>
        <v>0.01499125431</v>
      </c>
      <c r="X409" s="9">
        <f t="shared" si="4"/>
        <v>1.5</v>
      </c>
      <c r="Y409" s="14"/>
      <c r="Z409" s="12">
        <f t="shared" si="5"/>
        <v>0.9991956824</v>
      </c>
      <c r="AA409" s="16">
        <f t="shared" si="8"/>
        <v>104.4819997</v>
      </c>
      <c r="AB409" s="14"/>
      <c r="AC409" s="9">
        <f t="shared" si="6"/>
        <v>0</v>
      </c>
    </row>
    <row r="410">
      <c r="A410" s="8">
        <v>42318.0</v>
      </c>
      <c r="B410" s="14"/>
      <c r="C410" s="9">
        <f t="array" ref="C410">IFERROR(
  INDEX(
    IR!$B$2:$E2026,                
    MATCH($A410, IR!$A$2:$A2026, 0), 
    MATCH(C$1, IR!$B$1:$E$1, 0) ), "")
</f>
        <v>-0.00129</v>
      </c>
      <c r="D410" s="9">
        <f t="array" ref="D410">IFERROR(
  INDEX(
    IR!$B$2:$E2026,                
    MATCH($A410, IR!$A$2:$A2026, 0), 
    MATCH(D$1, IR!$B$1:$E$1, 0) ), "")
</f>
        <v>-0.00077</v>
      </c>
      <c r="E410" s="9">
        <f t="array" ref="E410">IFERROR(
  INDEX(
    IR!$B$2:$E2026,                
    MATCH($A410, IR!$A$2:$A2026, 0), 
    MATCH(E$1, IR!$B$1:$E$1, 0) ), "")
</f>
        <v>-0.00004</v>
      </c>
      <c r="F410" s="9">
        <f t="array" ref="F410">IFERROR(
  INDEX(
    IR!$B$2:$E2026,                
    MATCH($A410, IR!$A$2:$A2026, 0), 
    MATCH(F$1, IR!$B$1:$E$1, 0) ), "")
</f>
        <v>0.00091</v>
      </c>
      <c r="G410" s="14"/>
      <c r="H410" s="9">
        <f t="array" ref="H410">IFERROR(
  INDEX(
    SR!$B$2:$D2026,            
    MATCH($A410, SR!$A$2:$A2026, 0),  
    MATCH(H$1, SR!$B$1:$D$1, 0) ), "")
</f>
        <v>-0.00066</v>
      </c>
      <c r="I410" s="9">
        <f t="array" ref="I410">IFERROR(
  INDEX(
    SR!$B$2:$D2026,            
    MATCH($A410, SR!$A$2:$A2026, 0),  
    MATCH(I$1, SR!$B$1:$D$1, 0) ), "")
</f>
        <v>0.000053</v>
      </c>
      <c r="J410" s="9">
        <f t="array" ref="J410">IFERROR(
  INDEX(
    SR!$B$2:$D2026,            
    MATCH($A410, SR!$A$2:$A2026, 0),  
    MATCH(J$1, SR!$B$1:$D$1, 0) ), "")
</f>
        <v>0.002553</v>
      </c>
      <c r="K410" s="14"/>
      <c r="L410" s="9">
        <v>125.61</v>
      </c>
      <c r="M410" s="9">
        <v>24.55</v>
      </c>
      <c r="N410" s="9">
        <v>113.2</v>
      </c>
      <c r="O410" s="9">
        <v>122.77</v>
      </c>
      <c r="P410" s="9">
        <v>131.66</v>
      </c>
      <c r="Q410" s="9">
        <v>1426.3112</v>
      </c>
      <c r="R410" s="14"/>
      <c r="S410" s="12">
        <f t="shared" si="2"/>
        <v>-0.002291342869</v>
      </c>
      <c r="T410" s="12">
        <f t="shared" si="3"/>
        <v>0.9977086571</v>
      </c>
      <c r="U410" s="16">
        <f t="shared" si="7"/>
        <v>102.7600919</v>
      </c>
      <c r="V410" s="17"/>
      <c r="W410" s="12">
        <f t="array" ref="W410">SQRT(252/20) *  SQRT( SUMSQ( LN(U389:U408 / U388:U407) )  - (1/20) * ( SUM( LN(U389:U408 / U388:U407) ) ^ 2 ) )</f>
        <v>0.0149996342</v>
      </c>
      <c r="X410" s="9">
        <f t="shared" si="4"/>
        <v>1.5</v>
      </c>
      <c r="Y410" s="14"/>
      <c r="Z410" s="12">
        <f t="shared" si="5"/>
        <v>0.9965647218</v>
      </c>
      <c r="AA410" s="16">
        <f t="shared" si="8"/>
        <v>104.123075</v>
      </c>
      <c r="AB410" s="14"/>
      <c r="AC410" s="9">
        <f t="shared" si="6"/>
        <v>0</v>
      </c>
    </row>
    <row r="411">
      <c r="A411" s="8">
        <v>42319.0</v>
      </c>
      <c r="B411" s="14"/>
      <c r="C411" s="9">
        <f t="array" ref="C411">IFERROR(
  INDEX(
    IR!$B$2:$E2026,                
    MATCH($A411, IR!$A$2:$A2026, 0), 
    MATCH(C$1, IR!$B$1:$E$1, 0) ), "")
</f>
        <v>-0.00132</v>
      </c>
      <c r="D411" s="9">
        <f t="array" ref="D411">IFERROR(
  INDEX(
    IR!$B$2:$E2026,                
    MATCH($A411, IR!$A$2:$A2026, 0), 
    MATCH(D$1, IR!$B$1:$E$1, 0) ), "")
</f>
        <v>-0.00079</v>
      </c>
      <c r="E411" s="9">
        <f t="array" ref="E411">IFERROR(
  INDEX(
    IR!$B$2:$E2026,                
    MATCH($A411, IR!$A$2:$A2026, 0), 
    MATCH(E$1, IR!$B$1:$E$1, 0) ), "")
</f>
        <v>-0.00006</v>
      </c>
      <c r="F411" s="9">
        <f t="array" ref="F411">IFERROR(
  INDEX(
    IR!$B$2:$E2026,                
    MATCH($A411, IR!$A$2:$A2026, 0), 
    MATCH(F$1, IR!$B$1:$E$1, 0) ), "")
</f>
        <v>0.00089</v>
      </c>
      <c r="G411" s="14"/>
      <c r="H411" s="9">
        <f t="array" ref="H411">IFERROR(
  INDEX(
    SR!$B$2:$D2026,            
    MATCH($A411, SR!$A$2:$A2026, 0),  
    MATCH(H$1, SR!$B$1:$D$1, 0) ), "")
</f>
        <v>-0.00064</v>
      </c>
      <c r="I411" s="9">
        <f t="array" ref="I411">IFERROR(
  INDEX(
    SR!$B$2:$D2026,            
    MATCH($A411, SR!$A$2:$A2026, 0),  
    MATCH(I$1, SR!$B$1:$D$1, 0) ), "")
</f>
        <v>0.00003</v>
      </c>
      <c r="J411" s="9">
        <f t="array" ref="J411">IFERROR(
  INDEX(
    SR!$B$2:$D2026,            
    MATCH($A411, SR!$A$2:$A2026, 0),  
    MATCH(J$1, SR!$B$1:$D$1, 0) ), "")
</f>
        <v>0.00246</v>
      </c>
      <c r="K411" s="14"/>
      <c r="L411" s="23">
        <v>125.61</v>
      </c>
      <c r="M411" s="9">
        <v>24.55</v>
      </c>
      <c r="N411" s="9">
        <v>113.24</v>
      </c>
      <c r="O411" s="9">
        <v>123.17</v>
      </c>
      <c r="P411" s="9">
        <v>131.76</v>
      </c>
      <c r="Q411" s="9">
        <v>1426.4469</v>
      </c>
      <c r="R411" s="14"/>
      <c r="S411" s="12">
        <f t="shared" si="2"/>
        <v>0.000744070853</v>
      </c>
      <c r="T411" s="12">
        <f t="shared" si="3"/>
        <v>1.000744071</v>
      </c>
      <c r="U411" s="16">
        <f t="shared" si="7"/>
        <v>102.8365526</v>
      </c>
      <c r="V411" s="17"/>
      <c r="W411" s="12">
        <f t="array" ref="W411">SQRT(252/20) *  SQRT( SUMSQ( LN(U390:U409 / U389:U408) )  - (1/20) * ( SUM( LN(U390:U409 / U389:U408) ) ^ 2 ) )</f>
        <v>0.01529864443</v>
      </c>
      <c r="X411" s="9">
        <f t="shared" si="4"/>
        <v>1.5</v>
      </c>
      <c r="Y411" s="14"/>
      <c r="Z411" s="12">
        <f t="shared" si="5"/>
        <v>1.001117898</v>
      </c>
      <c r="AA411" s="16">
        <f t="shared" si="8"/>
        <v>104.2394739</v>
      </c>
      <c r="AB411" s="14"/>
      <c r="AC411" s="9">
        <f t="shared" si="6"/>
        <v>0</v>
      </c>
    </row>
    <row r="412">
      <c r="A412" s="8">
        <v>42320.0</v>
      </c>
      <c r="B412" s="14"/>
      <c r="C412" s="9">
        <f t="array" ref="C412">IFERROR(
  INDEX(
    IR!$B$2:$E2026,                
    MATCH($A412, IR!$A$2:$A2026, 0), 
    MATCH(C$1, IR!$B$1:$E$1, 0) ), "")
</f>
        <v>-0.00136</v>
      </c>
      <c r="D412" s="9">
        <f t="array" ref="D412">IFERROR(
  INDEX(
    IR!$B$2:$E2026,                
    MATCH($A412, IR!$A$2:$A2026, 0), 
    MATCH(D$1, IR!$B$1:$E$1, 0) ), "")
</f>
        <v>-0.00081</v>
      </c>
      <c r="E412" s="9">
        <f t="array" ref="E412">IFERROR(
  INDEX(
    IR!$B$2:$E2026,                
    MATCH($A412, IR!$A$2:$A2026, 0), 
    MATCH(E$1, IR!$B$1:$E$1, 0) ), "")
</f>
        <v>-0.00011</v>
      </c>
      <c r="F412" s="9">
        <f t="array" ref="F412">IFERROR(
  INDEX(
    IR!$B$2:$E2026,                
    MATCH($A412, IR!$A$2:$A2026, 0), 
    MATCH(F$1, IR!$B$1:$E$1, 0) ), "")
</f>
        <v>0.00084</v>
      </c>
      <c r="G412" s="14"/>
      <c r="H412" s="9">
        <f t="array" ref="H412">IFERROR(
  INDEX(
    SR!$B$2:$D2026,            
    MATCH($A412, SR!$A$2:$A2026, 0),  
    MATCH(H$1, SR!$B$1:$D$1, 0) ), "")
</f>
        <v>-0.00061</v>
      </c>
      <c r="I412" s="9">
        <f t="array" ref="I412">IFERROR(
  INDEX(
    SR!$B$2:$D2026,            
    MATCH($A412, SR!$A$2:$A2026, 0),  
    MATCH(I$1, SR!$B$1:$D$1, 0) ), "")
</f>
        <v>0.000004</v>
      </c>
      <c r="J412" s="9">
        <f t="array" ref="J412">IFERROR(
  INDEX(
    SR!$B$2:$D2026,            
    MATCH($A412, SR!$A$2:$A2026, 0),  
    MATCH(J$1, SR!$B$1:$D$1, 0) ), "")
</f>
        <v>0.002522</v>
      </c>
      <c r="K412" s="14"/>
      <c r="L412" s="9">
        <v>125.24</v>
      </c>
      <c r="M412" s="9">
        <v>24.55</v>
      </c>
      <c r="N412" s="9">
        <v>113.21</v>
      </c>
      <c r="O412" s="9">
        <v>123.57</v>
      </c>
      <c r="P412" s="9">
        <v>131.68</v>
      </c>
      <c r="Q412" s="9">
        <v>1426.0133</v>
      </c>
      <c r="R412" s="14"/>
      <c r="S412" s="12">
        <f t="shared" si="2"/>
        <v>-0.0001456624475</v>
      </c>
      <c r="T412" s="12">
        <f t="shared" si="3"/>
        <v>0.9998543376</v>
      </c>
      <c r="U412" s="16">
        <f t="shared" si="7"/>
        <v>102.8215732</v>
      </c>
      <c r="V412" s="17"/>
      <c r="W412" s="12">
        <f t="array" ref="W412">SQRT(252/20) *  SQRT( SUMSQ( LN(U391:U410 / U390:U409) )  - (1/20) * ( SUM( LN(U391:U410 / U390:U409) ) ^ 2 ) )</f>
        <v>0.01816949092</v>
      </c>
      <c r="X412" s="9">
        <f t="shared" si="4"/>
        <v>1.5</v>
      </c>
      <c r="Y412" s="14"/>
      <c r="Z412" s="12">
        <f t="shared" si="5"/>
        <v>0.9997833397</v>
      </c>
      <c r="AA412" s="16">
        <f t="shared" si="8"/>
        <v>104.2168894</v>
      </c>
      <c r="AB412" s="14"/>
      <c r="AC412" s="9">
        <f t="shared" si="6"/>
        <v>0</v>
      </c>
    </row>
    <row r="413">
      <c r="A413" s="8">
        <v>42321.0</v>
      </c>
      <c r="B413" s="14"/>
      <c r="C413" s="9">
        <f t="array" ref="C413">IFERROR(
  INDEX(
    IR!$B$2:$E2026,                
    MATCH($A413, IR!$A$2:$A2026, 0), 
    MATCH(C$1, IR!$B$1:$E$1, 0) ), "")
</f>
        <v>-0.00137</v>
      </c>
      <c r="D413" s="9">
        <f t="array" ref="D413">IFERROR(
  INDEX(
    IR!$B$2:$E2026,                
    MATCH($A413, IR!$A$2:$A2026, 0), 
    MATCH(D$1, IR!$B$1:$E$1, 0) ), "")
</f>
        <v>-0.00083</v>
      </c>
      <c r="E413" s="9">
        <f t="array" ref="E413">IFERROR(
  INDEX(
    IR!$B$2:$E2026,                
    MATCH($A413, IR!$A$2:$A2026, 0), 
    MATCH(E$1, IR!$B$1:$E$1, 0) ), "")
</f>
        <v>-0.00011</v>
      </c>
      <c r="F413" s="9">
        <f t="array" ref="F413">IFERROR(
  INDEX(
    IR!$B$2:$E2026,                
    MATCH($A413, IR!$A$2:$A2026, 0), 
    MATCH(F$1, IR!$B$1:$E$1, 0) ), "")
</f>
        <v>0.00082</v>
      </c>
      <c r="G413" s="14"/>
      <c r="H413" s="9">
        <f t="array" ref="H413">IFERROR(
  INDEX(
    SR!$B$2:$D2026,            
    MATCH($A413, SR!$A$2:$A2026, 0),  
    MATCH(H$1, SR!$B$1:$D$1, 0) ), "")
</f>
        <v>-0.00075</v>
      </c>
      <c r="I413" s="9">
        <f t="array" ref="I413">IFERROR(
  INDEX(
    SR!$B$2:$D2026,            
    MATCH($A413, SR!$A$2:$A2026, 0),  
    MATCH(I$1, SR!$B$1:$D$1, 0) ), "")
</f>
        <v>-0.00013</v>
      </c>
      <c r="J413" s="9">
        <f t="array" ref="J413">IFERROR(
  INDEX(
    SR!$B$2:$D2026,            
    MATCH($A413, SR!$A$2:$A2026, 0),  
    MATCH(J$1, SR!$B$1:$D$1, 0) ), "")
</f>
        <v>0.002272</v>
      </c>
      <c r="K413" s="14"/>
      <c r="L413" s="9">
        <v>124.93</v>
      </c>
      <c r="M413" s="9">
        <v>24.55</v>
      </c>
      <c r="N413" s="9">
        <v>113.14</v>
      </c>
      <c r="O413" s="9">
        <v>122.97</v>
      </c>
      <c r="P413" s="9">
        <v>130.96</v>
      </c>
      <c r="Q413" s="9">
        <v>1419.4091</v>
      </c>
      <c r="R413" s="14"/>
      <c r="S413" s="12">
        <f t="shared" si="2"/>
        <v>-0.003007284706</v>
      </c>
      <c r="T413" s="12">
        <f t="shared" si="3"/>
        <v>0.9969927153</v>
      </c>
      <c r="U413" s="16">
        <f t="shared" si="7"/>
        <v>102.5123595</v>
      </c>
      <c r="V413" s="17"/>
      <c r="W413" s="12">
        <f t="array" ref="W413">SQRT(252/20) *  SQRT( SUMSQ( LN(U392:U411 / U391:U410) )  - (1/20) * ( SUM( LN(U392:U411 / U391:U410) ) ^ 2 ) )</f>
        <v>0.017656539</v>
      </c>
      <c r="X413" s="9">
        <f t="shared" si="4"/>
        <v>1.5</v>
      </c>
      <c r="Y413" s="14"/>
      <c r="Z413" s="12">
        <f t="shared" si="5"/>
        <v>0.9954909618</v>
      </c>
      <c r="AA413" s="16">
        <f t="shared" si="8"/>
        <v>103.7469714</v>
      </c>
      <c r="AB413" s="14"/>
      <c r="AC413" s="9">
        <f t="shared" si="6"/>
        <v>0</v>
      </c>
    </row>
    <row r="414">
      <c r="A414" s="8">
        <v>42324.0</v>
      </c>
      <c r="B414" s="14"/>
      <c r="C414" s="9">
        <f t="array" ref="C414">IFERROR(
  INDEX(
    IR!$B$2:$E2026,                
    MATCH($A414, IR!$A$2:$A2026, 0), 
    MATCH(C$1, IR!$B$1:$E$1, 0) ), "")
</f>
        <v>-0.00139</v>
      </c>
      <c r="D414" s="9">
        <f t="array" ref="D414">IFERROR(
  INDEX(
    IR!$B$2:$E2026,                
    MATCH($A414, IR!$A$2:$A2026, 0), 
    MATCH(D$1, IR!$B$1:$E$1, 0) ), "")
</f>
        <v>-0.00086</v>
      </c>
      <c r="E414" s="9">
        <f t="array" ref="E414">IFERROR(
  INDEX(
    IR!$B$2:$E2026,                
    MATCH($A414, IR!$A$2:$A2026, 0), 
    MATCH(E$1, IR!$B$1:$E$1, 0) ), "")
</f>
        <v>-0.00013</v>
      </c>
      <c r="F414" s="9">
        <f t="array" ref="F414">IFERROR(
  INDEX(
    IR!$B$2:$E2026,                
    MATCH($A414, IR!$A$2:$A2026, 0), 
    MATCH(F$1, IR!$B$1:$E$1, 0) ), "")
</f>
        <v>0.00077</v>
      </c>
      <c r="G414" s="14"/>
      <c r="H414" s="9">
        <f t="array" ref="H414">IFERROR(
  INDEX(
    SR!$B$2:$D2026,            
    MATCH($A414, SR!$A$2:$A2026, 0),  
    MATCH(H$1, SR!$B$1:$D$1, 0) ), "")
</f>
        <v>-0.00069</v>
      </c>
      <c r="I414" s="9">
        <f t="array" ref="I414">IFERROR(
  INDEX(
    SR!$B$2:$D2026,            
    MATCH($A414, SR!$A$2:$A2026, 0),  
    MATCH(I$1, SR!$B$1:$D$1, 0) ), "")
</f>
        <v>-0.000067</v>
      </c>
      <c r="J414" s="9">
        <f t="array" ref="J414">IFERROR(
  INDEX(
    SR!$B$2:$D2026,            
    MATCH($A414, SR!$A$2:$A2026, 0),  
    MATCH(J$1, SR!$B$1:$D$1, 0) ), "")
</f>
        <v>0.00236</v>
      </c>
      <c r="K414" s="14"/>
      <c r="L414" s="9">
        <v>124.96</v>
      </c>
      <c r="M414" s="9">
        <v>24.54</v>
      </c>
      <c r="N414" s="9">
        <v>113.14</v>
      </c>
      <c r="O414" s="9">
        <v>122.75</v>
      </c>
      <c r="P414" s="9">
        <v>130.86</v>
      </c>
      <c r="Q414" s="9">
        <v>1410.4519</v>
      </c>
      <c r="R414" s="14"/>
      <c r="S414" s="12">
        <f t="shared" si="2"/>
        <v>-0.001505088523</v>
      </c>
      <c r="T414" s="12">
        <f t="shared" si="3"/>
        <v>0.9984949115</v>
      </c>
      <c r="U414" s="16">
        <f t="shared" si="7"/>
        <v>102.3580693</v>
      </c>
      <c r="V414" s="17"/>
      <c r="W414" s="12">
        <f t="array" ref="W414">SQRT(252/20) *  SQRT( SUMSQ( LN(U393:U412 / U392:U411) )  - (1/20) * ( SUM( LN(U393:U412 / U392:U411) ) ^ 2 ) )</f>
        <v>0.01756645621</v>
      </c>
      <c r="X414" s="9">
        <f t="shared" si="4"/>
        <v>1.5</v>
      </c>
      <c r="Y414" s="14"/>
      <c r="Z414" s="12">
        <f t="shared" si="5"/>
        <v>0.9977480755</v>
      </c>
      <c r="AA414" s="16">
        <f t="shared" si="8"/>
        <v>103.5133411</v>
      </c>
      <c r="AB414" s="14"/>
      <c r="AC414" s="9">
        <f t="shared" si="6"/>
        <v>0</v>
      </c>
    </row>
    <row r="415">
      <c r="A415" s="8">
        <v>42325.0</v>
      </c>
      <c r="B415" s="14"/>
      <c r="C415" s="9">
        <f t="array" ref="C415">IFERROR(
  INDEX(
    IR!$B$2:$E2026,                
    MATCH($A415, IR!$A$2:$A2026, 0), 
    MATCH(C$1, IR!$B$1:$E$1, 0) ), "")
</f>
        <v>-0.00144</v>
      </c>
      <c r="D415" s="9">
        <f t="array" ref="D415">IFERROR(
  INDEX(
    IR!$B$2:$E2026,                
    MATCH($A415, IR!$A$2:$A2026, 0), 
    MATCH(D$1, IR!$B$1:$E$1, 0) ), "")
</f>
        <v>-0.00091</v>
      </c>
      <c r="E415" s="9">
        <f t="array" ref="E415">IFERROR(
  INDEX(
    IR!$B$2:$E2026,                
    MATCH($A415, IR!$A$2:$A2026, 0), 
    MATCH(E$1, IR!$B$1:$E$1, 0) ), "")
</f>
        <v>-0.00015</v>
      </c>
      <c r="F415" s="9">
        <f t="array" ref="F415">IFERROR(
  INDEX(
    IR!$B$2:$E2026,                
    MATCH($A415, IR!$A$2:$A2026, 0), 
    MATCH(F$1, IR!$B$1:$E$1, 0) ), "")
</f>
        <v>0.00076</v>
      </c>
      <c r="G415" s="14"/>
      <c r="H415" s="9">
        <f t="array" ref="H415">IFERROR(
  INDEX(
    SR!$B$2:$D2026,            
    MATCH($A415, SR!$A$2:$A2026, 0),  
    MATCH(H$1, SR!$B$1:$D$1, 0) ), "")
</f>
        <v>-0.00093</v>
      </c>
      <c r="I415" s="9">
        <f t="array" ref="I415">IFERROR(
  INDEX(
    SR!$B$2:$D2026,            
    MATCH($A415, SR!$A$2:$A2026, 0),  
    MATCH(I$1, SR!$B$1:$D$1, 0) ), "")
</f>
        <v>-0.00031</v>
      </c>
      <c r="J415" s="9">
        <f t="array" ref="J415">IFERROR(
  INDEX(
    SR!$B$2:$D2026,            
    MATCH($A415, SR!$A$2:$A2026, 0),  
    MATCH(J$1, SR!$B$1:$D$1, 0) ), "")
</f>
        <v>0.002045</v>
      </c>
      <c r="K415" s="14"/>
      <c r="L415" s="9">
        <v>125.72</v>
      </c>
      <c r="M415" s="9">
        <v>24.55</v>
      </c>
      <c r="N415" s="9">
        <v>113.14</v>
      </c>
      <c r="O415" s="9">
        <v>122.82</v>
      </c>
      <c r="P415" s="9">
        <v>131.09</v>
      </c>
      <c r="Q415" s="9">
        <v>1412.5906</v>
      </c>
      <c r="R415" s="14"/>
      <c r="S415" s="12">
        <f t="shared" si="2"/>
        <v>0.001721735229</v>
      </c>
      <c r="T415" s="12">
        <f t="shared" si="3"/>
        <v>1.001721735</v>
      </c>
      <c r="U415" s="16">
        <f t="shared" si="7"/>
        <v>102.5343028</v>
      </c>
      <c r="V415" s="17"/>
      <c r="W415" s="12">
        <f t="array" ref="W415">SQRT(252/20) *  SQRT( SUMSQ( LN(U394:U413 / U393:U412) )  - (1/20) * ( SUM( LN(U394:U413 / U393:U412) ) ^ 2 ) )</f>
        <v>0.02106077713</v>
      </c>
      <c r="X415" s="9">
        <f t="shared" si="4"/>
        <v>1.5</v>
      </c>
      <c r="Y415" s="14"/>
      <c r="Z415" s="12">
        <f t="shared" si="5"/>
        <v>1.002584533</v>
      </c>
      <c r="AA415" s="16">
        <f t="shared" si="8"/>
        <v>103.7808748</v>
      </c>
      <c r="AB415" s="14"/>
      <c r="AC415" s="9">
        <f t="shared" si="6"/>
        <v>0</v>
      </c>
    </row>
    <row r="416">
      <c r="A416" s="8">
        <v>42326.0</v>
      </c>
      <c r="B416" s="14"/>
      <c r="C416" s="9">
        <f t="array" ref="C416">IFERROR(
  INDEX(
    IR!$B$2:$E2026,                
    MATCH($A416, IR!$A$2:$A2026, 0), 
    MATCH(C$1, IR!$B$1:$E$1, 0) ), "")
</f>
        <v>-0.00146</v>
      </c>
      <c r="D416" s="9">
        <f t="array" ref="D416">IFERROR(
  INDEX(
    IR!$B$2:$E2026,                
    MATCH($A416, IR!$A$2:$A2026, 0), 
    MATCH(D$1, IR!$B$1:$E$1, 0) ), "")
</f>
        <v>-0.00092</v>
      </c>
      <c r="E416" s="9">
        <f t="array" ref="E416">IFERROR(
  INDEX(
    IR!$B$2:$E2026,                
    MATCH($A416, IR!$A$2:$A2026, 0), 
    MATCH(E$1, IR!$B$1:$E$1, 0) ), "")
</f>
        <v>-0.00015</v>
      </c>
      <c r="F416" s="9">
        <f t="array" ref="F416">IFERROR(
  INDEX(
    IR!$B$2:$E2026,                
    MATCH($A416, IR!$A$2:$A2026, 0), 
    MATCH(F$1, IR!$B$1:$E$1, 0) ), "")
</f>
        <v>0.00076</v>
      </c>
      <c r="G416" s="14"/>
      <c r="H416" s="9">
        <f t="array" ref="H416">IFERROR(
  INDEX(
    SR!$B$2:$D2026,            
    MATCH($A416, SR!$A$2:$A2026, 0),  
    MATCH(H$1, SR!$B$1:$D$1, 0) ), "")
</f>
        <v>-0.00078</v>
      </c>
      <c r="I416" s="9">
        <f t="array" ref="I416">IFERROR(
  INDEX(
    SR!$B$2:$D2026,            
    MATCH($A416, SR!$A$2:$A2026, 0),  
    MATCH(I$1, SR!$B$1:$D$1, 0) ), "")
</f>
        <v>-0.000223</v>
      </c>
      <c r="J416" s="9">
        <f t="array" ref="J416">IFERROR(
  INDEX(
    SR!$B$2:$D2026,            
    MATCH($A416, SR!$A$2:$A2026, 0),  
    MATCH(J$1, SR!$B$1:$D$1, 0) ), "")
</f>
        <v>0.002163</v>
      </c>
      <c r="K416" s="14"/>
      <c r="L416" s="9">
        <v>125.62</v>
      </c>
      <c r="M416" s="9">
        <v>24.55</v>
      </c>
      <c r="N416" s="9">
        <v>113.11</v>
      </c>
      <c r="O416" s="9">
        <v>124.11</v>
      </c>
      <c r="P416" s="9">
        <v>131.27</v>
      </c>
      <c r="Q416" s="9">
        <v>1417.8558</v>
      </c>
      <c r="R416" s="14"/>
      <c r="S416" s="12">
        <f t="shared" si="2"/>
        <v>0.002423242759</v>
      </c>
      <c r="T416" s="12">
        <f t="shared" si="3"/>
        <v>1.002423243</v>
      </c>
      <c r="U416" s="16">
        <f t="shared" si="7"/>
        <v>102.7827683</v>
      </c>
      <c r="V416" s="17"/>
      <c r="W416" s="12">
        <f t="array" ref="W416">SQRT(252/20) *  SQRT( SUMSQ( LN(U395:U414 / U394:U413) )  - (1/20) * ( SUM( LN(U395:U414 / U394:U413) ) ^ 2 ) )</f>
        <v>0.02171778838</v>
      </c>
      <c r="X416" s="9">
        <f t="shared" si="4"/>
        <v>1.5</v>
      </c>
      <c r="Y416" s="14"/>
      <c r="Z416" s="12">
        <f t="shared" si="5"/>
        <v>1.003636864</v>
      </c>
      <c r="AA416" s="16">
        <f t="shared" si="8"/>
        <v>104.1583117</v>
      </c>
      <c r="AB416" s="14"/>
      <c r="AC416" s="9">
        <f t="shared" si="6"/>
        <v>0</v>
      </c>
    </row>
    <row r="417">
      <c r="A417" s="8">
        <v>42327.0</v>
      </c>
      <c r="B417" s="14"/>
      <c r="C417" s="9">
        <f t="array" ref="C417">IFERROR(
  INDEX(
    IR!$B$2:$E2026,                
    MATCH($A417, IR!$A$2:$A2026, 0), 
    MATCH(C$1, IR!$B$1:$E$1, 0) ), "")
</f>
        <v>-0.00149</v>
      </c>
      <c r="D417" s="9">
        <f t="array" ref="D417">IFERROR(
  INDEX(
    IR!$B$2:$E2026,                
    MATCH($A417, IR!$A$2:$A2026, 0), 
    MATCH(D$1, IR!$B$1:$E$1, 0) ), "")
</f>
        <v>-0.00092</v>
      </c>
      <c r="E417" s="9">
        <f t="array" ref="E417">IFERROR(
  INDEX(
    IR!$B$2:$E2026,                
    MATCH($A417, IR!$A$2:$A2026, 0), 
    MATCH(E$1, IR!$B$1:$E$1, 0) ), "")
</f>
        <v>-0.00019</v>
      </c>
      <c r="F417" s="9">
        <f t="array" ref="F417">IFERROR(
  INDEX(
    IR!$B$2:$E2026,                
    MATCH($A417, IR!$A$2:$A2026, 0), 
    MATCH(F$1, IR!$B$1:$E$1, 0) ), "")
</f>
        <v>0.00074</v>
      </c>
      <c r="G417" s="14"/>
      <c r="H417" s="9">
        <f t="array" ref="H417">IFERROR(
  INDEX(
    SR!$B$2:$D2026,            
    MATCH($A417, SR!$A$2:$A2026, 0),  
    MATCH(H$1, SR!$B$1:$D$1, 0) ), "")
</f>
        <v>-0.00084</v>
      </c>
      <c r="I417" s="9">
        <f t="array" ref="I417">IFERROR(
  INDEX(
    SR!$B$2:$D2026,            
    MATCH($A417, SR!$A$2:$A2026, 0),  
    MATCH(I$1, SR!$B$1:$D$1, 0) ), "")
</f>
        <v>-0.00028</v>
      </c>
      <c r="J417" s="9">
        <f t="array" ref="J417">IFERROR(
  INDEX(
    SR!$B$2:$D2026,            
    MATCH($A417, SR!$A$2:$A2026, 0),  
    MATCH(J$1, SR!$B$1:$D$1, 0) ), "")
</f>
        <v>0.002</v>
      </c>
      <c r="K417" s="14"/>
      <c r="L417" s="9">
        <v>125.89</v>
      </c>
      <c r="M417" s="9">
        <v>24.55</v>
      </c>
      <c r="N417" s="9">
        <v>113.18</v>
      </c>
      <c r="O417" s="9">
        <v>124.2</v>
      </c>
      <c r="P417" s="9">
        <v>131.91</v>
      </c>
      <c r="Q417" s="9">
        <v>1420.5745</v>
      </c>
      <c r="R417" s="14"/>
      <c r="S417" s="12">
        <f t="shared" si="2"/>
        <v>0.001713887566</v>
      </c>
      <c r="T417" s="12">
        <f t="shared" si="3"/>
        <v>1.001713888</v>
      </c>
      <c r="U417" s="16">
        <f t="shared" si="7"/>
        <v>102.9589264</v>
      </c>
      <c r="V417" s="17"/>
      <c r="W417" s="12">
        <f t="array" ref="W417">SQRT(252/20) *  SQRT( SUMSQ( LN(U396:U415 / U395:U414) )  - (1/20) * ( SUM( LN(U396:U415 / U395:U414) ) ^ 2 ) )</f>
        <v>0.02241418922</v>
      </c>
      <c r="X417" s="9">
        <f t="shared" si="4"/>
        <v>1.5</v>
      </c>
      <c r="Y417" s="14"/>
      <c r="Z417" s="12">
        <f t="shared" si="5"/>
        <v>1.002572859</v>
      </c>
      <c r="AA417" s="16">
        <f t="shared" si="8"/>
        <v>104.4262964</v>
      </c>
      <c r="AB417" s="14"/>
      <c r="AC417" s="9">
        <f t="shared" si="6"/>
        <v>0</v>
      </c>
    </row>
    <row r="418">
      <c r="A418" s="8">
        <v>42328.0</v>
      </c>
      <c r="B418" s="14"/>
      <c r="C418" s="9">
        <f t="array" ref="C418">IFERROR(
  INDEX(
    IR!$B$2:$E2026,                
    MATCH($A418, IR!$A$2:$A2026, 0), 
    MATCH(C$1, IR!$B$1:$E$1, 0) ), "")
</f>
        <v>-0.00151</v>
      </c>
      <c r="D418" s="9">
        <f t="array" ref="D418">IFERROR(
  INDEX(
    IR!$B$2:$E2026,                
    MATCH($A418, IR!$A$2:$A2026, 0), 
    MATCH(D$1, IR!$B$1:$E$1, 0) ), "")
</f>
        <v>-0.00095</v>
      </c>
      <c r="E418" s="9">
        <f t="array" ref="E418">IFERROR(
  INDEX(
    IR!$B$2:$E2026,                
    MATCH($A418, IR!$A$2:$A2026, 0), 
    MATCH(E$1, IR!$B$1:$E$1, 0) ), "")
</f>
        <v>-0.00024</v>
      </c>
      <c r="F418" s="9">
        <f t="array" ref="F418">IFERROR(
  INDEX(
    IR!$B$2:$E2026,                
    MATCH($A418, IR!$A$2:$A2026, 0), 
    MATCH(F$1, IR!$B$1:$E$1, 0) ), "")
</f>
        <v>0.00068</v>
      </c>
      <c r="G418" s="14"/>
      <c r="H418" s="9">
        <f t="array" ref="H418">IFERROR(
  INDEX(
    SR!$B$2:$D2026,            
    MATCH($A418, SR!$A$2:$A2026, 0),  
    MATCH(H$1, SR!$B$1:$D$1, 0) ), "")
</f>
        <v>-0.00108</v>
      </c>
      <c r="I418" s="9">
        <f t="array" ref="I418">IFERROR(
  INDEX(
    SR!$B$2:$D2026,            
    MATCH($A418, SR!$A$2:$A2026, 0),  
    MATCH(I$1, SR!$B$1:$D$1, 0) ), "")
</f>
        <v>-0.000544</v>
      </c>
      <c r="J418" s="9">
        <f t="array" ref="J418">IFERROR(
  INDEX(
    SR!$B$2:$D2026,            
    MATCH($A418, SR!$A$2:$A2026, 0),  
    MATCH(J$1, SR!$B$1:$D$1, 0) ), "")
</f>
        <v>0.001779</v>
      </c>
      <c r="K418" s="14"/>
      <c r="L418" s="9">
        <v>125.74</v>
      </c>
      <c r="M418" s="9">
        <v>24.57</v>
      </c>
      <c r="N418" s="9">
        <v>113.19</v>
      </c>
      <c r="O418" s="9">
        <v>124.88</v>
      </c>
      <c r="P418" s="9">
        <v>131.91</v>
      </c>
      <c r="Q418" s="9">
        <v>1425.2487</v>
      </c>
      <c r="R418" s="14"/>
      <c r="S418" s="12">
        <f t="shared" si="2"/>
        <v>0.001412580838</v>
      </c>
      <c r="T418" s="12">
        <f t="shared" si="3"/>
        <v>1.001412581</v>
      </c>
      <c r="U418" s="16">
        <f t="shared" si="7"/>
        <v>103.1043642</v>
      </c>
      <c r="V418" s="17"/>
      <c r="W418" s="12">
        <f t="array" ref="W418">SQRT(252/20) *  SQRT( SUMSQ( LN(U397:U416 / U396:U415) )  - (1/20) * ( SUM( LN(U397:U416 / U396:U415) ) ^ 2 ) )</f>
        <v>0.0235672725</v>
      </c>
      <c r="X418" s="9">
        <f t="shared" si="4"/>
        <v>1.5</v>
      </c>
      <c r="Y418" s="14"/>
      <c r="Z418" s="12">
        <f t="shared" si="5"/>
        <v>1.002120941</v>
      </c>
      <c r="AA418" s="16">
        <f t="shared" si="8"/>
        <v>104.6477784</v>
      </c>
      <c r="AB418" s="14"/>
      <c r="AC418" s="9">
        <f t="shared" si="6"/>
        <v>1.19</v>
      </c>
    </row>
    <row r="419">
      <c r="A419" s="8">
        <v>42331.0</v>
      </c>
      <c r="B419" s="14"/>
      <c r="C419" s="9">
        <f t="array" ref="C419">IFERROR(
  INDEX(
    IR!$B$2:$E2026,                
    MATCH($A419, IR!$A$2:$A2026, 0), 
    MATCH(C$1, IR!$B$1:$E$1, 0) ), "")
</f>
        <v>-0.00155</v>
      </c>
      <c r="D419" s="9">
        <f t="array" ref="D419">IFERROR(
  INDEX(
    IR!$B$2:$E2026,                
    MATCH($A419, IR!$A$2:$A2026, 0), 
    MATCH(D$1, IR!$B$1:$E$1, 0) ), "")
</f>
        <v>-0.00099</v>
      </c>
      <c r="E419" s="9">
        <f t="array" ref="E419">IFERROR(
  INDEX(
    IR!$B$2:$E2026,                
    MATCH($A419, IR!$A$2:$A2026, 0), 
    MATCH(E$1, IR!$B$1:$E$1, 0) ), "")
</f>
        <v>-0.0003</v>
      </c>
      <c r="F419" s="9">
        <f t="array" ref="F419">IFERROR(
  INDEX(
    IR!$B$2:$E2026,                
    MATCH($A419, IR!$A$2:$A2026, 0), 
    MATCH(F$1, IR!$B$1:$E$1, 0) ), "")
</f>
        <v>0.00062</v>
      </c>
      <c r="G419" s="14"/>
      <c r="H419" s="9">
        <f t="array" ref="H419">IFERROR(
  INDEX(
    SR!$B$2:$D2026,            
    MATCH($A419, SR!$A$2:$A2026, 0),  
    MATCH(H$1, SR!$B$1:$D$1, 0) ), "")
</f>
        <v>-0.00118</v>
      </c>
      <c r="I419" s="9">
        <f t="array" ref="I419">IFERROR(
  INDEX(
    SR!$B$2:$D2026,            
    MATCH($A419, SR!$A$2:$A2026, 0),  
    MATCH(I$1, SR!$B$1:$D$1, 0) ), "")
</f>
        <v>-0.0007</v>
      </c>
      <c r="J419" s="9">
        <f t="array" ref="J419">IFERROR(
  INDEX(
    SR!$B$2:$D2026,            
    MATCH($A419, SR!$A$2:$A2026, 0),  
    MATCH(J$1, SR!$B$1:$D$1, 0) ), "")
</f>
        <v>0.001681</v>
      </c>
      <c r="K419" s="14"/>
      <c r="L419" s="9">
        <v>125.53</v>
      </c>
      <c r="M419" s="9">
        <v>24.57</v>
      </c>
      <c r="N419" s="9">
        <v>113.21</v>
      </c>
      <c r="O419" s="9">
        <v>125.05</v>
      </c>
      <c r="P419" s="9">
        <v>132.05</v>
      </c>
      <c r="Q419" s="9">
        <v>1426.6492</v>
      </c>
      <c r="R419" s="14"/>
      <c r="S419" s="12">
        <f t="shared" si="2"/>
        <v>0.0003186130056</v>
      </c>
      <c r="T419" s="12">
        <f t="shared" si="3"/>
        <v>1.000318613</v>
      </c>
      <c r="U419" s="16">
        <f t="shared" si="7"/>
        <v>103.1372146</v>
      </c>
      <c r="V419" s="17"/>
      <c r="W419" s="12">
        <f t="array" ref="W419">SQRT(252/20) *  SQRT( SUMSQ( LN(U398:U417 / U397:U416) )  - (1/20) * ( SUM( LN(U398:U417 / U397:U416) ) ^ 2 ) )</f>
        <v>0.02403573082</v>
      </c>
      <c r="X419" s="9">
        <f t="shared" si="4"/>
        <v>1.5</v>
      </c>
      <c r="Y419" s="14"/>
      <c r="Z419" s="12">
        <f t="shared" si="5"/>
        <v>1.000484211</v>
      </c>
      <c r="AA419" s="16">
        <f t="shared" si="8"/>
        <v>104.69845</v>
      </c>
      <c r="AB419" s="14"/>
      <c r="AC419" s="9">
        <f t="shared" si="6"/>
        <v>1.68</v>
      </c>
    </row>
    <row r="420">
      <c r="A420" s="8">
        <v>42332.0</v>
      </c>
      <c r="B420" s="14"/>
      <c r="C420" s="9">
        <f t="array" ref="C420">IFERROR(
  INDEX(
    IR!$B$2:$E2026,                
    MATCH($A420, IR!$A$2:$A2026, 0), 
    MATCH(C$1, IR!$B$1:$E$1, 0) ), "")
</f>
        <v>-0.00157</v>
      </c>
      <c r="D420" s="9">
        <f t="array" ref="D420">IFERROR(
  INDEX(
    IR!$B$2:$E2026,                
    MATCH($A420, IR!$A$2:$A2026, 0), 
    MATCH(D$1, IR!$B$1:$E$1, 0) ), "")
</f>
        <v>-0.00104</v>
      </c>
      <c r="E420" s="9">
        <f t="array" ref="E420">IFERROR(
  INDEX(
    IR!$B$2:$E2026,                
    MATCH($A420, IR!$A$2:$A2026, 0), 
    MATCH(E$1, IR!$B$1:$E$1, 0) ), "")
</f>
        <v>-0.00033</v>
      </c>
      <c r="F420" s="9">
        <f t="array" ref="F420">IFERROR(
  INDEX(
    IR!$B$2:$E2026,                
    MATCH($A420, IR!$A$2:$A2026, 0), 
    MATCH(F$1, IR!$B$1:$E$1, 0) ), "")
</f>
        <v>0.00058</v>
      </c>
      <c r="G420" s="14"/>
      <c r="H420" s="9">
        <f t="array" ref="H420">IFERROR(
  INDEX(
    SR!$B$2:$D2026,            
    MATCH($A420, SR!$A$2:$A2026, 0),  
    MATCH(H$1, SR!$B$1:$D$1, 0) ), "")
</f>
        <v>-0.00095</v>
      </c>
      <c r="I420" s="9">
        <f t="array" ref="I420">IFERROR(
  INDEX(
    SR!$B$2:$D2026,            
    MATCH($A420, SR!$A$2:$A2026, 0),  
    MATCH(I$1, SR!$B$1:$D$1, 0) ), "")
</f>
        <v>-0.000466</v>
      </c>
      <c r="J420" s="9">
        <f t="array" ref="J420">IFERROR(
  INDEX(
    SR!$B$2:$D2026,            
    MATCH($A420, SR!$A$2:$A2026, 0),  
    MATCH(J$1, SR!$B$1:$D$1, 0) ), "")
</f>
        <v>0.001927</v>
      </c>
      <c r="K420" s="14"/>
      <c r="L420" s="9">
        <v>125.01</v>
      </c>
      <c r="M420" s="9">
        <v>24.56</v>
      </c>
      <c r="N420" s="9">
        <v>113.24</v>
      </c>
      <c r="O420" s="9">
        <v>124.72</v>
      </c>
      <c r="P420" s="9">
        <v>131.79</v>
      </c>
      <c r="Q420" s="9">
        <v>1424.5624</v>
      </c>
      <c r="R420" s="14"/>
      <c r="S420" s="12">
        <f t="shared" si="2"/>
        <v>-0.001725300266</v>
      </c>
      <c r="T420" s="12">
        <f t="shared" si="3"/>
        <v>0.9982746997</v>
      </c>
      <c r="U420" s="16">
        <f t="shared" si="7"/>
        <v>102.9592719</v>
      </c>
      <c r="V420" s="17"/>
      <c r="W420" s="12">
        <f t="array" ref="W420">SQRT(252/20) *  SQRT( SUMSQ( LN(U399:U418 / U398:U417) )  - (1/20) * ( SUM( LN(U399:U418 / U398:U417) ) ^ 2 ) )</f>
        <v>0.02199886588</v>
      </c>
      <c r="X420" s="9">
        <f t="shared" si="4"/>
        <v>1.5</v>
      </c>
      <c r="Y420" s="14"/>
      <c r="Z420" s="12">
        <f t="shared" si="5"/>
        <v>0.9974142024</v>
      </c>
      <c r="AA420" s="16">
        <f t="shared" si="8"/>
        <v>104.427721</v>
      </c>
      <c r="AB420" s="14"/>
      <c r="AC420" s="9">
        <f t="shared" si="6"/>
        <v>0</v>
      </c>
    </row>
    <row r="421">
      <c r="A421" s="8">
        <v>42333.0</v>
      </c>
      <c r="B421" s="14"/>
      <c r="C421" s="9">
        <f t="array" ref="C421">IFERROR(
  INDEX(
    IR!$B$2:$E2026,                
    MATCH($A421, IR!$A$2:$A2026, 0), 
    MATCH(C$1, IR!$B$1:$E$1, 0) ), "")
</f>
        <v>-0.00156</v>
      </c>
      <c r="D421" s="9">
        <f t="array" ref="D421">IFERROR(
  INDEX(
    IR!$B$2:$E2026,                
    MATCH($A421, IR!$A$2:$A2026, 0), 
    MATCH(D$1, IR!$B$1:$E$1, 0) ), "")
</f>
        <v>-0.00104</v>
      </c>
      <c r="E421" s="9">
        <f t="array" ref="E421">IFERROR(
  INDEX(
    IR!$B$2:$E2026,                
    MATCH($A421, IR!$A$2:$A2026, 0), 
    MATCH(E$1, IR!$B$1:$E$1, 0) ), "")
</f>
        <v>-0.00031</v>
      </c>
      <c r="F421" s="9">
        <f t="array" ref="F421">IFERROR(
  INDEX(
    IR!$B$2:$E2026,                
    MATCH($A421, IR!$A$2:$A2026, 0), 
    MATCH(F$1, IR!$B$1:$E$1, 0) ), "")
</f>
        <v>0.0006</v>
      </c>
      <c r="G421" s="14"/>
      <c r="H421" s="9">
        <f t="array" ref="H421">IFERROR(
  INDEX(
    SR!$B$2:$D2026,            
    MATCH($A421, SR!$A$2:$A2026, 0),  
    MATCH(H$1, SR!$B$1:$D$1, 0) ), "")
</f>
        <v>-0.00112</v>
      </c>
      <c r="I421" s="9">
        <f t="array" ref="I421">IFERROR(
  INDEX(
    SR!$B$2:$D2026,            
    MATCH($A421, SR!$A$2:$A2026, 0),  
    MATCH(I$1, SR!$B$1:$D$1, 0) ), "")
</f>
        <v>-0.000619</v>
      </c>
      <c r="J421" s="9">
        <f t="array" ref="J421">IFERROR(
  INDEX(
    SR!$B$2:$D2026,            
    MATCH($A421, SR!$A$2:$A2026, 0),  
    MATCH(J$1, SR!$B$1:$D$1, 0) ), "")
</f>
        <v>0.00167</v>
      </c>
      <c r="K421" s="14"/>
      <c r="L421" s="9">
        <v>125.29</v>
      </c>
      <c r="M421" s="9">
        <v>24.57</v>
      </c>
      <c r="N421" s="9">
        <v>112.78</v>
      </c>
      <c r="O421" s="9">
        <v>124.01</v>
      </c>
      <c r="P421" s="9">
        <v>131.92</v>
      </c>
      <c r="Q421" s="9">
        <v>1420.428</v>
      </c>
      <c r="R421" s="14"/>
      <c r="S421" s="12">
        <f t="shared" si="2"/>
        <v>-0.001503645382</v>
      </c>
      <c r="T421" s="12">
        <f t="shared" si="3"/>
        <v>0.9984963546</v>
      </c>
      <c r="U421" s="16">
        <f t="shared" si="7"/>
        <v>102.8044577</v>
      </c>
      <c r="V421" s="17"/>
      <c r="W421" s="12">
        <f t="array" ref="W421">SQRT(252/20) *  SQRT( SUMSQ( LN(U400:U419 / U399:U418) )  - (1/20) * ( SUM( LN(U400:U419 / U399:U418) ) ^ 2 ) )</f>
        <v>0.02146779731</v>
      </c>
      <c r="X421" s="9">
        <f t="shared" si="4"/>
        <v>1.5</v>
      </c>
      <c r="Y421" s="14"/>
      <c r="Z421" s="12">
        <f t="shared" si="5"/>
        <v>0.9977467125</v>
      </c>
      <c r="AA421" s="16">
        <f t="shared" si="8"/>
        <v>104.1924153</v>
      </c>
      <c r="AB421" s="14"/>
      <c r="AC421" s="9">
        <f t="shared" si="6"/>
        <v>0</v>
      </c>
    </row>
    <row r="422">
      <c r="A422" s="8">
        <v>42334.0</v>
      </c>
      <c r="B422" s="14"/>
      <c r="C422" s="9">
        <f t="array" ref="C422">IFERROR(
  INDEX(
    IR!$B$2:$E2026,                
    MATCH($A422, IR!$A$2:$A2026, 0), 
    MATCH(C$1, IR!$B$1:$E$1, 0) ), "")
</f>
        <v>-0.00161</v>
      </c>
      <c r="D422" s="9">
        <f t="array" ref="D422">IFERROR(
  INDEX(
    IR!$B$2:$E2026,                
    MATCH($A422, IR!$A$2:$A2026, 0), 
    MATCH(D$1, IR!$B$1:$E$1, 0) ), "")
</f>
        <v>-0.00109</v>
      </c>
      <c r="E422" s="9">
        <f t="array" ref="E422">IFERROR(
  INDEX(
    IR!$B$2:$E2026,                
    MATCH($A422, IR!$A$2:$A2026, 0), 
    MATCH(E$1, IR!$B$1:$E$1, 0) ), "")
</f>
        <v>-0.00039</v>
      </c>
      <c r="F422" s="9">
        <f t="array" ref="F422">IFERROR(
  INDEX(
    IR!$B$2:$E2026,                
    MATCH($A422, IR!$A$2:$A2026, 0), 
    MATCH(F$1, IR!$B$1:$E$1, 0) ), "")
</f>
        <v>0.00053</v>
      </c>
      <c r="G422" s="14"/>
      <c r="H422" s="9">
        <f t="array" ref="H422">IFERROR(
  INDEX(
    SR!$B$2:$D2026,            
    MATCH($A422, SR!$A$2:$A2026, 0),  
    MATCH(H$1, SR!$B$1:$D$1, 0) ), "")
</f>
        <v>-0.00121</v>
      </c>
      <c r="I422" s="9">
        <f t="array" ref="I422">IFERROR(
  INDEX(
    SR!$B$2:$D2026,            
    MATCH($A422, SR!$A$2:$A2026, 0),  
    MATCH(I$1, SR!$B$1:$D$1, 0) ), "")
</f>
        <v>-0.00071</v>
      </c>
      <c r="J422" s="9">
        <f t="array" ref="J422">IFERROR(
  INDEX(
    SR!$B$2:$D2026,            
    MATCH($A422, SR!$A$2:$A2026, 0),  
    MATCH(J$1, SR!$B$1:$D$1, 0) ), "")
</f>
        <v>0.001662</v>
      </c>
      <c r="K422" s="14"/>
      <c r="L422" s="9">
        <v>125.51</v>
      </c>
      <c r="M422" s="9">
        <v>24.57</v>
      </c>
      <c r="N422" s="9">
        <v>112.82</v>
      </c>
      <c r="O422" s="9">
        <v>125.31</v>
      </c>
      <c r="P422" s="9">
        <v>132.41</v>
      </c>
      <c r="Q422" s="9">
        <v>1422.1093</v>
      </c>
      <c r="R422" s="14"/>
      <c r="S422" s="12">
        <f t="shared" si="2"/>
        <v>0.002914227971</v>
      </c>
      <c r="T422" s="12">
        <f t="shared" si="3"/>
        <v>1.002914228</v>
      </c>
      <c r="U422" s="16">
        <f t="shared" si="7"/>
        <v>103.1040533</v>
      </c>
      <c r="V422" s="17"/>
      <c r="W422" s="12">
        <f t="array" ref="W422">SQRT(252/20) *  SQRT( SUMSQ( LN(U401:U420 / U400:U419) )  - (1/20) * ( SUM( LN(U401:U420 / U400:U419) ) ^ 2 ) )</f>
        <v>0.02251386938</v>
      </c>
      <c r="X422" s="9">
        <f t="shared" si="4"/>
        <v>1.5</v>
      </c>
      <c r="Y422" s="14"/>
      <c r="Z422" s="12">
        <f t="shared" si="5"/>
        <v>1.004373509</v>
      </c>
      <c r="AA422" s="16">
        <f t="shared" si="8"/>
        <v>104.6481017</v>
      </c>
      <c r="AB422" s="14"/>
      <c r="AC422" s="9">
        <f t="shared" si="6"/>
        <v>1.2</v>
      </c>
    </row>
    <row r="423">
      <c r="A423" s="8">
        <v>42335.0</v>
      </c>
      <c r="B423" s="14"/>
      <c r="C423" s="9">
        <f t="array" ref="C423">IFERROR(
  INDEX(
    IR!$B$2:$E2026,                
    MATCH($A423, IR!$A$2:$A2026, 0), 
    MATCH(C$1, IR!$B$1:$E$1, 0) ), "")
</f>
        <v>-0.0016</v>
      </c>
      <c r="D423" s="9">
        <f t="array" ref="D423">IFERROR(
  INDEX(
    IR!$B$2:$E2026,                
    MATCH($A423, IR!$A$2:$A2026, 0), 
    MATCH(D$1, IR!$B$1:$E$1, 0) ), "")
</f>
        <v>-0.00113</v>
      </c>
      <c r="E423" s="9">
        <f t="array" ref="E423">IFERROR(
  INDEX(
    IR!$B$2:$E2026,                
    MATCH($A423, IR!$A$2:$A2026, 0), 
    MATCH(E$1, IR!$B$1:$E$1, 0) ), "")
</f>
        <v>-0.0004</v>
      </c>
      <c r="F423" s="9">
        <f t="array" ref="F423">IFERROR(
  INDEX(
    IR!$B$2:$E2026,                
    MATCH($A423, IR!$A$2:$A2026, 0), 
    MATCH(F$1, IR!$B$1:$E$1, 0) ), "")
</f>
        <v>0.00048</v>
      </c>
      <c r="G423" s="14"/>
      <c r="H423" s="9">
        <f t="array" ref="H423">IFERROR(
  INDEX(
    SR!$B$2:$D2026,            
    MATCH($A423, SR!$A$2:$A2026, 0),  
    MATCH(H$1, SR!$B$1:$D$1, 0) ), "")
</f>
        <v>-0.001165</v>
      </c>
      <c r="I423" s="9">
        <f t="array" ref="I423">IFERROR(
  INDEX(
    SR!$B$2:$D2026,            
    MATCH($A423, SR!$A$2:$A2026, 0),  
    MATCH(I$1, SR!$B$1:$D$1, 0) ), "")
</f>
        <v>-0.0007</v>
      </c>
      <c r="J423" s="9">
        <f t="array" ref="J423">IFERROR(
  INDEX(
    SR!$B$2:$D2026,            
    MATCH($A423, SR!$A$2:$A2026, 0),  
    MATCH(J$1, SR!$B$1:$D$1, 0) ), "")
</f>
        <v>0.00167</v>
      </c>
      <c r="K423" s="14"/>
      <c r="L423" s="9">
        <v>125.49</v>
      </c>
      <c r="M423" s="9">
        <v>24.56</v>
      </c>
      <c r="N423" s="9">
        <v>112.8</v>
      </c>
      <c r="O423" s="9">
        <v>125.98</v>
      </c>
      <c r="P423" s="9">
        <v>132.57</v>
      </c>
      <c r="Q423" s="9">
        <v>1421.993</v>
      </c>
      <c r="R423" s="14"/>
      <c r="S423" s="12">
        <f t="shared" si="2"/>
        <v>0.0009545605599</v>
      </c>
      <c r="T423" s="12">
        <f t="shared" si="3"/>
        <v>1.000954561</v>
      </c>
      <c r="U423" s="16">
        <f t="shared" si="7"/>
        <v>103.2024724</v>
      </c>
      <c r="V423" s="17"/>
      <c r="W423" s="12">
        <f t="array" ref="W423">SQRT(252/20) *  SQRT( SUMSQ( LN(U402:U421 / U401:U420) )  - (1/20) * ( SUM( LN(U402:U421 / U401:U420) ) ^ 2 ) )</f>
        <v>0.02315751566</v>
      </c>
      <c r="X423" s="9">
        <f t="shared" si="4"/>
        <v>1.5</v>
      </c>
      <c r="Y423" s="14"/>
      <c r="Z423" s="12">
        <f t="shared" si="5"/>
        <v>1.001434077</v>
      </c>
      <c r="AA423" s="16">
        <f t="shared" si="8"/>
        <v>104.7981752</v>
      </c>
      <c r="AB423" s="14"/>
      <c r="AC423" s="9">
        <f t="shared" si="6"/>
        <v>2.63</v>
      </c>
    </row>
    <row r="424">
      <c r="A424" s="8">
        <v>42338.0</v>
      </c>
      <c r="B424" s="14"/>
      <c r="C424" s="9">
        <f t="array" ref="C424">IFERROR(
  INDEX(
    IR!$B$2:$E2026,                
    MATCH($A424, IR!$A$2:$A2026, 0), 
    MATCH(C$1, IR!$B$1:$E$1, 0) ), "")
</f>
        <v>-0.00161</v>
      </c>
      <c r="D424" s="9">
        <f t="array" ref="D424">IFERROR(
  INDEX(
    IR!$B$2:$E2026,                
    MATCH($A424, IR!$A$2:$A2026, 0), 
    MATCH(D$1, IR!$B$1:$E$1, 0) ), "")
</f>
        <v>-0.00114</v>
      </c>
      <c r="E424" s="9">
        <f t="array" ref="E424">IFERROR(
  INDEX(
    IR!$B$2:$E2026,                
    MATCH($A424, IR!$A$2:$A2026, 0), 
    MATCH(E$1, IR!$B$1:$E$1, 0) ), "")
</f>
        <v>-0.00043</v>
      </c>
      <c r="F424" s="9">
        <f t="array" ref="F424">IFERROR(
  INDEX(
    IR!$B$2:$E2026,                
    MATCH($A424, IR!$A$2:$A2026, 0), 
    MATCH(F$1, IR!$B$1:$E$1, 0) ), "")
</f>
        <v>0.00048</v>
      </c>
      <c r="G424" s="14"/>
      <c r="H424" s="9">
        <f t="array" ref="H424">IFERROR(
  INDEX(
    SR!$B$2:$D2026,            
    MATCH($A424, SR!$A$2:$A2026, 0),  
    MATCH(H$1, SR!$B$1:$D$1, 0) ), "")
</f>
        <v>-0.00119</v>
      </c>
      <c r="I424" s="9">
        <f t="array" ref="I424">IFERROR(
  INDEX(
    SR!$B$2:$D2026,            
    MATCH($A424, SR!$A$2:$A2026, 0),  
    MATCH(I$1, SR!$B$1:$D$1, 0) ), "")
</f>
        <v>-0.000635</v>
      </c>
      <c r="J424" s="9">
        <f t="array" ref="J424">IFERROR(
  INDEX(
    SR!$B$2:$D2026,            
    MATCH($A424, SR!$A$2:$A2026, 0),  
    MATCH(J$1, SR!$B$1:$D$1, 0) ), "")
</f>
        <v>0.001719</v>
      </c>
      <c r="K424" s="14"/>
      <c r="L424" s="9">
        <v>125.52</v>
      </c>
      <c r="M424" s="9">
        <v>24.57</v>
      </c>
      <c r="N424" s="9">
        <v>112.81</v>
      </c>
      <c r="O424" s="9">
        <v>126.06</v>
      </c>
      <c r="P424" s="9">
        <v>132.75</v>
      </c>
      <c r="Q424" s="9">
        <v>1420.6741</v>
      </c>
      <c r="R424" s="14"/>
      <c r="S424" s="12">
        <f t="shared" si="2"/>
        <v>0.0002998164239</v>
      </c>
      <c r="T424" s="12">
        <f t="shared" si="3"/>
        <v>1.000299816</v>
      </c>
      <c r="U424" s="16">
        <f t="shared" si="7"/>
        <v>103.2334142</v>
      </c>
      <c r="V424" s="17"/>
      <c r="W424" s="12">
        <f t="array" ref="W424">SQRT(252/20) *  SQRT( SUMSQ( LN(U403:U422 / U402:U421) )  - (1/20) * ( SUM( LN(U403:U422 / U402:U421) ) ^ 2 ) )</f>
        <v>0.02481795093</v>
      </c>
      <c r="X424" s="9">
        <f t="shared" si="4"/>
        <v>1.5</v>
      </c>
      <c r="Y424" s="14"/>
      <c r="Z424" s="12">
        <f t="shared" si="5"/>
        <v>1.000456391</v>
      </c>
      <c r="AA424" s="16">
        <f t="shared" si="8"/>
        <v>104.8460041</v>
      </c>
      <c r="AB424" s="14"/>
      <c r="AC424" s="9">
        <f t="shared" si="6"/>
        <v>3.09</v>
      </c>
    </row>
    <row r="425">
      <c r="A425" s="8">
        <v>42339.0</v>
      </c>
      <c r="B425" s="14"/>
      <c r="C425" s="9">
        <f t="array" ref="C425">IFERROR(
  INDEX(
    IR!$B$2:$E2026,                
    MATCH($A425, IR!$A$2:$A2026, 0), 
    MATCH(C$1, IR!$B$1:$E$1, 0) ), "")
</f>
        <v>-0.00161</v>
      </c>
      <c r="D425" s="9">
        <f t="array" ref="D425">IFERROR(
  INDEX(
    IR!$B$2:$E2026,                
    MATCH($A425, IR!$A$2:$A2026, 0), 
    MATCH(D$1, IR!$B$1:$E$1, 0) ), "")
</f>
        <v>-0.00116</v>
      </c>
      <c r="E425" s="9">
        <f t="array" ref="E425">IFERROR(
  INDEX(
    IR!$B$2:$E2026,                
    MATCH($A425, IR!$A$2:$A2026, 0), 
    MATCH(E$1, IR!$B$1:$E$1, 0) ), "")
</f>
        <v>-0.00045</v>
      </c>
      <c r="F425" s="9">
        <f t="array" ref="F425">IFERROR(
  INDEX(
    IR!$B$2:$E2026,                
    MATCH($A425, IR!$A$2:$A2026, 0), 
    MATCH(F$1, IR!$B$1:$E$1, 0) ), "")
</f>
        <v>0.00045</v>
      </c>
      <c r="G425" s="14"/>
      <c r="H425" s="9">
        <f t="array" ref="H425">IFERROR(
  INDEX(
    SR!$B$2:$D2026,            
    MATCH($A425, SR!$A$2:$A2026, 0),  
    MATCH(H$1, SR!$B$1:$D$1, 0) ), "")
</f>
        <v>-0.00135</v>
      </c>
      <c r="I425" s="9">
        <f t="array" ref="I425">IFERROR(
  INDEX(
    SR!$B$2:$D2026,            
    MATCH($A425, SR!$A$2:$A2026, 0),  
    MATCH(I$1, SR!$B$1:$D$1, 0) ), "")
</f>
        <v>-0.00083</v>
      </c>
      <c r="J425" s="9">
        <f t="array" ref="J425">IFERROR(
  INDEX(
    SR!$B$2:$D2026,            
    MATCH($A425, SR!$A$2:$A2026, 0),  
    MATCH(J$1, SR!$B$1:$D$1, 0) ), "")
</f>
        <v>0.00147</v>
      </c>
      <c r="K425" s="14"/>
      <c r="L425" s="9">
        <v>125.49</v>
      </c>
      <c r="M425" s="9">
        <v>24.56</v>
      </c>
      <c r="N425" s="9">
        <v>112.83</v>
      </c>
      <c r="O425" s="9">
        <v>126.32</v>
      </c>
      <c r="P425" s="9">
        <v>132.51</v>
      </c>
      <c r="Q425" s="9">
        <v>1423.478</v>
      </c>
      <c r="R425" s="14"/>
      <c r="S425" s="12">
        <f t="shared" si="2"/>
        <v>0.0002933340553</v>
      </c>
      <c r="T425" s="12">
        <f t="shared" si="3"/>
        <v>1.000293334</v>
      </c>
      <c r="U425" s="16">
        <f t="shared" si="7"/>
        <v>103.2636961</v>
      </c>
      <c r="V425" s="17"/>
      <c r="W425" s="12">
        <f t="array" ref="W425">SQRT(252/20) *  SQRT( SUMSQ( LN(U404:U423 / U403:U422) )  - (1/20) * ( SUM( LN(U404:U423 / U403:U422) ) ^ 2 ) )</f>
        <v>0.02485704242</v>
      </c>
      <c r="X425" s="9">
        <f t="shared" si="4"/>
        <v>1.5</v>
      </c>
      <c r="Y425" s="14"/>
      <c r="Z425" s="12">
        <f t="shared" si="5"/>
        <v>1.000442237</v>
      </c>
      <c r="AA425" s="16">
        <f t="shared" si="8"/>
        <v>104.892371</v>
      </c>
      <c r="AB425" s="14"/>
      <c r="AC425" s="9">
        <f t="shared" si="6"/>
        <v>3.53</v>
      </c>
    </row>
    <row r="426">
      <c r="A426" s="8">
        <v>42340.0</v>
      </c>
      <c r="B426" s="14"/>
      <c r="C426" s="9">
        <f t="array" ref="C426">IFERROR(
  INDEX(
    IR!$B$2:$E2026,                
    MATCH($A426, IR!$A$2:$A2026, 0), 
    MATCH(C$1, IR!$B$1:$E$1, 0) ), "")
</f>
        <v>-0.00164</v>
      </c>
      <c r="D426" s="9">
        <f t="array" ref="D426">IFERROR(
  INDEX(
    IR!$B$2:$E2026,                
    MATCH($A426, IR!$A$2:$A2026, 0), 
    MATCH(D$1, IR!$B$1:$E$1, 0) ), "")
</f>
        <v>-0.00118</v>
      </c>
      <c r="E426" s="9">
        <f t="array" ref="E426">IFERROR(
  INDEX(
    IR!$B$2:$E2026,                
    MATCH($A426, IR!$A$2:$A2026, 0), 
    MATCH(E$1, IR!$B$1:$E$1, 0) ), "")
</f>
        <v>-0.00048</v>
      </c>
      <c r="F426" s="9">
        <f t="array" ref="F426">IFERROR(
  INDEX(
    IR!$B$2:$E2026,                
    MATCH($A426, IR!$A$2:$A2026, 0), 
    MATCH(F$1, IR!$B$1:$E$1, 0) ), "")
</f>
        <v>0.00043</v>
      </c>
      <c r="G426" s="14"/>
      <c r="H426" s="9">
        <f t="array" ref="H426">IFERROR(
  INDEX(
    SR!$B$2:$D2026,            
    MATCH($A426, SR!$A$2:$A2026, 0),  
    MATCH(H$1, SR!$B$1:$D$1, 0) ), "")
</f>
        <v>-0.00133</v>
      </c>
      <c r="I426" s="9">
        <f t="array" ref="I426">IFERROR(
  INDEX(
    SR!$B$2:$D2026,            
    MATCH($A426, SR!$A$2:$A2026, 0),  
    MATCH(I$1, SR!$B$1:$D$1, 0) ), "")
</f>
        <v>-0.000917</v>
      </c>
      <c r="J426" s="9">
        <f t="array" ref="J426">IFERROR(
  INDEX(
    SR!$B$2:$D2026,            
    MATCH($A426, SR!$A$2:$A2026, 0),  
    MATCH(J$1, SR!$B$1:$D$1, 0) ), "")
</f>
        <v>0.001431</v>
      </c>
      <c r="K426" s="14"/>
      <c r="L426" s="9">
        <v>125.22</v>
      </c>
      <c r="M426" s="9">
        <v>24.56</v>
      </c>
      <c r="N426" s="9">
        <v>112.77</v>
      </c>
      <c r="O426" s="9">
        <v>125.89</v>
      </c>
      <c r="P426" s="9">
        <v>133.07</v>
      </c>
      <c r="Q426" s="9">
        <v>1425.8669</v>
      </c>
      <c r="R426" s="14"/>
      <c r="S426" s="12">
        <f t="shared" si="2"/>
        <v>-0.0000303337862</v>
      </c>
      <c r="T426" s="12">
        <f t="shared" si="3"/>
        <v>0.9999696662</v>
      </c>
      <c r="U426" s="16">
        <f t="shared" si="7"/>
        <v>103.2605637</v>
      </c>
      <c r="V426" s="17"/>
      <c r="W426" s="12">
        <f t="array" ref="W426">SQRT(252/20) *  SQRT( SUMSQ( LN(U405:U424 / U404:U423) )  - (1/20) * ( SUM( LN(U405:U424 / U404:U423) ) ^ 2 ) )</f>
        <v>0.02485986828</v>
      </c>
      <c r="X426" s="9">
        <f t="shared" si="4"/>
        <v>1.5</v>
      </c>
      <c r="Y426" s="14"/>
      <c r="Z426" s="12">
        <f t="shared" si="5"/>
        <v>0.9999567354</v>
      </c>
      <c r="AA426" s="16">
        <f t="shared" si="8"/>
        <v>104.8878328</v>
      </c>
      <c r="AB426" s="14"/>
      <c r="AC426" s="9">
        <f t="shared" si="6"/>
        <v>3.49</v>
      </c>
    </row>
    <row r="427">
      <c r="A427" s="8">
        <v>42341.0</v>
      </c>
      <c r="B427" s="14"/>
      <c r="C427" s="9">
        <f t="array" ref="C427">IFERROR(
  INDEX(
    IR!$B$2:$E2026,                
    MATCH($A427, IR!$A$2:$A2026, 0), 
    MATCH(C$1, IR!$B$1:$E$1, 0) ), "")
</f>
        <v>-0.00171</v>
      </c>
      <c r="D427" s="9">
        <f t="array" ref="D427">IFERROR(
  INDEX(
    IR!$B$2:$E2026,                
    MATCH($A427, IR!$A$2:$A2026, 0), 
    MATCH(D$1, IR!$B$1:$E$1, 0) ), "")
</f>
        <v>-0.00124</v>
      </c>
      <c r="E427" s="9">
        <f t="array" ref="E427">IFERROR(
  INDEX(
    IR!$B$2:$E2026,                
    MATCH($A427, IR!$A$2:$A2026, 0), 
    MATCH(E$1, IR!$B$1:$E$1, 0) ), "")
</f>
        <v>-0.00051</v>
      </c>
      <c r="F427" s="9">
        <f t="array" ref="F427">IFERROR(
  INDEX(
    IR!$B$2:$E2026,                
    MATCH($A427, IR!$A$2:$A2026, 0), 
    MATCH(F$1, IR!$B$1:$E$1, 0) ), "")
</f>
        <v>0.00039</v>
      </c>
      <c r="G427" s="14"/>
      <c r="H427" s="9">
        <f t="array" ref="H427">IFERROR(
  INDEX(
    SR!$B$2:$D2026,            
    MATCH($A427, SR!$A$2:$A2026, 0),  
    MATCH(H$1, SR!$B$1:$D$1, 0) ), "")
</f>
        <v>-0.00014</v>
      </c>
      <c r="I427" s="9">
        <f t="array" ref="I427">IFERROR(
  INDEX(
    SR!$B$2:$D2026,            
    MATCH($A427, SR!$A$2:$A2026, 0),  
    MATCH(I$1, SR!$B$1:$D$1, 0) ), "")
</f>
        <v>0.00041</v>
      </c>
      <c r="J427" s="9">
        <f t="array" ref="J427">IFERROR(
  INDEX(
    SR!$B$2:$D2026,            
    MATCH($A427, SR!$A$2:$A2026, 0),  
    MATCH(J$1, SR!$B$1:$D$1, 0) ), "")
</f>
        <v>0.003346</v>
      </c>
      <c r="K427" s="14"/>
      <c r="L427" s="9">
        <v>124.24</v>
      </c>
      <c r="M427" s="9">
        <v>24.52</v>
      </c>
      <c r="N427" s="9">
        <v>112.77</v>
      </c>
      <c r="O427" s="9">
        <v>125.5</v>
      </c>
      <c r="P427" s="9">
        <v>132.68</v>
      </c>
      <c r="Q427" s="9">
        <v>1421.0697</v>
      </c>
      <c r="R427" s="14"/>
      <c r="S427" s="12">
        <f t="shared" si="2"/>
        <v>-0.003140418354</v>
      </c>
      <c r="T427" s="12">
        <f t="shared" si="3"/>
        <v>0.9968595816</v>
      </c>
      <c r="U427" s="16">
        <f t="shared" si="7"/>
        <v>102.9362823</v>
      </c>
      <c r="V427" s="17"/>
      <c r="W427" s="12">
        <f t="array" ref="W427">SQRT(252/20) *  SQRT( SUMSQ( LN(U406:U425 / U405:U424) )  - (1/20) * ( SUM( LN(U406:U425 / U405:U424) ) ^ 2 ) )</f>
        <v>0.02423400422</v>
      </c>
      <c r="X427" s="9">
        <f t="shared" si="4"/>
        <v>1.5</v>
      </c>
      <c r="Y427" s="14"/>
      <c r="Z427" s="12">
        <f t="shared" si="5"/>
        <v>0.9952916502</v>
      </c>
      <c r="AA427" s="16">
        <f t="shared" si="8"/>
        <v>104.3939842</v>
      </c>
      <c r="AB427" s="14"/>
      <c r="AC427" s="9">
        <f t="shared" si="6"/>
        <v>0</v>
      </c>
    </row>
    <row r="428">
      <c r="A428" s="8">
        <v>42342.0</v>
      </c>
      <c r="B428" s="14"/>
      <c r="C428" s="9">
        <f t="array" ref="C428">IFERROR(
  INDEX(
    IR!$B$2:$E2026,                
    MATCH($A428, IR!$A$2:$A2026, 0), 
    MATCH(C$1, IR!$B$1:$E$1, 0) ), "")
</f>
        <v>-0.00171</v>
      </c>
      <c r="D428" s="9">
        <f t="array" ref="D428">IFERROR(
  INDEX(
    IR!$B$2:$E2026,                
    MATCH($A428, IR!$A$2:$A2026, 0), 
    MATCH(D$1, IR!$B$1:$E$1, 0) ), "")
</f>
        <v>-0.00113</v>
      </c>
      <c r="E428" s="9">
        <f t="array" ref="E428">IFERROR(
  INDEX(
    IR!$B$2:$E2026,                
    MATCH($A428, IR!$A$2:$A2026, 0), 
    MATCH(E$1, IR!$B$1:$E$1, 0) ), "")
</f>
        <v>-0.0003</v>
      </c>
      <c r="F428" s="9">
        <f t="array" ref="F428">IFERROR(
  INDEX(
    IR!$B$2:$E2026,                
    MATCH($A428, IR!$A$2:$A2026, 0), 
    MATCH(F$1, IR!$B$1:$E$1, 0) ), "")
</f>
        <v>0.00068</v>
      </c>
      <c r="G428" s="14"/>
      <c r="H428" s="9">
        <f t="array" ref="H428">IFERROR(
  INDEX(
    SR!$B$2:$D2026,            
    MATCH($A428, SR!$A$2:$A2026, 0),  
    MATCH(H$1, SR!$B$1:$D$1, 0) ), "")
</f>
        <v>-0.00029</v>
      </c>
      <c r="I428" s="9">
        <f t="array" ref="I428">IFERROR(
  INDEX(
    SR!$B$2:$D2026,            
    MATCH($A428, SR!$A$2:$A2026, 0),  
    MATCH(I$1, SR!$B$1:$D$1, 0) ), "")
</f>
        <v>0.000408</v>
      </c>
      <c r="J428" s="9">
        <f t="array" ref="J428">IFERROR(
  INDEX(
    SR!$B$2:$D2026,            
    MATCH($A428, SR!$A$2:$A2026, 0),  
    MATCH(J$1, SR!$B$1:$D$1, 0) ), "")
</f>
        <v>0.003063</v>
      </c>
      <c r="K428" s="14"/>
      <c r="L428" s="9">
        <v>124.18</v>
      </c>
      <c r="M428" s="9">
        <v>24.52</v>
      </c>
      <c r="N428" s="9">
        <v>112.75</v>
      </c>
      <c r="O428" s="9">
        <v>122.79</v>
      </c>
      <c r="P428" s="9">
        <v>131.57</v>
      </c>
      <c r="Q428" s="9">
        <v>1410.356</v>
      </c>
      <c r="R428" s="14"/>
      <c r="S428" s="12">
        <f t="shared" si="2"/>
        <v>-0.006358057823</v>
      </c>
      <c r="T428" s="12">
        <f t="shared" si="3"/>
        <v>0.9936419422</v>
      </c>
      <c r="U428" s="16">
        <f t="shared" si="7"/>
        <v>102.2818075</v>
      </c>
      <c r="V428" s="17"/>
      <c r="W428" s="12">
        <f t="array" ref="W428">SQRT(252/20) *  SQRT( SUMSQ( LN(U407:U426 / U406:U425) )  - (1/20) * ( SUM( LN(U407:U426 / U406:U425) ) ^ 2 ) )</f>
        <v>0.02417129652</v>
      </c>
      <c r="X428" s="9">
        <f t="shared" si="4"/>
        <v>1.5</v>
      </c>
      <c r="Y428" s="14"/>
      <c r="Z428" s="12">
        <f t="shared" si="5"/>
        <v>0.9904652883</v>
      </c>
      <c r="AA428" s="16">
        <f t="shared" si="8"/>
        <v>103.3986177</v>
      </c>
      <c r="AB428" s="14"/>
      <c r="AC428" s="9">
        <f t="shared" si="6"/>
        <v>0</v>
      </c>
    </row>
    <row r="429">
      <c r="A429" s="8">
        <v>42345.0</v>
      </c>
      <c r="B429" s="14"/>
      <c r="C429" s="9">
        <f t="array" ref="C429">IFERROR(
  INDEX(
    IR!$B$2:$E2026,                
    MATCH($A429, IR!$A$2:$A2026, 0), 
    MATCH(C$1, IR!$B$1:$E$1, 0) ), "")
</f>
        <v>-0.00175</v>
      </c>
      <c r="D429" s="9">
        <f t="array" ref="D429">IFERROR(
  INDEX(
    IR!$B$2:$E2026,                
    MATCH($A429, IR!$A$2:$A2026, 0), 
    MATCH(D$1, IR!$B$1:$E$1, 0) ), "")
</f>
        <v>-0.00113</v>
      </c>
      <c r="E429" s="9">
        <f t="array" ref="E429">IFERROR(
  INDEX(
    IR!$B$2:$E2026,                
    MATCH($A429, IR!$A$2:$A2026, 0), 
    MATCH(E$1, IR!$B$1:$E$1, 0) ), "")
</f>
        <v>-0.00031</v>
      </c>
      <c r="F429" s="9">
        <f t="array" ref="F429">IFERROR(
  INDEX(
    IR!$B$2:$E2026,                
    MATCH($A429, IR!$A$2:$A2026, 0), 
    MATCH(F$1, IR!$B$1:$E$1, 0) ), "")
</f>
        <v>0.00066</v>
      </c>
      <c r="G429" s="14"/>
      <c r="H429" s="9">
        <f t="array" ref="H429">IFERROR(
  INDEX(
    SR!$B$2:$D2026,            
    MATCH($A429, SR!$A$2:$A2026, 0),  
    MATCH(H$1, SR!$B$1:$D$1, 0) ), "")
</f>
        <v>-0.00043</v>
      </c>
      <c r="I429" s="9">
        <f t="array" ref="I429">IFERROR(
  INDEX(
    SR!$B$2:$D2026,            
    MATCH($A429, SR!$A$2:$A2026, 0),  
    MATCH(I$1, SR!$B$1:$D$1, 0) ), "")
</f>
        <v>0.000211</v>
      </c>
      <c r="J429" s="9">
        <f t="array" ref="J429">IFERROR(
  INDEX(
    SR!$B$2:$D2026,            
    MATCH($A429, SR!$A$2:$A2026, 0),  
    MATCH(J$1, SR!$B$1:$D$1, 0) ), "")
</f>
        <v>0.002577</v>
      </c>
      <c r="K429" s="14"/>
      <c r="L429" s="9">
        <v>124.2</v>
      </c>
      <c r="M429" s="9">
        <v>24.52</v>
      </c>
      <c r="N429" s="9">
        <v>112.79</v>
      </c>
      <c r="O429" s="9">
        <v>122.22</v>
      </c>
      <c r="P429" s="9">
        <v>132.14</v>
      </c>
      <c r="Q429" s="9">
        <v>1413.1981</v>
      </c>
      <c r="R429" s="14"/>
      <c r="S429" s="12">
        <f t="shared" si="2"/>
        <v>0.0003702553435</v>
      </c>
      <c r="T429" s="12">
        <f t="shared" si="3"/>
        <v>1.000370255</v>
      </c>
      <c r="U429" s="16">
        <f t="shared" si="7"/>
        <v>102.3196779</v>
      </c>
      <c r="V429" s="17"/>
      <c r="W429" s="12">
        <f t="array" ref="W429">SQRT(252/20) *  SQRT( SUMSQ( LN(U408:U427 / U407:U426) )  - (1/20) * ( SUM( LN(U408:U427 / U407:U426) ) ^ 2 ) )</f>
        <v>0.02659007248</v>
      </c>
      <c r="X429" s="9">
        <f t="shared" si="4"/>
        <v>1.5</v>
      </c>
      <c r="Y429" s="14"/>
      <c r="Z429" s="12">
        <f t="shared" si="5"/>
        <v>1.000562508</v>
      </c>
      <c r="AA429" s="16">
        <f t="shared" si="8"/>
        <v>103.4567802</v>
      </c>
      <c r="AB429" s="14"/>
      <c r="AC429" s="9">
        <f t="shared" si="6"/>
        <v>0</v>
      </c>
    </row>
    <row r="430">
      <c r="A430" s="8">
        <v>42346.0</v>
      </c>
      <c r="B430" s="14"/>
      <c r="C430" s="9">
        <f t="array" ref="C430">IFERROR(
  INDEX(
    IR!$B$2:$E2026,                
    MATCH($A430, IR!$A$2:$A2026, 0), 
    MATCH(C$1, IR!$B$1:$E$1, 0) ), "")
</f>
        <v>-0.00178</v>
      </c>
      <c r="D430" s="9">
        <f t="array" ref="D430">IFERROR(
  INDEX(
    IR!$B$2:$E2026,                
    MATCH($A430, IR!$A$2:$A2026, 0), 
    MATCH(D$1, IR!$B$1:$E$1, 0) ), "")
</f>
        <v>-0.00116</v>
      </c>
      <c r="E430" s="9">
        <f t="array" ref="E430">IFERROR(
  INDEX(
    IR!$B$2:$E2026,                
    MATCH($A430, IR!$A$2:$A2026, 0), 
    MATCH(E$1, IR!$B$1:$E$1, 0) ), "")
</f>
        <v>-0.00033</v>
      </c>
      <c r="F430" s="9">
        <f t="array" ref="F430">IFERROR(
  INDEX(
    IR!$B$2:$E2026,                
    MATCH($A430, IR!$A$2:$A2026, 0), 
    MATCH(F$1, IR!$B$1:$E$1, 0) ), "")
</f>
        <v>0.00067</v>
      </c>
      <c r="G430" s="14"/>
      <c r="H430" s="9">
        <f t="array" ref="H430">IFERROR(
  INDEX(
    SR!$B$2:$D2026,            
    MATCH($A430, SR!$A$2:$A2026, 0),  
    MATCH(H$1, SR!$B$1:$D$1, 0) ), "")
</f>
        <v>-0.00047</v>
      </c>
      <c r="I430" s="9">
        <f t="array" ref="I430">IFERROR(
  INDEX(
    SR!$B$2:$D2026,            
    MATCH($A430, SR!$A$2:$A2026, 0),  
    MATCH(I$1, SR!$B$1:$D$1, 0) ), "")
</f>
        <v>0.0002</v>
      </c>
      <c r="J430" s="9">
        <f t="array" ref="J430">IFERROR(
  INDEX(
    SR!$B$2:$D2026,            
    MATCH($A430, SR!$A$2:$A2026, 0),  
    MATCH(J$1, SR!$B$1:$D$1, 0) ), "")
</f>
        <v>0.00246</v>
      </c>
      <c r="K430" s="14"/>
      <c r="L430" s="9">
        <v>123.64</v>
      </c>
      <c r="M430" s="9">
        <v>24.51</v>
      </c>
      <c r="N430" s="9">
        <v>112.74</v>
      </c>
      <c r="O430" s="9">
        <v>123.18</v>
      </c>
      <c r="P430" s="9">
        <v>132.01</v>
      </c>
      <c r="Q430" s="9">
        <v>1411.0907</v>
      </c>
      <c r="R430" s="14"/>
      <c r="S430" s="12">
        <f t="shared" si="2"/>
        <v>0.000003127379965</v>
      </c>
      <c r="T430" s="12">
        <f t="shared" si="3"/>
        <v>1.000003127</v>
      </c>
      <c r="U430" s="16">
        <f t="shared" si="7"/>
        <v>102.3199979</v>
      </c>
      <c r="V430" s="17"/>
      <c r="W430" s="12">
        <f t="array" ref="W430">SQRT(252/20) *  SQRT( SUMSQ( LN(U409:U428 / U408:U427) )  - (1/20) * ( SUM( LN(U409:U428 / U408:U427) ) ^ 2 ) )</f>
        <v>0.03439273159</v>
      </c>
      <c r="X430" s="9">
        <f t="shared" si="4"/>
        <v>1.5</v>
      </c>
      <c r="Y430" s="14"/>
      <c r="Z430" s="12">
        <f t="shared" si="5"/>
        <v>1.000007122</v>
      </c>
      <c r="AA430" s="16">
        <f t="shared" si="8"/>
        <v>103.457517</v>
      </c>
      <c r="AB430" s="14"/>
      <c r="AC430" s="9">
        <f t="shared" si="6"/>
        <v>0</v>
      </c>
    </row>
    <row r="431">
      <c r="A431" s="8">
        <v>42347.0</v>
      </c>
      <c r="B431" s="14"/>
      <c r="C431" s="9">
        <f t="array" ref="C431">IFERROR(
  INDEX(
    IR!$B$2:$E2026,                
    MATCH($A431, IR!$A$2:$A2026, 0), 
    MATCH(C$1, IR!$B$1:$E$1, 0) ), "")
</f>
        <v>-0.00181</v>
      </c>
      <c r="D431" s="9">
        <f t="array" ref="D431">IFERROR(
  INDEX(
    IR!$B$2:$E2026,                
    MATCH($A431, IR!$A$2:$A2026, 0), 
    MATCH(D$1, IR!$B$1:$E$1, 0) ), "")
</f>
        <v>-0.00119</v>
      </c>
      <c r="E431" s="9">
        <f t="array" ref="E431">IFERROR(
  INDEX(
    IR!$B$2:$E2026,                
    MATCH($A431, IR!$A$2:$A2026, 0), 
    MATCH(E$1, IR!$B$1:$E$1, 0) ), "")
</f>
        <v>-0.00034</v>
      </c>
      <c r="F431" s="9">
        <f t="array" ref="F431">IFERROR(
  INDEX(
    IR!$B$2:$E2026,                
    MATCH($A431, IR!$A$2:$A2026, 0), 
    MATCH(F$1, IR!$B$1:$E$1, 0) ), "")
</f>
        <v>0.00066</v>
      </c>
      <c r="G431" s="14"/>
      <c r="H431" s="9">
        <f t="array" ref="H431">IFERROR(
  INDEX(
    SR!$B$2:$D2026,            
    MATCH($A431, SR!$A$2:$A2026, 0),  
    MATCH(H$1, SR!$B$1:$D$1, 0) ), "")
</f>
        <v>-0.00052</v>
      </c>
      <c r="I431" s="9">
        <f t="array" ref="I431">IFERROR(
  INDEX(
    SR!$B$2:$D2026,            
    MATCH($A431, SR!$A$2:$A2026, 0),  
    MATCH(I$1, SR!$B$1:$D$1, 0) ), "")
</f>
        <v>0.00016</v>
      </c>
      <c r="J431" s="9">
        <f t="array" ref="J431">IFERROR(
  INDEX(
    SR!$B$2:$D2026,            
    MATCH($A431, SR!$A$2:$A2026, 0),  
    MATCH(J$1, SR!$B$1:$D$1, 0) ), "")
</f>
        <v>0.002508</v>
      </c>
      <c r="K431" s="14"/>
      <c r="L431" s="9">
        <v>123.32</v>
      </c>
      <c r="M431" s="9">
        <v>24.49</v>
      </c>
      <c r="N431" s="9">
        <v>112.7</v>
      </c>
      <c r="O431" s="9">
        <v>122.44</v>
      </c>
      <c r="P431" s="9">
        <v>131.65</v>
      </c>
      <c r="Q431" s="9">
        <v>1407.21</v>
      </c>
      <c r="R431" s="14"/>
      <c r="S431" s="12">
        <f t="shared" si="2"/>
        <v>-0.002539863491</v>
      </c>
      <c r="T431" s="12">
        <f t="shared" si="3"/>
        <v>0.9974601365</v>
      </c>
      <c r="U431" s="16">
        <f t="shared" si="7"/>
        <v>102.060119</v>
      </c>
      <c r="V431" s="17"/>
      <c r="W431" s="12">
        <f t="array" ref="W431">SQRT(252/20) *  SQRT( SUMSQ( LN(U410:U429 / U409:U428) )  - (1/20) * ( SUM( LN(U410:U429 / U409:U428) ) ^ 2 ) )</f>
        <v>0.03448176012</v>
      </c>
      <c r="X431" s="9">
        <f t="shared" si="4"/>
        <v>1.5</v>
      </c>
      <c r="Y431" s="14"/>
      <c r="Z431" s="12">
        <f t="shared" si="5"/>
        <v>0.996192677</v>
      </c>
      <c r="AA431" s="16">
        <f t="shared" si="8"/>
        <v>103.0636208</v>
      </c>
      <c r="AB431" s="14"/>
      <c r="AC431" s="9">
        <f t="shared" si="6"/>
        <v>0</v>
      </c>
    </row>
    <row r="432">
      <c r="A432" s="8">
        <v>42348.0</v>
      </c>
      <c r="B432" s="14"/>
      <c r="C432" s="9">
        <f t="array" ref="C432">IFERROR(
  INDEX(
    IR!$B$2:$E2026,                
    MATCH($A432, IR!$A$2:$A2026, 0), 
    MATCH(C$1, IR!$B$1:$E$1, 0) ), "")
</f>
        <v>-0.00186</v>
      </c>
      <c r="D432" s="9">
        <f t="array" ref="D432">IFERROR(
  INDEX(
    IR!$B$2:$E2026,                
    MATCH($A432, IR!$A$2:$A2026, 0), 
    MATCH(D$1, IR!$B$1:$E$1, 0) ), "")
</f>
        <v>-0.00125</v>
      </c>
      <c r="E432" s="9">
        <f t="array" ref="E432">IFERROR(
  INDEX(
    IR!$B$2:$E2026,                
    MATCH($A432, IR!$A$2:$A2026, 0), 
    MATCH(E$1, IR!$B$1:$E$1, 0) ), "")
</f>
        <v>-0.00036</v>
      </c>
      <c r="F432" s="9">
        <f t="array" ref="F432">IFERROR(
  INDEX(
    IR!$B$2:$E2026,                
    MATCH($A432, IR!$A$2:$A2026, 0), 
    MATCH(F$1, IR!$B$1:$E$1, 0) ), "")
</f>
        <v>0.00064</v>
      </c>
      <c r="G432" s="14"/>
      <c r="H432" s="9">
        <f t="array" ref="H432">IFERROR(
  INDEX(
    SR!$B$2:$D2026,            
    MATCH($A432, SR!$A$2:$A2026, 0),  
    MATCH(H$1, SR!$B$1:$D$1, 0) ), "")
</f>
        <v>-0.00052</v>
      </c>
      <c r="I432" s="9">
        <f t="array" ref="I432">IFERROR(
  INDEX(
    SR!$B$2:$D2026,            
    MATCH($A432, SR!$A$2:$A2026, 0),  
    MATCH(I$1, SR!$B$1:$D$1, 0) ), "")
</f>
        <v>0.000116</v>
      </c>
      <c r="J432" s="9">
        <f t="array" ref="J432">IFERROR(
  INDEX(
    SR!$B$2:$D2026,            
    MATCH($A432, SR!$A$2:$A2026, 0),  
    MATCH(J$1, SR!$B$1:$D$1, 0) ), "")
</f>
        <v>0.00256</v>
      </c>
      <c r="K432" s="14"/>
      <c r="L432" s="9">
        <v>123.08</v>
      </c>
      <c r="M432" s="9">
        <v>24.5</v>
      </c>
      <c r="N432" s="9">
        <v>112.67</v>
      </c>
      <c r="O432" s="9">
        <v>121.98</v>
      </c>
      <c r="P432" s="9">
        <v>131.08</v>
      </c>
      <c r="Q432" s="9">
        <v>1400.8521</v>
      </c>
      <c r="R432" s="14"/>
      <c r="S432" s="12">
        <f t="shared" si="2"/>
        <v>-0.002400943393</v>
      </c>
      <c r="T432" s="12">
        <f t="shared" si="3"/>
        <v>0.9975990566</v>
      </c>
      <c r="U432" s="16">
        <f t="shared" si="7"/>
        <v>101.8150785</v>
      </c>
      <c r="V432" s="17"/>
      <c r="W432" s="12">
        <f t="array" ref="W432">SQRT(252/20) *  SQRT( SUMSQ( LN(U411:U430 / U410:U429) )  - (1/20) * ( SUM( LN(U411:U430 / U410:U429) ) ^ 2 ) )</f>
        <v>0.03374067952</v>
      </c>
      <c r="X432" s="9">
        <f t="shared" si="4"/>
        <v>1.5</v>
      </c>
      <c r="Y432" s="14"/>
      <c r="Z432" s="12">
        <f t="shared" si="5"/>
        <v>0.9964010988</v>
      </c>
      <c r="AA432" s="16">
        <f t="shared" si="8"/>
        <v>102.692705</v>
      </c>
      <c r="AB432" s="14"/>
      <c r="AC432" s="9">
        <f t="shared" si="6"/>
        <v>0</v>
      </c>
    </row>
    <row r="433">
      <c r="A433" s="8">
        <v>42349.0</v>
      </c>
      <c r="B433" s="14"/>
      <c r="C433" s="9">
        <f t="array" ref="C433">IFERROR(
  INDEX(
    IR!$B$2:$E2026,                
    MATCH($A433, IR!$A$2:$A2026, 0), 
    MATCH(C$1, IR!$B$1:$E$1, 0) ), "")
</f>
        <v>-0.00189</v>
      </c>
      <c r="D433" s="9">
        <f t="array" ref="D433">IFERROR(
  INDEX(
    IR!$B$2:$E2026,                
    MATCH($A433, IR!$A$2:$A2026, 0), 
    MATCH(D$1, IR!$B$1:$E$1, 0) ), "")
</f>
        <v>-0.00128</v>
      </c>
      <c r="E433" s="9">
        <f t="array" ref="E433">IFERROR(
  INDEX(
    IR!$B$2:$E2026,                
    MATCH($A433, IR!$A$2:$A2026, 0), 
    MATCH(E$1, IR!$B$1:$E$1, 0) ), "")
</f>
        <v>-0.00038</v>
      </c>
      <c r="F433" s="9">
        <f t="array" ref="F433">IFERROR(
  INDEX(
    IR!$B$2:$E2026,                
    MATCH($A433, IR!$A$2:$A2026, 0), 
    MATCH(F$1, IR!$B$1:$E$1, 0) ), "")
</f>
        <v>0.00063</v>
      </c>
      <c r="G433" s="14"/>
      <c r="H433" s="9">
        <f t="array" ref="H433">IFERROR(
  INDEX(
    SR!$B$2:$D2026,            
    MATCH($A433, SR!$A$2:$A2026, 0),  
    MATCH(H$1, SR!$B$1:$D$1, 0) ), "")
</f>
        <v>-0.00073</v>
      </c>
      <c r="I433" s="9">
        <f t="array" ref="I433">IFERROR(
  INDEX(
    SR!$B$2:$D2026,            
    MATCH($A433, SR!$A$2:$A2026, 0),  
    MATCH(I$1, SR!$B$1:$D$1, 0) ), "")
</f>
        <v>-0.00008</v>
      </c>
      <c r="J433" s="9">
        <f t="array" ref="J433">IFERROR(
  INDEX(
    SR!$B$2:$D2026,            
    MATCH($A433, SR!$A$2:$A2026, 0),  
    MATCH(J$1, SR!$B$1:$D$1, 0) ), "")
</f>
        <v>0.002244</v>
      </c>
      <c r="K433" s="14"/>
      <c r="L433" s="9">
        <v>122.3</v>
      </c>
      <c r="M433" s="9">
        <v>24.48</v>
      </c>
      <c r="N433" s="9">
        <v>112.64</v>
      </c>
      <c r="O433" s="9">
        <v>122.2</v>
      </c>
      <c r="P433" s="9">
        <v>131.25</v>
      </c>
      <c r="Q433" s="9">
        <v>1400.2124</v>
      </c>
      <c r="R433" s="14"/>
      <c r="S433" s="12">
        <f t="shared" si="2"/>
        <v>-0.000795742388</v>
      </c>
      <c r="T433" s="12">
        <f t="shared" si="3"/>
        <v>0.9992042576</v>
      </c>
      <c r="U433" s="16">
        <f t="shared" si="7"/>
        <v>101.7340599</v>
      </c>
      <c r="V433" s="17"/>
      <c r="W433" s="12">
        <f t="array" ref="W433">SQRT(252/20) *  SQRT( SUMSQ( LN(U412:U431 / U411:U430) )  - (1/20) * ( SUM( LN(U412:U431 / U411:U430) ) ^ 2 ) )</f>
        <v>0.03447274107</v>
      </c>
      <c r="X433" s="9">
        <f t="shared" si="4"/>
        <v>1.5</v>
      </c>
      <c r="Y433" s="14"/>
      <c r="Z433" s="12">
        <f t="shared" si="5"/>
        <v>0.9988089698</v>
      </c>
      <c r="AA433" s="16">
        <f t="shared" si="8"/>
        <v>102.5703949</v>
      </c>
      <c r="AB433" s="14"/>
      <c r="AC433" s="9">
        <f t="shared" si="6"/>
        <v>0</v>
      </c>
    </row>
    <row r="434">
      <c r="A434" s="8">
        <v>42352.0</v>
      </c>
      <c r="B434" s="14"/>
      <c r="C434" s="9">
        <f t="array" ref="C434">IFERROR(
  INDEX(
    IR!$B$2:$E2026,                
    MATCH($A434, IR!$A$2:$A2026, 0), 
    MATCH(C$1, IR!$B$1:$E$1, 0) ), "")
</f>
        <v>-0.00191</v>
      </c>
      <c r="D434" s="9">
        <f t="array" ref="D434">IFERROR(
  INDEX(
    IR!$B$2:$E2026,                
    MATCH($A434, IR!$A$2:$A2026, 0), 
    MATCH(D$1, IR!$B$1:$E$1, 0) ), "")
</f>
        <v>-0.00129</v>
      </c>
      <c r="E434" s="9">
        <f t="array" ref="E434">IFERROR(
  INDEX(
    IR!$B$2:$E2026,                
    MATCH($A434, IR!$A$2:$A2026, 0), 
    MATCH(E$1, IR!$B$1:$E$1, 0) ), "")
</f>
        <v>-0.00039</v>
      </c>
      <c r="F434" s="9">
        <f t="array" ref="F434">IFERROR(
  INDEX(
    IR!$B$2:$E2026,                
    MATCH($A434, IR!$A$2:$A2026, 0), 
    MATCH(F$1, IR!$B$1:$E$1, 0) ), "")
</f>
        <v>0.0006</v>
      </c>
      <c r="G434" s="14"/>
      <c r="H434" s="9">
        <f t="array" ref="H434">IFERROR(
  INDEX(
    SR!$B$2:$D2026,            
    MATCH($A434, SR!$A$2:$A2026, 0),  
    MATCH(H$1, SR!$B$1:$D$1, 0) ), "")
</f>
        <v>-0.00047</v>
      </c>
      <c r="I434" s="9">
        <f t="array" ref="I434">IFERROR(
  INDEX(
    SR!$B$2:$D2026,            
    MATCH($A434, SR!$A$2:$A2026, 0),  
    MATCH(I$1, SR!$B$1:$D$1, 0) ), "")
</f>
        <v>0.000065</v>
      </c>
      <c r="J434" s="9">
        <f t="array" ref="J434">IFERROR(
  INDEX(
    SR!$B$2:$D2026,            
    MATCH($A434, SR!$A$2:$A2026, 0),  
    MATCH(J$1, SR!$B$1:$D$1, 0) ), "")
</f>
        <v>0.00258</v>
      </c>
      <c r="K434" s="14"/>
      <c r="L434" s="9">
        <v>121.83</v>
      </c>
      <c r="M434" s="9">
        <v>24.46</v>
      </c>
      <c r="N434" s="9">
        <v>112.55</v>
      </c>
      <c r="O434" s="9">
        <v>121.03</v>
      </c>
      <c r="P434" s="9">
        <v>130.12</v>
      </c>
      <c r="Q434" s="9">
        <v>1389.3746</v>
      </c>
      <c r="R434" s="14"/>
      <c r="S434" s="12">
        <f t="shared" si="2"/>
        <v>-0.005229200381</v>
      </c>
      <c r="T434" s="12">
        <f t="shared" si="3"/>
        <v>0.9947707996</v>
      </c>
      <c r="U434" s="16">
        <f t="shared" si="7"/>
        <v>101.2020721</v>
      </c>
      <c r="V434" s="17"/>
      <c r="W434" s="12">
        <f t="array" ref="W434">SQRT(252/20) *  SQRT( SUMSQ( LN(U413:U432 / U412:U431) )  - (1/20) * ( SUM( LN(U413:U432 / U412:U431) ) ^ 2 ) )</f>
        <v>0.03515869663</v>
      </c>
      <c r="X434" s="9">
        <f t="shared" si="4"/>
        <v>1.5</v>
      </c>
      <c r="Y434" s="14"/>
      <c r="Z434" s="12">
        <f t="shared" si="5"/>
        <v>0.9921640744</v>
      </c>
      <c r="AA434" s="16">
        <f t="shared" si="8"/>
        <v>101.7666609</v>
      </c>
      <c r="AB434" s="14"/>
      <c r="AC434" s="9">
        <f t="shared" si="6"/>
        <v>0</v>
      </c>
    </row>
    <row r="435">
      <c r="A435" s="8">
        <v>42353.0</v>
      </c>
      <c r="B435" s="14"/>
      <c r="C435" s="9">
        <f t="array" ref="C435">IFERROR(
  INDEX(
    IR!$B$2:$E2026,                
    MATCH($A435, IR!$A$2:$A2026, 0), 
    MATCH(C$1, IR!$B$1:$E$1, 0) ), "")
</f>
        <v>-0.00194</v>
      </c>
      <c r="D435" s="9">
        <f t="array" ref="D435">IFERROR(
  INDEX(
    IR!$B$2:$E2026,                
    MATCH($A435, IR!$A$2:$A2026, 0), 
    MATCH(D$1, IR!$B$1:$E$1, 0) ), "")
</f>
        <v>-0.00132</v>
      </c>
      <c r="E435" s="9">
        <f t="array" ref="E435">IFERROR(
  INDEX(
    IR!$B$2:$E2026,                
    MATCH($A435, IR!$A$2:$A2026, 0), 
    MATCH(E$1, IR!$B$1:$E$1, 0) ), "")
</f>
        <v>-0.00041</v>
      </c>
      <c r="F435" s="9">
        <f t="array" ref="F435">IFERROR(
  INDEX(
    IR!$B$2:$E2026,                
    MATCH($A435, IR!$A$2:$A2026, 0), 
    MATCH(F$1, IR!$B$1:$E$1, 0) ), "")
</f>
        <v>0.0006</v>
      </c>
      <c r="G435" s="14"/>
      <c r="H435" s="9">
        <f t="array" ref="H435">IFERROR(
  INDEX(
    SR!$B$2:$D2026,            
    MATCH($A435, SR!$A$2:$A2026, 0),  
    MATCH(H$1, SR!$B$1:$D$1, 0) ), "")
</f>
        <v>-0.00029</v>
      </c>
      <c r="I435" s="9">
        <f t="array" ref="I435">IFERROR(
  INDEX(
    SR!$B$2:$D2026,            
    MATCH($A435, SR!$A$2:$A2026, 0),  
    MATCH(I$1, SR!$B$1:$D$1, 0) ), "")
</f>
        <v>0.000317</v>
      </c>
      <c r="J435" s="9">
        <f t="array" ref="J435">IFERROR(
  INDEX(
    SR!$B$2:$D2026,            
    MATCH($A435, SR!$A$2:$A2026, 0),  
    MATCH(J$1, SR!$B$1:$D$1, 0) ), "")
</f>
        <v>0.002959</v>
      </c>
      <c r="K435" s="14"/>
      <c r="L435" s="9">
        <v>122.49</v>
      </c>
      <c r="M435" s="9">
        <v>24.48</v>
      </c>
      <c r="N435" s="9">
        <v>112.53</v>
      </c>
      <c r="O435" s="9">
        <v>120.44</v>
      </c>
      <c r="P435" s="9">
        <v>129.67</v>
      </c>
      <c r="Q435" s="9">
        <v>1382.9031</v>
      </c>
      <c r="R435" s="14"/>
      <c r="S435" s="12">
        <f t="shared" si="2"/>
        <v>-0.001155615889</v>
      </c>
      <c r="T435" s="12">
        <f t="shared" si="3"/>
        <v>0.9988443841</v>
      </c>
      <c r="U435" s="16">
        <f t="shared" si="7"/>
        <v>101.0851214</v>
      </c>
      <c r="V435" s="17"/>
      <c r="W435" s="12">
        <f t="array" ref="W435">SQRT(252/20) *  SQRT( SUMSQ( LN(U414:U433 / U413:U432) )  - (1/20) * ( SUM( LN(U414:U433 / U413:U432) ) ^ 2 ) )</f>
        <v>0.03397343125</v>
      </c>
      <c r="X435" s="9">
        <f t="shared" si="4"/>
        <v>1.5</v>
      </c>
      <c r="Y435" s="14"/>
      <c r="Z435" s="12">
        <f t="shared" si="5"/>
        <v>0.9982692289</v>
      </c>
      <c r="AA435" s="16">
        <f t="shared" si="8"/>
        <v>101.5905261</v>
      </c>
      <c r="AB435" s="14"/>
      <c r="AC435" s="9">
        <f t="shared" si="6"/>
        <v>0</v>
      </c>
    </row>
    <row r="436">
      <c r="A436" s="8">
        <v>42354.0</v>
      </c>
      <c r="B436" s="14"/>
      <c r="C436" s="9">
        <f t="array" ref="C436">IFERROR(
  INDEX(
    IR!$B$2:$E2026,                
    MATCH($A436, IR!$A$2:$A2026, 0), 
    MATCH(C$1, IR!$B$1:$E$1, 0) ), "")
</f>
        <v>-0.00196</v>
      </c>
      <c r="D436" s="9">
        <f t="array" ref="D436">IFERROR(
  INDEX(
    IR!$B$2:$E2026,                
    MATCH($A436, IR!$A$2:$A2026, 0), 
    MATCH(D$1, IR!$B$1:$E$1, 0) ), "")
</f>
        <v>-0.00133</v>
      </c>
      <c r="E436" s="9">
        <f t="array" ref="E436">IFERROR(
  INDEX(
    IR!$B$2:$E2026,                
    MATCH($A436, IR!$A$2:$A2026, 0), 
    MATCH(E$1, IR!$B$1:$E$1, 0) ), "")
</f>
        <v>-0.00041</v>
      </c>
      <c r="F436" s="9">
        <f t="array" ref="F436">IFERROR(
  INDEX(
    IR!$B$2:$E2026,                
    MATCH($A436, IR!$A$2:$A2026, 0), 
    MATCH(F$1, IR!$B$1:$E$1, 0) ), "")
</f>
        <v>0.00059</v>
      </c>
      <c r="G436" s="14"/>
      <c r="H436" s="9">
        <f t="array" ref="H436">IFERROR(
  INDEX(
    SR!$B$2:$D2026,            
    MATCH($A436, SR!$A$2:$A2026, 0),  
    MATCH(H$1, SR!$B$1:$D$1, 0) ), "")
</f>
        <v>-0.00041</v>
      </c>
      <c r="I436" s="9">
        <f t="array" ref="I436">IFERROR(
  INDEX(
    SR!$B$2:$D2026,            
    MATCH($A436, SR!$A$2:$A2026, 0),  
    MATCH(I$1, SR!$B$1:$D$1, 0) ), "")
</f>
        <v>0.000416</v>
      </c>
      <c r="J436" s="9">
        <f t="array" ref="J436">IFERROR(
  INDEX(
    SR!$B$2:$D2026,            
    MATCH($A436, SR!$A$2:$A2026, 0),  
    MATCH(J$1, SR!$B$1:$D$1, 0) ), "")
</f>
        <v>0.003238</v>
      </c>
      <c r="K436" s="14"/>
      <c r="L436" s="9">
        <v>122.62</v>
      </c>
      <c r="M436" s="9">
        <v>24.48</v>
      </c>
      <c r="N436" s="9">
        <v>112.48</v>
      </c>
      <c r="O436" s="9">
        <v>120.75</v>
      </c>
      <c r="P436" s="9">
        <v>130.51</v>
      </c>
      <c r="Q436" s="9">
        <v>1391.646</v>
      </c>
      <c r="R436" s="14"/>
      <c r="S436" s="12">
        <f t="shared" si="2"/>
        <v>0.002664732546</v>
      </c>
      <c r="T436" s="12">
        <f t="shared" si="3"/>
        <v>1.002664733</v>
      </c>
      <c r="U436" s="16">
        <f t="shared" si="7"/>
        <v>101.3544862</v>
      </c>
      <c r="V436" s="17"/>
      <c r="W436" s="12">
        <f t="array" ref="W436">SQRT(252/20) *  SQRT( SUMSQ( LN(U415:U434 / U414:U433) )  - (1/20) * ( SUM( LN(U415:U434 / U414:U433) ) ^ 2 ) )</f>
        <v>0.0377793686</v>
      </c>
      <c r="X436" s="9">
        <f t="shared" si="4"/>
        <v>1.5</v>
      </c>
      <c r="Y436" s="14"/>
      <c r="Z436" s="12">
        <f t="shared" si="5"/>
        <v>1.003999793</v>
      </c>
      <c r="AA436" s="16">
        <f t="shared" si="8"/>
        <v>101.9968672</v>
      </c>
      <c r="AB436" s="14"/>
      <c r="AC436" s="9">
        <f t="shared" si="6"/>
        <v>0</v>
      </c>
    </row>
    <row r="437">
      <c r="A437" s="8">
        <v>42355.0</v>
      </c>
      <c r="B437" s="14"/>
      <c r="C437" s="9">
        <f t="array" ref="C437">IFERROR(
  INDEX(
    IR!$B$2:$E2026,                
    MATCH($A437, IR!$A$2:$A2026, 0), 
    MATCH(C$1, IR!$B$1:$E$1, 0) ), "")
</f>
        <v>-0.00198</v>
      </c>
      <c r="D437" s="9">
        <f t="array" ref="D437">IFERROR(
  INDEX(
    IR!$B$2:$E2026,                
    MATCH($A437, IR!$A$2:$A2026, 0), 
    MATCH(D$1, IR!$B$1:$E$1, 0) ), "")
</f>
        <v>-0.00133</v>
      </c>
      <c r="E437" s="9">
        <f t="array" ref="E437">IFERROR(
  INDEX(
    IR!$B$2:$E2026,                
    MATCH($A437, IR!$A$2:$A2026, 0), 
    MATCH(E$1, IR!$B$1:$E$1, 0) ), "")
</f>
        <v>-0.00041</v>
      </c>
      <c r="F437" s="9">
        <f t="array" ref="F437">IFERROR(
  INDEX(
    IR!$B$2:$E2026,                
    MATCH($A437, IR!$A$2:$A2026, 0), 
    MATCH(F$1, IR!$B$1:$E$1, 0) ), "")
</f>
        <v>0.00059</v>
      </c>
      <c r="G437" s="14"/>
      <c r="H437" s="9">
        <f t="array" ref="H437">IFERROR(
  INDEX(
    SR!$B$2:$D2026,            
    MATCH($A437, SR!$A$2:$A2026, 0),  
    MATCH(H$1, SR!$B$1:$D$1, 0) ), "")
</f>
        <v>-0.0005</v>
      </c>
      <c r="I437" s="9">
        <f t="array" ref="I437">IFERROR(
  INDEX(
    SR!$B$2:$D2026,            
    MATCH($A437, SR!$A$2:$A2026, 0),  
    MATCH(I$1, SR!$B$1:$D$1, 0) ), "")
</f>
        <v>0.000275</v>
      </c>
      <c r="J437" s="9">
        <f t="array" ref="J437">IFERROR(
  INDEX(
    SR!$B$2:$D2026,            
    MATCH($A437, SR!$A$2:$A2026, 0),  
    MATCH(J$1, SR!$B$1:$D$1, 0) ), "")
</f>
        <v>0.00285</v>
      </c>
      <c r="K437" s="14"/>
      <c r="L437" s="9">
        <v>123.18</v>
      </c>
      <c r="M437" s="9">
        <v>24.5</v>
      </c>
      <c r="N437" s="9">
        <v>112.52</v>
      </c>
      <c r="O437" s="9">
        <v>120.65</v>
      </c>
      <c r="P437" s="9">
        <v>131.23</v>
      </c>
      <c r="Q437" s="9">
        <v>1398.3662</v>
      </c>
      <c r="R437" s="14"/>
      <c r="S437" s="12">
        <f t="shared" si="2"/>
        <v>0.002542330131</v>
      </c>
      <c r="T437" s="12">
        <f t="shared" si="3"/>
        <v>1.00254233</v>
      </c>
      <c r="U437" s="16">
        <f t="shared" si="7"/>
        <v>101.6121628</v>
      </c>
      <c r="V437" s="17"/>
      <c r="W437" s="12">
        <f t="array" ref="W437">SQRT(252/20) *  SQRT( SUMSQ( LN(U416:U435 / U415:U434) )  - (1/20) * ( SUM( LN(U416:U435 / U415:U434) ) ^ 2 ) )</f>
        <v>0.03688442658</v>
      </c>
      <c r="X437" s="9">
        <f t="shared" si="4"/>
        <v>1.5</v>
      </c>
      <c r="Y437" s="14"/>
      <c r="Z437" s="12">
        <f t="shared" si="5"/>
        <v>1.003816217</v>
      </c>
      <c r="AA437" s="16">
        <f t="shared" si="8"/>
        <v>102.3861095</v>
      </c>
      <c r="AB437" s="14"/>
      <c r="AC437" s="9">
        <f t="shared" si="6"/>
        <v>0</v>
      </c>
    </row>
    <row r="438">
      <c r="A438" s="8">
        <v>42356.0</v>
      </c>
      <c r="B438" s="14"/>
      <c r="C438" s="9">
        <f t="array" ref="C438">IFERROR(
  INDEX(
    IR!$B$2:$E2026,                
    MATCH($A438, IR!$A$2:$A2026, 0), 
    MATCH(C$1, IR!$B$1:$E$1, 0) ), "")
</f>
        <v>-0.00199</v>
      </c>
      <c r="D438" s="9">
        <f t="array" ref="D438">IFERROR(
  INDEX(
    IR!$B$2:$E2026,                
    MATCH($A438, IR!$A$2:$A2026, 0), 
    MATCH(D$1, IR!$B$1:$E$1, 0) ), "")
</f>
        <v>-0.00131</v>
      </c>
      <c r="E438" s="9">
        <f t="array" ref="E438">IFERROR(
  INDEX(
    IR!$B$2:$E2026,                
    MATCH($A438, IR!$A$2:$A2026, 0), 
    MATCH(E$1, IR!$B$1:$E$1, 0) ), "")
</f>
        <v>-0.00041</v>
      </c>
      <c r="F438" s="9">
        <f t="array" ref="F438">IFERROR(
  INDEX(
    IR!$B$2:$E2026,                
    MATCH($A438, IR!$A$2:$A2026, 0), 
    MATCH(F$1, IR!$B$1:$E$1, 0) ), "")
</f>
        <v>0.00058</v>
      </c>
      <c r="G438" s="14"/>
      <c r="H438" s="9">
        <f t="array" ref="H438">IFERROR(
  INDEX(
    SR!$B$2:$D2026,            
    MATCH($A438, SR!$A$2:$A2026, 0),  
    MATCH(H$1, SR!$B$1:$D$1, 0) ), "")
</f>
        <v>-0.00054</v>
      </c>
      <c r="I438" s="9">
        <f t="array" ref="I438">IFERROR(
  INDEX(
    SR!$B$2:$D2026,            
    MATCH($A438, SR!$A$2:$A2026, 0),  
    MATCH(I$1, SR!$B$1:$D$1, 0) ), "")
</f>
        <v>0.00016</v>
      </c>
      <c r="J438" s="9">
        <f t="array" ref="J438">IFERROR(
  INDEX(
    SR!$B$2:$D2026,            
    MATCH($A438, SR!$A$2:$A2026, 0),  
    MATCH(J$1, SR!$B$1:$D$1, 0) ), "")
</f>
        <v>0.00264</v>
      </c>
      <c r="K438" s="14"/>
      <c r="L438" s="9">
        <v>122.66</v>
      </c>
      <c r="M438" s="9">
        <v>24.5</v>
      </c>
      <c r="N438" s="9">
        <v>112.5</v>
      </c>
      <c r="O438" s="9">
        <v>121.57</v>
      </c>
      <c r="P438" s="9">
        <v>130.77</v>
      </c>
      <c r="Q438" s="9">
        <v>1398.5935</v>
      </c>
      <c r="R438" s="14"/>
      <c r="S438" s="12">
        <f t="shared" si="2"/>
        <v>-0.00001940885431</v>
      </c>
      <c r="T438" s="12">
        <f t="shared" si="3"/>
        <v>0.9999805911</v>
      </c>
      <c r="U438" s="16">
        <f t="shared" si="7"/>
        <v>101.6101906</v>
      </c>
      <c r="V438" s="17"/>
      <c r="W438" s="12">
        <f t="array" ref="W438">SQRT(252/20) *  SQRT( SUMSQ( LN(U417:U436 / U416:U435) )  - (1/20) * ( SUM( LN(U417:U436 / U416:U435) ) ^ 2 ) )</f>
        <v>0.03715060169</v>
      </c>
      <c r="X438" s="9">
        <f t="shared" si="4"/>
        <v>1.5</v>
      </c>
      <c r="Y438" s="14"/>
      <c r="Z438" s="12">
        <f t="shared" si="5"/>
        <v>0.9999736367</v>
      </c>
      <c r="AA438" s="16">
        <f t="shared" si="8"/>
        <v>102.3834102</v>
      </c>
      <c r="AB438" s="14"/>
      <c r="AC438" s="9">
        <f t="shared" si="6"/>
        <v>0</v>
      </c>
    </row>
    <row r="439">
      <c r="A439" s="8">
        <v>42359.0</v>
      </c>
      <c r="B439" s="14"/>
      <c r="C439" s="9">
        <f t="array" ref="C439">IFERROR(
  INDEX(
    IR!$B$2:$E2026,                
    MATCH($A439, IR!$A$2:$A2026, 0), 
    MATCH(C$1, IR!$B$1:$E$1, 0) ), "")
</f>
        <v>-0.002</v>
      </c>
      <c r="D439" s="9">
        <f t="array" ref="D439">IFERROR(
  INDEX(
    IR!$B$2:$E2026,                
    MATCH($A439, IR!$A$2:$A2026, 0), 
    MATCH(D$1, IR!$B$1:$E$1, 0) ), "")
</f>
        <v>-0.0013</v>
      </c>
      <c r="E439" s="9">
        <f t="array" ref="E439">IFERROR(
  INDEX(
    IR!$B$2:$E2026,                
    MATCH($A439, IR!$A$2:$A2026, 0), 
    MATCH(E$1, IR!$B$1:$E$1, 0) ), "")
</f>
        <v>-0.00041</v>
      </c>
      <c r="F439" s="9">
        <f t="array" ref="F439">IFERROR(
  INDEX(
    IR!$B$2:$E2026,                
    MATCH($A439, IR!$A$2:$A2026, 0), 
    MATCH(F$1, IR!$B$1:$E$1, 0) ), "")
</f>
        <v>0.00061</v>
      </c>
      <c r="G439" s="14"/>
      <c r="H439" s="9">
        <f t="array" ref="H439">IFERROR(
  INDEX(
    SR!$B$2:$D2026,            
    MATCH($A439, SR!$A$2:$A2026, 0),  
    MATCH(H$1, SR!$B$1:$D$1, 0) ), "")
</f>
        <v>-0.00043</v>
      </c>
      <c r="I439" s="9">
        <f t="array" ref="I439">IFERROR(
  INDEX(
    SR!$B$2:$D2026,            
    MATCH($A439, SR!$A$2:$A2026, 0),  
    MATCH(I$1, SR!$B$1:$D$1, 0) ), "")
</f>
        <v>0.000297</v>
      </c>
      <c r="J439" s="9">
        <f t="array" ref="J439">IFERROR(
  INDEX(
    SR!$B$2:$D2026,            
    MATCH($A439, SR!$A$2:$A2026, 0),  
    MATCH(J$1, SR!$B$1:$D$1, 0) ), "")
</f>
        <v>0.002778</v>
      </c>
      <c r="K439" s="14"/>
      <c r="L439" s="9">
        <v>122.37</v>
      </c>
      <c r="M439" s="9">
        <v>24.48</v>
      </c>
      <c r="N439" s="9">
        <v>112.47</v>
      </c>
      <c r="O439" s="9">
        <v>121.2</v>
      </c>
      <c r="P439" s="9">
        <v>130.11</v>
      </c>
      <c r="Q439" s="9">
        <v>1394.4291</v>
      </c>
      <c r="R439" s="14"/>
      <c r="S439" s="12">
        <f t="shared" si="2"/>
        <v>-0.002418556416</v>
      </c>
      <c r="T439" s="12">
        <f t="shared" si="3"/>
        <v>0.9975814436</v>
      </c>
      <c r="U439" s="16">
        <f t="shared" si="7"/>
        <v>101.3644406</v>
      </c>
      <c r="V439" s="17"/>
      <c r="W439" s="12">
        <f t="array" ref="W439">SQRT(252/20) *  SQRT( SUMSQ( LN(U418:U437 / U417:U436) )  - (1/20) * ( SUM( LN(U418:U437 / U417:U436) ) ^ 2 ) )</f>
        <v>0.03792884705</v>
      </c>
      <c r="X439" s="9">
        <f t="shared" si="4"/>
        <v>1.5</v>
      </c>
      <c r="Y439" s="14"/>
      <c r="Z439" s="12">
        <f t="shared" si="5"/>
        <v>0.996380457</v>
      </c>
      <c r="AA439" s="16">
        <f t="shared" si="8"/>
        <v>102.0128291</v>
      </c>
      <c r="AB439" s="14"/>
      <c r="AC439" s="9">
        <f t="shared" si="6"/>
        <v>0</v>
      </c>
    </row>
    <row r="440">
      <c r="A440" s="8">
        <v>42360.0</v>
      </c>
      <c r="B440" s="14"/>
      <c r="C440" s="9">
        <f t="array" ref="C440">IFERROR(
  INDEX(
    IR!$B$2:$E2026,                
    MATCH($A440, IR!$A$2:$A2026, 0), 
    MATCH(C$1, IR!$B$1:$E$1, 0) ), "")
</f>
        <v>-0.00201</v>
      </c>
      <c r="D440" s="9">
        <f t="array" ref="D440">IFERROR(
  INDEX(
    IR!$B$2:$E2026,                
    MATCH($A440, IR!$A$2:$A2026, 0), 
    MATCH(D$1, IR!$B$1:$E$1, 0) ), "")
</f>
        <v>-0.00131</v>
      </c>
      <c r="E440" s="9">
        <f t="array" ref="E440">IFERROR(
  INDEX(
    IR!$B$2:$E2026,                
    MATCH($A440, IR!$A$2:$A2026, 0), 
    MATCH(E$1, IR!$B$1:$E$1, 0) ), "")
</f>
        <v>-0.00041</v>
      </c>
      <c r="F440" s="9">
        <f t="array" ref="F440">IFERROR(
  INDEX(
    IR!$B$2:$E2026,                
    MATCH($A440, IR!$A$2:$A2026, 0), 
    MATCH(F$1, IR!$B$1:$E$1, 0) ), "")
</f>
        <v>0.0006</v>
      </c>
      <c r="G440" s="14"/>
      <c r="H440" s="9">
        <f t="array" ref="H440">IFERROR(
  INDEX(
    SR!$B$2:$D2026,            
    MATCH($A440, SR!$A$2:$A2026, 0),  
    MATCH(H$1, SR!$B$1:$D$1, 0) ), "")
</f>
        <v>-0.00029</v>
      </c>
      <c r="I440" s="9">
        <f t="array" ref="I440">IFERROR(
  INDEX(
    SR!$B$2:$D2026,            
    MATCH($A440, SR!$A$2:$A2026, 0),  
    MATCH(I$1, SR!$B$1:$D$1, 0) ), "")
</f>
        <v>0.000545</v>
      </c>
      <c r="J440" s="9">
        <f t="array" ref="J440">IFERROR(
  INDEX(
    SR!$B$2:$D2026,            
    MATCH($A440, SR!$A$2:$A2026, 0),  
    MATCH(J$1, SR!$B$1:$D$1, 0) ), "")
</f>
        <v>0.003192</v>
      </c>
      <c r="K440" s="14"/>
      <c r="L440" s="9">
        <v>122.25</v>
      </c>
      <c r="M440" s="9">
        <v>24.47</v>
      </c>
      <c r="N440" s="9">
        <v>112.52</v>
      </c>
      <c r="O440" s="9">
        <v>120.89</v>
      </c>
      <c r="P440" s="9">
        <v>130.5</v>
      </c>
      <c r="Q440" s="9">
        <v>1392.582</v>
      </c>
      <c r="R440" s="14"/>
      <c r="S440" s="12">
        <f t="shared" si="2"/>
        <v>-0.0003049249068</v>
      </c>
      <c r="T440" s="12">
        <f t="shared" si="3"/>
        <v>0.9996950751</v>
      </c>
      <c r="U440" s="16">
        <f t="shared" si="7"/>
        <v>101.3335321</v>
      </c>
      <c r="V440" s="17"/>
      <c r="W440" s="12">
        <f t="array" ref="W440">SQRT(252/20) *  SQRT( SUMSQ( LN(U419:U438 / U418:U437) )  - (1/20) * ( SUM( LN(U419:U438 / U418:U437) ) ^ 2 ) )</f>
        <v>0.03726211402</v>
      </c>
      <c r="X440" s="9">
        <f t="shared" si="4"/>
        <v>1.5</v>
      </c>
      <c r="Y440" s="14"/>
      <c r="Z440" s="12">
        <f t="shared" si="5"/>
        <v>0.9995453904</v>
      </c>
      <c r="AA440" s="16">
        <f t="shared" si="8"/>
        <v>101.9664531</v>
      </c>
      <c r="AB440" s="14"/>
      <c r="AC440" s="9">
        <f t="shared" si="6"/>
        <v>0</v>
      </c>
    </row>
    <row r="441">
      <c r="A441" s="8">
        <v>42361.0</v>
      </c>
      <c r="B441" s="14"/>
      <c r="C441" s="9">
        <f t="array" ref="C441">IFERROR(
  INDEX(
    IR!$B$2:$E2026,                
    MATCH($A441, IR!$A$2:$A2026, 0), 
    MATCH(C$1, IR!$B$1:$E$1, 0) ), "")
</f>
        <v>-0.00201</v>
      </c>
      <c r="D441" s="9">
        <f t="array" ref="D441">IFERROR(
  INDEX(
    IR!$B$2:$E2026,                
    MATCH($A441, IR!$A$2:$A2026, 0), 
    MATCH(D$1, IR!$B$1:$E$1, 0) ), "")
</f>
        <v>-0.00131</v>
      </c>
      <c r="E441" s="9">
        <f t="array" ref="E441">IFERROR(
  INDEX(
    IR!$B$2:$E2026,                
    MATCH($A441, IR!$A$2:$A2026, 0), 
    MATCH(E$1, IR!$B$1:$E$1, 0) ), "")
</f>
        <v>-0.00041</v>
      </c>
      <c r="F441" s="9">
        <f t="array" ref="F441">IFERROR(
  INDEX(
    IR!$B$2:$E2026,                
    MATCH($A441, IR!$A$2:$A2026, 0), 
    MATCH(F$1, IR!$B$1:$E$1, 0) ), "")
</f>
        <v>0.00061</v>
      </c>
      <c r="G441" s="14"/>
      <c r="H441" s="9">
        <f t="array" ref="H441">IFERROR(
  INDEX(
    SR!$B$2:$D2026,            
    MATCH($A441, SR!$A$2:$A2026, 0),  
    MATCH(H$1, SR!$B$1:$D$1, 0) ), "")
</f>
        <v>-0.00026</v>
      </c>
      <c r="I441" s="9">
        <f t="array" ref="I441">IFERROR(
  INDEX(
    SR!$B$2:$D2026,            
    MATCH($A441, SR!$A$2:$A2026, 0),  
    MATCH(I$1, SR!$B$1:$D$1, 0) ), "")
</f>
        <v>0.000633</v>
      </c>
      <c r="J441" s="9">
        <f t="array" ref="J441">IFERROR(
  INDEX(
    SR!$B$2:$D2026,            
    MATCH($A441, SR!$A$2:$A2026, 0),  
    MATCH(J$1, SR!$B$1:$D$1, 0) ), "")
</f>
        <v>0.00343</v>
      </c>
      <c r="K441" s="14"/>
      <c r="L441" s="9">
        <v>122.93</v>
      </c>
      <c r="M441" s="9">
        <v>24.49</v>
      </c>
      <c r="N441" s="9">
        <v>112.53</v>
      </c>
      <c r="O441" s="9">
        <v>120.32</v>
      </c>
      <c r="P441" s="9">
        <v>130.84</v>
      </c>
      <c r="Q441" s="9">
        <v>1394.3781</v>
      </c>
      <c r="R441" s="14"/>
      <c r="S441" s="12">
        <f t="shared" si="2"/>
        <v>0.0009411972115</v>
      </c>
      <c r="T441" s="12">
        <f t="shared" si="3"/>
        <v>1.000941197</v>
      </c>
      <c r="U441" s="16">
        <f t="shared" si="7"/>
        <v>101.4289069</v>
      </c>
      <c r="V441" s="17"/>
      <c r="W441" s="12">
        <f t="array" ref="W441">SQRT(252/20) *  SQRT( SUMSQ( LN(U420:U439 / U419:U438) )  - (1/20) * ( SUM( LN(U420:U439 / U419:U438) ) ^ 2 ) )</f>
        <v>0.03749585523</v>
      </c>
      <c r="X441" s="9">
        <f t="shared" si="4"/>
        <v>1.5</v>
      </c>
      <c r="Y441" s="14"/>
      <c r="Z441" s="12">
        <f t="shared" si="5"/>
        <v>1.001414587</v>
      </c>
      <c r="AA441" s="16">
        <f t="shared" si="8"/>
        <v>102.1106935</v>
      </c>
      <c r="AB441" s="14"/>
      <c r="AC441" s="9">
        <f t="shared" si="6"/>
        <v>0</v>
      </c>
    </row>
    <row r="442">
      <c r="A442" s="8">
        <v>42366.0</v>
      </c>
      <c r="B442" s="14"/>
      <c r="C442" s="9">
        <f t="array" ref="C442">IFERROR(
  INDEX(
    IR!$B$2:$E2026,                
    MATCH($A442, IR!$A$2:$A2026, 0), 
    MATCH(C$1, IR!$B$1:$E$1, 0) ), "")
</f>
        <v>-0.00199</v>
      </c>
      <c r="D442" s="9">
        <f t="array" ref="D442">IFERROR(
  INDEX(
    IR!$B$2:$E2026,                
    MATCH($A442, IR!$A$2:$A2026, 0), 
    MATCH(D$1, IR!$B$1:$E$1, 0) ), "")
</f>
        <v>-0.00131</v>
      </c>
      <c r="E442" s="9">
        <f t="array" ref="E442">IFERROR(
  INDEX(
    IR!$B$2:$E2026,                
    MATCH($A442, IR!$A$2:$A2026, 0), 
    MATCH(E$1, IR!$B$1:$E$1, 0) ), "")
</f>
        <v>-0.0004</v>
      </c>
      <c r="F442" s="9">
        <f t="array" ref="F442">IFERROR(
  INDEX(
    IR!$B$2:$E2026,                
    MATCH($A442, IR!$A$2:$A2026, 0), 
    MATCH(F$1, IR!$B$1:$E$1, 0) ), "")
</f>
        <v>0.0006</v>
      </c>
      <c r="G442" s="14"/>
      <c r="H442" s="9">
        <f t="array" ref="H442">IFERROR(
  INDEX(
    SR!$B$2:$D2026,            
    MATCH($A442, SR!$A$2:$A2026, 0),  
    MATCH(H$1, SR!$B$1:$D$1, 0) ), "")
</f>
        <v>-0.00023</v>
      </c>
      <c r="I442" s="9">
        <f t="array" ref="I442">IFERROR(
  INDEX(
    SR!$B$2:$D2026,            
    MATCH($A442, SR!$A$2:$A2026, 0),  
    MATCH(I$1, SR!$B$1:$D$1, 0) ), "")
</f>
        <v>0.000608</v>
      </c>
      <c r="J442" s="9">
        <f t="array" ref="J442">IFERROR(
  INDEX(
    SR!$B$2:$D2026,            
    MATCH($A442, SR!$A$2:$A2026, 0),  
    MATCH(J$1, SR!$B$1:$D$1, 0) ), "")
</f>
        <v>0.003155</v>
      </c>
      <c r="K442" s="14"/>
      <c r="L442" s="9">
        <v>122.8</v>
      </c>
      <c r="M442" s="9">
        <v>24.48</v>
      </c>
      <c r="N442" s="9">
        <v>112.59</v>
      </c>
      <c r="O442" s="9">
        <v>121.37</v>
      </c>
      <c r="P442" s="9">
        <v>131.57</v>
      </c>
      <c r="Q442" s="24">
        <v>1394.3781</v>
      </c>
      <c r="R442" s="14"/>
      <c r="S442" s="12">
        <f t="shared" si="2"/>
        <v>0.002228010285</v>
      </c>
      <c r="T442" s="12">
        <f t="shared" si="3"/>
        <v>1.00222801</v>
      </c>
      <c r="U442" s="16">
        <f t="shared" si="7"/>
        <v>101.6548916</v>
      </c>
      <c r="V442" s="17"/>
      <c r="W442" s="12">
        <f t="array" ref="W442">SQRT(252/20) *  SQRT( SUMSQ( LN(U421:U440 / U420:U439) )  - (1/20) * ( SUM( LN(U421:U440 / U420:U439) ) ^ 2 ) )</f>
        <v>0.03740758611</v>
      </c>
      <c r="X442" s="9">
        <f t="shared" si="4"/>
        <v>1.5</v>
      </c>
      <c r="Y442" s="14"/>
      <c r="Z442" s="12">
        <f t="shared" si="5"/>
        <v>1.003355974</v>
      </c>
      <c r="AA442" s="16">
        <f t="shared" si="8"/>
        <v>102.4533744</v>
      </c>
      <c r="AB442" s="14"/>
      <c r="AC442" s="9">
        <f t="shared" si="6"/>
        <v>0</v>
      </c>
    </row>
    <row r="443">
      <c r="A443" s="8">
        <v>42367.0</v>
      </c>
      <c r="B443" s="14"/>
      <c r="C443" s="9">
        <f t="array" ref="C443">IFERROR(
  INDEX(
    IR!$B$2:$E2026,                
    MATCH($A443, IR!$A$2:$A2026, 0), 
    MATCH(C$1, IR!$B$1:$E$1, 0) ), "")
</f>
        <v>-0.00202</v>
      </c>
      <c r="D443" s="9">
        <f t="array" ref="D443">IFERROR(
  INDEX(
    IR!$B$2:$E2026,                
    MATCH($A443, IR!$A$2:$A2026, 0), 
    MATCH(D$1, IR!$B$1:$E$1, 0) ), "")
</f>
        <v>-0.00132</v>
      </c>
      <c r="E443" s="9">
        <f t="array" ref="E443">IFERROR(
  INDEX(
    IR!$B$2:$E2026,                
    MATCH($A443, IR!$A$2:$A2026, 0), 
    MATCH(E$1, IR!$B$1:$E$1, 0) ), "")
</f>
        <v>-0.00042</v>
      </c>
      <c r="F443" s="9">
        <f t="array" ref="F443">IFERROR(
  INDEX(
    IR!$B$2:$E2026,                
    MATCH($A443, IR!$A$2:$A2026, 0), 
    MATCH(F$1, IR!$B$1:$E$1, 0) ), "")
</f>
        <v>0.00058</v>
      </c>
      <c r="G443" s="14"/>
      <c r="H443" s="9">
        <f t="array" ref="H443">IFERROR(
  INDEX(
    SR!$B$2:$D2026,            
    MATCH($A443, SR!$A$2:$A2026, 0),  
    MATCH(H$1, SR!$B$1:$D$1, 0) ), "")
</f>
        <v>-0.00028</v>
      </c>
      <c r="I443" s="9">
        <f t="array" ref="I443">IFERROR(
  INDEX(
    SR!$B$2:$D2026,            
    MATCH($A443, SR!$A$2:$A2026, 0),  
    MATCH(I$1, SR!$B$1:$D$1, 0) ), "")
</f>
        <v>0.000632</v>
      </c>
      <c r="J443" s="9">
        <f t="array" ref="J443">IFERROR(
  INDEX(
    SR!$B$2:$D2026,            
    MATCH($A443, SR!$A$2:$A2026, 0),  
    MATCH(J$1, SR!$B$1:$D$1, 0) ), "")
</f>
        <v>0.00342</v>
      </c>
      <c r="K443" s="14"/>
      <c r="L443" s="9">
        <v>123.27</v>
      </c>
      <c r="M443" s="9">
        <v>24.49</v>
      </c>
      <c r="N443" s="9">
        <v>112.56</v>
      </c>
      <c r="O443" s="9">
        <v>120.74</v>
      </c>
      <c r="P443" s="9">
        <v>131.42</v>
      </c>
      <c r="Q443" s="9">
        <v>1399.6639</v>
      </c>
      <c r="R443" s="14"/>
      <c r="S443" s="12">
        <f t="shared" si="2"/>
        <v>0.0002385141384</v>
      </c>
      <c r="T443" s="12">
        <f t="shared" si="3"/>
        <v>1.000238514</v>
      </c>
      <c r="U443" s="16">
        <f t="shared" si="7"/>
        <v>101.6791377</v>
      </c>
      <c r="V443" s="17"/>
      <c r="W443" s="12">
        <f t="array" ref="W443">SQRT(252/20) *  SQRT( SUMSQ( LN(U422:U441 / U421:U440) )  - (1/20) * ( SUM( LN(U422:U441 / U421:U440) ) ^ 2 ) )</f>
        <v>0.03777861211</v>
      </c>
      <c r="X443" s="9">
        <f t="shared" si="4"/>
        <v>1.5</v>
      </c>
      <c r="Y443" s="14"/>
      <c r="Z443" s="12">
        <f t="shared" si="5"/>
        <v>1.000360535</v>
      </c>
      <c r="AA443" s="16">
        <f t="shared" si="8"/>
        <v>102.4903124</v>
      </c>
      <c r="AB443" s="14"/>
      <c r="AC443" s="9">
        <f t="shared" si="6"/>
        <v>0</v>
      </c>
    </row>
    <row r="444">
      <c r="A444" s="8">
        <v>42368.0</v>
      </c>
      <c r="B444" s="14"/>
      <c r="C444" s="9">
        <f t="array" ref="C444">IFERROR(
  INDEX(
    IR!$B$2:$E2026,                
    MATCH($A444, IR!$A$2:$A2026, 0), 
    MATCH(C$1, IR!$B$1:$E$1, 0) ), "")
</f>
        <v>-0.00206</v>
      </c>
      <c r="D444" s="9">
        <f t="array" ref="D444">IFERROR(
  INDEX(
    IR!$B$2:$E2026,                
    MATCH($A444, IR!$A$2:$A2026, 0), 
    MATCH(D$1, IR!$B$1:$E$1, 0) ), "")
</f>
        <v>-0.00132</v>
      </c>
      <c r="E444" s="9">
        <f t="array" ref="E444">IFERROR(
  INDEX(
    IR!$B$2:$E2026,                
    MATCH($A444, IR!$A$2:$A2026, 0), 
    MATCH(E$1, IR!$B$1:$E$1, 0) ), "")
</f>
        <v>-0.00041</v>
      </c>
      <c r="F444" s="9">
        <f t="array" ref="F444">IFERROR(
  INDEX(
    IR!$B$2:$E2026,                
    MATCH($A444, IR!$A$2:$A2026, 0), 
    MATCH(F$1, IR!$B$1:$E$1, 0) ), "")
</f>
        <v>0.00059</v>
      </c>
      <c r="G444" s="14"/>
      <c r="H444" s="9">
        <f t="array" ref="H444">IFERROR(
  INDEX(
    SR!$B$2:$D2026,            
    MATCH($A444, SR!$A$2:$A2026, 0),  
    MATCH(H$1, SR!$B$1:$D$1, 0) ), "")
</f>
        <v>-0.00037</v>
      </c>
      <c r="I444" s="9">
        <f t="array" ref="I444">IFERROR(
  INDEX(
    SR!$B$2:$D2026,            
    MATCH($A444, SR!$A$2:$A2026, 0),  
    MATCH(I$1, SR!$B$1:$D$1, 0) ), "")
</f>
        <v>0.000585</v>
      </c>
      <c r="J444" s="9">
        <f t="array" ref="J444">IFERROR(
  INDEX(
    SR!$B$2:$D2026,            
    MATCH($A444, SR!$A$2:$A2026, 0),  
    MATCH(J$1, SR!$B$1:$D$1, 0) ), "")
</f>
        <v>0.00331</v>
      </c>
      <c r="K444" s="14"/>
      <c r="L444" s="9">
        <v>123.19</v>
      </c>
      <c r="M444" s="9">
        <v>24.49</v>
      </c>
      <c r="N444" s="9">
        <v>112.55</v>
      </c>
      <c r="O444" s="9">
        <v>121.81</v>
      </c>
      <c r="P444" s="9">
        <v>132.49</v>
      </c>
      <c r="Q444" s="9">
        <v>1405.0303</v>
      </c>
      <c r="R444" s="14"/>
      <c r="S444" s="12">
        <f t="shared" si="2"/>
        <v>0.003349058864</v>
      </c>
      <c r="T444" s="12">
        <f t="shared" si="3"/>
        <v>1.003349059</v>
      </c>
      <c r="U444" s="16">
        <f t="shared" si="7"/>
        <v>102.0196671</v>
      </c>
      <c r="V444" s="17"/>
      <c r="W444" s="12">
        <f t="array" ref="W444">SQRT(252/20) *  SQRT( SUMSQ( LN(U423:U442 / U422:U441) )  - (1/20) * ( SUM( LN(U423:U442 / U422:U441) ) ^ 2 ) )</f>
        <v>0.03702730772</v>
      </c>
      <c r="X444" s="9">
        <f t="shared" si="4"/>
        <v>1.5</v>
      </c>
      <c r="Y444" s="14"/>
      <c r="Z444" s="12">
        <f t="shared" si="5"/>
        <v>1.005026394</v>
      </c>
      <c r="AA444" s="16">
        <f t="shared" si="8"/>
        <v>103.0054691</v>
      </c>
      <c r="AB444" s="14"/>
      <c r="AC444" s="9">
        <f t="shared" si="6"/>
        <v>0</v>
      </c>
    </row>
    <row r="445">
      <c r="A445" s="8">
        <v>42369.0</v>
      </c>
      <c r="B445" s="14"/>
      <c r="C445" s="9">
        <f t="array" ref="C445">IFERROR(
  INDEX(
    IR!$B$2:$E2026,                
    MATCH($A445, IR!$A$2:$A2026, 0), 
    MATCH(C$1, IR!$B$1:$E$1, 0) ), "")
</f>
        <v>-0.00205</v>
      </c>
      <c r="D445" s="9">
        <f t="array" ref="D445">IFERROR(
  INDEX(
    IR!$B$2:$E2026,                
    MATCH($A445, IR!$A$2:$A2026, 0), 
    MATCH(D$1, IR!$B$1:$E$1, 0) ), "")
</f>
        <v>-0.00131</v>
      </c>
      <c r="E445" s="9">
        <f t="array" ref="E445">IFERROR(
  INDEX(
    IR!$B$2:$E2026,                
    MATCH($A445, IR!$A$2:$A2026, 0), 
    MATCH(E$1, IR!$B$1:$E$1, 0) ), "")
</f>
        <v>-0.0004</v>
      </c>
      <c r="F445" s="9">
        <f t="array" ref="F445">IFERROR(
  INDEX(
    IR!$B$2:$E2026,                
    MATCH($A445, IR!$A$2:$A2026, 0), 
    MATCH(F$1, IR!$B$1:$E$1, 0) ), "")
</f>
        <v>0.0006</v>
      </c>
      <c r="G445" s="14"/>
      <c r="H445" s="9">
        <f t="array" ref="H445">IFERROR(
  INDEX(
    SR!$B$2:$D2026,            
    MATCH($A445, SR!$A$2:$A2026, 0),  
    MATCH(H$1, SR!$B$1:$D$1, 0) ), "")
</f>
        <v>-0.00035</v>
      </c>
      <c r="I445" s="9">
        <f t="array" ref="I445">IFERROR(
  INDEX(
    SR!$B$2:$D2026,            
    MATCH($A445, SR!$A$2:$A2026, 0),  
    MATCH(I$1, SR!$B$1:$D$1, 0) ), "")
</f>
        <v>0.000625</v>
      </c>
      <c r="J445" s="9">
        <f t="array" ref="J445">IFERROR(
  INDEX(
    SR!$B$2:$D2026,            
    MATCH($A445, SR!$A$2:$A2026, 0),  
    MATCH(J$1, SR!$B$1:$D$1, 0) ), "")
</f>
        <v>0.003318</v>
      </c>
      <c r="K445" s="14"/>
      <c r="L445" s="9">
        <v>123.06</v>
      </c>
      <c r="M445" s="9">
        <v>24.49</v>
      </c>
      <c r="N445" s="9">
        <v>112.56</v>
      </c>
      <c r="O445" s="23">
        <v>121.81</v>
      </c>
      <c r="P445" s="23">
        <v>132.49</v>
      </c>
      <c r="Q445" s="9">
        <v>1402.6639</v>
      </c>
      <c r="R445" s="14"/>
      <c r="S445" s="12">
        <f t="shared" si="2"/>
        <v>-0.000441769246</v>
      </c>
      <c r="T445" s="12">
        <f t="shared" si="3"/>
        <v>0.9995582308</v>
      </c>
      <c r="U445" s="16">
        <f t="shared" si="7"/>
        <v>101.9745979</v>
      </c>
      <c r="V445" s="17"/>
      <c r="W445" s="12">
        <f t="array" ref="W445">SQRT(252/20) *  SQRT( SUMSQ( LN(U424:U443 / U423:U442) )  - (1/20) * ( SUM( LN(U424:U443 / U423:U442) ) ^ 2 ) )</f>
        <v>0.03670398065</v>
      </c>
      <c r="X445" s="9">
        <f t="shared" si="4"/>
        <v>1.5</v>
      </c>
      <c r="Y445" s="14"/>
      <c r="Z445" s="12">
        <f t="shared" si="5"/>
        <v>0.9993402072</v>
      </c>
      <c r="AA445" s="16">
        <f t="shared" si="8"/>
        <v>102.9375068</v>
      </c>
      <c r="AB445" s="14"/>
      <c r="AC445" s="9">
        <f t="shared" si="6"/>
        <v>0</v>
      </c>
    </row>
    <row r="446">
      <c r="A446" s="8">
        <v>42373.0</v>
      </c>
      <c r="B446" s="14"/>
      <c r="C446" s="9">
        <f t="array" ref="C446">IFERROR(
  INDEX(
    IR!$B$2:$E2026,                
    MATCH($A446, IR!$A$2:$A2026, 0), 
    MATCH(C$1, IR!$B$1:$E$1, 0) ), "")
</f>
        <v>-0.0021</v>
      </c>
      <c r="D446" s="9">
        <f t="array" ref="D446">IFERROR(
  INDEX(
    IR!$B$2:$E2026,                
    MATCH($A446, IR!$A$2:$A2026, 0), 
    MATCH(D$1, IR!$B$1:$E$1, 0) ), "")
</f>
        <v>-0.00132</v>
      </c>
      <c r="E446" s="9">
        <f t="array" ref="E446">IFERROR(
  INDEX(
    IR!$B$2:$E2026,                
    MATCH($A446, IR!$A$2:$A2026, 0), 
    MATCH(E$1, IR!$B$1:$E$1, 0) ), "")
</f>
        <v>-0.00041</v>
      </c>
      <c r="F446" s="9">
        <f t="array" ref="F446">IFERROR(
  INDEX(
    IR!$B$2:$E2026,                
    MATCH($A446, IR!$A$2:$A2026, 0), 
    MATCH(F$1, IR!$B$1:$E$1, 0) ), "")
</f>
        <v>0.00058</v>
      </c>
      <c r="G446" s="14"/>
      <c r="H446" s="9">
        <f t="array" ref="H446">IFERROR(
  INDEX(
    SR!$B$2:$D2026,            
    MATCH($A446, SR!$A$2:$A2026, 0),  
    MATCH(H$1, SR!$B$1:$D$1, 0) ), "")
</f>
        <v>-0.00042</v>
      </c>
      <c r="I446" s="9">
        <f t="array" ref="I446">IFERROR(
  INDEX(
    SR!$B$2:$D2026,            
    MATCH($A446, SR!$A$2:$A2026, 0),  
    MATCH(I$1, SR!$B$1:$D$1, 0) ), "")
</f>
        <v>0.000404</v>
      </c>
      <c r="J446" s="9">
        <f t="array" ref="J446">IFERROR(
  INDEX(
    SR!$B$2:$D2026,            
    MATCH($A446, SR!$A$2:$A2026, 0),  
    MATCH(J$1, SR!$B$1:$D$1, 0) ), "")
</f>
        <v>0.00309</v>
      </c>
      <c r="K446" s="14"/>
      <c r="L446" s="9">
        <v>122.17</v>
      </c>
      <c r="M446" s="9">
        <v>24.49</v>
      </c>
      <c r="N446" s="9">
        <v>112.57</v>
      </c>
      <c r="O446" s="9">
        <v>121.43</v>
      </c>
      <c r="P446" s="9">
        <v>131.48</v>
      </c>
      <c r="Q446" s="9">
        <v>1397.1853</v>
      </c>
      <c r="R446" s="14"/>
      <c r="S446" s="12">
        <f t="shared" si="2"/>
        <v>-0.003630952112</v>
      </c>
      <c r="T446" s="12">
        <f t="shared" si="3"/>
        <v>0.9963690479</v>
      </c>
      <c r="U446" s="16">
        <f t="shared" si="7"/>
        <v>101.6043331</v>
      </c>
      <c r="V446" s="17"/>
      <c r="W446" s="12">
        <f t="array" ref="W446">SQRT(252/20) *  SQRT( SUMSQ( LN(U425:U444 / U424:U443) )  - (1/20) * ( SUM( LN(U425:U444 / U424:U443) ) ^ 2 ) )</f>
        <v>0.03921856111</v>
      </c>
      <c r="X446" s="9">
        <f t="shared" si="4"/>
        <v>1.5</v>
      </c>
      <c r="Y446" s="14"/>
      <c r="Z446" s="12">
        <f t="shared" si="5"/>
        <v>0.9945649607</v>
      </c>
      <c r="AA446" s="16">
        <f t="shared" si="8"/>
        <v>102.3780374</v>
      </c>
      <c r="AB446" s="14"/>
      <c r="AC446" s="9">
        <f t="shared" si="6"/>
        <v>0</v>
      </c>
    </row>
    <row r="447">
      <c r="A447" s="8">
        <v>42374.0</v>
      </c>
      <c r="B447" s="14"/>
      <c r="C447" s="9">
        <f t="array" ref="C447">IFERROR(
  INDEX(
    IR!$B$2:$E2026,                
    MATCH($A447, IR!$A$2:$A2026, 0), 
    MATCH(C$1, IR!$B$1:$E$1, 0) ), "")
</f>
        <v>-0.00211</v>
      </c>
      <c r="D447" s="9">
        <f t="array" ref="D447">IFERROR(
  INDEX(
    IR!$B$2:$E2026,                
    MATCH($A447, IR!$A$2:$A2026, 0), 
    MATCH(D$1, IR!$B$1:$E$1, 0) ), "")
</f>
        <v>-0.00133</v>
      </c>
      <c r="E447" s="9">
        <f t="array" ref="E447">IFERROR(
  INDEX(
    IR!$B$2:$E2026,                
    MATCH($A447, IR!$A$2:$A2026, 0), 
    MATCH(E$1, IR!$B$1:$E$1, 0) ), "")
</f>
        <v>-0.00041</v>
      </c>
      <c r="F447" s="9">
        <f t="array" ref="F447">IFERROR(
  INDEX(
    IR!$B$2:$E2026,                
    MATCH($A447, IR!$A$2:$A2026, 0), 
    MATCH(F$1, IR!$B$1:$E$1, 0) ), "")
</f>
        <v>0.00059</v>
      </c>
      <c r="G447" s="14"/>
      <c r="H447" s="9">
        <f t="array" ref="H447">IFERROR(
  INDEX(
    SR!$B$2:$D2026,            
    MATCH($A447, SR!$A$2:$A2026, 0),  
    MATCH(H$1, SR!$B$1:$D$1, 0) ), "")
</f>
        <v>-0.00071</v>
      </c>
      <c r="I447" s="9">
        <f t="array" ref="I447">IFERROR(
  INDEX(
    SR!$B$2:$D2026,            
    MATCH($A447, SR!$A$2:$A2026, 0),  
    MATCH(I$1, SR!$B$1:$D$1, 0) ), "")
</f>
        <v>0.00014</v>
      </c>
      <c r="J447" s="9">
        <f t="array" ref="J447">IFERROR(
  INDEX(
    SR!$B$2:$D2026,            
    MATCH($A447, SR!$A$2:$A2026, 0),  
    MATCH(J$1, SR!$B$1:$D$1, 0) ), "")
</f>
        <v>0.002691</v>
      </c>
      <c r="K447" s="14"/>
      <c r="L447" s="9">
        <v>122.34</v>
      </c>
      <c r="M447" s="9">
        <v>24.5</v>
      </c>
      <c r="N447" s="9">
        <v>112.61</v>
      </c>
      <c r="O447" s="9">
        <v>119.45</v>
      </c>
      <c r="P447" s="9">
        <v>130.24</v>
      </c>
      <c r="Q447" s="9">
        <v>1387.9377</v>
      </c>
      <c r="R447" s="14"/>
      <c r="S447" s="12">
        <f t="shared" si="2"/>
        <v>-0.005032040219</v>
      </c>
      <c r="T447" s="12">
        <f t="shared" si="3"/>
        <v>0.9949679598</v>
      </c>
      <c r="U447" s="16">
        <f t="shared" si="7"/>
        <v>101.093056</v>
      </c>
      <c r="V447" s="17"/>
      <c r="W447" s="12">
        <f t="array" ref="W447">SQRT(252/20) *  SQRT( SUMSQ( LN(U426:U445 / U425:U444) )  - (1/20) * ( SUM( LN(U426:U445 / U425:U444) ) ^ 2 ) )</f>
        <v>0.03909189164</v>
      </c>
      <c r="X447" s="9">
        <f t="shared" si="4"/>
        <v>1.5</v>
      </c>
      <c r="Y447" s="14"/>
      <c r="Z447" s="12">
        <f t="shared" si="5"/>
        <v>0.9924548563</v>
      </c>
      <c r="AA447" s="16">
        <f t="shared" si="8"/>
        <v>101.6055804</v>
      </c>
      <c r="AB447" s="14"/>
      <c r="AC447" s="9">
        <f t="shared" si="6"/>
        <v>0</v>
      </c>
    </row>
    <row r="448">
      <c r="A448" s="8">
        <v>42375.0</v>
      </c>
      <c r="B448" s="14"/>
      <c r="C448" s="9">
        <f t="array" ref="C448">IFERROR(
  INDEX(
    IR!$B$2:$E2026,                
    MATCH($A448, IR!$A$2:$A2026, 0), 
    MATCH(C$1, IR!$B$1:$E$1, 0) ), "")
</f>
        <v>-0.00214</v>
      </c>
      <c r="D448" s="9">
        <f t="array" ref="D448">IFERROR(
  INDEX(
    IR!$B$2:$E2026,                
    MATCH($A448, IR!$A$2:$A2026, 0), 
    MATCH(D$1, IR!$B$1:$E$1, 0) ), "")
</f>
        <v>-0.00136</v>
      </c>
      <c r="E448" s="9">
        <f t="array" ref="E448">IFERROR(
  INDEX(
    IR!$B$2:$E2026,                
    MATCH($A448, IR!$A$2:$A2026, 0), 
    MATCH(E$1, IR!$B$1:$E$1, 0) ), "")
</f>
        <v>-0.00044</v>
      </c>
      <c r="F448" s="9">
        <f t="array" ref="F448">IFERROR(
  INDEX(
    IR!$B$2:$E2026,                
    MATCH($A448, IR!$A$2:$A2026, 0), 
    MATCH(F$1, IR!$B$1:$E$1, 0) ), "")
</f>
        <v>0.00056</v>
      </c>
      <c r="G448" s="14"/>
      <c r="H448" s="9">
        <f t="array" ref="H448">IFERROR(
  INDEX(
    SR!$B$2:$D2026,            
    MATCH($A448, SR!$A$2:$A2026, 0),  
    MATCH(H$1, SR!$B$1:$D$1, 0) ), "")
</f>
        <v>-0.00079</v>
      </c>
      <c r="I448" s="9">
        <f t="array" ref="I448">IFERROR(
  INDEX(
    SR!$B$2:$D2026,            
    MATCH($A448, SR!$A$2:$A2026, 0),  
    MATCH(I$1, SR!$B$1:$D$1, 0) ), "")
</f>
        <v>-0.00005</v>
      </c>
      <c r="J448" s="9">
        <f t="array" ref="J448">IFERROR(
  INDEX(
    SR!$B$2:$D2026,            
    MATCH($A448, SR!$A$2:$A2026, 0),  
    MATCH(J$1, SR!$B$1:$D$1, 0) ), "")
</f>
        <v>0.002395</v>
      </c>
      <c r="K448" s="14"/>
      <c r="L448" s="9">
        <v>122.0</v>
      </c>
      <c r="M448" s="9">
        <v>24.49</v>
      </c>
      <c r="N448" s="9">
        <v>112.63</v>
      </c>
      <c r="O448" s="9">
        <v>119.62</v>
      </c>
      <c r="P448" s="9">
        <v>130.17</v>
      </c>
      <c r="Q448" s="9">
        <v>1388.1224</v>
      </c>
      <c r="R448" s="14"/>
      <c r="S448" s="12">
        <f t="shared" si="2"/>
        <v>-0.0003316712618</v>
      </c>
      <c r="T448" s="12">
        <f t="shared" si="3"/>
        <v>0.9996683287</v>
      </c>
      <c r="U448" s="16">
        <f t="shared" si="7"/>
        <v>101.0595263</v>
      </c>
      <c r="V448" s="17"/>
      <c r="W448" s="12">
        <f t="array" ref="W448">SQRT(252/20) *  SQRT( SUMSQ( LN(U427:U446 / U426:U445) )  - (1/20) * ( SUM( LN(U427:U446 / U426:U445) ) ^ 2 ) )</f>
        <v>0.04036820303</v>
      </c>
      <c r="X448" s="9">
        <f t="shared" si="4"/>
        <v>1.486318327</v>
      </c>
      <c r="Y448" s="14"/>
      <c r="Z448" s="12">
        <f t="shared" si="5"/>
        <v>0.9995054237</v>
      </c>
      <c r="AA448" s="16">
        <f t="shared" si="8"/>
        <v>101.5553287</v>
      </c>
      <c r="AB448" s="14"/>
      <c r="AC448" s="9">
        <f t="shared" si="6"/>
        <v>0</v>
      </c>
    </row>
    <row r="449">
      <c r="A449" s="8">
        <v>42376.0</v>
      </c>
      <c r="B449" s="14"/>
      <c r="C449" s="9">
        <f t="array" ref="C449">IFERROR(
  INDEX(
    IR!$B$2:$E2026,                
    MATCH($A449, IR!$A$2:$A2026, 0), 
    MATCH(C$1, IR!$B$1:$E$1, 0) ), "")
</f>
        <v>-0.00218</v>
      </c>
      <c r="D449" s="9">
        <f t="array" ref="D449">IFERROR(
  INDEX(
    IR!$B$2:$E2026,                
    MATCH($A449, IR!$A$2:$A2026, 0), 
    MATCH(D$1, IR!$B$1:$E$1, 0) ), "")
</f>
        <v>-0.00142</v>
      </c>
      <c r="E449" s="9">
        <f t="array" ref="E449">IFERROR(
  INDEX(
    IR!$B$2:$E2026,                
    MATCH($A449, IR!$A$2:$A2026, 0), 
    MATCH(E$1, IR!$B$1:$E$1, 0) ), "")
</f>
        <v>-0.0005</v>
      </c>
      <c r="F449" s="9">
        <f t="array" ref="F449">IFERROR(
  INDEX(
    IR!$B$2:$E2026,                
    MATCH($A449, IR!$A$2:$A2026, 0), 
    MATCH(F$1, IR!$B$1:$E$1, 0) ), "")
</f>
        <v>0.00051</v>
      </c>
      <c r="G449" s="14"/>
      <c r="H449" s="9">
        <f t="array" ref="H449">IFERROR(
  INDEX(
    SR!$B$2:$D2026,            
    MATCH($A449, SR!$A$2:$A2026, 0),  
    MATCH(H$1, SR!$B$1:$D$1, 0) ), "")
</f>
        <v>-0.00076</v>
      </c>
      <c r="I449" s="9">
        <f t="array" ref="I449">IFERROR(
  INDEX(
    SR!$B$2:$D2026,            
    MATCH($A449, SR!$A$2:$A2026, 0),  
    MATCH(I$1, SR!$B$1:$D$1, 0) ), "")
</f>
        <v>0.000055</v>
      </c>
      <c r="J449" s="9">
        <f t="array" ref="J449">IFERROR(
  INDEX(
    SR!$B$2:$D2026,            
    MATCH($A449, SR!$A$2:$A2026, 0),  
    MATCH(J$1, SR!$B$1:$D$1, 0) ), "")
</f>
        <v>0.00246</v>
      </c>
      <c r="K449" s="14"/>
      <c r="L449" s="9">
        <v>121.17</v>
      </c>
      <c r="M449" s="9">
        <v>24.47</v>
      </c>
      <c r="N449" s="9">
        <v>112.79</v>
      </c>
      <c r="O449" s="9">
        <v>119.37</v>
      </c>
      <c r="P449" s="9">
        <v>129.52</v>
      </c>
      <c r="Q449" s="9">
        <v>1379.4089</v>
      </c>
      <c r="R449" s="14"/>
      <c r="S449" s="12">
        <f t="shared" si="2"/>
        <v>-0.003259317668</v>
      </c>
      <c r="T449" s="12">
        <f t="shared" si="3"/>
        <v>0.9967406823</v>
      </c>
      <c r="U449" s="16">
        <f t="shared" si="7"/>
        <v>100.7301412</v>
      </c>
      <c r="V449" s="17"/>
      <c r="W449" s="12">
        <f t="array" ref="W449">SQRT(252/20) *  SQRT( SUMSQ( LN(U428:U447 / U427:U446) )  - (1/20) * ( SUM( LN(U428:U447 / U427:U446) ) ^ 2 ) )</f>
        <v>0.04224487648</v>
      </c>
      <c r="X449" s="9">
        <f t="shared" si="4"/>
        <v>1.420290577</v>
      </c>
      <c r="Y449" s="14"/>
      <c r="Z449" s="12">
        <f t="shared" si="5"/>
        <v>0.9951585073</v>
      </c>
      <c r="AA449" s="16">
        <f t="shared" si="8"/>
        <v>101.0636493</v>
      </c>
      <c r="AB449" s="14"/>
      <c r="AC449" s="9">
        <f t="shared" si="6"/>
        <v>0</v>
      </c>
    </row>
    <row r="450">
      <c r="A450" s="8">
        <v>42377.0</v>
      </c>
      <c r="B450" s="14"/>
      <c r="C450" s="9">
        <f t="array" ref="C450">IFERROR(
  INDEX(
    IR!$B$2:$E2026,                
    MATCH($A450, IR!$A$2:$A2026, 0), 
    MATCH(C$1, IR!$B$1:$E$1, 0) ), "")
</f>
        <v>-0.00218</v>
      </c>
      <c r="D450" s="9">
        <f t="array" ref="D450">IFERROR(
  INDEX(
    IR!$B$2:$E2026,                
    MATCH($A450, IR!$A$2:$A2026, 0), 
    MATCH(D$1, IR!$B$1:$E$1, 0) ), "")
</f>
        <v>-0.00143</v>
      </c>
      <c r="E450" s="9">
        <f t="array" ref="E450">IFERROR(
  INDEX(
    IR!$B$2:$E2026,                
    MATCH($A450, IR!$A$2:$A2026, 0), 
    MATCH(E$1, IR!$B$1:$E$1, 0) ), "")
</f>
        <v>-0.00051</v>
      </c>
      <c r="F450" s="9">
        <f t="array" ref="F450">IFERROR(
  INDEX(
    IR!$B$2:$E2026,                
    MATCH($A450, IR!$A$2:$A2026, 0), 
    MATCH(F$1, IR!$B$1:$E$1, 0) ), "")
</f>
        <v>0.00051</v>
      </c>
      <c r="G450" s="14"/>
      <c r="H450" s="9">
        <f t="array" ref="H450">IFERROR(
  INDEX(
    SR!$B$2:$D2026,            
    MATCH($A450, SR!$A$2:$A2026, 0),  
    MATCH(H$1, SR!$B$1:$D$1, 0) ), "")
</f>
        <v>-0.00076</v>
      </c>
      <c r="I450" s="9">
        <f t="array" ref="I450">IFERROR(
  INDEX(
    SR!$B$2:$D2026,            
    MATCH($A450, SR!$A$2:$A2026, 0),  
    MATCH(I$1, SR!$B$1:$D$1, 0) ), "")
</f>
        <v>-0.000055</v>
      </c>
      <c r="J450" s="9">
        <f t="array" ref="J450">IFERROR(
  INDEX(
    SR!$B$2:$D2026,            
    MATCH($A450, SR!$A$2:$A2026, 0),  
    MATCH(J$1, SR!$B$1:$D$1, 0) ), "")
</f>
        <v>0.002432</v>
      </c>
      <c r="K450" s="14"/>
      <c r="L450" s="9">
        <v>120.83</v>
      </c>
      <c r="M450" s="9">
        <v>24.45</v>
      </c>
      <c r="N450" s="9">
        <v>112.79</v>
      </c>
      <c r="O450" s="9">
        <v>118.43</v>
      </c>
      <c r="P450" s="9">
        <v>128.21</v>
      </c>
      <c r="Q450" s="9">
        <v>1367.25</v>
      </c>
      <c r="R450" s="14"/>
      <c r="S450" s="12">
        <f t="shared" si="2"/>
        <v>-0.005069989426</v>
      </c>
      <c r="T450" s="12">
        <f t="shared" si="3"/>
        <v>0.9949300106</v>
      </c>
      <c r="U450" s="16">
        <f t="shared" si="7"/>
        <v>100.2194405</v>
      </c>
      <c r="V450" s="17"/>
      <c r="W450" s="12">
        <f t="array" ref="W450">SQRT(252/20) *  SQRT( SUMSQ( LN(U429:U448 / U428:U447) )  - (1/20) * ( SUM( LN(U429:U448 / U428:U447) ) ^ 2 ) )</f>
        <v>0.03725630542</v>
      </c>
      <c r="X450" s="9">
        <f t="shared" si="4"/>
        <v>1.5</v>
      </c>
      <c r="Y450" s="14"/>
      <c r="Z450" s="12">
        <f t="shared" si="5"/>
        <v>0.9928016869</v>
      </c>
      <c r="AA450" s="16">
        <f t="shared" si="8"/>
        <v>100.3361615</v>
      </c>
      <c r="AB450" s="14"/>
      <c r="AC450" s="9">
        <f t="shared" si="6"/>
        <v>0</v>
      </c>
    </row>
    <row r="451">
      <c r="A451" s="8">
        <v>42380.0</v>
      </c>
      <c r="B451" s="14"/>
      <c r="C451" s="9">
        <f t="array" ref="C451">IFERROR(
  INDEX(
    IR!$B$2:$E2026,                
    MATCH($A451, IR!$A$2:$A2026, 0), 
    MATCH(C$1, IR!$B$1:$E$1, 0) ), "")
</f>
        <v>-0.00219</v>
      </c>
      <c r="D451" s="9">
        <f t="array" ref="D451">IFERROR(
  INDEX(
    IR!$B$2:$E2026,                
    MATCH($A451, IR!$A$2:$A2026, 0), 
    MATCH(D$1, IR!$B$1:$E$1, 0) ), "")
</f>
        <v>-0.00143</v>
      </c>
      <c r="E451" s="9">
        <f t="array" ref="E451">IFERROR(
  INDEX(
    IR!$B$2:$E2026,                
    MATCH($A451, IR!$A$2:$A2026, 0), 
    MATCH(E$1, IR!$B$1:$E$1, 0) ), "")
</f>
        <v>-0.00052</v>
      </c>
      <c r="F451" s="9">
        <f t="array" ref="F451">IFERROR(
  INDEX(
    IR!$B$2:$E2026,                
    MATCH($A451, IR!$A$2:$A2026, 0), 
    MATCH(F$1, IR!$B$1:$E$1, 0) ), "")
</f>
        <v>0.0005</v>
      </c>
      <c r="G451" s="14"/>
      <c r="H451" s="9">
        <f t="array" ref="H451">IFERROR(
  INDEX(
    SR!$B$2:$D2026,            
    MATCH($A451, SR!$A$2:$A2026, 0),  
    MATCH(H$1, SR!$B$1:$D$1, 0) ), "")
</f>
        <v>-0.0007</v>
      </c>
      <c r="I451" s="9">
        <f t="array" ref="I451">IFERROR(
  INDEX(
    SR!$B$2:$D2026,            
    MATCH($A451, SR!$A$2:$A2026, 0),  
    MATCH(I$1, SR!$B$1:$D$1, 0) ), "")
</f>
        <v>-0.00003</v>
      </c>
      <c r="J451" s="9">
        <f t="array" ref="J451">IFERROR(
  INDEX(
    SR!$B$2:$D2026,            
    MATCH($A451, SR!$A$2:$A2026, 0),  
    MATCH(J$1, SR!$B$1:$D$1, 0) ), "")
</f>
        <v>0.00254</v>
      </c>
      <c r="K451" s="14"/>
      <c r="L451" s="9">
        <v>120.59</v>
      </c>
      <c r="M451" s="9">
        <v>24.46</v>
      </c>
      <c r="N451" s="9">
        <v>112.76</v>
      </c>
      <c r="O451" s="9">
        <v>118.58</v>
      </c>
      <c r="P451" s="9">
        <v>127.7</v>
      </c>
      <c r="Q451" s="9">
        <v>1360.2747</v>
      </c>
      <c r="R451" s="14"/>
      <c r="S451" s="12">
        <f t="shared" si="2"/>
        <v>-0.001609236943</v>
      </c>
      <c r="T451" s="12">
        <f t="shared" si="3"/>
        <v>0.9983907631</v>
      </c>
      <c r="U451" s="16">
        <f t="shared" si="7"/>
        <v>100.0581636</v>
      </c>
      <c r="V451" s="17"/>
      <c r="W451" s="12">
        <f t="array" ref="W451">SQRT(252/20) *  SQRT( SUMSQ( LN(U430:U449 / U429:U448) )  - (1/20) * ( SUM( LN(U430:U449 / U429:U448) ) ^ 2 ) )</f>
        <v>0.03817343971</v>
      </c>
      <c r="X451" s="9">
        <f t="shared" si="4"/>
        <v>1.5</v>
      </c>
      <c r="Y451" s="14"/>
      <c r="Z451" s="12">
        <f t="shared" si="5"/>
        <v>0.9975952279</v>
      </c>
      <c r="AA451" s="16">
        <f t="shared" si="8"/>
        <v>100.0948759</v>
      </c>
      <c r="AB451" s="14"/>
      <c r="AC451" s="9">
        <f t="shared" si="6"/>
        <v>0</v>
      </c>
    </row>
    <row r="452">
      <c r="A452" s="8">
        <v>42381.0</v>
      </c>
      <c r="B452" s="14"/>
      <c r="C452" s="9">
        <f t="array" ref="C452">IFERROR(
  INDEX(
    IR!$B$2:$E2026,                
    MATCH($A452, IR!$A$2:$A2026, 0), 
    MATCH(C$1, IR!$B$1:$E$1, 0) ), "")
</f>
        <v>-0.0022</v>
      </c>
      <c r="D452" s="9">
        <f t="array" ref="D452">IFERROR(
  INDEX(
    IR!$B$2:$E2026,                
    MATCH($A452, IR!$A$2:$A2026, 0), 
    MATCH(D$1, IR!$B$1:$E$1, 0) ), "")
</f>
        <v>-0.00144</v>
      </c>
      <c r="E452" s="9">
        <f t="array" ref="E452">IFERROR(
  INDEX(
    IR!$B$2:$E2026,                
    MATCH($A452, IR!$A$2:$A2026, 0), 
    MATCH(E$1, IR!$B$1:$E$1, 0) ), "")
</f>
        <v>-0.00053</v>
      </c>
      <c r="F452" s="9">
        <f t="array" ref="F452">IFERROR(
  INDEX(
    IR!$B$2:$E2026,                
    MATCH($A452, IR!$A$2:$A2026, 0), 
    MATCH(F$1, IR!$B$1:$E$1, 0) ), "")
</f>
        <v>0.00048</v>
      </c>
      <c r="G452" s="14"/>
      <c r="H452" s="9">
        <f t="array" ref="H452">IFERROR(
  INDEX(
    SR!$B$2:$D2026,            
    MATCH($A452, SR!$A$2:$A2026, 0),  
    MATCH(H$1, SR!$B$1:$D$1, 0) ), "")
</f>
        <v>-0.00083</v>
      </c>
      <c r="I452" s="9">
        <f t="array" ref="I452">IFERROR(
  INDEX(
    SR!$B$2:$D2026,            
    MATCH($A452, SR!$A$2:$A2026, 0),  
    MATCH(I$1, SR!$B$1:$D$1, 0) ), "")
</f>
        <v>-0.000085</v>
      </c>
      <c r="J452" s="9">
        <f t="array" ref="J452">IFERROR(
  INDEX(
    SR!$B$2:$D2026,            
    MATCH($A452, SR!$A$2:$A2026, 0),  
    MATCH(J$1, SR!$B$1:$D$1, 0) ), "")
</f>
        <v>0.00243</v>
      </c>
      <c r="K452" s="14"/>
      <c r="L452" s="9">
        <v>120.81</v>
      </c>
      <c r="M452" s="9">
        <v>24.46</v>
      </c>
      <c r="N452" s="9">
        <v>112.79</v>
      </c>
      <c r="O452" s="9">
        <v>118.41</v>
      </c>
      <c r="P452" s="9">
        <v>127.7</v>
      </c>
      <c r="Q452" s="9">
        <v>1354.4927</v>
      </c>
      <c r="R452" s="14"/>
      <c r="S452" s="12">
        <f t="shared" si="2"/>
        <v>-0.0005991568049</v>
      </c>
      <c r="T452" s="12">
        <f t="shared" si="3"/>
        <v>0.9994008432</v>
      </c>
      <c r="U452" s="16">
        <f t="shared" si="7"/>
        <v>99.99821311</v>
      </c>
      <c r="V452" s="17"/>
      <c r="W452" s="12">
        <f t="array" ref="W452">SQRT(252/20) *  SQRT( SUMSQ( LN(U431:U450 / U430:U449) )  - (1/20) * ( SUM( LN(U431:U450 / U430:U449) ) ^ 2 ) )</f>
        <v>0.0408180036</v>
      </c>
      <c r="X452" s="9">
        <f t="shared" si="4"/>
        <v>1.469939603</v>
      </c>
      <c r="Y452" s="14"/>
      <c r="Z452" s="12">
        <f t="shared" si="5"/>
        <v>0.9991043065</v>
      </c>
      <c r="AA452" s="16">
        <f t="shared" si="8"/>
        <v>100.0052216</v>
      </c>
      <c r="AB452" s="14"/>
      <c r="AC452" s="9">
        <f t="shared" si="6"/>
        <v>0</v>
      </c>
    </row>
    <row r="453">
      <c r="A453" s="8">
        <v>42382.0</v>
      </c>
      <c r="B453" s="14"/>
      <c r="C453" s="9">
        <f t="array" ref="C453">IFERROR(
  INDEX(
    IR!$B$2:$E2026,                
    MATCH($A453, IR!$A$2:$A2026, 0), 
    MATCH(C$1, IR!$B$1:$E$1, 0) ), "")
</f>
        <v>-0.0022</v>
      </c>
      <c r="D453" s="9">
        <f t="array" ref="D453">IFERROR(
  INDEX(
    IR!$B$2:$E2026,                
    MATCH($A453, IR!$A$2:$A2026, 0), 
    MATCH(D$1, IR!$B$1:$E$1, 0) ), "")
</f>
        <v>-0.00144</v>
      </c>
      <c r="E453" s="9">
        <f t="array" ref="E453">IFERROR(
  INDEX(
    IR!$B$2:$E2026,                
    MATCH($A453, IR!$A$2:$A2026, 0), 
    MATCH(E$1, IR!$B$1:$E$1, 0) ), "")
</f>
        <v>-0.00054</v>
      </c>
      <c r="F453" s="9">
        <f t="array" ref="F453">IFERROR(
  INDEX(
    IR!$B$2:$E2026,                
    MATCH($A453, IR!$A$2:$A2026, 0), 
    MATCH(F$1, IR!$B$1:$E$1, 0) ), "")
</f>
        <v>0.00049</v>
      </c>
      <c r="G453" s="14"/>
      <c r="H453" s="9">
        <f t="array" ref="H453">IFERROR(
  INDEX(
    SR!$B$2:$D2026,            
    MATCH($A453, SR!$A$2:$A2026, 0),  
    MATCH(H$1, SR!$B$1:$D$1, 0) ), "")
</f>
        <v>-0.000835</v>
      </c>
      <c r="I453" s="9">
        <f t="array" ref="I453">IFERROR(
  INDEX(
    SR!$B$2:$D2026,            
    MATCH($A453, SR!$A$2:$A2026, 0),  
    MATCH(I$1, SR!$B$1:$D$1, 0) ), "")
</f>
        <v>-0.00011</v>
      </c>
      <c r="J453" s="9">
        <f t="array" ref="J453">IFERROR(
  INDEX(
    SR!$B$2:$D2026,            
    MATCH($A453, SR!$A$2:$A2026, 0),  
    MATCH(J$1, SR!$B$1:$D$1, 0) ), "")
</f>
        <v>0.002245</v>
      </c>
      <c r="K453" s="14"/>
      <c r="L453" s="9">
        <v>120.82</v>
      </c>
      <c r="M453" s="9">
        <v>24.46</v>
      </c>
      <c r="N453" s="9">
        <v>112.76</v>
      </c>
      <c r="O453" s="9">
        <v>118.37</v>
      </c>
      <c r="P453" s="9">
        <v>127.97</v>
      </c>
      <c r="Q453" s="9">
        <v>1359.1835</v>
      </c>
      <c r="R453" s="14"/>
      <c r="S453" s="12">
        <f t="shared" si="2"/>
        <v>0.0008427519373</v>
      </c>
      <c r="T453" s="12">
        <f t="shared" si="3"/>
        <v>1.000842752</v>
      </c>
      <c r="U453" s="16">
        <f t="shared" si="7"/>
        <v>100.0824868</v>
      </c>
      <c r="V453" s="17"/>
      <c r="W453" s="12">
        <f t="array" ref="W453">SQRT(252/20) *  SQRT( SUMSQ( LN(U432:U451 / U431:U450) )  - (1/20) * ( SUM( LN(U432:U451 / U431:U450) ) ^ 2 ) )</f>
        <v>0.04051084796</v>
      </c>
      <c r="X453" s="9">
        <f t="shared" si="4"/>
        <v>1.481084772</v>
      </c>
      <c r="Y453" s="14"/>
      <c r="Z453" s="12">
        <f t="shared" si="5"/>
        <v>1.001241666</v>
      </c>
      <c r="AA453" s="16">
        <f t="shared" si="8"/>
        <v>100.1293947</v>
      </c>
      <c r="AB453" s="14"/>
      <c r="AC453" s="9">
        <f t="shared" si="6"/>
        <v>0</v>
      </c>
    </row>
    <row r="454">
      <c r="A454" s="8">
        <v>42383.0</v>
      </c>
      <c r="B454" s="14"/>
      <c r="C454" s="9">
        <f t="array" ref="C454">IFERROR(
  INDEX(
    IR!$B$2:$E2026,                
    MATCH($A454, IR!$A$2:$A2026, 0), 
    MATCH(C$1, IR!$B$1:$E$1, 0) ), "")
</f>
        <v>-0.00221</v>
      </c>
      <c r="D454" s="9">
        <f t="array" ref="D454">IFERROR(
  INDEX(
    IR!$B$2:$E2026,                
    MATCH($A454, IR!$A$2:$A2026, 0), 
    MATCH(D$1, IR!$B$1:$E$1, 0) ), "")
</f>
        <v>-0.00143</v>
      </c>
      <c r="E454" s="9">
        <f t="array" ref="E454">IFERROR(
  INDEX(
    IR!$B$2:$E2026,                
    MATCH($A454, IR!$A$2:$A2026, 0), 
    MATCH(E$1, IR!$B$1:$E$1, 0) ), "")
</f>
        <v>-0.00053</v>
      </c>
      <c r="F454" s="9">
        <f t="array" ref="F454">IFERROR(
  INDEX(
    IR!$B$2:$E2026,                
    MATCH($A454, IR!$A$2:$A2026, 0), 
    MATCH(F$1, IR!$B$1:$E$1, 0) ), "")
</f>
        <v>0.00048</v>
      </c>
      <c r="G454" s="14"/>
      <c r="H454" s="9">
        <f t="array" ref="H454">IFERROR(
  INDEX(
    SR!$B$2:$D2026,            
    MATCH($A454, SR!$A$2:$A2026, 0),  
    MATCH(H$1, SR!$B$1:$D$1, 0) ), "")
</f>
        <v>-0.00079</v>
      </c>
      <c r="I454" s="9">
        <f t="array" ref="I454">IFERROR(
  INDEX(
    SR!$B$2:$D2026,            
    MATCH($A454, SR!$A$2:$A2026, 0),  
    MATCH(I$1, SR!$B$1:$D$1, 0) ), "")
</f>
        <v>-0.00014</v>
      </c>
      <c r="J454" s="9">
        <f t="array" ref="J454">IFERROR(
  INDEX(
    SR!$B$2:$D2026,            
    MATCH($A454, SR!$A$2:$A2026, 0),  
    MATCH(J$1, SR!$B$1:$D$1, 0) ), "")
</f>
        <v>0.002353</v>
      </c>
      <c r="K454" s="14"/>
      <c r="L454" s="9">
        <v>120.28</v>
      </c>
      <c r="M454" s="9">
        <v>24.46</v>
      </c>
      <c r="N454" s="9">
        <v>112.7</v>
      </c>
      <c r="O454" s="9">
        <v>118.54</v>
      </c>
      <c r="P454" s="9">
        <v>128.06</v>
      </c>
      <c r="Q454" s="9">
        <v>1350.5013</v>
      </c>
      <c r="R454" s="14"/>
      <c r="S454" s="12">
        <f t="shared" si="2"/>
        <v>-0.001541672681</v>
      </c>
      <c r="T454" s="12">
        <f t="shared" si="3"/>
        <v>0.9984583273</v>
      </c>
      <c r="U454" s="16">
        <f t="shared" si="7"/>
        <v>99.92819236</v>
      </c>
      <c r="V454" s="17"/>
      <c r="W454" s="12">
        <f t="array" ref="W454">SQRT(252/20) *  SQRT( SUMSQ( LN(U433:U452 / U432:U451) )  - (1/20) * ( SUM( LN(U433:U452 / U432:U451) ) ^ 2 ) )</f>
        <v>0.0401974833</v>
      </c>
      <c r="X454" s="9">
        <f t="shared" si="4"/>
        <v>1.492630759</v>
      </c>
      <c r="Y454" s="14"/>
      <c r="Z454" s="12">
        <f t="shared" si="5"/>
        <v>0.997719592</v>
      </c>
      <c r="AA454" s="16">
        <f t="shared" si="8"/>
        <v>99.90105883</v>
      </c>
      <c r="AB454" s="14"/>
      <c r="AC454" s="9">
        <f t="shared" si="6"/>
        <v>0</v>
      </c>
    </row>
    <row r="455">
      <c r="A455" s="8">
        <v>42384.0</v>
      </c>
      <c r="B455" s="14"/>
      <c r="C455" s="9">
        <f t="array" ref="C455">IFERROR(
  INDEX(
    IR!$B$2:$E2026,                
    MATCH($A455, IR!$A$2:$A2026, 0), 
    MATCH(C$1, IR!$B$1:$E$1, 0) ), "")
</f>
        <v>-0.00221</v>
      </c>
      <c r="D455" s="9">
        <f t="array" ref="D455">IFERROR(
  INDEX(
    IR!$B$2:$E2026,                
    MATCH($A455, IR!$A$2:$A2026, 0), 
    MATCH(D$1, IR!$B$1:$E$1, 0) ), "")
</f>
        <v>-0.00142</v>
      </c>
      <c r="E455" s="9">
        <f t="array" ref="E455">IFERROR(
  INDEX(
    IR!$B$2:$E2026,                
    MATCH($A455, IR!$A$2:$A2026, 0), 
    MATCH(E$1, IR!$B$1:$E$1, 0) ), "")
</f>
        <v>-0.00054</v>
      </c>
      <c r="F455" s="9">
        <f t="array" ref="F455">IFERROR(
  INDEX(
    IR!$B$2:$E2026,                
    MATCH($A455, IR!$A$2:$A2026, 0), 
    MATCH(F$1, IR!$B$1:$E$1, 0) ), "")
</f>
        <v>0.00049</v>
      </c>
      <c r="G455" s="14"/>
      <c r="H455" s="9">
        <f t="array" ref="H455">IFERROR(
  INDEX(
    SR!$B$2:$D2026,            
    MATCH($A455, SR!$A$2:$A2026, 0),  
    MATCH(H$1, SR!$B$1:$D$1, 0) ), "")
</f>
        <v>-0.00086</v>
      </c>
      <c r="I455" s="9">
        <f t="array" ref="I455">IFERROR(
  INDEX(
    SR!$B$2:$D2026,            
    MATCH($A455, SR!$A$2:$A2026, 0),  
    MATCH(I$1, SR!$B$1:$D$1, 0) ), "")
</f>
        <v>-0.00023</v>
      </c>
      <c r="J455" s="9">
        <f t="array" ref="J455">IFERROR(
  INDEX(
    SR!$B$2:$D2026,            
    MATCH($A455, SR!$A$2:$A2026, 0),  
    MATCH(J$1, SR!$B$1:$D$1, 0) ), "")
</f>
        <v>0.002247</v>
      </c>
      <c r="K455" s="14"/>
      <c r="L455" s="9">
        <v>119.53</v>
      </c>
      <c r="M455" s="9">
        <v>24.42</v>
      </c>
      <c r="N455" s="9">
        <v>112.63</v>
      </c>
      <c r="O455" s="9">
        <v>118.47</v>
      </c>
      <c r="P455" s="9">
        <v>127.62</v>
      </c>
      <c r="Q455" s="9">
        <v>1349.8758</v>
      </c>
      <c r="R455" s="14"/>
      <c r="S455" s="12">
        <f t="shared" si="2"/>
        <v>-0.00216275761</v>
      </c>
      <c r="T455" s="12">
        <f t="shared" si="3"/>
        <v>0.9978372424</v>
      </c>
      <c r="U455" s="16">
        <f t="shared" si="7"/>
        <v>99.7120719</v>
      </c>
      <c r="V455" s="17"/>
      <c r="W455" s="12">
        <f t="array" ref="W455">SQRT(252/20) *  SQRT( SUMSQ( LN(U434:U453 / U433:U452) )  - (1/20) * ( SUM( LN(U434:U453 / U433:U452) ) ^ 2 ) )</f>
        <v>0.04064819042</v>
      </c>
      <c r="X455" s="9">
        <f t="shared" si="4"/>
        <v>1.47608047</v>
      </c>
      <c r="Y455" s="14"/>
      <c r="Z455" s="12">
        <f t="shared" si="5"/>
        <v>0.9967748257</v>
      </c>
      <c r="AA455" s="16">
        <f t="shared" si="8"/>
        <v>99.5788605</v>
      </c>
      <c r="AB455" s="14"/>
      <c r="AC455" s="9">
        <f t="shared" si="6"/>
        <v>0</v>
      </c>
    </row>
    <row r="456">
      <c r="A456" s="8">
        <v>42387.0</v>
      </c>
      <c r="B456" s="14"/>
      <c r="C456" s="9">
        <f t="array" ref="C456">IFERROR(
  INDEX(
    IR!$B$2:$E2026,                
    MATCH($A456, IR!$A$2:$A2026, 0), 
    MATCH(C$1, IR!$B$1:$E$1, 0) ), "")
</f>
        <v>-0.00222</v>
      </c>
      <c r="D456" s="9">
        <f t="array" ref="D456">IFERROR(
  INDEX(
    IR!$B$2:$E2026,                
    MATCH($A456, IR!$A$2:$A2026, 0), 
    MATCH(D$1, IR!$B$1:$E$1, 0) ), "")
</f>
        <v>-0.00142</v>
      </c>
      <c r="E456" s="9">
        <f t="array" ref="E456">IFERROR(
  INDEX(
    IR!$B$2:$E2026,                
    MATCH($A456, IR!$A$2:$A2026, 0), 
    MATCH(E$1, IR!$B$1:$E$1, 0) ), "")
</f>
        <v>-0.00054</v>
      </c>
      <c r="F456" s="9">
        <f t="array" ref="F456">IFERROR(
  INDEX(
    IR!$B$2:$E2026,                
    MATCH($A456, IR!$A$2:$A2026, 0), 
    MATCH(F$1, IR!$B$1:$E$1, 0) ), "")
</f>
        <v>0.00049</v>
      </c>
      <c r="G456" s="14"/>
      <c r="H456" s="9">
        <f t="array" ref="H456">IFERROR(
  INDEX(
    SR!$B$2:$D2026,            
    MATCH($A456, SR!$A$2:$A2026, 0),  
    MATCH(H$1, SR!$B$1:$D$1, 0) ), "")
</f>
        <v>-0.00081</v>
      </c>
      <c r="I456" s="9">
        <f t="array" ref="I456">IFERROR(
  INDEX(
    SR!$B$2:$D2026,            
    MATCH($A456, SR!$A$2:$A2026, 0),  
    MATCH(I$1, SR!$B$1:$D$1, 0) ), "")
</f>
        <v>-0.000188</v>
      </c>
      <c r="J456" s="9">
        <f t="array" ref="J456">IFERROR(
  INDEX(
    SR!$B$2:$D2026,            
    MATCH($A456, SR!$A$2:$A2026, 0),  
    MATCH(J$1, SR!$B$1:$D$1, 0) ), "")
</f>
        <v>0.00215</v>
      </c>
      <c r="K456" s="14"/>
      <c r="L456" s="9">
        <v>118.8</v>
      </c>
      <c r="M456" s="9">
        <v>24.44</v>
      </c>
      <c r="N456" s="9">
        <v>112.62</v>
      </c>
      <c r="O456" s="9">
        <v>118.64</v>
      </c>
      <c r="P456" s="9">
        <v>127.38</v>
      </c>
      <c r="Q456" s="9">
        <v>1337.7152</v>
      </c>
      <c r="R456" s="14"/>
      <c r="S456" s="12">
        <f t="shared" si="2"/>
        <v>-0.002471802125</v>
      </c>
      <c r="T456" s="12">
        <f t="shared" si="3"/>
        <v>0.9975281979</v>
      </c>
      <c r="U456" s="16">
        <f t="shared" si="7"/>
        <v>99.46560339</v>
      </c>
      <c r="V456" s="17"/>
      <c r="W456" s="12">
        <f t="array" ref="W456">SQRT(252/20) *  SQRT( SUMSQ( LN(U435:U454 / U434:U453) )  - (1/20) * ( SUM( LN(U435:U454 / U434:U453) ) ^ 2 ) )</f>
        <v>0.0374646292</v>
      </c>
      <c r="X456" s="9">
        <f t="shared" si="4"/>
        <v>1.5</v>
      </c>
      <c r="Y456" s="14"/>
      <c r="Z456" s="12">
        <f t="shared" si="5"/>
        <v>0.996360189</v>
      </c>
      <c r="AA456" s="16">
        <f t="shared" si="8"/>
        <v>99.21641227</v>
      </c>
      <c r="AB456" s="14"/>
      <c r="AC456" s="9">
        <f t="shared" si="6"/>
        <v>0</v>
      </c>
    </row>
    <row r="457">
      <c r="A457" s="8">
        <v>42388.0</v>
      </c>
      <c r="B457" s="14"/>
      <c r="C457" s="9">
        <f t="array" ref="C457">IFERROR(
  INDEX(
    IR!$B$2:$E2026,                
    MATCH($A457, IR!$A$2:$A2026, 0), 
    MATCH(C$1, IR!$B$1:$E$1, 0) ), "")
</f>
        <v>-0.00222</v>
      </c>
      <c r="D457" s="9">
        <f t="array" ref="D457">IFERROR(
  INDEX(
    IR!$B$2:$E2026,                
    MATCH($A457, IR!$A$2:$A2026, 0), 
    MATCH(D$1, IR!$B$1:$E$1, 0) ), "")
</f>
        <v>-0.00143</v>
      </c>
      <c r="E457" s="9">
        <f t="array" ref="E457">IFERROR(
  INDEX(
    IR!$B$2:$E2026,                
    MATCH($A457, IR!$A$2:$A2026, 0), 
    MATCH(E$1, IR!$B$1:$E$1, 0) ), "")
</f>
        <v>-0.00056</v>
      </c>
      <c r="F457" s="9">
        <f t="array" ref="F457">IFERROR(
  INDEX(
    IR!$B$2:$E2026,                
    MATCH($A457, IR!$A$2:$A2026, 0), 
    MATCH(F$1, IR!$B$1:$E$1, 0) ), "")
</f>
        <v>0.00048</v>
      </c>
      <c r="G457" s="14"/>
      <c r="H457" s="9">
        <f t="array" ref="H457">IFERROR(
  INDEX(
    SR!$B$2:$D2026,            
    MATCH($A457, SR!$A$2:$A2026, 0),  
    MATCH(H$1, SR!$B$1:$D$1, 0) ), "")
</f>
        <v>-0.00088</v>
      </c>
      <c r="I457" s="9">
        <f t="array" ref="I457">IFERROR(
  INDEX(
    SR!$B$2:$D2026,            
    MATCH($A457, SR!$A$2:$A2026, 0),  
    MATCH(I$1, SR!$B$1:$D$1, 0) ), "")
</f>
        <v>-0.00026</v>
      </c>
      <c r="J457" s="9">
        <f t="array" ref="J457">IFERROR(
  INDEX(
    SR!$B$2:$D2026,            
    MATCH($A457, SR!$A$2:$A2026, 0),  
    MATCH(J$1, SR!$B$1:$D$1, 0) ), "")
</f>
        <v>0.002077</v>
      </c>
      <c r="K457" s="14"/>
      <c r="L457" s="9">
        <v>118.92</v>
      </c>
      <c r="M457" s="9">
        <v>24.43</v>
      </c>
      <c r="N457" s="9">
        <v>112.7</v>
      </c>
      <c r="O457" s="9">
        <v>118.6</v>
      </c>
      <c r="P457" s="9">
        <v>127.34</v>
      </c>
      <c r="Q457" s="9">
        <v>1334.7085</v>
      </c>
      <c r="R457" s="14"/>
      <c r="S457" s="12">
        <f t="shared" si="2"/>
        <v>-0.0002647063804</v>
      </c>
      <c r="T457" s="12">
        <f t="shared" si="3"/>
        <v>0.9997352936</v>
      </c>
      <c r="U457" s="16">
        <f t="shared" si="7"/>
        <v>99.43927421</v>
      </c>
      <c r="V457" s="17"/>
      <c r="W457" s="12">
        <f t="array" ref="W457">SQRT(252/20) *  SQRT( SUMSQ( LN(U436:U455 / U435:U454) )  - (1/20) * ( SUM( LN(U436:U455 / U435:U454) ) ^ 2 ) )</f>
        <v>0.03780309571</v>
      </c>
      <c r="X457" s="9">
        <f t="shared" si="4"/>
        <v>1.5</v>
      </c>
      <c r="Y457" s="14"/>
      <c r="Z457" s="12">
        <f t="shared" si="5"/>
        <v>0.9996060238</v>
      </c>
      <c r="AA457" s="16">
        <f t="shared" si="8"/>
        <v>99.17732336</v>
      </c>
      <c r="AB457" s="14"/>
      <c r="AC457" s="9">
        <f t="shared" si="6"/>
        <v>0</v>
      </c>
    </row>
    <row r="458">
      <c r="A458" s="8">
        <v>42389.0</v>
      </c>
      <c r="B458" s="14"/>
      <c r="C458" s="9">
        <f t="array" ref="C458">IFERROR(
  INDEX(
    IR!$B$2:$E2026,                
    MATCH($A458, IR!$A$2:$A2026, 0), 
    MATCH(C$1, IR!$B$1:$E$1, 0) ), "")
</f>
        <v>-0.00225</v>
      </c>
      <c r="D458" s="9">
        <f t="array" ref="D458">IFERROR(
  INDEX(
    IR!$B$2:$E2026,                
    MATCH($A458, IR!$A$2:$A2026, 0), 
    MATCH(D$1, IR!$B$1:$E$1, 0) ), "")
</f>
        <v>-0.00144</v>
      </c>
      <c r="E458" s="9">
        <f t="array" ref="E458">IFERROR(
  INDEX(
    IR!$B$2:$E2026,                
    MATCH($A458, IR!$A$2:$A2026, 0), 
    MATCH(E$1, IR!$B$1:$E$1, 0) ), "")
</f>
        <v>-0.00061</v>
      </c>
      <c r="F458" s="9">
        <f t="array" ref="F458">IFERROR(
  INDEX(
    IR!$B$2:$E2026,                
    MATCH($A458, IR!$A$2:$A2026, 0), 
    MATCH(F$1, IR!$B$1:$E$1, 0) ), "")
</f>
        <v>0.00045</v>
      </c>
      <c r="G458" s="14"/>
      <c r="H458" s="9">
        <f t="array" ref="H458">IFERROR(
  INDEX(
    SR!$B$2:$D2026,            
    MATCH($A458, SR!$A$2:$A2026, 0),  
    MATCH(H$1, SR!$B$1:$D$1, 0) ), "")
</f>
        <v>-0.00101</v>
      </c>
      <c r="I458" s="9">
        <f t="array" ref="I458">IFERROR(
  INDEX(
    SR!$B$2:$D2026,            
    MATCH($A458, SR!$A$2:$A2026, 0),  
    MATCH(I$1, SR!$B$1:$D$1, 0) ), "")
</f>
        <v>-0.000432</v>
      </c>
      <c r="J458" s="9">
        <f t="array" ref="J458">IFERROR(
  INDEX(
    SR!$B$2:$D2026,            
    MATCH($A458, SR!$A$2:$A2026, 0),  
    MATCH(J$1, SR!$B$1:$D$1, 0) ), "")
</f>
        <v>0.001905</v>
      </c>
      <c r="K458" s="14"/>
      <c r="L458" s="9">
        <v>117.6</v>
      </c>
      <c r="M458" s="9">
        <v>24.42</v>
      </c>
      <c r="N458" s="9">
        <v>112.61</v>
      </c>
      <c r="O458" s="9">
        <v>118.6</v>
      </c>
      <c r="P458" s="9">
        <v>127.13</v>
      </c>
      <c r="Q458" s="9">
        <v>1329.8431</v>
      </c>
      <c r="R458" s="14"/>
      <c r="S458" s="12">
        <f t="shared" si="2"/>
        <v>-0.002932896187</v>
      </c>
      <c r="T458" s="12">
        <f t="shared" si="3"/>
        <v>0.9970671038</v>
      </c>
      <c r="U458" s="16">
        <f t="shared" si="7"/>
        <v>99.14762914</v>
      </c>
      <c r="V458" s="17"/>
      <c r="W458" s="12">
        <f t="array" ref="W458">SQRT(252/20) *  SQRT( SUMSQ( LN(U437:U456 / U436:U455) )  - (1/20) * ( SUM( LN(U437:U456 / U436:U455) ) ^ 2 ) )</f>
        <v>0.03622006128</v>
      </c>
      <c r="X458" s="9">
        <f t="shared" si="4"/>
        <v>1.5</v>
      </c>
      <c r="Y458" s="14"/>
      <c r="Z458" s="12">
        <f t="shared" si="5"/>
        <v>0.9956037391</v>
      </c>
      <c r="AA458" s="16">
        <f t="shared" si="8"/>
        <v>98.74131396</v>
      </c>
      <c r="AB458" s="14"/>
      <c r="AC458" s="9">
        <f t="shared" si="6"/>
        <v>0</v>
      </c>
    </row>
    <row r="459">
      <c r="A459" s="8">
        <v>42390.0</v>
      </c>
      <c r="B459" s="14"/>
      <c r="C459" s="9">
        <f t="array" ref="C459">IFERROR(
  INDEX(
    IR!$B$2:$E2026,                
    MATCH($A459, IR!$A$2:$A2026, 0), 
    MATCH(C$1, IR!$B$1:$E$1, 0) ), "")
</f>
        <v>-0.0023</v>
      </c>
      <c r="D459" s="9">
        <f t="array" ref="D459">IFERROR(
  INDEX(
    IR!$B$2:$E2026,                
    MATCH($A459, IR!$A$2:$A2026, 0), 
    MATCH(D$1, IR!$B$1:$E$1, 0) ), "")
</f>
        <v>-0.00146</v>
      </c>
      <c r="E459" s="9">
        <f t="array" ref="E459">IFERROR(
  INDEX(
    IR!$B$2:$E2026,                
    MATCH($A459, IR!$A$2:$A2026, 0), 
    MATCH(E$1, IR!$B$1:$E$1, 0) ), "")
</f>
        <v>-0.00065</v>
      </c>
      <c r="F459" s="9">
        <f t="array" ref="F459">IFERROR(
  INDEX(
    IR!$B$2:$E2026,                
    MATCH($A459, IR!$A$2:$A2026, 0), 
    MATCH(F$1, IR!$B$1:$E$1, 0) ), "")
</f>
        <v>0.00042</v>
      </c>
      <c r="G459" s="14"/>
      <c r="H459" s="9">
        <f t="array" ref="H459">IFERROR(
  INDEX(
    SR!$B$2:$D2026,            
    MATCH($A459, SR!$A$2:$A2026, 0),  
    MATCH(H$1, SR!$B$1:$D$1, 0) ), "")
</f>
        <v>-0.00145</v>
      </c>
      <c r="I459" s="9">
        <f t="array" ref="I459">IFERROR(
  INDEX(
    SR!$B$2:$D2026,            
    MATCH($A459, SR!$A$2:$A2026, 0),  
    MATCH(I$1, SR!$B$1:$D$1, 0) ), "")
</f>
        <v>-0.00092</v>
      </c>
      <c r="J459" s="9">
        <f t="array" ref="J459">IFERROR(
  INDEX(
    SR!$B$2:$D2026,            
    MATCH($A459, SR!$A$2:$A2026, 0),  
    MATCH(J$1, SR!$B$1:$D$1, 0) ), "")
</f>
        <v>0.00132</v>
      </c>
      <c r="K459" s="14"/>
      <c r="L459" s="9">
        <v>117.55</v>
      </c>
      <c r="M459" s="9">
        <v>24.44</v>
      </c>
      <c r="N459" s="9">
        <v>112.6</v>
      </c>
      <c r="O459" s="9">
        <v>118.86</v>
      </c>
      <c r="P459" s="9">
        <v>126.65</v>
      </c>
      <c r="Q459" s="9">
        <v>1317.4768</v>
      </c>
      <c r="R459" s="14"/>
      <c r="S459" s="12">
        <f t="shared" si="2"/>
        <v>-0.001763134429</v>
      </c>
      <c r="T459" s="12">
        <f t="shared" si="3"/>
        <v>0.9982368656</v>
      </c>
      <c r="U459" s="16">
        <f t="shared" si="7"/>
        <v>98.97281854</v>
      </c>
      <c r="V459" s="17"/>
      <c r="W459" s="12">
        <f t="array" ref="W459">SQRT(252/20) *  SQRT( SUMSQ( LN(U438:U457 / U437:U456) )  - (1/20) * ( SUM( LN(U438:U457 / U437:U456) ) ^ 2 ) )</f>
        <v>0.03406067541</v>
      </c>
      <c r="X459" s="9">
        <f t="shared" si="4"/>
        <v>1.5</v>
      </c>
      <c r="Y459" s="14"/>
      <c r="Z459" s="12">
        <f t="shared" si="5"/>
        <v>0.9973584234</v>
      </c>
      <c r="AA459" s="16">
        <f t="shared" si="8"/>
        <v>98.48048121</v>
      </c>
      <c r="AB459" s="14"/>
      <c r="AC459" s="9">
        <f t="shared" si="6"/>
        <v>0</v>
      </c>
    </row>
    <row r="460">
      <c r="A460" s="8">
        <v>42391.0</v>
      </c>
      <c r="B460" s="14"/>
      <c r="C460" s="9">
        <f t="array" ref="C460">IFERROR(
  INDEX(
    IR!$B$2:$E2026,                
    MATCH($A460, IR!$A$2:$A2026, 0), 
    MATCH(C$1, IR!$B$1:$E$1, 0) ), "")
</f>
        <v>-0.00231</v>
      </c>
      <c r="D460" s="9">
        <f t="array" ref="D460">IFERROR(
  INDEX(
    IR!$B$2:$E2026,                
    MATCH($A460, IR!$A$2:$A2026, 0), 
    MATCH(D$1, IR!$B$1:$E$1, 0) ), "")
</f>
        <v>-0.00152</v>
      </c>
      <c r="E460" s="9">
        <f t="array" ref="E460">IFERROR(
  INDEX(
    IR!$B$2:$E2026,                
    MATCH($A460, IR!$A$2:$A2026, 0), 
    MATCH(E$1, IR!$B$1:$E$1, 0) ), "")
</f>
        <v>-0.00074</v>
      </c>
      <c r="F460" s="9">
        <f t="array" ref="F460">IFERROR(
  INDEX(
    IR!$B$2:$E2026,                
    MATCH($A460, IR!$A$2:$A2026, 0), 
    MATCH(F$1, IR!$B$1:$E$1, 0) ), "")
</f>
        <v>0.00032</v>
      </c>
      <c r="G460" s="14"/>
      <c r="H460" s="9">
        <f t="array" ref="H460">IFERROR(
  INDEX(
    SR!$B$2:$D2026,            
    MATCH($A460, SR!$A$2:$A2026, 0),  
    MATCH(H$1, SR!$B$1:$D$1, 0) ), "")
</f>
        <v>-0.00138</v>
      </c>
      <c r="I460" s="9">
        <f t="array" ref="I460">IFERROR(
  INDEX(
    SR!$B$2:$D2026,            
    MATCH($A460, SR!$A$2:$A2026, 0),  
    MATCH(I$1, SR!$B$1:$D$1, 0) ), "")
</f>
        <v>-0.00082</v>
      </c>
      <c r="J460" s="9">
        <f t="array" ref="J460">IFERROR(
  INDEX(
    SR!$B$2:$D2026,            
    MATCH($A460, SR!$A$2:$A2026, 0),  
    MATCH(J$1, SR!$B$1:$D$1, 0) ), "")
</f>
        <v>0.00148</v>
      </c>
      <c r="K460" s="14"/>
      <c r="L460" s="9">
        <v>118.29</v>
      </c>
      <c r="M460" s="9">
        <v>24.45</v>
      </c>
      <c r="N460" s="9">
        <v>112.68</v>
      </c>
      <c r="O460" s="9">
        <v>119.04</v>
      </c>
      <c r="P460" s="9">
        <v>126.62</v>
      </c>
      <c r="Q460" s="9">
        <v>1323.6338</v>
      </c>
      <c r="R460" s="14"/>
      <c r="S460" s="12">
        <f t="shared" si="2"/>
        <v>0.002227189435</v>
      </c>
      <c r="T460" s="12">
        <f t="shared" si="3"/>
        <v>1.002227189</v>
      </c>
      <c r="U460" s="16">
        <f t="shared" si="7"/>
        <v>99.19324976</v>
      </c>
      <c r="V460" s="17"/>
      <c r="W460" s="12">
        <f t="array" ref="W460">SQRT(252/20) *  SQRT( SUMSQ( LN(U439:U458 / U438:U457) )  - (1/20) * ( SUM( LN(U439:U458 / U438:U457) ) ^ 2 ) )</f>
        <v>0.03440921167</v>
      </c>
      <c r="X460" s="9">
        <f t="shared" si="4"/>
        <v>1.5</v>
      </c>
      <c r="Y460" s="14"/>
      <c r="Z460" s="12">
        <f t="shared" si="5"/>
        <v>1.003343979</v>
      </c>
      <c r="AA460" s="16">
        <f t="shared" si="8"/>
        <v>98.80979784</v>
      </c>
      <c r="AB460" s="14"/>
      <c r="AC460" s="9">
        <f t="shared" si="6"/>
        <v>0</v>
      </c>
    </row>
    <row r="461">
      <c r="A461" s="8">
        <v>42394.0</v>
      </c>
      <c r="B461" s="14"/>
      <c r="C461" s="9">
        <f t="array" ref="C461">IFERROR(
  INDEX(
    IR!$B$2:$E2026,                
    MATCH($A461, IR!$A$2:$A2026, 0), 
    MATCH(C$1, IR!$B$1:$E$1, 0) ), "")
</f>
        <v>-0.00231</v>
      </c>
      <c r="D461" s="9">
        <f t="array" ref="D461">IFERROR(
  INDEX(
    IR!$B$2:$E2026,                
    MATCH($A461, IR!$A$2:$A2026, 0), 
    MATCH(D$1, IR!$B$1:$E$1, 0) ), "")
</f>
        <v>-0.00155</v>
      </c>
      <c r="E461" s="9">
        <f t="array" ref="E461">IFERROR(
  INDEX(
    IR!$B$2:$E2026,                
    MATCH($A461, IR!$A$2:$A2026, 0), 
    MATCH(E$1, IR!$B$1:$E$1, 0) ), "")
</f>
        <v>-0.00077</v>
      </c>
      <c r="F461" s="9">
        <f t="array" ref="F461">IFERROR(
  INDEX(
    IR!$B$2:$E2026,                
    MATCH($A461, IR!$A$2:$A2026, 0), 
    MATCH(F$1, IR!$B$1:$E$1, 0) ), "")
</f>
        <v>0.00028</v>
      </c>
      <c r="G461" s="14"/>
      <c r="H461" s="9">
        <f t="array" ref="H461">IFERROR(
  INDEX(
    SR!$B$2:$D2026,            
    MATCH($A461, SR!$A$2:$A2026, 0),  
    MATCH(H$1, SR!$B$1:$D$1, 0) ), "")
</f>
        <v>-0.00136</v>
      </c>
      <c r="I461" s="9">
        <f t="array" ref="I461">IFERROR(
  INDEX(
    SR!$B$2:$D2026,            
    MATCH($A461, SR!$A$2:$A2026, 0),  
    MATCH(I$1, SR!$B$1:$D$1, 0) ), "")
</f>
        <v>-0.000808</v>
      </c>
      <c r="J461" s="9">
        <f t="array" ref="J461">IFERROR(
  INDEX(
    SR!$B$2:$D2026,            
    MATCH($A461, SR!$A$2:$A2026, 0),  
    MATCH(J$1, SR!$B$1:$D$1, 0) ), "")
</f>
        <v>0.001433</v>
      </c>
      <c r="K461" s="14"/>
      <c r="L461" s="9">
        <v>118.06</v>
      </c>
      <c r="M461" s="9">
        <v>24.45</v>
      </c>
      <c r="N461" s="9">
        <v>112.68</v>
      </c>
      <c r="O461" s="9">
        <v>118.91</v>
      </c>
      <c r="P461" s="9">
        <v>126.88</v>
      </c>
      <c r="Q461" s="9">
        <v>1334.5206</v>
      </c>
      <c r="R461" s="14"/>
      <c r="S461" s="12">
        <f t="shared" si="2"/>
        <v>0.001207319321</v>
      </c>
      <c r="T461" s="12">
        <f t="shared" si="3"/>
        <v>1.001207319</v>
      </c>
      <c r="U461" s="16">
        <f t="shared" si="7"/>
        <v>99.31300769</v>
      </c>
      <c r="V461" s="17"/>
      <c r="W461" s="12">
        <f t="array" ref="W461">SQRT(252/20) *  SQRT( SUMSQ( LN(U440:U459 / U439:U458) )  - (1/20) * ( SUM( LN(U440:U459 / U439:U458) ) ^ 2 ) )</f>
        <v>0.03419623059</v>
      </c>
      <c r="X461" s="9">
        <f t="shared" si="4"/>
        <v>1.5</v>
      </c>
      <c r="Y461" s="14"/>
      <c r="Z461" s="12">
        <f t="shared" si="5"/>
        <v>1.001820604</v>
      </c>
      <c r="AA461" s="16">
        <f t="shared" si="8"/>
        <v>98.98969135</v>
      </c>
      <c r="AB461" s="14"/>
      <c r="AC461" s="9">
        <f t="shared" si="6"/>
        <v>0</v>
      </c>
    </row>
    <row r="462">
      <c r="A462" s="8">
        <v>42395.0</v>
      </c>
      <c r="B462" s="14"/>
      <c r="C462" s="9">
        <f t="array" ref="C462">IFERROR(
  INDEX(
    IR!$B$2:$E2026,                
    MATCH($A462, IR!$A$2:$A2026, 0), 
    MATCH(C$1, IR!$B$1:$E$1, 0) ), "")
</f>
        <v>-0.00231</v>
      </c>
      <c r="D462" s="9">
        <f t="array" ref="D462">IFERROR(
  INDEX(
    IR!$B$2:$E2026,                
    MATCH($A462, IR!$A$2:$A2026, 0), 
    MATCH(D$1, IR!$B$1:$E$1, 0) ), "")
</f>
        <v>-0.00158</v>
      </c>
      <c r="E462" s="9">
        <f t="array" ref="E462">IFERROR(
  INDEX(
    IR!$B$2:$E2026,                
    MATCH($A462, IR!$A$2:$A2026, 0), 
    MATCH(E$1, IR!$B$1:$E$1, 0) ), "")
</f>
        <v>-0.00082</v>
      </c>
      <c r="F462" s="9">
        <f t="array" ref="F462">IFERROR(
  INDEX(
    IR!$B$2:$E2026,                
    MATCH($A462, IR!$A$2:$A2026, 0), 
    MATCH(F$1, IR!$B$1:$E$1, 0) ), "")
</f>
        <v>0.00025</v>
      </c>
      <c r="G462" s="14"/>
      <c r="H462" s="9">
        <f t="array" ref="H462">IFERROR(
  INDEX(
    SR!$B$2:$D2026,            
    MATCH($A462, SR!$A$2:$A2026, 0),  
    MATCH(H$1, SR!$B$1:$D$1, 0) ), "")
</f>
        <v>-0.00145</v>
      </c>
      <c r="I462" s="9">
        <f t="array" ref="I462">IFERROR(
  INDEX(
    SR!$B$2:$D2026,            
    MATCH($A462, SR!$A$2:$A2026, 0),  
    MATCH(I$1, SR!$B$1:$D$1, 0) ), "")
</f>
        <v>-0.00088</v>
      </c>
      <c r="J462" s="9">
        <f t="array" ref="J462">IFERROR(
  INDEX(
    SR!$B$2:$D2026,            
    MATCH($A462, SR!$A$2:$A2026, 0),  
    MATCH(J$1, SR!$B$1:$D$1, 0) ), "")
</f>
        <v>0.001353</v>
      </c>
      <c r="K462" s="14"/>
      <c r="L462" s="9">
        <v>118.37</v>
      </c>
      <c r="M462" s="9">
        <v>24.45</v>
      </c>
      <c r="N462" s="9">
        <v>112.62</v>
      </c>
      <c r="O462" s="9">
        <v>118.94</v>
      </c>
      <c r="P462" s="9">
        <v>126.73</v>
      </c>
      <c r="Q462" s="9">
        <v>1328.9977</v>
      </c>
      <c r="R462" s="14"/>
      <c r="S462" s="12">
        <f t="shared" si="2"/>
        <v>-0.0004960680939</v>
      </c>
      <c r="T462" s="12">
        <f t="shared" si="3"/>
        <v>0.9995039319</v>
      </c>
      <c r="U462" s="16">
        <f t="shared" si="7"/>
        <v>99.26374167</v>
      </c>
      <c r="V462" s="17"/>
      <c r="W462" s="12">
        <f t="array" ref="W462">SQRT(252/20) *  SQRT( SUMSQ( LN(U441:U460 / U440:U459) )  - (1/20) * ( SUM( LN(U441:U460 / U440:U459) ) ^ 2 ) )</f>
        <v>0.0360921932</v>
      </c>
      <c r="X462" s="9">
        <f t="shared" si="4"/>
        <v>1.5</v>
      </c>
      <c r="Y462" s="14"/>
      <c r="Z462" s="12">
        <f t="shared" si="5"/>
        <v>0.9992591062</v>
      </c>
      <c r="AA462" s="16">
        <f t="shared" si="8"/>
        <v>98.9163505</v>
      </c>
      <c r="AB462" s="14"/>
      <c r="AC462" s="9">
        <f t="shared" si="6"/>
        <v>0</v>
      </c>
    </row>
    <row r="463">
      <c r="A463" s="8">
        <v>42396.0</v>
      </c>
      <c r="B463" s="14"/>
      <c r="C463" s="9">
        <f t="array" ref="C463">IFERROR(
  INDEX(
    IR!$B$2:$E2026,                
    MATCH($A463, IR!$A$2:$A2026, 0), 
    MATCH(C$1, IR!$B$1:$E$1, 0) ), "")
</f>
        <v>-0.00231</v>
      </c>
      <c r="D463" s="9">
        <f t="array" ref="D463">IFERROR(
  INDEX(
    IR!$B$2:$E2026,                
    MATCH($A463, IR!$A$2:$A2026, 0), 
    MATCH(D$1, IR!$B$1:$E$1, 0) ), "")
</f>
        <v>-0.00159</v>
      </c>
      <c r="E463" s="9">
        <f t="array" ref="E463">IFERROR(
  INDEX(
    IR!$B$2:$E2026,                
    MATCH($A463, IR!$A$2:$A2026, 0), 
    MATCH(E$1, IR!$B$1:$E$1, 0) ), "")
</f>
        <v>-0.00082</v>
      </c>
      <c r="F463" s="9">
        <f t="array" ref="F463">IFERROR(
  INDEX(
    IR!$B$2:$E2026,                
    MATCH($A463, IR!$A$2:$A2026, 0), 
    MATCH(F$1, IR!$B$1:$E$1, 0) ), "")
</f>
        <v>0.00022</v>
      </c>
      <c r="G463" s="14"/>
      <c r="H463" s="9">
        <f t="array" ref="H463">IFERROR(
  INDEX(
    SR!$B$2:$D2026,            
    MATCH($A463, SR!$A$2:$A2026, 0),  
    MATCH(H$1, SR!$B$1:$D$1, 0) ), "")
</f>
        <v>-0.001275</v>
      </c>
      <c r="I463" s="9">
        <f t="array" ref="I463">IFERROR(
  INDEX(
    SR!$B$2:$D2026,            
    MATCH($A463, SR!$A$2:$A2026, 0),  
    MATCH(I$1, SR!$B$1:$D$1, 0) ), "")
</f>
        <v>-0.000763</v>
      </c>
      <c r="J463" s="9">
        <f t="array" ref="J463">IFERROR(
  INDEX(
    SR!$B$2:$D2026,            
    MATCH($A463, SR!$A$2:$A2026, 0),  
    MATCH(J$1, SR!$B$1:$D$1, 0) ), "")
</f>
        <v>0.001253</v>
      </c>
      <c r="K463" s="14"/>
      <c r="L463" s="9">
        <v>118.31</v>
      </c>
      <c r="M463" s="9">
        <v>24.43</v>
      </c>
      <c r="N463" s="9">
        <v>112.67</v>
      </c>
      <c r="O463" s="9">
        <v>119.05</v>
      </c>
      <c r="P463" s="9">
        <v>126.72</v>
      </c>
      <c r="Q463" s="9">
        <v>1334.4037</v>
      </c>
      <c r="R463" s="14"/>
      <c r="S463" s="12">
        <f t="shared" si="2"/>
        <v>0.0006722620968</v>
      </c>
      <c r="T463" s="12">
        <f t="shared" si="3"/>
        <v>1.000672262</v>
      </c>
      <c r="U463" s="16">
        <f t="shared" si="7"/>
        <v>99.33047292</v>
      </c>
      <c r="V463" s="17"/>
      <c r="W463" s="12">
        <f t="array" ref="W463">SQRT(252/20) *  SQRT( SUMSQ( LN(U442:U461 / U441:U460) )  - (1/20) * ( SUM( LN(U442:U461 / U441:U460) ) ^ 2 ) )</f>
        <v>0.03628973561</v>
      </c>
      <c r="X463" s="9">
        <f t="shared" si="4"/>
        <v>1.5</v>
      </c>
      <c r="Y463" s="14"/>
      <c r="Z463" s="12">
        <f t="shared" si="5"/>
        <v>1.001011601</v>
      </c>
      <c r="AA463" s="16">
        <f t="shared" si="8"/>
        <v>99.01641442</v>
      </c>
      <c r="AB463" s="14"/>
      <c r="AC463" s="9">
        <f t="shared" si="6"/>
        <v>0</v>
      </c>
    </row>
    <row r="464">
      <c r="A464" s="8">
        <v>42397.0</v>
      </c>
      <c r="B464" s="14"/>
      <c r="C464" s="9">
        <f t="array" ref="C464">IFERROR(
  INDEX(
    IR!$B$2:$E2026,                
    MATCH($A464, IR!$A$2:$A2026, 0), 
    MATCH(C$1, IR!$B$1:$E$1, 0) ), "")
</f>
        <v>-0.00229</v>
      </c>
      <c r="D464" s="9">
        <f t="array" ref="D464">IFERROR(
  INDEX(
    IR!$B$2:$E2026,                
    MATCH($A464, IR!$A$2:$A2026, 0), 
    MATCH(D$1, IR!$B$1:$E$1, 0) ), "")
</f>
        <v>-0.0016</v>
      </c>
      <c r="E464" s="9">
        <f t="array" ref="E464">IFERROR(
  INDEX(
    IR!$B$2:$E2026,                
    MATCH($A464, IR!$A$2:$A2026, 0), 
    MATCH(E$1, IR!$B$1:$E$1, 0) ), "")
</f>
        <v>-0.00083</v>
      </c>
      <c r="F464" s="9">
        <f t="array" ref="F464">IFERROR(
  INDEX(
    IR!$B$2:$E2026,                
    MATCH($A464, IR!$A$2:$A2026, 0), 
    MATCH(F$1, IR!$B$1:$E$1, 0) ), "")
</f>
        <v>0.00022</v>
      </c>
      <c r="G464" s="14"/>
      <c r="H464" s="9">
        <f t="array" ref="H464">IFERROR(
  INDEX(
    SR!$B$2:$D2026,            
    MATCH($A464, SR!$A$2:$A2026, 0),  
    MATCH(H$1, SR!$B$1:$D$1, 0) ), "")
</f>
        <v>-0.00138</v>
      </c>
      <c r="I464" s="9">
        <f t="array" ref="I464">IFERROR(
  INDEX(
    SR!$B$2:$D2026,            
    MATCH($A464, SR!$A$2:$A2026, 0),  
    MATCH(I$1, SR!$B$1:$D$1, 0) ), "")
</f>
        <v>-0.000864</v>
      </c>
      <c r="J464" s="9">
        <f t="array" ref="J464">IFERROR(
  INDEX(
    SR!$B$2:$D2026,            
    MATCH($A464, SR!$A$2:$A2026, 0),  
    MATCH(J$1, SR!$B$1:$D$1, 0) ), "")
</f>
        <v>0.001226</v>
      </c>
      <c r="K464" s="14"/>
      <c r="L464" s="9">
        <v>118.04</v>
      </c>
      <c r="M464" s="9">
        <v>24.42</v>
      </c>
      <c r="N464" s="9">
        <v>112.68</v>
      </c>
      <c r="O464" s="9">
        <v>119.04</v>
      </c>
      <c r="P464" s="9">
        <v>126.64</v>
      </c>
      <c r="Q464" s="9">
        <v>1330.627</v>
      </c>
      <c r="R464" s="14"/>
      <c r="S464" s="12">
        <f t="shared" si="2"/>
        <v>-0.001024586899</v>
      </c>
      <c r="T464" s="12">
        <f t="shared" si="3"/>
        <v>0.9989754131</v>
      </c>
      <c r="U464" s="16">
        <f t="shared" si="7"/>
        <v>99.22870022</v>
      </c>
      <c r="V464" s="17"/>
      <c r="W464" s="12">
        <f t="array" ref="W464">SQRT(252/20) *  SQRT( SUMSQ( LN(U443:U462 / U442:U461) )  - (1/20) * ( SUM( LN(U443:U462 / U442:U461) ) ^ 2 ) )</f>
        <v>0.03436096568</v>
      </c>
      <c r="X464" s="9">
        <f t="shared" si="4"/>
        <v>1.5</v>
      </c>
      <c r="Y464" s="14"/>
      <c r="Z464" s="12">
        <f t="shared" si="5"/>
        <v>0.998466328</v>
      </c>
      <c r="AA464" s="16">
        <f t="shared" si="8"/>
        <v>98.86455572</v>
      </c>
      <c r="AB464" s="14"/>
      <c r="AC464" s="9">
        <f t="shared" si="6"/>
        <v>0</v>
      </c>
    </row>
    <row r="465">
      <c r="A465" s="8">
        <v>42398.0</v>
      </c>
      <c r="B465" s="14"/>
      <c r="C465" s="9">
        <f t="array" ref="C465">IFERROR(
  INDEX(
    IR!$B$2:$E2026,                
    MATCH($A465, IR!$A$2:$A2026, 0), 
    MATCH(C$1, IR!$B$1:$E$1, 0) ), "")
</f>
        <v>-0.00229</v>
      </c>
      <c r="D465" s="9">
        <f t="array" ref="D465">IFERROR(
  INDEX(
    IR!$B$2:$E2026,                
    MATCH($A465, IR!$A$2:$A2026, 0), 
    MATCH(D$1, IR!$B$1:$E$1, 0) ), "")
</f>
        <v>-0.00162</v>
      </c>
      <c r="E465" s="9">
        <f t="array" ref="E465">IFERROR(
  INDEX(
    IR!$B$2:$E2026,                
    MATCH($A465, IR!$A$2:$A2026, 0), 
    MATCH(E$1, IR!$B$1:$E$1, 0) ), "")
</f>
        <v>-0.00089</v>
      </c>
      <c r="F465" s="9">
        <f t="array" ref="F465">IFERROR(
  INDEX(
    IR!$B$2:$E2026,                
    MATCH($A465, IR!$A$2:$A2026, 0), 
    MATCH(F$1, IR!$B$1:$E$1, 0) ), "")
</f>
        <v>0.00015</v>
      </c>
      <c r="G465" s="14"/>
      <c r="H465" s="9">
        <f t="array" ref="H465">IFERROR(
  INDEX(
    SR!$B$2:$D2026,            
    MATCH($A465, SR!$A$2:$A2026, 0),  
    MATCH(H$1, SR!$B$1:$D$1, 0) ), "")
</f>
        <v>-0.00173</v>
      </c>
      <c r="I465" s="9">
        <f t="array" ref="I465">IFERROR(
  INDEX(
    SR!$B$2:$D2026,            
    MATCH($A465, SR!$A$2:$A2026, 0),  
    MATCH(I$1, SR!$B$1:$D$1, 0) ), "")
</f>
        <v>-0.00121</v>
      </c>
      <c r="J465" s="9">
        <f t="array" ref="J465">IFERROR(
  INDEX(
    SR!$B$2:$D2026,            
    MATCH($A465, SR!$A$2:$A2026, 0),  
    MATCH(J$1, SR!$B$1:$D$1, 0) ), "")
</f>
        <v>0.000775</v>
      </c>
      <c r="K465" s="14"/>
      <c r="L465" s="9">
        <v>118.5</v>
      </c>
      <c r="M465" s="9">
        <v>24.44</v>
      </c>
      <c r="N465" s="9">
        <v>112.74</v>
      </c>
      <c r="O465" s="9">
        <v>119.27</v>
      </c>
      <c r="P465" s="9">
        <v>126.29</v>
      </c>
      <c r="Q465" s="9">
        <v>1331.2125</v>
      </c>
      <c r="R465" s="14"/>
      <c r="S465" s="12">
        <f t="shared" si="2"/>
        <v>0.0008091982612</v>
      </c>
      <c r="T465" s="12">
        <f t="shared" si="3"/>
        <v>1.000809198</v>
      </c>
      <c r="U465" s="16">
        <f t="shared" si="7"/>
        <v>99.30899591</v>
      </c>
      <c r="V465" s="17"/>
      <c r="W465" s="12">
        <f t="array" ref="W465">SQRT(252/20) *  SQRT( SUMSQ( LN(U444:U463 / U443:U462) )  - (1/20) * ( SUM( LN(U444:U463 / U443:U462) ) ^ 2 ) )</f>
        <v>0.03461985844</v>
      </c>
      <c r="X465" s="9">
        <f t="shared" si="4"/>
        <v>1.5</v>
      </c>
      <c r="Y465" s="14"/>
      <c r="Z465" s="12">
        <f t="shared" si="5"/>
        <v>1.001216978</v>
      </c>
      <c r="AA465" s="16">
        <f t="shared" si="8"/>
        <v>98.9848717</v>
      </c>
      <c r="AB465" s="14"/>
      <c r="AC465" s="9">
        <f t="shared" si="6"/>
        <v>0</v>
      </c>
    </row>
    <row r="466">
      <c r="A466" s="8">
        <v>42401.0</v>
      </c>
      <c r="B466" s="14"/>
      <c r="C466" s="9">
        <f t="array" ref="C466">IFERROR(
  INDEX(
    IR!$B$2:$E2026,                
    MATCH($A466, IR!$A$2:$A2026, 0), 
    MATCH(C$1, IR!$B$1:$E$1, 0) ), "")
</f>
        <v>-0.00232</v>
      </c>
      <c r="D466" s="9">
        <f t="array" ref="D466">IFERROR(
  INDEX(
    IR!$B$2:$E2026,                
    MATCH($A466, IR!$A$2:$A2026, 0), 
    MATCH(D$1, IR!$B$1:$E$1, 0) ), "")
</f>
        <v>-0.00162</v>
      </c>
      <c r="E466" s="9">
        <f t="array" ref="E466">IFERROR(
  INDEX(
    IR!$B$2:$E2026,                
    MATCH($A466, IR!$A$2:$A2026, 0), 
    MATCH(E$1, IR!$B$1:$E$1, 0) ), "")
</f>
        <v>-0.00094</v>
      </c>
      <c r="F466" s="9">
        <f t="array" ref="F466">IFERROR(
  INDEX(
    IR!$B$2:$E2026,                
    MATCH($A466, IR!$A$2:$A2026, 0), 
    MATCH(F$1, IR!$B$1:$E$1, 0) ), "")
</f>
        <v>0.0001</v>
      </c>
      <c r="G466" s="14"/>
      <c r="H466" s="9">
        <f t="array" ref="H466">IFERROR(
  INDEX(
    SR!$B$2:$D2026,            
    MATCH($A466, SR!$A$2:$A2026, 0),  
    MATCH(H$1, SR!$B$1:$D$1, 0) ), "")
</f>
        <v>-0.00171</v>
      </c>
      <c r="I466" s="9">
        <f t="array" ref="I466">IFERROR(
  INDEX(
    SR!$B$2:$D2026,            
    MATCH($A466, SR!$A$2:$A2026, 0),  
    MATCH(I$1, SR!$B$1:$D$1, 0) ), "")
</f>
        <v>-0.00116</v>
      </c>
      <c r="J466" s="9">
        <f t="array" ref="J466">IFERROR(
  INDEX(
    SR!$B$2:$D2026,            
    MATCH($A466, SR!$A$2:$A2026, 0),  
    MATCH(J$1, SR!$B$1:$D$1, 0) ), "")
</f>
        <v>0.000785</v>
      </c>
      <c r="K466" s="14"/>
      <c r="L466" s="9">
        <v>118.36</v>
      </c>
      <c r="M466" s="9">
        <v>24.43</v>
      </c>
      <c r="N466" s="9">
        <v>112.73</v>
      </c>
      <c r="O466" s="9">
        <v>119.55</v>
      </c>
      <c r="P466" s="9">
        <v>126.55</v>
      </c>
      <c r="Q466" s="9">
        <v>1342.7595</v>
      </c>
      <c r="R466" s="14"/>
      <c r="S466" s="12">
        <f t="shared" si="2"/>
        <v>0.001900293315</v>
      </c>
      <c r="T466" s="12">
        <f t="shared" si="3"/>
        <v>1.001900293</v>
      </c>
      <c r="U466" s="16">
        <f t="shared" si="7"/>
        <v>99.49771213</v>
      </c>
      <c r="V466" s="17"/>
      <c r="W466" s="12">
        <f t="array" ref="W466">SQRT(252/20) *  SQRT( SUMSQ( LN(U445:U464 / U444:U463) )  - (1/20) * ( SUM( LN(U445:U464 / U444:U463) ) ^ 2 ) )</f>
        <v>0.03050021999</v>
      </c>
      <c r="X466" s="9">
        <f t="shared" si="4"/>
        <v>1.5</v>
      </c>
      <c r="Y466" s="14"/>
      <c r="Z466" s="12">
        <f t="shared" si="5"/>
        <v>1.002859982</v>
      </c>
      <c r="AA466" s="16">
        <f t="shared" si="8"/>
        <v>99.26796662</v>
      </c>
      <c r="AB466" s="14"/>
      <c r="AC466" s="9">
        <f t="shared" si="6"/>
        <v>0</v>
      </c>
    </row>
    <row r="467">
      <c r="A467" s="8">
        <v>42402.0</v>
      </c>
      <c r="B467" s="14"/>
      <c r="C467" s="9">
        <f t="array" ref="C467">IFERROR(
  INDEX(
    IR!$B$2:$E2026,                
    MATCH($A467, IR!$A$2:$A2026, 0), 
    MATCH(C$1, IR!$B$1:$E$1, 0) ), "")
</f>
        <v>-0.00231</v>
      </c>
      <c r="D467" s="9">
        <f t="array" ref="D467">IFERROR(
  INDEX(
    IR!$B$2:$E2026,                
    MATCH($A467, IR!$A$2:$A2026, 0), 
    MATCH(D$1, IR!$B$1:$E$1, 0) ), "")
</f>
        <v>-0.00161</v>
      </c>
      <c r="E467" s="9">
        <f t="array" ref="E467">IFERROR(
  INDEX(
    IR!$B$2:$E2026,                
    MATCH($A467, IR!$A$2:$A2026, 0), 
    MATCH(E$1, IR!$B$1:$E$1, 0) ), "")
</f>
        <v>-0.00094</v>
      </c>
      <c r="F467" s="9">
        <f t="array" ref="F467">IFERROR(
  INDEX(
    IR!$B$2:$E2026,                
    MATCH($A467, IR!$A$2:$A2026, 0), 
    MATCH(F$1, IR!$B$1:$E$1, 0) ), "")
</f>
        <v>0.00009</v>
      </c>
      <c r="G467" s="14"/>
      <c r="H467" s="9">
        <f t="array" ref="H467">IFERROR(
  INDEX(
    SR!$B$2:$D2026,            
    MATCH($A467, SR!$A$2:$A2026, 0),  
    MATCH(H$1, SR!$B$1:$D$1, 0) ), "")
</f>
        <v>-0.00184</v>
      </c>
      <c r="I467" s="9">
        <f t="array" ref="I467">IFERROR(
  INDEX(
    SR!$B$2:$D2026,            
    MATCH($A467, SR!$A$2:$A2026, 0),  
    MATCH(I$1, SR!$B$1:$D$1, 0) ), "")
</f>
        <v>-0.001356</v>
      </c>
      <c r="J467" s="9">
        <f t="array" ref="J467">IFERROR(
  INDEX(
    SR!$B$2:$D2026,            
    MATCH($A467, SR!$A$2:$A2026, 0),  
    MATCH(J$1, SR!$B$1:$D$1, 0) ), "")
</f>
        <v>0.00054</v>
      </c>
      <c r="K467" s="14"/>
      <c r="L467" s="9">
        <v>117.78</v>
      </c>
      <c r="M467" s="9">
        <v>24.43</v>
      </c>
      <c r="N467" s="9">
        <v>112.72</v>
      </c>
      <c r="O467" s="9">
        <v>119.43</v>
      </c>
      <c r="P467" s="9">
        <v>126.22</v>
      </c>
      <c r="Q467" s="9">
        <v>1343.8552</v>
      </c>
      <c r="R467" s="14"/>
      <c r="S467" s="12">
        <f t="shared" si="2"/>
        <v>-0.001296805206</v>
      </c>
      <c r="T467" s="12">
        <f t="shared" si="3"/>
        <v>0.9987031948</v>
      </c>
      <c r="U467" s="16">
        <f t="shared" si="7"/>
        <v>99.36868298</v>
      </c>
      <c r="V467" s="17"/>
      <c r="W467" s="12">
        <f t="array" ref="W467">SQRT(252/20) *  SQRT( SUMSQ( LN(U446:U465 / U445:U464) )  - (1/20) * ( SUM( LN(U446:U465 / U445:U464) ) ^ 2 ) )</f>
        <v>0.03128538403</v>
      </c>
      <c r="X467" s="9">
        <f t="shared" si="4"/>
        <v>1.5</v>
      </c>
      <c r="Y467" s="14"/>
      <c r="Z467" s="12">
        <f t="shared" si="5"/>
        <v>0.9980580144</v>
      </c>
      <c r="AA467" s="16">
        <f t="shared" si="8"/>
        <v>99.07518966</v>
      </c>
      <c r="AB467" s="14"/>
      <c r="AC467" s="9">
        <f t="shared" si="6"/>
        <v>0</v>
      </c>
    </row>
    <row r="468">
      <c r="A468" s="8">
        <v>42403.0</v>
      </c>
      <c r="B468" s="14"/>
      <c r="C468" s="9">
        <f t="array" ref="C468">IFERROR(
  INDEX(
    IR!$B$2:$E2026,                
    MATCH($A468, IR!$A$2:$A2026, 0), 
    MATCH(C$1, IR!$B$1:$E$1, 0) ), "")
</f>
        <v>-0.00232</v>
      </c>
      <c r="D468" s="9">
        <f t="array" ref="D468">IFERROR(
  INDEX(
    IR!$B$2:$E2026,                
    MATCH($A468, IR!$A$2:$A2026, 0), 
    MATCH(D$1, IR!$B$1:$E$1, 0) ), "")
</f>
        <v>-0.00162</v>
      </c>
      <c r="E468" s="9">
        <f t="array" ref="E468">IFERROR(
  INDEX(
    IR!$B$2:$E2026,                
    MATCH($A468, IR!$A$2:$A2026, 0), 
    MATCH(E$1, IR!$B$1:$E$1, 0) ), "")
</f>
        <v>-0.00096</v>
      </c>
      <c r="F468" s="9">
        <f t="array" ref="F468">IFERROR(
  INDEX(
    IR!$B$2:$E2026,                
    MATCH($A468, IR!$A$2:$A2026, 0), 
    MATCH(F$1, IR!$B$1:$E$1, 0) ), "")
</f>
        <v>0.00008</v>
      </c>
      <c r="G468" s="14"/>
      <c r="H468" s="9">
        <f t="array" ref="H468">IFERROR(
  INDEX(
    SR!$B$2:$D2026,            
    MATCH($A468, SR!$A$2:$A2026, 0),  
    MATCH(H$1, SR!$B$1:$D$1, 0) ), "")
</f>
        <v>-0.00198</v>
      </c>
      <c r="I468" s="9">
        <f t="array" ref="I468">IFERROR(
  INDEX(
    SR!$B$2:$D2026,            
    MATCH($A468, SR!$A$2:$A2026, 0),  
    MATCH(I$1, SR!$B$1:$D$1, 0) ), "")
</f>
        <v>-0.001545</v>
      </c>
      <c r="J468" s="9">
        <f t="array" ref="J468">IFERROR(
  INDEX(
    SR!$B$2:$D2026,            
    MATCH($A468, SR!$A$2:$A2026, 0),  
    MATCH(J$1, SR!$B$1:$D$1, 0) ), "")
</f>
        <v>0.000466</v>
      </c>
      <c r="K468" s="14"/>
      <c r="L468" s="9">
        <v>117.3</v>
      </c>
      <c r="M468" s="9">
        <v>24.41</v>
      </c>
      <c r="N468" s="9">
        <v>112.71</v>
      </c>
      <c r="O468" s="9">
        <v>119.52</v>
      </c>
      <c r="P468" s="9">
        <v>126.17</v>
      </c>
      <c r="Q468" s="9">
        <v>1332.3521</v>
      </c>
      <c r="R468" s="14"/>
      <c r="S468" s="12">
        <f t="shared" si="2"/>
        <v>-0.002197494703</v>
      </c>
      <c r="T468" s="12">
        <f t="shared" si="3"/>
        <v>0.9978025053</v>
      </c>
      <c r="U468" s="16">
        <f t="shared" si="7"/>
        <v>99.15032083</v>
      </c>
      <c r="V468" s="17"/>
      <c r="W468" s="12">
        <f t="array" ref="W468">SQRT(252/20) *  SQRT( SUMSQ( LN(U447:U466 / U446:U465) )  - (1/20) * ( SUM( LN(U447:U466 / U446:U465) ) ^ 2 ) )</f>
        <v>0.03198314732</v>
      </c>
      <c r="X468" s="9">
        <f t="shared" si="4"/>
        <v>1.5</v>
      </c>
      <c r="Y468" s="14"/>
      <c r="Z468" s="12">
        <f t="shared" si="5"/>
        <v>0.9967069663</v>
      </c>
      <c r="AA468" s="16">
        <f t="shared" si="8"/>
        <v>98.74893172</v>
      </c>
      <c r="AB468" s="14"/>
      <c r="AC468" s="9">
        <f t="shared" si="6"/>
        <v>0</v>
      </c>
    </row>
    <row r="469">
      <c r="A469" s="8">
        <v>42404.0</v>
      </c>
      <c r="B469" s="14"/>
      <c r="C469" s="9">
        <f t="array" ref="C469">IFERROR(
  INDEX(
    IR!$B$2:$E2026,                
    MATCH($A469, IR!$A$2:$A2026, 0), 
    MATCH(C$1, IR!$B$1:$E$1, 0) ), "")
</f>
        <v>-0.00234</v>
      </c>
      <c r="D469" s="9">
        <f t="array" ref="D469">IFERROR(
  INDEX(
    IR!$B$2:$E2026,                
    MATCH($A469, IR!$A$2:$A2026, 0), 
    MATCH(D$1, IR!$B$1:$E$1, 0) ), "")
</f>
        <v>-0.00166</v>
      </c>
      <c r="E469" s="9">
        <f t="array" ref="E469">IFERROR(
  INDEX(
    IR!$B$2:$E2026,                
    MATCH($A469, IR!$A$2:$A2026, 0), 
    MATCH(E$1, IR!$B$1:$E$1, 0) ), "")
</f>
        <v>-0.00102</v>
      </c>
      <c r="F469" s="9">
        <f t="array" ref="F469">IFERROR(
  INDEX(
    IR!$B$2:$E2026,                
    MATCH($A469, IR!$A$2:$A2026, 0), 
    MATCH(F$1, IR!$B$1:$E$1, 0) ), "")
</f>
        <v>0.00002</v>
      </c>
      <c r="G469" s="14"/>
      <c r="H469" s="9">
        <f t="array" ref="H469">IFERROR(
  INDEX(
    SR!$B$2:$D2026,            
    MATCH($A469, SR!$A$2:$A2026, 0),  
    MATCH(H$1, SR!$B$1:$D$1, 0) ), "")
</f>
        <v>-0.00184</v>
      </c>
      <c r="I469" s="9">
        <f t="array" ref="I469">IFERROR(
  INDEX(
    SR!$B$2:$D2026,            
    MATCH($A469, SR!$A$2:$A2026, 0),  
    MATCH(I$1, SR!$B$1:$D$1, 0) ), "")
</f>
        <v>-0.00135</v>
      </c>
      <c r="J469" s="9">
        <f t="array" ref="J469">IFERROR(
  INDEX(
    SR!$B$2:$D2026,            
    MATCH($A469, SR!$A$2:$A2026, 0),  
    MATCH(J$1, SR!$B$1:$D$1, 0) ), "")
</f>
        <v>0.00055</v>
      </c>
      <c r="K469" s="14"/>
      <c r="L469" s="9">
        <v>117.24</v>
      </c>
      <c r="M469" s="9">
        <v>24.4</v>
      </c>
      <c r="N469" s="9">
        <v>112.73</v>
      </c>
      <c r="O469" s="9">
        <v>119.7</v>
      </c>
      <c r="P469" s="9">
        <v>125.55</v>
      </c>
      <c r="Q469" s="9">
        <v>1326.7896</v>
      </c>
      <c r="R469" s="14"/>
      <c r="S469" s="12">
        <f t="shared" si="2"/>
        <v>-0.001387638858</v>
      </c>
      <c r="T469" s="12">
        <f t="shared" si="3"/>
        <v>0.9986123611</v>
      </c>
      <c r="U469" s="16">
        <f t="shared" si="7"/>
        <v>99.01273599</v>
      </c>
      <c r="V469" s="17"/>
      <c r="W469" s="12">
        <f t="array" ref="W469">SQRT(252/20) *  SQRT( SUMSQ( LN(U448:U467 / U447:U466) )  - (1/20) * ( SUM( LN(U448:U467 / U447:U466) ) ^ 2 ) )</f>
        <v>0.02852278847</v>
      </c>
      <c r="X469" s="9">
        <f t="shared" si="4"/>
        <v>1.5</v>
      </c>
      <c r="Y469" s="14"/>
      <c r="Z469" s="12">
        <f t="shared" si="5"/>
        <v>0.9979217639</v>
      </c>
      <c r="AA469" s="16">
        <f t="shared" si="8"/>
        <v>98.54370813</v>
      </c>
      <c r="AB469" s="14"/>
      <c r="AC469" s="9">
        <f t="shared" si="6"/>
        <v>0</v>
      </c>
    </row>
    <row r="470">
      <c r="A470" s="8">
        <v>42405.0</v>
      </c>
      <c r="B470" s="14"/>
      <c r="C470" s="9">
        <f t="array" ref="C470">IFERROR(
  INDEX(
    IR!$B$2:$E2026,                
    MATCH($A470, IR!$A$2:$A2026, 0), 
    MATCH(C$1, IR!$B$1:$E$1, 0) ), "")
</f>
        <v>-0.00234</v>
      </c>
      <c r="D470" s="9">
        <f t="array" ref="D470">IFERROR(
  INDEX(
    IR!$B$2:$E2026,                
    MATCH($A470, IR!$A$2:$A2026, 0), 
    MATCH(D$1, IR!$B$1:$E$1, 0) ), "")
</f>
        <v>-0.00167</v>
      </c>
      <c r="E470" s="9">
        <f t="array" ref="E470">IFERROR(
  INDEX(
    IR!$B$2:$E2026,                
    MATCH($A470, IR!$A$2:$A2026, 0), 
    MATCH(E$1, IR!$B$1:$E$1, 0) ), "")
</f>
        <v>-0.00104</v>
      </c>
      <c r="F470" s="9">
        <f t="array" ref="F470">IFERROR(
  INDEX(
    IR!$B$2:$E2026,                
    MATCH($A470, IR!$A$2:$A2026, 0), 
    MATCH(F$1, IR!$B$1:$E$1, 0) ), "")
</f>
        <v>-0.00002</v>
      </c>
      <c r="G470" s="14"/>
      <c r="H470" s="9">
        <f t="array" ref="H470">IFERROR(
  INDEX(
    SR!$B$2:$D2026,            
    MATCH($A470, SR!$A$2:$A2026, 0),  
    MATCH(H$1, SR!$B$1:$D$1, 0) ), "")
</f>
        <v>-0.00196</v>
      </c>
      <c r="I470" s="9">
        <f t="array" ref="I470">IFERROR(
  INDEX(
    SR!$B$2:$D2026,            
    MATCH($A470, SR!$A$2:$A2026, 0),  
    MATCH(I$1, SR!$B$1:$D$1, 0) ), "")
</f>
        <v>-0.001365</v>
      </c>
      <c r="J470" s="9">
        <f t="array" ref="J470">IFERROR(
  INDEX(
    SR!$B$2:$D2026,            
    MATCH($A470, SR!$A$2:$A2026, 0),  
    MATCH(J$1, SR!$B$1:$D$1, 0) ), "")
</f>
        <v>0.000558</v>
      </c>
      <c r="K470" s="14"/>
      <c r="L470" s="9">
        <v>116.87</v>
      </c>
      <c r="M470" s="9">
        <v>24.39</v>
      </c>
      <c r="N470" s="9">
        <v>112.73</v>
      </c>
      <c r="O470" s="9">
        <v>119.54</v>
      </c>
      <c r="P470" s="9">
        <v>125.22</v>
      </c>
      <c r="Q470" s="9">
        <v>1327.1582</v>
      </c>
      <c r="R470" s="14"/>
      <c r="S470" s="12">
        <f t="shared" si="2"/>
        <v>-0.001208330682</v>
      </c>
      <c r="T470" s="12">
        <f t="shared" si="3"/>
        <v>0.9987916693</v>
      </c>
      <c r="U470" s="16">
        <f t="shared" si="7"/>
        <v>98.89309586</v>
      </c>
      <c r="V470" s="17"/>
      <c r="W470" s="12">
        <f t="array" ref="W470">SQRT(252/20) *  SQRT( SUMSQ( LN(U449:U468 / U448:U467) )  - (1/20) * ( SUM( LN(U449:U468 / U448:U467) ) ^ 2 ) )</f>
        <v>0.02881745196</v>
      </c>
      <c r="X470" s="9">
        <f t="shared" si="4"/>
        <v>1.5</v>
      </c>
      <c r="Y470" s="14"/>
      <c r="Z470" s="12">
        <f t="shared" si="5"/>
        <v>0.998190754</v>
      </c>
      <c r="AA470" s="16">
        <f t="shared" si="8"/>
        <v>98.36541832</v>
      </c>
      <c r="AB470" s="14"/>
      <c r="AC470" s="9">
        <f t="shared" si="6"/>
        <v>0</v>
      </c>
    </row>
    <row r="471">
      <c r="A471" s="8">
        <v>42408.0</v>
      </c>
      <c r="B471" s="14"/>
      <c r="C471" s="9">
        <f t="array" ref="C471">IFERROR(
  INDEX(
    IR!$B$2:$E2026,                
    MATCH($A471, IR!$A$2:$A2026, 0), 
    MATCH(C$1, IR!$B$1:$E$1, 0) ), "")
</f>
        <v>-0.00235</v>
      </c>
      <c r="D471" s="9">
        <f t="array" ref="D471">IFERROR(
  INDEX(
    IR!$B$2:$E2026,                
    MATCH($A471, IR!$A$2:$A2026, 0), 
    MATCH(D$1, IR!$B$1:$E$1, 0) ), "")
</f>
        <v>-0.00169</v>
      </c>
      <c r="E471" s="9">
        <f t="array" ref="E471">IFERROR(
  INDEX(
    IR!$B$2:$E2026,                
    MATCH($A471, IR!$A$2:$A2026, 0), 
    MATCH(E$1, IR!$B$1:$E$1, 0) ), "")
</f>
        <v>-0.00107</v>
      </c>
      <c r="F471" s="9">
        <f t="array" ref="F471">IFERROR(
  INDEX(
    IR!$B$2:$E2026,                
    MATCH($A471, IR!$A$2:$A2026, 0), 
    MATCH(F$1, IR!$B$1:$E$1, 0) ), "")
</f>
        <v>-0.00005</v>
      </c>
      <c r="G471" s="14"/>
      <c r="H471" s="9">
        <f t="array" ref="H471">IFERROR(
  INDEX(
    SR!$B$2:$D2026,            
    MATCH($A471, SR!$A$2:$A2026, 0),  
    MATCH(H$1, SR!$B$1:$D$1, 0) ), "")
</f>
        <v>-0.00162</v>
      </c>
      <c r="I471" s="9">
        <f t="array" ref="I471">IFERROR(
  INDEX(
    SR!$B$2:$D2026,            
    MATCH($A471, SR!$A$2:$A2026, 0),  
    MATCH(I$1, SR!$B$1:$D$1, 0) ), "")
</f>
        <v>-0.001305</v>
      </c>
      <c r="J471" s="9">
        <f t="array" ref="J471">IFERROR(
  INDEX(
    SR!$B$2:$D2026,            
    MATCH($A471, SR!$A$2:$A2026, 0),  
    MATCH(J$1, SR!$B$1:$D$1, 0) ), "")
</f>
        <v>0.000443</v>
      </c>
      <c r="K471" s="14"/>
      <c r="L471" s="9">
        <v>115.66</v>
      </c>
      <c r="M471" s="9">
        <v>24.37</v>
      </c>
      <c r="N471" s="9">
        <v>112.71</v>
      </c>
      <c r="O471" s="9">
        <v>119.55</v>
      </c>
      <c r="P471" s="9">
        <v>125.12</v>
      </c>
      <c r="Q471" s="9">
        <v>1315.049</v>
      </c>
      <c r="R471" s="14"/>
      <c r="S471" s="12">
        <f t="shared" si="2"/>
        <v>-0.003531150588</v>
      </c>
      <c r="T471" s="12">
        <f t="shared" si="3"/>
        <v>0.9964688494</v>
      </c>
      <c r="U471" s="16">
        <f t="shared" si="7"/>
        <v>98.54388945</v>
      </c>
      <c r="V471" s="17"/>
      <c r="W471" s="12">
        <f t="array" ref="W471">SQRT(252/20) *  SQRT( SUMSQ( LN(U450:U469 / U449:U468) )  - (1/20) * ( SUM( LN(U450:U469 / U449:U468) ) ^ 2 ) )</f>
        <v>0.02762821947</v>
      </c>
      <c r="X471" s="9">
        <f t="shared" si="4"/>
        <v>1.5</v>
      </c>
      <c r="Y471" s="14"/>
      <c r="Z471" s="12">
        <f t="shared" si="5"/>
        <v>0.9947130241</v>
      </c>
      <c r="AA471" s="16">
        <f t="shared" si="8"/>
        <v>97.84536272</v>
      </c>
      <c r="AB471" s="14"/>
      <c r="AC471" s="9">
        <f t="shared" si="6"/>
        <v>0</v>
      </c>
    </row>
    <row r="472">
      <c r="A472" s="8">
        <v>42409.0</v>
      </c>
      <c r="B472" s="14"/>
      <c r="C472" s="9">
        <f t="array" ref="C472">IFERROR(
  INDEX(
    IR!$B$2:$E2026,                
    MATCH($A472, IR!$A$2:$A2026, 0), 
    MATCH(C$1, IR!$B$1:$E$1, 0) ), "")
</f>
        <v>-0.00237</v>
      </c>
      <c r="D472" s="9">
        <f t="array" ref="D472">IFERROR(
  INDEX(
    IR!$B$2:$E2026,                
    MATCH($A472, IR!$A$2:$A2026, 0), 
    MATCH(D$1, IR!$B$1:$E$1, 0) ), "")
</f>
        <v>-0.00171</v>
      </c>
      <c r="E472" s="9">
        <f t="array" ref="E472">IFERROR(
  INDEX(
    IR!$B$2:$E2026,                
    MATCH($A472, IR!$A$2:$A2026, 0), 
    MATCH(E$1, IR!$B$1:$E$1, 0) ), "")
</f>
        <v>-0.00109</v>
      </c>
      <c r="F472" s="9">
        <f t="array" ref="F472">IFERROR(
  INDEX(
    IR!$B$2:$E2026,                
    MATCH($A472, IR!$A$2:$A2026, 0), 
    MATCH(F$1, IR!$B$1:$E$1, 0) ), "")
</f>
        <v>-0.00004</v>
      </c>
      <c r="G472" s="14"/>
      <c r="H472" s="9">
        <f t="array" ref="H472">IFERROR(
  INDEX(
    SR!$B$2:$D2026,            
    MATCH($A472, SR!$A$2:$A2026, 0),  
    MATCH(H$1, SR!$B$1:$D$1, 0) ), "")
</f>
        <v>-0.00164</v>
      </c>
      <c r="I472" s="9">
        <f t="array" ref="I472">IFERROR(
  INDEX(
    SR!$B$2:$D2026,            
    MATCH($A472, SR!$A$2:$A2026, 0),  
    MATCH(I$1, SR!$B$1:$D$1, 0) ), "")
</f>
        <v>-0.001255</v>
      </c>
      <c r="J472" s="9">
        <f t="array" ref="J472">IFERROR(
  INDEX(
    SR!$B$2:$D2026,            
    MATCH($A472, SR!$A$2:$A2026, 0),  
    MATCH(J$1, SR!$B$1:$D$1, 0) ), "")
</f>
        <v>0.000595</v>
      </c>
      <c r="K472" s="14"/>
      <c r="L472" s="9">
        <v>114.83</v>
      </c>
      <c r="M472" s="9">
        <v>24.34</v>
      </c>
      <c r="N472" s="9">
        <v>112.6</v>
      </c>
      <c r="O472" s="9">
        <v>119.79</v>
      </c>
      <c r="P472" s="9">
        <v>124.68</v>
      </c>
      <c r="Q472" s="9">
        <v>1298.2454</v>
      </c>
      <c r="R472" s="14"/>
      <c r="S472" s="12">
        <f t="shared" si="2"/>
        <v>-0.003944734209</v>
      </c>
      <c r="T472" s="12">
        <f t="shared" si="3"/>
        <v>0.9960552658</v>
      </c>
      <c r="U472" s="16">
        <f t="shared" si="7"/>
        <v>98.15516</v>
      </c>
      <c r="V472" s="17"/>
      <c r="W472" s="12">
        <f t="array" ref="W472">SQRT(252/20) *  SQRT( SUMSQ( LN(U451:U470 / U450:U469) )  - (1/20) * ( SUM( LN(U451:U470 / U450:U469) ) ^ 2 ) )</f>
        <v>0.02303671355</v>
      </c>
      <c r="X472" s="9">
        <f t="shared" si="4"/>
        <v>1.5</v>
      </c>
      <c r="Y472" s="14"/>
      <c r="Z472" s="12">
        <f t="shared" si="5"/>
        <v>0.9940861626</v>
      </c>
      <c r="AA472" s="16">
        <f t="shared" si="8"/>
        <v>97.26672115</v>
      </c>
      <c r="AB472" s="14"/>
      <c r="AC472" s="9">
        <f t="shared" si="6"/>
        <v>0</v>
      </c>
    </row>
    <row r="473">
      <c r="A473" s="8">
        <v>42410.0</v>
      </c>
      <c r="B473" s="14"/>
      <c r="C473" s="9">
        <f t="array" ref="C473">IFERROR(
  INDEX(
    IR!$B$2:$E2026,                
    MATCH($A473, IR!$A$2:$A2026, 0), 
    MATCH(C$1, IR!$B$1:$E$1, 0) ), "")
</f>
        <v>-0.00238</v>
      </c>
      <c r="D473" s="9">
        <f t="array" ref="D473">IFERROR(
  INDEX(
    IR!$B$2:$E2026,                
    MATCH($A473, IR!$A$2:$A2026, 0), 
    MATCH(D$1, IR!$B$1:$E$1, 0) ), "")
</f>
        <v>-0.00175</v>
      </c>
      <c r="E473" s="9">
        <f t="array" ref="E473">IFERROR(
  INDEX(
    IR!$B$2:$E2026,                
    MATCH($A473, IR!$A$2:$A2026, 0), 
    MATCH(E$1, IR!$B$1:$E$1, 0) ), "")
</f>
        <v>-0.00111</v>
      </c>
      <c r="F473" s="9">
        <f t="array" ref="F473">IFERROR(
  INDEX(
    IR!$B$2:$E2026,                
    MATCH($A473, IR!$A$2:$A2026, 0), 
    MATCH(F$1, IR!$B$1:$E$1, 0) ), "")
</f>
        <v>-0.00001</v>
      </c>
      <c r="G473" s="14"/>
      <c r="H473" s="9">
        <f t="array" ref="H473">IFERROR(
  INDEX(
    SR!$B$2:$D2026,            
    MATCH($A473, SR!$A$2:$A2026, 0),  
    MATCH(H$1, SR!$B$1:$D$1, 0) ), "")
</f>
        <v>-0.00169</v>
      </c>
      <c r="I473" s="9">
        <f t="array" ref="I473">IFERROR(
  INDEX(
    SR!$B$2:$D2026,            
    MATCH($A473, SR!$A$2:$A2026, 0),  
    MATCH(I$1, SR!$B$1:$D$1, 0) ), "")
</f>
        <v>-0.0013</v>
      </c>
      <c r="J473" s="9">
        <f t="array" ref="J473">IFERROR(
  INDEX(
    SR!$B$2:$D2026,            
    MATCH($A473, SR!$A$2:$A2026, 0),  
    MATCH(J$1, SR!$B$1:$D$1, 0) ), "")
</f>
        <v>0.000501</v>
      </c>
      <c r="K473" s="14"/>
      <c r="L473" s="9">
        <v>114.99</v>
      </c>
      <c r="M473" s="9">
        <v>24.36</v>
      </c>
      <c r="N473" s="9">
        <v>112.61</v>
      </c>
      <c r="O473" s="9">
        <v>119.73</v>
      </c>
      <c r="P473" s="9">
        <v>124.53</v>
      </c>
      <c r="Q473" s="9">
        <v>1292.1727</v>
      </c>
      <c r="R473" s="14"/>
      <c r="S473" s="12">
        <f t="shared" si="2"/>
        <v>-0.0006798143685</v>
      </c>
      <c r="T473" s="12">
        <f t="shared" si="3"/>
        <v>0.9993201856</v>
      </c>
      <c r="U473" s="16">
        <f t="shared" si="7"/>
        <v>98.08843271</v>
      </c>
      <c r="V473" s="17"/>
      <c r="W473" s="12">
        <f t="array" ref="W473">SQRT(252/20) *  SQRT( SUMSQ( LN(U452:U471 / U451:U470) )  - (1/20) * ( SUM( LN(U452:U471 / U451:U470) ) ^ 2 ) )</f>
        <v>0.02491966297</v>
      </c>
      <c r="X473" s="9">
        <f t="shared" si="4"/>
        <v>1.5</v>
      </c>
      <c r="Y473" s="14"/>
      <c r="Z473" s="12">
        <f t="shared" si="5"/>
        <v>0.9989835701</v>
      </c>
      <c r="AA473" s="16">
        <f t="shared" si="8"/>
        <v>97.16785635</v>
      </c>
      <c r="AB473" s="14"/>
      <c r="AC473" s="9">
        <f t="shared" si="6"/>
        <v>0</v>
      </c>
    </row>
    <row r="474">
      <c r="A474" s="8">
        <v>42411.0</v>
      </c>
      <c r="B474" s="14"/>
      <c r="C474" s="9">
        <f t="array" ref="C474">IFERROR(
  INDEX(
    IR!$B$2:$E2026,                
    MATCH($A474, IR!$A$2:$A2026, 0), 
    MATCH(C$1, IR!$B$1:$E$1, 0) ), "")
</f>
        <v>-0.00239</v>
      </c>
      <c r="D474" s="9">
        <f t="array" ref="D474">IFERROR(
  INDEX(
    IR!$B$2:$E2026,                
    MATCH($A474, IR!$A$2:$A2026, 0), 
    MATCH(D$1, IR!$B$1:$E$1, 0) ), "")
</f>
        <v>-0.00179</v>
      </c>
      <c r="E474" s="9">
        <f t="array" ref="E474">IFERROR(
  INDEX(
    IR!$B$2:$E2026,                
    MATCH($A474, IR!$A$2:$A2026, 0), 
    MATCH(E$1, IR!$B$1:$E$1, 0) ), "")
</f>
        <v>-0.00112</v>
      </c>
      <c r="F474" s="9">
        <f t="array" ref="F474">IFERROR(
  INDEX(
    IR!$B$2:$E2026,                
    MATCH($A474, IR!$A$2:$A2026, 0), 
    MATCH(F$1, IR!$B$1:$E$1, 0) ), "")
</f>
        <v>-0.00006</v>
      </c>
      <c r="G474" s="14"/>
      <c r="H474" s="9">
        <f t="array" ref="H474">IFERROR(
  INDEX(
    SR!$B$2:$D2026,            
    MATCH($A474, SR!$A$2:$A2026, 0),  
    MATCH(H$1, SR!$B$1:$D$1, 0) ), "")
</f>
        <v>-0.0017</v>
      </c>
      <c r="I474" s="9">
        <f t="array" ref="I474">IFERROR(
  INDEX(
    SR!$B$2:$D2026,            
    MATCH($A474, SR!$A$2:$A2026, 0),  
    MATCH(I$1, SR!$B$1:$D$1, 0) ), "")
</f>
        <v>-0.001341</v>
      </c>
      <c r="J474" s="9">
        <f t="array" ref="J474">IFERROR(
  INDEX(
    SR!$B$2:$D2026,            
    MATCH($A474, SR!$A$2:$A2026, 0),  
    MATCH(J$1, SR!$B$1:$D$1, 0) ), "")
</f>
        <v>0.000555</v>
      </c>
      <c r="K474" s="14"/>
      <c r="L474" s="9">
        <v>114.23</v>
      </c>
      <c r="M474" s="9">
        <v>24.33</v>
      </c>
      <c r="N474" s="9">
        <v>112.52</v>
      </c>
      <c r="O474" s="9">
        <v>119.7</v>
      </c>
      <c r="P474" s="9">
        <v>124.73</v>
      </c>
      <c r="Q474" s="9">
        <v>1293.3617</v>
      </c>
      <c r="R474" s="14"/>
      <c r="S474" s="12">
        <f t="shared" si="2"/>
        <v>-0.001060214597</v>
      </c>
      <c r="T474" s="12">
        <f t="shared" si="3"/>
        <v>0.9989397854</v>
      </c>
      <c r="U474" s="16">
        <f t="shared" si="7"/>
        <v>97.98443792</v>
      </c>
      <c r="V474" s="17"/>
      <c r="W474" s="12">
        <f t="array" ref="W474">SQRT(252/20) *  SQRT( SUMSQ( LN(U453:U472 / U452:U471) )  - (1/20) * ( SUM( LN(U453:U472 / U452:U471) ) ^ 2 ) )</f>
        <v>0.02723589077</v>
      </c>
      <c r="X474" s="9">
        <f t="shared" si="4"/>
        <v>1.5</v>
      </c>
      <c r="Y474" s="14"/>
      <c r="Z474" s="12">
        <f t="shared" si="5"/>
        <v>0.9984129837</v>
      </c>
      <c r="AA474" s="16">
        <f t="shared" si="8"/>
        <v>97.01364938</v>
      </c>
      <c r="AB474" s="14"/>
      <c r="AC474" s="9">
        <f t="shared" si="6"/>
        <v>0</v>
      </c>
    </row>
    <row r="475">
      <c r="A475" s="8">
        <v>42412.0</v>
      </c>
      <c r="B475" s="14"/>
      <c r="C475" s="9">
        <f t="array" ref="C475">IFERROR(
  INDEX(
    IR!$B$2:$E2026,                
    MATCH($A475, IR!$A$2:$A2026, 0), 
    MATCH(C$1, IR!$B$1:$E$1, 0) ), "")
</f>
        <v>-0.0024</v>
      </c>
      <c r="D475" s="9">
        <f t="array" ref="D475">IFERROR(
  INDEX(
    IR!$B$2:$E2026,                
    MATCH($A475, IR!$A$2:$A2026, 0), 
    MATCH(D$1, IR!$B$1:$E$1, 0) ), "")
</f>
        <v>-0.00183</v>
      </c>
      <c r="E475" s="9">
        <f t="array" ref="E475">IFERROR(
  INDEX(
    IR!$B$2:$E2026,                
    MATCH($A475, IR!$A$2:$A2026, 0), 
    MATCH(E$1, IR!$B$1:$E$1, 0) ), "")
</f>
        <v>-0.00116</v>
      </c>
      <c r="F475" s="9">
        <f t="array" ref="F475">IFERROR(
  INDEX(
    IR!$B$2:$E2026,                
    MATCH($A475, IR!$A$2:$A2026, 0), 
    MATCH(F$1, IR!$B$1:$E$1, 0) ), "")
</f>
        <v>-0.00009</v>
      </c>
      <c r="G475" s="14"/>
      <c r="H475" s="9">
        <f t="array" ref="H475">IFERROR(
  INDEX(
    SR!$B$2:$D2026,            
    MATCH($A475, SR!$A$2:$A2026, 0),  
    MATCH(H$1, SR!$B$1:$D$1, 0) ), "")
</f>
        <v>-0.00145</v>
      </c>
      <c r="I475" s="9">
        <f t="array" ref="I475">IFERROR(
  INDEX(
    SR!$B$2:$D2026,            
    MATCH($A475, SR!$A$2:$A2026, 0),  
    MATCH(I$1, SR!$B$1:$D$1, 0) ), "")
</f>
        <v>-0.00101</v>
      </c>
      <c r="J475" s="9">
        <f t="array" ref="J475">IFERROR(
  INDEX(
    SR!$B$2:$D2026,            
    MATCH($A475, SR!$A$2:$A2026, 0),  
    MATCH(J$1, SR!$B$1:$D$1, 0) ), "")
</f>
        <v>0.000875</v>
      </c>
      <c r="K475" s="14"/>
      <c r="L475" s="9">
        <v>114.77</v>
      </c>
      <c r="M475" s="9">
        <v>24.34</v>
      </c>
      <c r="N475" s="9">
        <v>112.53</v>
      </c>
      <c r="O475" s="9">
        <v>119.88</v>
      </c>
      <c r="P475" s="9">
        <v>124.69</v>
      </c>
      <c r="Q475" s="9">
        <v>1283.7113</v>
      </c>
      <c r="R475" s="14"/>
      <c r="S475" s="12">
        <f t="shared" si="2"/>
        <v>-0.0001758804455</v>
      </c>
      <c r="T475" s="12">
        <f t="shared" si="3"/>
        <v>0.9998241196</v>
      </c>
      <c r="U475" s="16">
        <f t="shared" si="7"/>
        <v>97.96720438</v>
      </c>
      <c r="V475" s="17"/>
      <c r="W475" s="12">
        <f t="array" ref="W475">SQRT(252/20) *  SQRT( SUMSQ( LN(U454:U473 / U453:U472) )  - (1/20) * ( SUM( LN(U454:U473 / U453:U472) ) ^ 2 ) )</f>
        <v>0.02648648291</v>
      </c>
      <c r="X475" s="9">
        <f t="shared" si="4"/>
        <v>1.5</v>
      </c>
      <c r="Y475" s="14"/>
      <c r="Z475" s="12">
        <f t="shared" si="5"/>
        <v>0.9997394988</v>
      </c>
      <c r="AA475" s="16">
        <f t="shared" si="8"/>
        <v>96.9883772</v>
      </c>
      <c r="AB475" s="14"/>
      <c r="AC475" s="9">
        <f t="shared" si="6"/>
        <v>0</v>
      </c>
    </row>
    <row r="476">
      <c r="A476" s="8">
        <v>42415.0</v>
      </c>
      <c r="B476" s="14"/>
      <c r="C476" s="9">
        <f t="array" ref="C476">IFERROR(
  INDEX(
    IR!$B$2:$E2026,                
    MATCH($A476, IR!$A$2:$A2026, 0), 
    MATCH(C$1, IR!$B$1:$E$1, 0) ), "")
</f>
        <v>-0.00241</v>
      </c>
      <c r="D476" s="9">
        <f t="array" ref="D476">IFERROR(
  INDEX(
    IR!$B$2:$E2026,                
    MATCH($A476, IR!$A$2:$A2026, 0), 
    MATCH(D$1, IR!$B$1:$E$1, 0) ), "")
</f>
        <v>-0.00183</v>
      </c>
      <c r="E476" s="9">
        <f t="array" ref="E476">IFERROR(
  INDEX(
    IR!$B$2:$E2026,                
    MATCH($A476, IR!$A$2:$A2026, 0), 
    MATCH(E$1, IR!$B$1:$E$1, 0) ), "")
</f>
        <v>-0.00116</v>
      </c>
      <c r="F476" s="9">
        <f t="array" ref="F476">IFERROR(
  INDEX(
    IR!$B$2:$E2026,                
    MATCH($A476, IR!$A$2:$A2026, 0), 
    MATCH(F$1, IR!$B$1:$E$1, 0) ), "")
</f>
        <v>-0.00008</v>
      </c>
      <c r="G476" s="14"/>
      <c r="H476" s="9">
        <f t="array" ref="H476">IFERROR(
  INDEX(
    SR!$B$2:$D2026,            
    MATCH($A476, SR!$A$2:$A2026, 0),  
    MATCH(H$1, SR!$B$1:$D$1, 0) ), "")
</f>
        <v>-0.00154</v>
      </c>
      <c r="I476" s="9">
        <f t="array" ref="I476">IFERROR(
  INDEX(
    SR!$B$2:$D2026,            
    MATCH($A476, SR!$A$2:$A2026, 0),  
    MATCH(I$1, SR!$B$1:$D$1, 0) ), "")
</f>
        <v>-0.001105</v>
      </c>
      <c r="J476" s="9">
        <f t="array" ref="J476">IFERROR(
  INDEX(
    SR!$B$2:$D2026,            
    MATCH($A476, SR!$A$2:$A2026, 0),  
    MATCH(J$1, SR!$B$1:$D$1, 0) ), "")
</f>
        <v>0.000605</v>
      </c>
      <c r="K476" s="14"/>
      <c r="L476" s="9">
        <v>115.38</v>
      </c>
      <c r="M476" s="9">
        <v>24.36</v>
      </c>
      <c r="N476" s="9">
        <v>112.57</v>
      </c>
      <c r="O476" s="9">
        <v>119.59</v>
      </c>
      <c r="P476" s="9">
        <v>124.55</v>
      </c>
      <c r="Q476" s="9">
        <v>1293.5225</v>
      </c>
      <c r="R476" s="14"/>
      <c r="S476" s="12">
        <f t="shared" si="2"/>
        <v>0.001765574897</v>
      </c>
      <c r="T476" s="12">
        <f t="shared" si="3"/>
        <v>1.001765575</v>
      </c>
      <c r="U476" s="16">
        <f t="shared" si="7"/>
        <v>98.14017281</v>
      </c>
      <c r="V476" s="17"/>
      <c r="W476" s="12">
        <f t="array" ref="W476">SQRT(252/20) *  SQRT( SUMSQ( LN(U455:U474 / U454:U473) )  - (1/20) * ( SUM( LN(U455:U474 / U454:U473) ) ^ 2 ) )</f>
        <v>0.02641584338</v>
      </c>
      <c r="X476" s="9">
        <f t="shared" si="4"/>
        <v>1.5</v>
      </c>
      <c r="Y476" s="14"/>
      <c r="Z476" s="12">
        <f t="shared" si="5"/>
        <v>1.002658362</v>
      </c>
      <c r="AA476" s="16">
        <f t="shared" si="8"/>
        <v>97.24620745</v>
      </c>
      <c r="AB476" s="14"/>
      <c r="AC476" s="9">
        <f t="shared" si="6"/>
        <v>0</v>
      </c>
    </row>
    <row r="477">
      <c r="A477" s="8">
        <v>42416.0</v>
      </c>
      <c r="B477" s="14"/>
      <c r="C477" s="9">
        <f t="array" ref="C477">IFERROR(
  INDEX(
    IR!$B$2:$E2026,                
    MATCH($A477, IR!$A$2:$A2026, 0), 
    MATCH(C$1, IR!$B$1:$E$1, 0) ), "")
</f>
        <v>-0.00245</v>
      </c>
      <c r="D477" s="9">
        <f t="array" ref="D477">IFERROR(
  INDEX(
    IR!$B$2:$E2026,                
    MATCH($A477, IR!$A$2:$A2026, 0), 
    MATCH(D$1, IR!$B$1:$E$1, 0) ), "")
</f>
        <v>-0.00187</v>
      </c>
      <c r="E477" s="9">
        <f t="array" ref="E477">IFERROR(
  INDEX(
    IR!$B$2:$E2026,                
    MATCH($A477, IR!$A$2:$A2026, 0), 
    MATCH(E$1, IR!$B$1:$E$1, 0) ), "")
</f>
        <v>-0.0012</v>
      </c>
      <c r="F477" s="9">
        <f t="array" ref="F477">IFERROR(
  INDEX(
    IR!$B$2:$E2026,                
    MATCH($A477, IR!$A$2:$A2026, 0), 
    MATCH(F$1, IR!$B$1:$E$1, 0) ), "")
</f>
        <v>-0.00012</v>
      </c>
      <c r="G477" s="14"/>
      <c r="H477" s="9">
        <f t="array" ref="H477">IFERROR(
  INDEX(
    SR!$B$2:$D2026,            
    MATCH($A477, SR!$A$2:$A2026, 0),  
    MATCH(H$1, SR!$B$1:$D$1, 0) ), "")
</f>
        <v>-0.0016</v>
      </c>
      <c r="I477" s="9">
        <f t="array" ref="I477">IFERROR(
  INDEX(
    SR!$B$2:$D2026,            
    MATCH($A477, SR!$A$2:$A2026, 0),  
    MATCH(I$1, SR!$B$1:$D$1, 0) ), "")
</f>
        <v>-0.00112</v>
      </c>
      <c r="J477" s="9">
        <f t="array" ref="J477">IFERROR(
  INDEX(
    SR!$B$2:$D2026,            
    MATCH($A477, SR!$A$2:$A2026, 0),  
    MATCH(J$1, SR!$B$1:$D$1, 0) ), "")
</f>
        <v>0.000655</v>
      </c>
      <c r="K477" s="14"/>
      <c r="L477" s="9">
        <v>115.24</v>
      </c>
      <c r="M477" s="9">
        <v>24.35</v>
      </c>
      <c r="N477" s="9">
        <v>112.66</v>
      </c>
      <c r="O477" s="9">
        <v>119.76</v>
      </c>
      <c r="P477" s="9">
        <v>124.65</v>
      </c>
      <c r="Q477" s="9">
        <v>1297.3243</v>
      </c>
      <c r="R477" s="14"/>
      <c r="S477" s="12">
        <f t="shared" si="2"/>
        <v>0.0007231932646</v>
      </c>
      <c r="T477" s="12">
        <f t="shared" si="3"/>
        <v>1.000723193</v>
      </c>
      <c r="U477" s="16">
        <f t="shared" si="7"/>
        <v>98.21114712</v>
      </c>
      <c r="V477" s="17"/>
      <c r="W477" s="12">
        <f t="array" ref="W477">SQRT(252/20) *  SQRT( SUMSQ( LN(U456:U475 / U455:U474) )  - (1/20) * ( SUM( LN(U456:U475 / U455:U474) ) ^ 2 ) )</f>
        <v>0.026188984</v>
      </c>
      <c r="X477" s="9">
        <f t="shared" si="4"/>
        <v>1.5</v>
      </c>
      <c r="Y477" s="14"/>
      <c r="Z477" s="12">
        <f t="shared" si="5"/>
        <v>1.001088137</v>
      </c>
      <c r="AA477" s="16">
        <f t="shared" si="8"/>
        <v>97.35202466</v>
      </c>
      <c r="AB477" s="14"/>
      <c r="AC477" s="9">
        <f t="shared" si="6"/>
        <v>0</v>
      </c>
    </row>
    <row r="478">
      <c r="A478" s="8">
        <v>42417.0</v>
      </c>
      <c r="B478" s="14"/>
      <c r="C478" s="9">
        <f t="array" ref="C478">IFERROR(
  INDEX(
    IR!$B$2:$E2026,                
    MATCH($A478, IR!$A$2:$A2026, 0), 
    MATCH(C$1, IR!$B$1:$E$1, 0) ), "")
</f>
        <v>-0.00249</v>
      </c>
      <c r="D478" s="9">
        <f t="array" ref="D478">IFERROR(
  INDEX(
    IR!$B$2:$E2026,                
    MATCH($A478, IR!$A$2:$A2026, 0), 
    MATCH(D$1, IR!$B$1:$E$1, 0) ), "")
</f>
        <v>-0.00189</v>
      </c>
      <c r="E478" s="9">
        <f t="array" ref="E478">IFERROR(
  INDEX(
    IR!$B$2:$E2026,                
    MATCH($A478, IR!$A$2:$A2026, 0), 
    MATCH(E$1, IR!$B$1:$E$1, 0) ), "")
</f>
        <v>-0.00121</v>
      </c>
      <c r="F478" s="9">
        <f t="array" ref="F478">IFERROR(
  INDEX(
    IR!$B$2:$E2026,                
    MATCH($A478, IR!$A$2:$A2026, 0), 
    MATCH(F$1, IR!$B$1:$E$1, 0) ), "")
</f>
        <v>-0.00011</v>
      </c>
      <c r="G478" s="14"/>
      <c r="H478" s="9">
        <f t="array" ref="H478">IFERROR(
  INDEX(
    SR!$B$2:$D2026,            
    MATCH($A478, SR!$A$2:$A2026, 0),  
    MATCH(H$1, SR!$B$1:$D$1, 0) ), "")
</f>
        <v>-0.00155</v>
      </c>
      <c r="I478" s="9">
        <f t="array" ref="I478">IFERROR(
  INDEX(
    SR!$B$2:$D2026,            
    MATCH($A478, SR!$A$2:$A2026, 0),  
    MATCH(I$1, SR!$B$1:$D$1, 0) ), "")
</f>
        <v>-0.0011</v>
      </c>
      <c r="J478" s="9">
        <f t="array" ref="J478">IFERROR(
  INDEX(
    SR!$B$2:$D2026,            
    MATCH($A478, SR!$A$2:$A2026, 0),  
    MATCH(J$1, SR!$B$1:$D$1, 0) ), "")
</f>
        <v>0.000665</v>
      </c>
      <c r="K478" s="14"/>
      <c r="L478" s="9">
        <v>115.75</v>
      </c>
      <c r="M478" s="9">
        <v>24.38</v>
      </c>
      <c r="N478" s="9">
        <v>112.69</v>
      </c>
      <c r="O478" s="9">
        <v>119.56</v>
      </c>
      <c r="P478" s="9">
        <v>124.68</v>
      </c>
      <c r="Q478" s="9">
        <v>1300.2922</v>
      </c>
      <c r="R478" s="14"/>
      <c r="S478" s="12">
        <f t="shared" si="2"/>
        <v>0.001130150509</v>
      </c>
      <c r="T478" s="12">
        <f t="shared" si="3"/>
        <v>1.001130151</v>
      </c>
      <c r="U478" s="16">
        <f t="shared" si="7"/>
        <v>98.3221405</v>
      </c>
      <c r="V478" s="17"/>
      <c r="W478" s="12">
        <f t="array" ref="W478">SQRT(252/20) *  SQRT( SUMSQ( LN(U457:U476 / U456:U475) )  - (1/20) * ( SUM( LN(U457:U476 / U456:U475) ) ^ 2 ) )</f>
        <v>0.02703454426</v>
      </c>
      <c r="X478" s="9">
        <f t="shared" si="4"/>
        <v>1.5</v>
      </c>
      <c r="Y478" s="14"/>
      <c r="Z478" s="12">
        <f t="shared" si="5"/>
        <v>1.001698629</v>
      </c>
      <c r="AA478" s="16">
        <f t="shared" si="8"/>
        <v>97.51738959</v>
      </c>
      <c r="AB478" s="14"/>
      <c r="AC478" s="9">
        <f t="shared" si="6"/>
        <v>0</v>
      </c>
    </row>
    <row r="479">
      <c r="A479" s="8">
        <v>42418.0</v>
      </c>
      <c r="B479" s="14"/>
      <c r="C479" s="9">
        <f t="array" ref="C479">IFERROR(
  INDEX(
    IR!$B$2:$E2026,                
    MATCH($A479, IR!$A$2:$A2026, 0), 
    MATCH(C$1, IR!$B$1:$E$1, 0) ), "")
</f>
        <v>-0.00253</v>
      </c>
      <c r="D479" s="9">
        <f t="array" ref="D479">IFERROR(
  INDEX(
    IR!$B$2:$E2026,                
    MATCH($A479, IR!$A$2:$A2026, 0), 
    MATCH(D$1, IR!$B$1:$E$1, 0) ), "")
</f>
        <v>-0.00195</v>
      </c>
      <c r="E479" s="9">
        <f t="array" ref="E479">IFERROR(
  INDEX(
    IR!$B$2:$E2026,                
    MATCH($A479, IR!$A$2:$A2026, 0), 
    MATCH(E$1, IR!$B$1:$E$1, 0) ), "")
</f>
        <v>-0.00124</v>
      </c>
      <c r="F479" s="9">
        <f t="array" ref="F479">IFERROR(
  INDEX(
    IR!$B$2:$E2026,                
    MATCH($A479, IR!$A$2:$A2026, 0), 
    MATCH(F$1, IR!$B$1:$E$1, 0) ), "")
</f>
        <v>-0.00014</v>
      </c>
      <c r="G479" s="14"/>
      <c r="H479" s="9">
        <f t="array" ref="H479">IFERROR(
  INDEX(
    SR!$B$2:$D2026,            
    MATCH($A479, SR!$A$2:$A2026, 0),  
    MATCH(H$1, SR!$B$1:$D$1, 0) ), "")
</f>
        <v>-0.00175</v>
      </c>
      <c r="I479" s="9">
        <f t="array" ref="I479">IFERROR(
  INDEX(
    SR!$B$2:$D2026,            
    MATCH($A479, SR!$A$2:$A2026, 0),  
    MATCH(I$1, SR!$B$1:$D$1, 0) ), "")
</f>
        <v>-0.001238</v>
      </c>
      <c r="J479" s="9">
        <f t="array" ref="J479">IFERROR(
  INDEX(
    SR!$B$2:$D2026,            
    MATCH($A479, SR!$A$2:$A2026, 0),  
    MATCH(J$1, SR!$B$1:$D$1, 0) ), "")
</f>
        <v>0.00038</v>
      </c>
      <c r="K479" s="14"/>
      <c r="L479" s="9">
        <v>115.96</v>
      </c>
      <c r="M479" s="9">
        <v>24.4</v>
      </c>
      <c r="N479" s="9">
        <v>112.74</v>
      </c>
      <c r="O479" s="9">
        <v>119.57</v>
      </c>
      <c r="P479" s="9">
        <v>124.63</v>
      </c>
      <c r="Q479" s="9">
        <v>1312.8785</v>
      </c>
      <c r="R479" s="14"/>
      <c r="S479" s="12">
        <f t="shared" si="2"/>
        <v>0.002073555499</v>
      </c>
      <c r="T479" s="12">
        <f t="shared" si="3"/>
        <v>1.002073555</v>
      </c>
      <c r="U479" s="16">
        <f t="shared" si="7"/>
        <v>98.52601692</v>
      </c>
      <c r="V479" s="17"/>
      <c r="W479" s="12">
        <f t="array" ref="W479">SQRT(252/20) *  SQRT( SUMSQ( LN(U458:U477 / U457:U476) )  - (1/20) * ( SUM( LN(U458:U477 / U457:U476) ) ^ 2 ) )</f>
        <v>0.02743444405</v>
      </c>
      <c r="X479" s="9">
        <f t="shared" si="4"/>
        <v>1.5</v>
      </c>
      <c r="Y479" s="14"/>
      <c r="Z479" s="12">
        <f t="shared" si="5"/>
        <v>1.003113792</v>
      </c>
      <c r="AA479" s="16">
        <f t="shared" si="8"/>
        <v>97.82103841</v>
      </c>
      <c r="AB479" s="14"/>
      <c r="AC479" s="9">
        <f t="shared" si="6"/>
        <v>0</v>
      </c>
    </row>
    <row r="480">
      <c r="A480" s="8">
        <v>42419.0</v>
      </c>
      <c r="B480" s="14"/>
      <c r="C480" s="9">
        <f t="array" ref="C480">IFERROR(
  INDEX(
    IR!$B$2:$E2026,                
    MATCH($A480, IR!$A$2:$A2026, 0), 
    MATCH(C$1, IR!$B$1:$E$1, 0) ), "")
</f>
        <v>-0.00255</v>
      </c>
      <c r="D480" s="9">
        <f t="array" ref="D480">IFERROR(
  INDEX(
    IR!$B$2:$E2026,                
    MATCH($A480, IR!$A$2:$A2026, 0), 
    MATCH(D$1, IR!$B$1:$E$1, 0) ), "")
</f>
        <v>-0.00198</v>
      </c>
      <c r="E480" s="9">
        <f t="array" ref="E480">IFERROR(
  INDEX(
    IR!$B$2:$E2026,                
    MATCH($A480, IR!$A$2:$A2026, 0), 
    MATCH(E$1, IR!$B$1:$E$1, 0) ), "")
</f>
        <v>-0.00125</v>
      </c>
      <c r="F480" s="9">
        <f t="array" ref="F480">IFERROR(
  INDEX(
    IR!$B$2:$E2026,                
    MATCH($A480, IR!$A$2:$A2026, 0), 
    MATCH(F$1, IR!$B$1:$E$1, 0) ), "")
</f>
        <v>-0.00017</v>
      </c>
      <c r="G480" s="14"/>
      <c r="H480" s="9">
        <f t="array" ref="H480">IFERROR(
  INDEX(
    SR!$B$2:$D2026,            
    MATCH($A480, SR!$A$2:$A2026, 0),  
    MATCH(H$1, SR!$B$1:$D$1, 0) ), "")
</f>
        <v>-0.00174</v>
      </c>
      <c r="I480" s="9">
        <f t="array" ref="I480">IFERROR(
  INDEX(
    SR!$B$2:$D2026,            
    MATCH($A480, SR!$A$2:$A2026, 0),  
    MATCH(I$1, SR!$B$1:$D$1, 0) ), "")
</f>
        <v>-0.001224</v>
      </c>
      <c r="J480" s="9">
        <f t="array" ref="J480">IFERROR(
  INDEX(
    SR!$B$2:$D2026,            
    MATCH($A480, SR!$A$2:$A2026, 0),  
    MATCH(J$1, SR!$B$1:$D$1, 0) ), "")
</f>
        <v>0.00051</v>
      </c>
      <c r="K480" s="14"/>
      <c r="L480" s="9">
        <v>115.85</v>
      </c>
      <c r="M480" s="9">
        <v>24.39</v>
      </c>
      <c r="N480" s="9">
        <v>112.74</v>
      </c>
      <c r="O480" s="9">
        <v>119.76</v>
      </c>
      <c r="P480" s="9">
        <v>124.97</v>
      </c>
      <c r="Q480" s="9">
        <v>1313.7472</v>
      </c>
      <c r="R480" s="14"/>
      <c r="S480" s="12">
        <f t="shared" si="2"/>
        <v>0.00060321469</v>
      </c>
      <c r="T480" s="12">
        <f t="shared" si="3"/>
        <v>1.000603215</v>
      </c>
      <c r="U480" s="16">
        <f t="shared" si="7"/>
        <v>98.58544926</v>
      </c>
      <c r="V480" s="17"/>
      <c r="W480" s="12">
        <f t="array" ref="W480">SQRT(252/20) *  SQRT( SUMSQ( LN(U459:U478 / U458:U477) )  - (1/20) * ( SUM( LN(U459:U478 / U458:U477) ) ^ 2 ) )</f>
        <v>0.02670732521</v>
      </c>
      <c r="X480" s="9">
        <f t="shared" si="4"/>
        <v>1.5</v>
      </c>
      <c r="Y480" s="14"/>
      <c r="Z480" s="12">
        <f t="shared" si="5"/>
        <v>1.000908336</v>
      </c>
      <c r="AA480" s="16">
        <f t="shared" si="8"/>
        <v>97.90989278</v>
      </c>
      <c r="AB480" s="14"/>
      <c r="AC480" s="9">
        <f t="shared" si="6"/>
        <v>0</v>
      </c>
    </row>
    <row r="481">
      <c r="A481" s="8">
        <v>42422.0</v>
      </c>
      <c r="B481" s="14"/>
      <c r="C481" s="9">
        <f t="array" ref="C481">IFERROR(
  INDEX(
    IR!$B$2:$E2026,                
    MATCH($A481, IR!$A$2:$A2026, 0), 
    MATCH(C$1, IR!$B$1:$E$1, 0) ), "")
</f>
        <v>-0.00258</v>
      </c>
      <c r="D481" s="9">
        <f t="array" ref="D481">IFERROR(
  INDEX(
    IR!$B$2:$E2026,                
    MATCH($A481, IR!$A$2:$A2026, 0), 
    MATCH(D$1, IR!$B$1:$E$1, 0) ), "")
</f>
        <v>-0.00199</v>
      </c>
      <c r="E481" s="9">
        <f t="array" ref="E481">IFERROR(
  INDEX(
    IR!$B$2:$E2026,                
    MATCH($A481, IR!$A$2:$A2026, 0), 
    MATCH(E$1, IR!$B$1:$E$1, 0) ), "")
</f>
        <v>-0.00126</v>
      </c>
      <c r="F481" s="9">
        <f t="array" ref="F481">IFERROR(
  INDEX(
    IR!$B$2:$E2026,                
    MATCH($A481, IR!$A$2:$A2026, 0), 
    MATCH(F$1, IR!$B$1:$E$1, 0) ), "")
</f>
        <v>-0.00018</v>
      </c>
      <c r="G481" s="14"/>
      <c r="H481" s="9">
        <f t="array" ref="H481">IFERROR(
  INDEX(
    SR!$B$2:$D2026,            
    MATCH($A481, SR!$A$2:$A2026, 0),  
    MATCH(H$1, SR!$B$1:$D$1, 0) ), "")
</f>
        <v>-0.00177</v>
      </c>
      <c r="I481" s="9">
        <f t="array" ref="I481">IFERROR(
  INDEX(
    SR!$B$2:$D2026,            
    MATCH($A481, SR!$A$2:$A2026, 0),  
    MATCH(I$1, SR!$B$1:$D$1, 0) ), "")
</f>
        <v>-0.00135</v>
      </c>
      <c r="J481" s="9">
        <f t="array" ref="J481">IFERROR(
  INDEX(
    SR!$B$2:$D2026,            
    MATCH($A481, SR!$A$2:$A2026, 0),  
    MATCH(J$1, SR!$B$1:$D$1, 0) ), "")
</f>
        <v>0.00037</v>
      </c>
      <c r="K481" s="14"/>
      <c r="L481" s="9">
        <v>116.25</v>
      </c>
      <c r="M481" s="9">
        <v>24.42</v>
      </c>
      <c r="N481" s="9">
        <v>112.78</v>
      </c>
      <c r="O481" s="9">
        <v>119.84</v>
      </c>
      <c r="P481" s="9">
        <v>125.01</v>
      </c>
      <c r="Q481" s="9">
        <v>1314.6171</v>
      </c>
      <c r="R481" s="14"/>
      <c r="S481" s="12">
        <f t="shared" si="2"/>
        <v>0.00111425083</v>
      </c>
      <c r="T481" s="12">
        <f t="shared" si="3"/>
        <v>1.001114251</v>
      </c>
      <c r="U481" s="16">
        <f t="shared" si="7"/>
        <v>98.69529818</v>
      </c>
      <c r="V481" s="17"/>
      <c r="W481" s="12">
        <f t="array" ref="W481">SQRT(252/20) *  SQRT( SUMSQ( LN(U460:U479 / U459:U478) )  - (1/20) * ( SUM( LN(U460:U479 / U459:U478) ) ^ 2 ) )</f>
        <v>0.02755443485</v>
      </c>
      <c r="X481" s="9">
        <f t="shared" si="4"/>
        <v>1.5</v>
      </c>
      <c r="Y481" s="14"/>
      <c r="Z481" s="12">
        <f t="shared" si="5"/>
        <v>1.001682001</v>
      </c>
      <c r="AA481" s="16">
        <f t="shared" si="8"/>
        <v>98.07457734</v>
      </c>
      <c r="AB481" s="14"/>
      <c r="AC481" s="9">
        <f t="shared" si="6"/>
        <v>0</v>
      </c>
    </row>
    <row r="482">
      <c r="A482" s="8">
        <v>42423.0</v>
      </c>
      <c r="B482" s="14"/>
      <c r="C482" s="9">
        <f t="array" ref="C482">IFERROR(
  INDEX(
    IR!$B$2:$E2026,                
    MATCH($A482, IR!$A$2:$A2026, 0), 
    MATCH(C$1, IR!$B$1:$E$1, 0) ), "")
</f>
        <v>-0.00261</v>
      </c>
      <c r="D482" s="9">
        <f t="array" ref="D482">IFERROR(
  INDEX(
    IR!$B$2:$E2026,                
    MATCH($A482, IR!$A$2:$A2026, 0), 
    MATCH(D$1, IR!$B$1:$E$1, 0) ), "")
</f>
        <v>-0.002</v>
      </c>
      <c r="E482" s="9">
        <f t="array" ref="E482">IFERROR(
  INDEX(
    IR!$B$2:$E2026,                
    MATCH($A482, IR!$A$2:$A2026, 0), 
    MATCH(E$1, IR!$B$1:$E$1, 0) ), "")
</f>
        <v>-0.00125</v>
      </c>
      <c r="F482" s="9">
        <f t="array" ref="F482">IFERROR(
  INDEX(
    IR!$B$2:$E2026,                
    MATCH($A482, IR!$A$2:$A2026, 0), 
    MATCH(F$1, IR!$B$1:$E$1, 0) ), "")
</f>
        <v>-0.00016</v>
      </c>
      <c r="G482" s="14"/>
      <c r="H482" s="9">
        <f t="array" ref="H482">IFERROR(
  INDEX(
    SR!$B$2:$D2026,            
    MATCH($A482, SR!$A$2:$A2026, 0),  
    MATCH(H$1, SR!$B$1:$D$1, 0) ), "")
</f>
        <v>-0.001763</v>
      </c>
      <c r="I482" s="9">
        <f t="array" ref="I482">IFERROR(
  INDEX(
    SR!$B$2:$D2026,            
    MATCH($A482, SR!$A$2:$A2026, 0),  
    MATCH(I$1, SR!$B$1:$D$1, 0) ), "")
</f>
        <v>-0.00133</v>
      </c>
      <c r="J482" s="9">
        <f t="array" ref="J482">IFERROR(
  INDEX(
    SR!$B$2:$D2026,            
    MATCH($A482, SR!$A$2:$A2026, 0),  
    MATCH(J$1, SR!$B$1:$D$1, 0) ), "")
</f>
        <v>0.000315</v>
      </c>
      <c r="K482" s="14"/>
      <c r="L482" s="9">
        <v>116.01</v>
      </c>
      <c r="M482" s="9">
        <v>24.42</v>
      </c>
      <c r="N482" s="9">
        <v>112.83</v>
      </c>
      <c r="O482" s="9">
        <v>119.95</v>
      </c>
      <c r="P482" s="9">
        <v>124.93</v>
      </c>
      <c r="Q482" s="9">
        <v>1320.7856</v>
      </c>
      <c r="R482" s="14"/>
      <c r="S482" s="12">
        <f t="shared" si="2"/>
        <v>0.0005584138587</v>
      </c>
      <c r="T482" s="12">
        <f t="shared" si="3"/>
        <v>1.000558414</v>
      </c>
      <c r="U482" s="16">
        <f t="shared" si="7"/>
        <v>98.750411</v>
      </c>
      <c r="V482" s="17"/>
      <c r="W482" s="12">
        <f t="array" ref="W482">SQRT(252/20) *  SQRT( SUMSQ( LN(U461:U480 / U460:U479) )  - (1/20) * ( SUM( LN(U461:U480 / U460:U479) ) ^ 2 ) )</f>
        <v>0.02627860463</v>
      </c>
      <c r="X482" s="9">
        <f t="shared" si="4"/>
        <v>1.5</v>
      </c>
      <c r="Y482" s="14"/>
      <c r="Z482" s="12">
        <f t="shared" si="5"/>
        <v>1.000841204</v>
      </c>
      <c r="AA482" s="16">
        <f t="shared" si="8"/>
        <v>98.15707808</v>
      </c>
      <c r="AB482" s="14"/>
      <c r="AC482" s="9">
        <f t="shared" si="6"/>
        <v>0</v>
      </c>
    </row>
    <row r="483">
      <c r="A483" s="8">
        <v>42424.0</v>
      </c>
      <c r="B483" s="14"/>
      <c r="C483" s="9">
        <f t="array" ref="C483">IFERROR(
  INDEX(
    IR!$B$2:$E2026,                
    MATCH($A483, IR!$A$2:$A2026, 0), 
    MATCH(C$1, IR!$B$1:$E$1, 0) ), "")
</f>
        <v>-0.00262</v>
      </c>
      <c r="D483" s="9">
        <f t="array" ref="D483">IFERROR(
  INDEX(
    IR!$B$2:$E2026,                
    MATCH($A483, IR!$A$2:$A2026, 0), 
    MATCH(D$1, IR!$B$1:$E$1, 0) ), "")
</f>
        <v>-0.00201</v>
      </c>
      <c r="E483" s="9">
        <f t="array" ref="E483">IFERROR(
  INDEX(
    IR!$B$2:$E2026,                
    MATCH($A483, IR!$A$2:$A2026, 0), 
    MATCH(E$1, IR!$B$1:$E$1, 0) ), "")
</f>
        <v>-0.00128</v>
      </c>
      <c r="F483" s="9">
        <f t="array" ref="F483">IFERROR(
  INDEX(
    IR!$B$2:$E2026,                
    MATCH($A483, IR!$A$2:$A2026, 0), 
    MATCH(F$1, IR!$B$1:$E$1, 0) ), "")
</f>
        <v>-0.00015</v>
      </c>
      <c r="G483" s="14"/>
      <c r="H483" s="9">
        <f t="array" ref="H483">IFERROR(
  INDEX(
    SR!$B$2:$D2026,            
    MATCH($A483, SR!$A$2:$A2026, 0),  
    MATCH(H$1, SR!$B$1:$D$1, 0) ), "")
</f>
        <v>-0.001638</v>
      </c>
      <c r="I483" s="9">
        <f t="array" ref="I483">IFERROR(
  INDEX(
    SR!$B$2:$D2026,            
    MATCH($A483, SR!$A$2:$A2026, 0),  
    MATCH(I$1, SR!$B$1:$D$1, 0) ), "")
</f>
        <v>-0.001243</v>
      </c>
      <c r="J483" s="9">
        <f t="array" ref="J483">IFERROR(
  INDEX(
    SR!$B$2:$D2026,            
    MATCH($A483, SR!$A$2:$A2026, 0),  
    MATCH(J$1, SR!$B$1:$D$1, 0) ), "")
</f>
        <v>0.000405</v>
      </c>
      <c r="K483" s="14"/>
      <c r="L483" s="9">
        <v>115.61</v>
      </c>
      <c r="M483" s="9">
        <v>24.41</v>
      </c>
      <c r="N483" s="9">
        <v>112.86</v>
      </c>
      <c r="O483" s="9">
        <v>119.87</v>
      </c>
      <c r="P483" s="9">
        <v>125.18</v>
      </c>
      <c r="Q483" s="9">
        <v>1316.2192</v>
      </c>
      <c r="R483" s="14"/>
      <c r="S483" s="12">
        <f t="shared" si="2"/>
        <v>-0.0009524235056</v>
      </c>
      <c r="T483" s="12">
        <f t="shared" si="3"/>
        <v>0.9990475765</v>
      </c>
      <c r="U483" s="16">
        <f t="shared" si="7"/>
        <v>98.65635879</v>
      </c>
      <c r="V483" s="17"/>
      <c r="W483" s="12">
        <f t="array" ref="W483">SQRT(252/20) *  SQRT( SUMSQ( LN(U462:U481 / U461:U480) )  - (1/20) * ( SUM( LN(U462:U481 / U461:U480) ) ^ 2 ) )</f>
        <v>0.02621301236</v>
      </c>
      <c r="X483" s="9">
        <f t="shared" si="4"/>
        <v>1.5</v>
      </c>
      <c r="Y483" s="14"/>
      <c r="Z483" s="12">
        <f t="shared" si="5"/>
        <v>0.9985749897</v>
      </c>
      <c r="AA483" s="16">
        <f t="shared" si="8"/>
        <v>98.01720323</v>
      </c>
      <c r="AB483" s="14"/>
      <c r="AC483" s="9">
        <f t="shared" si="6"/>
        <v>0</v>
      </c>
    </row>
    <row r="484">
      <c r="A484" s="8">
        <v>42425.0</v>
      </c>
      <c r="B484" s="14"/>
      <c r="C484" s="9">
        <f t="array" ref="C484">IFERROR(
  INDEX(
    IR!$B$2:$E2026,                
    MATCH($A484, IR!$A$2:$A2026, 0), 
    MATCH(C$1, IR!$B$1:$E$1, 0) ), "")
</f>
        <v>-0.00262</v>
      </c>
      <c r="D484" s="9">
        <f t="array" ref="D484">IFERROR(
  INDEX(
    IR!$B$2:$E2026,                
    MATCH($A484, IR!$A$2:$A2026, 0), 
    MATCH(D$1, IR!$B$1:$E$1, 0) ), "")
</f>
        <v>-0.00201</v>
      </c>
      <c r="E484" s="9">
        <f t="array" ref="E484">IFERROR(
  INDEX(
    IR!$B$2:$E2026,                
    MATCH($A484, IR!$A$2:$A2026, 0), 
    MATCH(E$1, IR!$B$1:$E$1, 0) ), "")
</f>
        <v>-0.00128</v>
      </c>
      <c r="F484" s="9">
        <f t="array" ref="F484">IFERROR(
  INDEX(
    IR!$B$2:$E2026,                
    MATCH($A484, IR!$A$2:$A2026, 0), 
    MATCH(F$1, IR!$B$1:$E$1, 0) ), "")
</f>
        <v>-0.00015</v>
      </c>
      <c r="G484" s="14"/>
      <c r="H484" s="9">
        <f t="array" ref="H484">IFERROR(
  INDEX(
    SR!$B$2:$D2026,            
    MATCH($A484, SR!$A$2:$A2026, 0),  
    MATCH(H$1, SR!$B$1:$D$1, 0) ), "")
</f>
        <v>-0.00179</v>
      </c>
      <c r="I484" s="9">
        <f t="array" ref="I484">IFERROR(
  INDEX(
    SR!$B$2:$D2026,            
    MATCH($A484, SR!$A$2:$A2026, 0),  
    MATCH(I$1, SR!$B$1:$D$1, 0) ), "")
</f>
        <v>-0.001412</v>
      </c>
      <c r="J484" s="9">
        <f t="array" ref="J484">IFERROR(
  INDEX(
    SR!$B$2:$D2026,            
    MATCH($A484, SR!$A$2:$A2026, 0),  
    MATCH(J$1, SR!$B$1:$D$1, 0) ), "")
</f>
        <v>0.000172</v>
      </c>
      <c r="K484" s="14"/>
      <c r="L484" s="9">
        <v>116.25</v>
      </c>
      <c r="M484" s="9">
        <v>24.42</v>
      </c>
      <c r="N484" s="9">
        <v>112.86</v>
      </c>
      <c r="O484" s="9">
        <v>120.02</v>
      </c>
      <c r="P484" s="9">
        <v>125.22</v>
      </c>
      <c r="Q484" s="9">
        <v>1316.2137</v>
      </c>
      <c r="R484" s="14"/>
      <c r="S484" s="12">
        <f t="shared" si="2"/>
        <v>0.001251538488</v>
      </c>
      <c r="T484" s="12">
        <f t="shared" si="3"/>
        <v>1.001251538</v>
      </c>
      <c r="U484" s="16">
        <f t="shared" si="7"/>
        <v>98.77983102</v>
      </c>
      <c r="V484" s="17"/>
      <c r="W484" s="12">
        <f t="array" ref="W484">SQRT(252/20) *  SQRT( SUMSQ( LN(U463:U482 / U462:U481) )  - (1/20) * ( SUM( LN(U463:U482 / U462:U481) ) ^ 2 ) )</f>
        <v>0.02637301025</v>
      </c>
      <c r="X484" s="9">
        <f t="shared" si="4"/>
        <v>1.5</v>
      </c>
      <c r="Y484" s="14"/>
      <c r="Z484" s="12">
        <f t="shared" si="5"/>
        <v>1.001880947</v>
      </c>
      <c r="AA484" s="16">
        <f t="shared" si="8"/>
        <v>98.20156836</v>
      </c>
      <c r="AB484" s="14"/>
      <c r="AC484" s="9">
        <f t="shared" si="6"/>
        <v>0</v>
      </c>
    </row>
    <row r="485">
      <c r="A485" s="8">
        <v>42426.0</v>
      </c>
      <c r="B485" s="14"/>
      <c r="C485" s="9">
        <f t="array" ref="C485">IFERROR(
  INDEX(
    IR!$B$2:$E2026,                
    MATCH($A485, IR!$A$2:$A2026, 0), 
    MATCH(C$1, IR!$B$1:$E$1, 0) ), "")
</f>
        <v>-0.00264</v>
      </c>
      <c r="D485" s="9">
        <f t="array" ref="D485">IFERROR(
  INDEX(
    IR!$B$2:$E2026,                
    MATCH($A485, IR!$A$2:$A2026, 0), 
    MATCH(D$1, IR!$B$1:$E$1, 0) ), "")
</f>
        <v>-0.00202</v>
      </c>
      <c r="E485" s="9">
        <f t="array" ref="E485">IFERROR(
  INDEX(
    IR!$B$2:$E2026,                
    MATCH($A485, IR!$A$2:$A2026, 0), 
    MATCH(E$1, IR!$B$1:$E$1, 0) ), "")
</f>
        <v>-0.00129</v>
      </c>
      <c r="F485" s="9">
        <f t="array" ref="F485">IFERROR(
  INDEX(
    IR!$B$2:$E2026,                
    MATCH($A485, IR!$A$2:$A2026, 0), 
    MATCH(F$1, IR!$B$1:$E$1, 0) ), "")
</f>
        <v>-0.00017</v>
      </c>
      <c r="G485" s="14"/>
      <c r="H485" s="9">
        <f t="array" ref="H485">IFERROR(
  INDEX(
    SR!$B$2:$D2026,            
    MATCH($A485, SR!$A$2:$A2026, 0),  
    MATCH(H$1, SR!$B$1:$D$1, 0) ), "")
</f>
        <v>-0.0019</v>
      </c>
      <c r="I485" s="9">
        <f t="array" ref="I485">IFERROR(
  INDEX(
    SR!$B$2:$D2026,            
    MATCH($A485, SR!$A$2:$A2026, 0),  
    MATCH(I$1, SR!$B$1:$D$1, 0) ), "")
</f>
        <v>-0.0015</v>
      </c>
      <c r="J485" s="9">
        <f t="array" ref="J485">IFERROR(
  INDEX(
    SR!$B$2:$D2026,            
    MATCH($A485, SR!$A$2:$A2026, 0),  
    MATCH(J$1, SR!$B$1:$D$1, 0) ), "")
</f>
        <v>0.000085</v>
      </c>
      <c r="K485" s="14"/>
      <c r="L485" s="9">
        <v>116.54</v>
      </c>
      <c r="M485" s="9">
        <v>24.43</v>
      </c>
      <c r="N485" s="9">
        <v>112.9</v>
      </c>
      <c r="O485" s="9">
        <v>119.94</v>
      </c>
      <c r="P485" s="9">
        <v>125.29</v>
      </c>
      <c r="Q485" s="9">
        <v>1324.903</v>
      </c>
      <c r="R485" s="14"/>
      <c r="S485" s="12">
        <f t="shared" si="2"/>
        <v>0.001625467583</v>
      </c>
      <c r="T485" s="12">
        <f t="shared" si="3"/>
        <v>1.001625468</v>
      </c>
      <c r="U485" s="16">
        <f t="shared" si="7"/>
        <v>98.94039443</v>
      </c>
      <c r="V485" s="17"/>
      <c r="W485" s="12">
        <f t="array" ref="W485">SQRT(252/20) *  SQRT( SUMSQ( LN(U464:U483 / U463:U482) )  - (1/20) * ( SUM( LN(U464:U483 / U463:U482) ) ^ 2 ) )</f>
        <v>0.02624894011</v>
      </c>
      <c r="X485" s="9">
        <f t="shared" si="4"/>
        <v>1.5</v>
      </c>
      <c r="Y485" s="14"/>
      <c r="Z485" s="12">
        <f t="shared" si="5"/>
        <v>1.00244184</v>
      </c>
      <c r="AA485" s="16">
        <f t="shared" si="8"/>
        <v>98.44136091</v>
      </c>
      <c r="AB485" s="14"/>
      <c r="AC485" s="9">
        <f t="shared" si="6"/>
        <v>0</v>
      </c>
    </row>
    <row r="486">
      <c r="A486" s="8">
        <v>42429.0</v>
      </c>
      <c r="B486" s="14"/>
      <c r="C486" s="9">
        <f t="array" ref="C486">IFERROR(
  INDEX(
    IR!$B$2:$E2026,                
    MATCH($A486, IR!$A$2:$A2026, 0), 
    MATCH(C$1, IR!$B$1:$E$1, 0) ), "")
</f>
        <v>-0.00265</v>
      </c>
      <c r="D486" s="9">
        <f t="array" ref="D486">IFERROR(
  INDEX(
    IR!$B$2:$E2026,                
    MATCH($A486, IR!$A$2:$A2026, 0), 
    MATCH(D$1, IR!$B$1:$E$1, 0) ), "")
</f>
        <v>-0.00205</v>
      </c>
      <c r="E486" s="9">
        <f t="array" ref="E486">IFERROR(
  INDEX(
    IR!$B$2:$E2026,                
    MATCH($A486, IR!$A$2:$A2026, 0), 
    MATCH(E$1, IR!$B$1:$E$1, 0) ), "")
</f>
        <v>-0.00134</v>
      </c>
      <c r="F486" s="9">
        <f t="array" ref="F486">IFERROR(
  INDEX(
    IR!$B$2:$E2026,                
    MATCH($A486, IR!$A$2:$A2026, 0), 
    MATCH(F$1, IR!$B$1:$E$1, 0) ), "")
</f>
        <v>-0.00024</v>
      </c>
      <c r="G486" s="14"/>
      <c r="H486" s="9">
        <f t="array" ref="H486">IFERROR(
  INDEX(
    SR!$B$2:$D2026,            
    MATCH($A486, SR!$A$2:$A2026, 0),  
    MATCH(H$1, SR!$B$1:$D$1, 0) ), "")
</f>
        <v>-0.00216</v>
      </c>
      <c r="I486" s="9">
        <f t="array" ref="I486">IFERROR(
  INDEX(
    SR!$B$2:$D2026,            
    MATCH($A486, SR!$A$2:$A2026, 0),  
    MATCH(I$1, SR!$B$1:$D$1, 0) ), "")
</f>
        <v>-0.001846</v>
      </c>
      <c r="J486" s="9">
        <f t="array" ref="J486">IFERROR(
  INDEX(
    SR!$B$2:$D2026,            
    MATCH($A486, SR!$A$2:$A2026, 0),  
    MATCH(J$1, SR!$B$1:$D$1, 0) ), "")
</f>
        <v>-0.000325</v>
      </c>
      <c r="K486" s="14"/>
      <c r="L486" s="9">
        <v>116.45</v>
      </c>
      <c r="M486" s="9">
        <v>24.44</v>
      </c>
      <c r="N486" s="9">
        <v>112.95</v>
      </c>
      <c r="O486" s="9">
        <v>120.01</v>
      </c>
      <c r="P486" s="9">
        <v>125.34</v>
      </c>
      <c r="Q486" s="9">
        <v>1326.9305</v>
      </c>
      <c r="R486" s="14"/>
      <c r="S486" s="12">
        <f t="shared" si="2"/>
        <v>0.0004321360933</v>
      </c>
      <c r="T486" s="12">
        <f t="shared" si="3"/>
        <v>1.000432136</v>
      </c>
      <c r="U486" s="16">
        <f t="shared" si="7"/>
        <v>98.98315015</v>
      </c>
      <c r="V486" s="17"/>
      <c r="W486" s="12">
        <f t="array" ref="W486">SQRT(252/20) *  SQRT( SUMSQ( LN(U465:U484 / U464:U483) )  - (1/20) * ( SUM( LN(U465:U484 / U464:U483) ) ^ 2 ) )</f>
        <v>0.02667848877</v>
      </c>
      <c r="X486" s="9">
        <f t="shared" si="4"/>
        <v>1.5</v>
      </c>
      <c r="Y486" s="14"/>
      <c r="Z486" s="12">
        <f t="shared" si="5"/>
        <v>1.000659204</v>
      </c>
      <c r="AA486" s="16">
        <f t="shared" si="8"/>
        <v>98.50625386</v>
      </c>
      <c r="AB486" s="14"/>
      <c r="AC486" s="9">
        <f t="shared" si="6"/>
        <v>0</v>
      </c>
    </row>
    <row r="487">
      <c r="A487" s="8">
        <v>42430.0</v>
      </c>
      <c r="B487" s="14"/>
      <c r="C487" s="9">
        <f t="array" ref="C487">IFERROR(
  INDEX(
    IR!$B$2:$E2026,                
    MATCH($A487, IR!$A$2:$A2026, 0), 
    MATCH(C$1, IR!$B$1:$E$1, 0) ), "")
</f>
        <v>-0.0027</v>
      </c>
      <c r="D487" s="9">
        <f t="array" ref="D487">IFERROR(
  INDEX(
    IR!$B$2:$E2026,                
    MATCH($A487, IR!$A$2:$A2026, 0), 
    MATCH(D$1, IR!$B$1:$E$1, 0) ), "")
</f>
        <v>-0.00207</v>
      </c>
      <c r="E487" s="9">
        <f t="array" ref="E487">IFERROR(
  INDEX(
    IR!$B$2:$E2026,                
    MATCH($A487, IR!$A$2:$A2026, 0), 
    MATCH(E$1, IR!$B$1:$E$1, 0) ), "")
</f>
        <v>-0.00135</v>
      </c>
      <c r="F487" s="9">
        <f t="array" ref="F487">IFERROR(
  INDEX(
    IR!$B$2:$E2026,                
    MATCH($A487, IR!$A$2:$A2026, 0), 
    MATCH(F$1, IR!$B$1:$E$1, 0) ), "")
</f>
        <v>-0.00026</v>
      </c>
      <c r="G487" s="14"/>
      <c r="H487" s="9">
        <f t="array" ref="H487">IFERROR(
  INDEX(
    SR!$B$2:$D2026,            
    MATCH($A487, SR!$A$2:$A2026, 0),  
    MATCH(H$1, SR!$B$1:$D$1, 0) ), "")
</f>
        <v>-0.00205</v>
      </c>
      <c r="I487" s="9">
        <f t="array" ref="I487">IFERROR(
  INDEX(
    SR!$B$2:$D2026,            
    MATCH($A487, SR!$A$2:$A2026, 0),  
    MATCH(I$1, SR!$B$1:$D$1, 0) ), "")
</f>
        <v>-0.001752</v>
      </c>
      <c r="J487" s="9">
        <f t="array" ref="J487">IFERROR(
  INDEX(
    SR!$B$2:$D2026,            
    MATCH($A487, SR!$A$2:$A2026, 0),  
    MATCH(J$1, SR!$B$1:$D$1, 0) ), "")
</f>
        <v>-0.000165</v>
      </c>
      <c r="K487" s="14"/>
      <c r="L487" s="9">
        <v>116.95</v>
      </c>
      <c r="M487" s="9">
        <v>24.45</v>
      </c>
      <c r="N487" s="9">
        <v>112.96</v>
      </c>
      <c r="O487" s="9">
        <v>120.12</v>
      </c>
      <c r="P487" s="9">
        <v>125.69</v>
      </c>
      <c r="Q487" s="9">
        <v>1326.1013</v>
      </c>
      <c r="R487" s="14"/>
      <c r="S487" s="12">
        <f t="shared" si="2"/>
        <v>0.001311992881</v>
      </c>
      <c r="T487" s="12">
        <f t="shared" si="3"/>
        <v>1.001311993</v>
      </c>
      <c r="U487" s="16">
        <f t="shared" si="7"/>
        <v>99.11301533</v>
      </c>
      <c r="V487" s="17"/>
      <c r="W487" s="12">
        <f t="array" ref="W487">SQRT(252/20) *  SQRT( SUMSQ( LN(U466:U485 / U465:U484) )  - (1/20) * ( SUM( LN(U466:U485 / U465:U484) ) ^ 2 ) )</f>
        <v>0.02722082961</v>
      </c>
      <c r="X487" s="9">
        <f t="shared" si="4"/>
        <v>1.5</v>
      </c>
      <c r="Y487" s="14"/>
      <c r="Z487" s="12">
        <f t="shared" si="5"/>
        <v>1.00197167</v>
      </c>
      <c r="AA487" s="16">
        <f t="shared" si="8"/>
        <v>98.70047567</v>
      </c>
      <c r="AB487" s="14"/>
      <c r="AC487" s="9">
        <f t="shared" si="6"/>
        <v>0</v>
      </c>
    </row>
    <row r="488">
      <c r="A488" s="8">
        <v>42431.0</v>
      </c>
      <c r="B488" s="14"/>
      <c r="C488" s="9">
        <f t="array" ref="C488">IFERROR(
  INDEX(
    IR!$B$2:$E2026,                
    MATCH($A488, IR!$A$2:$A2026, 0), 
    MATCH(C$1, IR!$B$1:$E$1, 0) ), "")
</f>
        <v>-0.00273</v>
      </c>
      <c r="D488" s="9">
        <f t="array" ref="D488">IFERROR(
  INDEX(
    IR!$B$2:$E2026,                
    MATCH($A488, IR!$A$2:$A2026, 0), 
    MATCH(D$1, IR!$B$1:$E$1, 0) ), "")
</f>
        <v>-0.00208</v>
      </c>
      <c r="E488" s="9">
        <f t="array" ref="E488">IFERROR(
  INDEX(
    IR!$B$2:$E2026,                
    MATCH($A488, IR!$A$2:$A2026, 0), 
    MATCH(E$1, IR!$B$1:$E$1, 0) ), "")
</f>
        <v>-0.00134</v>
      </c>
      <c r="F488" s="9">
        <f t="array" ref="F488">IFERROR(
  INDEX(
    IR!$B$2:$E2026,                
    MATCH($A488, IR!$A$2:$A2026, 0), 
    MATCH(F$1, IR!$B$1:$E$1, 0) ), "")
</f>
        <v>-0.00024</v>
      </c>
      <c r="G488" s="14"/>
      <c r="H488" s="9">
        <f t="array" ref="H488">IFERROR(
  INDEX(
    SR!$B$2:$D2026,            
    MATCH($A488, SR!$A$2:$A2026, 0),  
    MATCH(H$1, SR!$B$1:$D$1, 0) ), "")
</f>
        <v>-0.00197</v>
      </c>
      <c r="I488" s="9">
        <f t="array" ref="I488">IFERROR(
  INDEX(
    SR!$B$2:$D2026,            
    MATCH($A488, SR!$A$2:$A2026, 0),  
    MATCH(I$1, SR!$B$1:$D$1, 0) ), "")
</f>
        <v>-0.00165</v>
      </c>
      <c r="J488" s="9">
        <f t="array" ref="J488">IFERROR(
  INDEX(
    SR!$B$2:$D2026,            
    MATCH($A488, SR!$A$2:$A2026, 0),  
    MATCH(J$1, SR!$B$1:$D$1, 0) ), "")
</f>
        <v>0.00002</v>
      </c>
      <c r="K488" s="14"/>
      <c r="L488" s="9">
        <v>117.15</v>
      </c>
      <c r="M488" s="9">
        <v>24.47</v>
      </c>
      <c r="N488" s="9">
        <v>112.99</v>
      </c>
      <c r="O488" s="9">
        <v>119.93</v>
      </c>
      <c r="P488" s="9">
        <v>125.62</v>
      </c>
      <c r="Q488" s="9">
        <v>1337.3289</v>
      </c>
      <c r="R488" s="14"/>
      <c r="S488" s="12">
        <f t="shared" si="2"/>
        <v>0.001520514386</v>
      </c>
      <c r="T488" s="12">
        <f t="shared" si="3"/>
        <v>1.001520514</v>
      </c>
      <c r="U488" s="16">
        <f t="shared" si="7"/>
        <v>99.2637181</v>
      </c>
      <c r="V488" s="17"/>
      <c r="W488" s="12">
        <f t="array" ref="W488">SQRT(252/20) *  SQRT( SUMSQ( LN(U467:U486 / U466:U485) )  - (1/20) * ( SUM( LN(U467:U486 / U466:U485) ) ^ 2 ) )</f>
        <v>0.02626187504</v>
      </c>
      <c r="X488" s="9">
        <f t="shared" si="4"/>
        <v>1.5</v>
      </c>
      <c r="Y488" s="14"/>
      <c r="Z488" s="12">
        <f t="shared" si="5"/>
        <v>1.002284522</v>
      </c>
      <c r="AA488" s="16">
        <f t="shared" si="8"/>
        <v>98.92595904</v>
      </c>
      <c r="AB488" s="14"/>
      <c r="AC488" s="9">
        <f t="shared" si="6"/>
        <v>0</v>
      </c>
    </row>
    <row r="489">
      <c r="A489" s="8">
        <v>42432.0</v>
      </c>
      <c r="B489" s="14"/>
      <c r="C489" s="9">
        <f t="array" ref="C489">IFERROR(
  INDEX(
    IR!$B$2:$E2026,                
    MATCH($A489, IR!$A$2:$A2026, 0), 
    MATCH(C$1, IR!$B$1:$E$1, 0) ), "")
</f>
        <v>-0.00276</v>
      </c>
      <c r="D489" s="9">
        <f t="array" ref="D489">IFERROR(
  INDEX(
    IR!$B$2:$E2026,                
    MATCH($A489, IR!$A$2:$A2026, 0), 
    MATCH(D$1, IR!$B$1:$E$1, 0) ), "")
</f>
        <v>-0.00213</v>
      </c>
      <c r="E489" s="9">
        <f t="array" ref="E489">IFERROR(
  INDEX(
    IR!$B$2:$E2026,                
    MATCH($A489, IR!$A$2:$A2026, 0), 
    MATCH(E$1, IR!$B$1:$E$1, 0) ), "")
</f>
        <v>-0.00135</v>
      </c>
      <c r="F489" s="9">
        <f t="array" ref="F489">IFERROR(
  INDEX(
    IR!$B$2:$E2026,                
    MATCH($A489, IR!$A$2:$A2026, 0), 
    MATCH(F$1, IR!$B$1:$E$1, 0) ), "")
</f>
        <v>-0.00025</v>
      </c>
      <c r="G489" s="14"/>
      <c r="H489" s="9">
        <f t="array" ref="H489">IFERROR(
  INDEX(
    SR!$B$2:$D2026,            
    MATCH($A489, SR!$A$2:$A2026, 0),  
    MATCH(H$1, SR!$B$1:$D$1, 0) ), "")
</f>
        <v>-0.00222</v>
      </c>
      <c r="I489" s="9">
        <f t="array" ref="I489">IFERROR(
  INDEX(
    SR!$B$2:$D2026,            
    MATCH($A489, SR!$A$2:$A2026, 0),  
    MATCH(I$1, SR!$B$1:$D$1, 0) ), "")
</f>
        <v>-0.00191</v>
      </c>
      <c r="J489" s="9">
        <f t="array" ref="J489">IFERROR(
  INDEX(
    SR!$B$2:$D2026,            
    MATCH($A489, SR!$A$2:$A2026, 0),  
    MATCH(J$1, SR!$B$1:$D$1, 0) ), "")
</f>
        <v>-0.000315</v>
      </c>
      <c r="K489" s="14"/>
      <c r="L489" s="9">
        <v>117.23</v>
      </c>
      <c r="M489" s="9">
        <v>24.47</v>
      </c>
      <c r="N489" s="9">
        <v>113.0</v>
      </c>
      <c r="O489" s="9">
        <v>119.69</v>
      </c>
      <c r="P489" s="9">
        <v>125.92</v>
      </c>
      <c r="Q489" s="9">
        <v>1340.1129</v>
      </c>
      <c r="R489" s="14"/>
      <c r="S489" s="12">
        <f t="shared" si="2"/>
        <v>0.0005400151068</v>
      </c>
      <c r="T489" s="12">
        <f t="shared" si="3"/>
        <v>1.000540015</v>
      </c>
      <c r="U489" s="16">
        <f t="shared" si="7"/>
        <v>99.31732201</v>
      </c>
      <c r="V489" s="17"/>
      <c r="W489" s="12">
        <f t="array" ref="W489">SQRT(252/20) *  SQRT( SUMSQ( LN(U468:U487 / U467:U486) )  - (1/20) * ( SUM( LN(U468:U487 / U467:U486) ) ^ 2 ) )</f>
        <v>0.02651198291</v>
      </c>
      <c r="X489" s="9">
        <f t="shared" si="4"/>
        <v>1.5</v>
      </c>
      <c r="Y489" s="14"/>
      <c r="Z489" s="12">
        <f t="shared" si="5"/>
        <v>1.000813814</v>
      </c>
      <c r="AA489" s="16">
        <f t="shared" si="8"/>
        <v>99.0064664</v>
      </c>
      <c r="AB489" s="14"/>
      <c r="AC489" s="9">
        <f t="shared" si="6"/>
        <v>0</v>
      </c>
    </row>
    <row r="490">
      <c r="A490" s="8">
        <v>42433.0</v>
      </c>
      <c r="B490" s="14"/>
      <c r="C490" s="9">
        <f t="array" ref="C490">IFERROR(
  INDEX(
    IR!$B$2:$E2026,                
    MATCH($A490, IR!$A$2:$A2026, 0), 
    MATCH(C$1, IR!$B$1:$E$1, 0) ), "")
</f>
        <v>-0.00281</v>
      </c>
      <c r="D490" s="9">
        <f t="array" ref="D490">IFERROR(
  INDEX(
    IR!$B$2:$E2026,                
    MATCH($A490, IR!$A$2:$A2026, 0), 
    MATCH(D$1, IR!$B$1:$E$1, 0) ), "")
</f>
        <v>-0.00215</v>
      </c>
      <c r="E490" s="9">
        <f t="array" ref="E490">IFERROR(
  INDEX(
    IR!$B$2:$E2026,                
    MATCH($A490, IR!$A$2:$A2026, 0), 
    MATCH(E$1, IR!$B$1:$E$1, 0) ), "")
</f>
        <v>-0.00136</v>
      </c>
      <c r="F490" s="9">
        <f t="array" ref="F490">IFERROR(
  INDEX(
    IR!$B$2:$E2026,                
    MATCH($A490, IR!$A$2:$A2026, 0), 
    MATCH(F$1, IR!$B$1:$E$1, 0) ), "")
</f>
        <v>-0.00028</v>
      </c>
      <c r="G490" s="14"/>
      <c r="H490" s="9">
        <f t="array" ref="H490">IFERROR(
  INDEX(
    SR!$B$2:$D2026,            
    MATCH($A490, SR!$A$2:$A2026, 0),  
    MATCH(H$1, SR!$B$1:$D$1, 0) ), "")
</f>
        <v>-0.00183</v>
      </c>
      <c r="I490" s="9">
        <f t="array" ref="I490">IFERROR(
  INDEX(
    SR!$B$2:$D2026,            
    MATCH($A490, SR!$A$2:$A2026, 0),  
    MATCH(I$1, SR!$B$1:$D$1, 0) ), "")
</f>
        <v>-0.001578</v>
      </c>
      <c r="J490" s="9">
        <f t="array" ref="J490">IFERROR(
  INDEX(
    SR!$B$2:$D2026,            
    MATCH($A490, SR!$A$2:$A2026, 0),  
    MATCH(J$1, SR!$B$1:$D$1, 0) ), "")
</f>
        <v>0.00008</v>
      </c>
      <c r="K490" s="14"/>
      <c r="L490" s="9">
        <v>117.36</v>
      </c>
      <c r="M490" s="9">
        <v>24.47</v>
      </c>
      <c r="N490" s="9">
        <v>112.93</v>
      </c>
      <c r="O490" s="9">
        <v>119.84</v>
      </c>
      <c r="P490" s="9">
        <v>125.74</v>
      </c>
      <c r="Q490" s="9">
        <v>1342.2377</v>
      </c>
      <c r="R490" s="14"/>
      <c r="S490" s="12">
        <f t="shared" si="2"/>
        <v>0.0003164917507</v>
      </c>
      <c r="T490" s="12">
        <f t="shared" si="3"/>
        <v>1.000316492</v>
      </c>
      <c r="U490" s="16">
        <f t="shared" si="7"/>
        <v>99.34875512</v>
      </c>
      <c r="V490" s="17"/>
      <c r="W490" s="12">
        <f t="array" ref="W490">SQRT(252/20) *  SQRT( SUMSQ( LN(U469:U488 / U468:U487) )  - (1/20) * ( SUM( LN(U469:U488 / U468:U487) ) ^ 2 ) )</f>
        <v>0.0259682648</v>
      </c>
      <c r="X490" s="9">
        <f t="shared" si="4"/>
        <v>1.5</v>
      </c>
      <c r="Y490" s="14"/>
      <c r="Z490" s="12">
        <f t="shared" si="5"/>
        <v>1.000478571</v>
      </c>
      <c r="AA490" s="16">
        <f t="shared" si="8"/>
        <v>99.05384802</v>
      </c>
      <c r="AB490" s="14"/>
      <c r="AC490" s="9">
        <f t="shared" si="6"/>
        <v>0</v>
      </c>
    </row>
    <row r="491">
      <c r="A491" s="8">
        <v>42436.0</v>
      </c>
      <c r="B491" s="14"/>
      <c r="C491" s="9">
        <f t="array" ref="C491">IFERROR(
  INDEX(
    IR!$B$2:$E2026,                
    MATCH($A491, IR!$A$2:$A2026, 0), 
    MATCH(C$1, IR!$B$1:$E$1, 0) ), "")
</f>
        <v>-0.00285</v>
      </c>
      <c r="D491" s="9">
        <f t="array" ref="D491">IFERROR(
  INDEX(
    IR!$B$2:$E2026,                
    MATCH($A491, IR!$A$2:$A2026, 0), 
    MATCH(D$1, IR!$B$1:$E$1, 0) ), "")
</f>
        <v>-0.00216</v>
      </c>
      <c r="E491" s="9">
        <f t="array" ref="E491">IFERROR(
  INDEX(
    IR!$B$2:$E2026,                
    MATCH($A491, IR!$A$2:$A2026, 0), 
    MATCH(E$1, IR!$B$1:$E$1, 0) ), "")
</f>
        <v>-0.00136</v>
      </c>
      <c r="F491" s="9">
        <f t="array" ref="F491">IFERROR(
  INDEX(
    IR!$B$2:$E2026,                
    MATCH($A491, IR!$A$2:$A2026, 0), 
    MATCH(F$1, IR!$B$1:$E$1, 0) ), "")
</f>
        <v>-0.00024</v>
      </c>
      <c r="G491" s="14"/>
      <c r="H491" s="9">
        <f t="array" ref="H491">IFERROR(
  INDEX(
    SR!$B$2:$D2026,            
    MATCH($A491, SR!$A$2:$A2026, 0),  
    MATCH(H$1, SR!$B$1:$D$1, 0) ), "")
</f>
        <v>-0.00198</v>
      </c>
      <c r="I491" s="9">
        <f t="array" ref="I491">IFERROR(
  INDEX(
    SR!$B$2:$D2026,            
    MATCH($A491, SR!$A$2:$A2026, 0),  
    MATCH(I$1, SR!$B$1:$D$1, 0) ), "")
</f>
        <v>-0.00158</v>
      </c>
      <c r="J491" s="9">
        <f t="array" ref="J491">IFERROR(
  INDEX(
    SR!$B$2:$D2026,            
    MATCH($A491, SR!$A$2:$A2026, 0),  
    MATCH(J$1, SR!$B$1:$D$1, 0) ), "")
</f>
        <v>-0.00003</v>
      </c>
      <c r="K491" s="14"/>
      <c r="L491" s="9">
        <v>117.39</v>
      </c>
      <c r="M491" s="9">
        <v>24.48</v>
      </c>
      <c r="N491" s="9">
        <v>112.95</v>
      </c>
      <c r="O491" s="9">
        <v>119.72</v>
      </c>
      <c r="P491" s="9">
        <v>125.63</v>
      </c>
      <c r="Q491" s="9">
        <v>1342.931</v>
      </c>
      <c r="R491" s="14"/>
      <c r="S491" s="12">
        <f t="shared" si="2"/>
        <v>-0.00008628753488</v>
      </c>
      <c r="T491" s="12">
        <f t="shared" si="3"/>
        <v>0.9999137125</v>
      </c>
      <c r="U491" s="16">
        <f t="shared" si="7"/>
        <v>99.34018256</v>
      </c>
      <c r="V491" s="17"/>
      <c r="W491" s="12">
        <f t="array" ref="W491">SQRT(252/20) *  SQRT( SUMSQ( LN(U470:U489 / U469:U488) )  - (1/20) * ( SUM( LN(U470:U489 / U469:U488) ) ^ 2 ) )</f>
        <v>0.02546776819</v>
      </c>
      <c r="X491" s="9">
        <f t="shared" si="4"/>
        <v>1.5</v>
      </c>
      <c r="Y491" s="14"/>
      <c r="Z491" s="12">
        <f t="shared" si="5"/>
        <v>0.999882277</v>
      </c>
      <c r="AA491" s="16">
        <f t="shared" si="8"/>
        <v>99.04218711</v>
      </c>
      <c r="AB491" s="14"/>
      <c r="AC491" s="9">
        <f t="shared" si="6"/>
        <v>0</v>
      </c>
    </row>
    <row r="492">
      <c r="A492" s="8">
        <v>42437.0</v>
      </c>
      <c r="B492" s="14"/>
      <c r="C492" s="9">
        <f t="array" ref="C492">IFERROR(
  INDEX(
    IR!$B$2:$E2026,                
    MATCH($A492, IR!$A$2:$A2026, 0), 
    MATCH(C$1, IR!$B$1:$E$1, 0) ), "")
</f>
        <v>-0.00287</v>
      </c>
      <c r="D492" s="9">
        <f t="array" ref="D492">IFERROR(
  INDEX(
    IR!$B$2:$E2026,                
    MATCH($A492, IR!$A$2:$A2026, 0), 
    MATCH(D$1, IR!$B$1:$E$1, 0) ), "")
</f>
        <v>-0.00221</v>
      </c>
      <c r="E492" s="9">
        <f t="array" ref="E492">IFERROR(
  INDEX(
    IR!$B$2:$E2026,                
    MATCH($A492, IR!$A$2:$A2026, 0), 
    MATCH(E$1, IR!$B$1:$E$1, 0) ), "")
</f>
        <v>-0.00138</v>
      </c>
      <c r="F492" s="9">
        <f t="array" ref="F492">IFERROR(
  INDEX(
    IR!$B$2:$E2026,                
    MATCH($A492, IR!$A$2:$A2026, 0), 
    MATCH(F$1, IR!$B$1:$E$1, 0) ), "")
</f>
        <v>-0.00025</v>
      </c>
      <c r="G492" s="14"/>
      <c r="H492" s="9">
        <f t="array" ref="H492">IFERROR(
  INDEX(
    SR!$B$2:$D2026,            
    MATCH($A492, SR!$A$2:$A2026, 0),  
    MATCH(H$1, SR!$B$1:$D$1, 0) ), "")
</f>
        <v>-0.002</v>
      </c>
      <c r="I492" s="9">
        <f t="array" ref="I492">IFERROR(
  INDEX(
    SR!$B$2:$D2026,            
    MATCH($A492, SR!$A$2:$A2026, 0),  
    MATCH(I$1, SR!$B$1:$D$1, 0) ), "")
</f>
        <v>-0.00171</v>
      </c>
      <c r="J492" s="9">
        <f t="array" ref="J492">IFERROR(
  INDEX(
    SR!$B$2:$D2026,            
    MATCH($A492, SR!$A$2:$A2026, 0),  
    MATCH(J$1, SR!$B$1:$D$1, 0) ), "")
</f>
        <v>0.000027</v>
      </c>
      <c r="K492" s="14"/>
      <c r="L492" s="9">
        <v>117.36</v>
      </c>
      <c r="M492" s="9">
        <v>24.46</v>
      </c>
      <c r="N492" s="9">
        <v>112.94</v>
      </c>
      <c r="O492" s="9">
        <v>119.79</v>
      </c>
      <c r="P492" s="9">
        <v>125.75</v>
      </c>
      <c r="Q492" s="9">
        <v>1342.4987</v>
      </c>
      <c r="R492" s="14"/>
      <c r="S492" s="12">
        <f t="shared" si="2"/>
        <v>0.000009445525785</v>
      </c>
      <c r="T492" s="12">
        <f t="shared" si="3"/>
        <v>1.000009446</v>
      </c>
      <c r="U492" s="16">
        <f t="shared" si="7"/>
        <v>99.34112088</v>
      </c>
      <c r="V492" s="17"/>
      <c r="W492" s="12">
        <f t="array" ref="W492">SQRT(252/20) *  SQRT( SUMSQ( LN(U471:U490 / U470:U489) )  - (1/20) * ( SUM( LN(U471:U490 / U470:U489) ) ^ 2 ) )</f>
        <v>0.02498159148</v>
      </c>
      <c r="X492" s="9">
        <f t="shared" si="4"/>
        <v>1.5</v>
      </c>
      <c r="Y492" s="14"/>
      <c r="Z492" s="12">
        <f t="shared" si="5"/>
        <v>1.000018127</v>
      </c>
      <c r="AA492" s="16">
        <f t="shared" si="8"/>
        <v>99.04398241</v>
      </c>
      <c r="AB492" s="14"/>
      <c r="AC492" s="9">
        <f t="shared" si="6"/>
        <v>0</v>
      </c>
    </row>
    <row r="493">
      <c r="A493" s="8">
        <v>42438.0</v>
      </c>
      <c r="B493" s="14"/>
      <c r="C493" s="9">
        <f t="array" ref="C493">IFERROR(
  INDEX(
    IR!$B$2:$E2026,                
    MATCH($A493, IR!$A$2:$A2026, 0), 
    MATCH(C$1, IR!$B$1:$E$1, 0) ), "")
</f>
        <v>-0.00291</v>
      </c>
      <c r="D493" s="9">
        <f t="array" ref="D493">IFERROR(
  INDEX(
    IR!$B$2:$E2026,                
    MATCH($A493, IR!$A$2:$A2026, 0), 
    MATCH(D$1, IR!$B$1:$E$1, 0) ), "")
</f>
        <v>-0.00224</v>
      </c>
      <c r="E493" s="9">
        <f t="array" ref="E493">IFERROR(
  INDEX(
    IR!$B$2:$E2026,                
    MATCH($A493, IR!$A$2:$A2026, 0), 
    MATCH(E$1, IR!$B$1:$E$1, 0) ), "")
</f>
        <v>-0.00139</v>
      </c>
      <c r="F493" s="9">
        <f t="array" ref="F493">IFERROR(
  INDEX(
    IR!$B$2:$E2026,                
    MATCH($A493, IR!$A$2:$A2026, 0), 
    MATCH(F$1, IR!$B$1:$E$1, 0) ), "")
</f>
        <v>-0.00023</v>
      </c>
      <c r="G493" s="14"/>
      <c r="H493" s="9">
        <f t="array" ref="H493">IFERROR(
  INDEX(
    SR!$B$2:$D2026,            
    MATCH($A493, SR!$A$2:$A2026, 0),  
    MATCH(H$1, SR!$B$1:$D$1, 0) ), "")
</f>
        <v>-0.0018</v>
      </c>
      <c r="I493" s="9">
        <f t="array" ref="I493">IFERROR(
  INDEX(
    SR!$B$2:$D2026,            
    MATCH($A493, SR!$A$2:$A2026, 0),  
    MATCH(I$1, SR!$B$1:$D$1, 0) ), "")
</f>
        <v>-0.001447</v>
      </c>
      <c r="J493" s="9">
        <f t="array" ref="J493">IFERROR(
  INDEX(
    SR!$B$2:$D2026,            
    MATCH($A493, SR!$A$2:$A2026, 0),  
    MATCH(J$1, SR!$B$1:$D$1, 0) ), "")
</f>
        <v>0.00032</v>
      </c>
      <c r="K493" s="14"/>
      <c r="L493" s="9">
        <v>117.43</v>
      </c>
      <c r="M493" s="9">
        <v>24.47</v>
      </c>
      <c r="N493" s="9">
        <v>112.97</v>
      </c>
      <c r="O493" s="9">
        <v>120.0</v>
      </c>
      <c r="P493" s="9">
        <v>126.0</v>
      </c>
      <c r="Q493" s="9">
        <v>1336.6831</v>
      </c>
      <c r="R493" s="14"/>
      <c r="S493" s="12">
        <f t="shared" si="2"/>
        <v>0.0001128766396</v>
      </c>
      <c r="T493" s="12">
        <f t="shared" si="3"/>
        <v>1.000112877</v>
      </c>
      <c r="U493" s="16">
        <f t="shared" si="7"/>
        <v>99.35233417</v>
      </c>
      <c r="V493" s="17"/>
      <c r="W493" s="12">
        <f t="array" ref="W493">SQRT(252/20) *  SQRT( SUMSQ( LN(U472:U491 / U471:U490) )  - (1/20) * ( SUM( LN(U472:U491 / U471:U490) ) ^ 2 ) )</f>
        <v>0.02095267097</v>
      </c>
      <c r="X493" s="9">
        <f t="shared" si="4"/>
        <v>1.5</v>
      </c>
      <c r="Y493" s="14"/>
      <c r="Z493" s="12">
        <f t="shared" si="5"/>
        <v>1.000173301</v>
      </c>
      <c r="AA493" s="16">
        <f t="shared" si="8"/>
        <v>99.06114684</v>
      </c>
      <c r="AB493" s="14"/>
      <c r="AC493" s="9">
        <f t="shared" si="6"/>
        <v>0</v>
      </c>
    </row>
    <row r="494">
      <c r="A494" s="8">
        <v>42439.0</v>
      </c>
      <c r="B494" s="14"/>
      <c r="C494" s="9">
        <f t="array" ref="C494">IFERROR(
  INDEX(
    IR!$B$2:$E2026,                
    MATCH($A494, IR!$A$2:$A2026, 0), 
    MATCH(C$1, IR!$B$1:$E$1, 0) ), "")
</f>
        <v>-0.00295</v>
      </c>
      <c r="D494" s="9">
        <f t="array" ref="D494">IFERROR(
  INDEX(
    IR!$B$2:$E2026,                
    MATCH($A494, IR!$A$2:$A2026, 0), 
    MATCH(D$1, IR!$B$1:$E$1, 0) ), "")
</f>
        <v>-0.00229</v>
      </c>
      <c r="E494" s="9">
        <f t="array" ref="E494">IFERROR(
  INDEX(
    IR!$B$2:$E2026,                
    MATCH($A494, IR!$A$2:$A2026, 0), 
    MATCH(E$1, IR!$B$1:$E$1, 0) ), "")
</f>
        <v>-0.00141</v>
      </c>
      <c r="F494" s="9">
        <f t="array" ref="F494">IFERROR(
  INDEX(
    IR!$B$2:$E2026,                
    MATCH($A494, IR!$A$2:$A2026, 0), 
    MATCH(F$1, IR!$B$1:$E$1, 0) ), "")
</f>
        <v>-0.00025</v>
      </c>
      <c r="G494" s="14"/>
      <c r="H494" s="9">
        <f t="array" ref="H494">IFERROR(
  INDEX(
    SR!$B$2:$D2026,            
    MATCH($A494, SR!$A$2:$A2026, 0),  
    MATCH(H$1, SR!$B$1:$D$1, 0) ), "")
</f>
        <v>-0.0013</v>
      </c>
      <c r="I494" s="9">
        <f t="array" ref="I494">IFERROR(
  INDEX(
    SR!$B$2:$D2026,            
    MATCH($A494, SR!$A$2:$A2026, 0),  
    MATCH(I$1, SR!$B$1:$D$1, 0) ), "")
</f>
        <v>-0.000885</v>
      </c>
      <c r="J494" s="9">
        <f t="array" ref="J494">IFERROR(
  INDEX(
    SR!$B$2:$D2026,            
    MATCH($A494, SR!$A$2:$A2026, 0),  
    MATCH(J$1, SR!$B$1:$D$1, 0) ), "")
</f>
        <v>0.0007</v>
      </c>
      <c r="K494" s="14"/>
      <c r="L494" s="9">
        <v>117.39</v>
      </c>
      <c r="M494" s="9">
        <v>24.44</v>
      </c>
      <c r="N494" s="9">
        <v>113.0</v>
      </c>
      <c r="O494" s="9">
        <v>119.7</v>
      </c>
      <c r="P494" s="9">
        <v>125.98</v>
      </c>
      <c r="Q494" s="9">
        <v>1340.8674</v>
      </c>
      <c r="R494" s="14"/>
      <c r="S494" s="12">
        <f t="shared" si="2"/>
        <v>-0.0001378703157</v>
      </c>
      <c r="T494" s="12">
        <f t="shared" si="3"/>
        <v>0.9998621297</v>
      </c>
      <c r="U494" s="16">
        <f t="shared" si="7"/>
        <v>99.33863644</v>
      </c>
      <c r="V494" s="17"/>
      <c r="W494" s="12">
        <f t="array" ref="W494">SQRT(252/20) *  SQRT( SUMSQ( LN(U473:U492 / U472:U491) )  - (1/20) * ( SUM( LN(U473:U492 / U472:U491) ) ^ 2 ) )</f>
        <v>0.01386020675</v>
      </c>
      <c r="X494" s="9">
        <f t="shared" si="4"/>
        <v>1.5</v>
      </c>
      <c r="Y494" s="14"/>
      <c r="Z494" s="12">
        <f t="shared" si="5"/>
        <v>0.9997972362</v>
      </c>
      <c r="AA494" s="16">
        <f t="shared" si="8"/>
        <v>99.04106082</v>
      </c>
      <c r="AB494" s="14"/>
      <c r="AC494" s="9">
        <f t="shared" si="6"/>
        <v>0</v>
      </c>
    </row>
    <row r="495">
      <c r="A495" s="8">
        <v>42440.0</v>
      </c>
      <c r="B495" s="14"/>
      <c r="C495" s="9">
        <f t="array" ref="C495">IFERROR(
  INDEX(
    IR!$B$2:$E2026,                
    MATCH($A495, IR!$A$2:$A2026, 0), 
    MATCH(C$1, IR!$B$1:$E$1, 0) ), "")
</f>
        <v>-0.00301</v>
      </c>
      <c r="D495" s="9">
        <f t="array" ref="D495">IFERROR(
  INDEX(
    IR!$B$2:$E2026,                
    MATCH($A495, IR!$A$2:$A2026, 0), 
    MATCH(D$1, IR!$B$1:$E$1, 0) ), "")
</f>
        <v>-0.00225</v>
      </c>
      <c r="E495" s="9">
        <f t="array" ref="E495">IFERROR(
  INDEX(
    IR!$B$2:$E2026,                
    MATCH($A495, IR!$A$2:$A2026, 0), 
    MATCH(E$1, IR!$B$1:$E$1, 0) ), "")
</f>
        <v>-0.00131</v>
      </c>
      <c r="F495" s="9">
        <f t="array" ref="F495">IFERROR(
  INDEX(
    IR!$B$2:$E2026,                
    MATCH($A495, IR!$A$2:$A2026, 0), 
    MATCH(F$1, IR!$B$1:$E$1, 0) ), "")
</f>
        <v>-0.00009</v>
      </c>
      <c r="G495" s="14"/>
      <c r="H495" s="9">
        <f t="array" ref="H495">IFERROR(
  INDEX(
    SR!$B$2:$D2026,            
    MATCH($A495, SR!$A$2:$A2026, 0),  
    MATCH(H$1, SR!$B$1:$D$1, 0) ), "")
</f>
        <v>-0.00143</v>
      </c>
      <c r="I495" s="9">
        <f t="array" ref="I495">IFERROR(
  INDEX(
    SR!$B$2:$D2026,            
    MATCH($A495, SR!$A$2:$A2026, 0),  
    MATCH(I$1, SR!$B$1:$D$1, 0) ), "")
</f>
        <v>-0.001</v>
      </c>
      <c r="J495" s="9">
        <f t="array" ref="J495">IFERROR(
  INDEX(
    SR!$B$2:$D2026,            
    MATCH($A495, SR!$A$2:$A2026, 0),  
    MATCH(J$1, SR!$B$1:$D$1, 0) ), "")
</f>
        <v>0.000642</v>
      </c>
      <c r="K495" s="14"/>
      <c r="L495" s="9">
        <v>118.29</v>
      </c>
      <c r="M495" s="9">
        <v>24.46</v>
      </c>
      <c r="N495" s="9">
        <v>113.07</v>
      </c>
      <c r="O495" s="9">
        <v>119.48</v>
      </c>
      <c r="P495" s="9">
        <v>125.95</v>
      </c>
      <c r="Q495" s="9">
        <v>1340.6368</v>
      </c>
      <c r="R495" s="14"/>
      <c r="S495" s="12">
        <f t="shared" si="2"/>
        <v>0.001142277712</v>
      </c>
      <c r="T495" s="12">
        <f t="shared" si="3"/>
        <v>1.001142278</v>
      </c>
      <c r="U495" s="16">
        <f t="shared" si="7"/>
        <v>99.45210875</v>
      </c>
      <c r="V495" s="17"/>
      <c r="W495" s="12">
        <f t="array" ref="W495">SQRT(252/20) *  SQRT( SUMSQ( LN(U474:U493 / U473:U492) )  - (1/20) * ( SUM( LN(U474:U493 / U473:U492) ) ^ 2 ) )</f>
        <v>0.01319256462</v>
      </c>
      <c r="X495" s="9">
        <f t="shared" si="4"/>
        <v>1.5</v>
      </c>
      <c r="Y495" s="14"/>
      <c r="Z495" s="12">
        <f t="shared" si="5"/>
        <v>1.001717514</v>
      </c>
      <c r="AA495" s="16">
        <f t="shared" si="8"/>
        <v>99.21116521</v>
      </c>
      <c r="AB495" s="14"/>
      <c r="AC495" s="9">
        <f t="shared" si="6"/>
        <v>0</v>
      </c>
    </row>
    <row r="496">
      <c r="A496" s="8">
        <v>42443.0</v>
      </c>
      <c r="B496" s="14"/>
      <c r="C496" s="9">
        <f t="array" ref="C496">IFERROR(
  INDEX(
    IR!$B$2:$E2026,                
    MATCH($A496, IR!$A$2:$A2026, 0), 
    MATCH(C$1, IR!$B$1:$E$1, 0) ), "")
</f>
        <v>-0.00311</v>
      </c>
      <c r="D496" s="9">
        <f t="array" ref="D496">IFERROR(
  INDEX(
    IR!$B$2:$E2026,                
    MATCH($A496, IR!$A$2:$A2026, 0), 
    MATCH(D$1, IR!$B$1:$E$1, 0) ), "")
</f>
        <v>-0.00226</v>
      </c>
      <c r="E496" s="9">
        <f t="array" ref="E496">IFERROR(
  INDEX(
    IR!$B$2:$E2026,                
    MATCH($A496, IR!$A$2:$A2026, 0), 
    MATCH(E$1, IR!$B$1:$E$1, 0) ), "")
</f>
        <v>-0.00131</v>
      </c>
      <c r="F496" s="9">
        <f t="array" ref="F496">IFERROR(
  INDEX(
    IR!$B$2:$E2026,                
    MATCH($A496, IR!$A$2:$A2026, 0), 
    MATCH(F$1, IR!$B$1:$E$1, 0) ), "")
</f>
        <v>-0.00008</v>
      </c>
      <c r="G496" s="14"/>
      <c r="H496" s="9">
        <f t="array" ref="H496">IFERROR(
  INDEX(
    SR!$B$2:$D2026,            
    MATCH($A496, SR!$A$2:$A2026, 0),  
    MATCH(H$1, SR!$B$1:$D$1, 0) ), "")
</f>
        <v>-0.00134</v>
      </c>
      <c r="I496" s="9">
        <f t="array" ref="I496">IFERROR(
  INDEX(
    SR!$B$2:$D2026,            
    MATCH($A496, SR!$A$2:$A2026, 0),  
    MATCH(I$1, SR!$B$1:$D$1, 0) ), "")
</f>
        <v>-0.000866</v>
      </c>
      <c r="J496" s="9">
        <f t="array" ref="J496">IFERROR(
  INDEX(
    SR!$B$2:$D2026,            
    MATCH($A496, SR!$A$2:$A2026, 0),  
    MATCH(J$1, SR!$B$1:$D$1, 0) ), "")
</f>
        <v>0.000891</v>
      </c>
      <c r="K496" s="14"/>
      <c r="L496" s="9">
        <v>118.62</v>
      </c>
      <c r="M496" s="9">
        <v>24.47</v>
      </c>
      <c r="N496" s="9">
        <v>113.1</v>
      </c>
      <c r="O496" s="9">
        <v>119.54</v>
      </c>
      <c r="P496" s="9">
        <v>126.02</v>
      </c>
      <c r="Q496" s="9">
        <v>1351.1895</v>
      </c>
      <c r="R496" s="14"/>
      <c r="S496" s="12">
        <f t="shared" si="2"/>
        <v>0.002065505569</v>
      </c>
      <c r="T496" s="12">
        <f t="shared" si="3"/>
        <v>1.002065506</v>
      </c>
      <c r="U496" s="16">
        <f t="shared" si="7"/>
        <v>99.65752763</v>
      </c>
      <c r="V496" s="17"/>
      <c r="W496" s="12">
        <f t="array" ref="W496">SQRT(252/20) *  SQRT( SUMSQ( LN(U475:U494 / U474:U493) )  - (1/20) * ( SUM( LN(U475:U494 / U474:U493) ) ^ 2 ) )</f>
        <v>0.01202832426</v>
      </c>
      <c r="X496" s="9">
        <f t="shared" si="4"/>
        <v>1.5</v>
      </c>
      <c r="Y496" s="14"/>
      <c r="Z496" s="12">
        <f t="shared" si="5"/>
        <v>1.0031108</v>
      </c>
      <c r="AA496" s="16">
        <f t="shared" si="8"/>
        <v>99.5197913</v>
      </c>
      <c r="AB496" s="14"/>
      <c r="AC496" s="9">
        <f t="shared" si="6"/>
        <v>0</v>
      </c>
    </row>
    <row r="497">
      <c r="A497" s="8">
        <v>42444.0</v>
      </c>
      <c r="B497" s="14"/>
      <c r="C497" s="9">
        <f t="array" ref="C497">IFERROR(
  INDEX(
    IR!$B$2:$E2026,                
    MATCH($A497, IR!$A$2:$A2026, 0), 
    MATCH(C$1, IR!$B$1:$E$1, 0) ), "")
</f>
        <v>-0.00313</v>
      </c>
      <c r="D497" s="9">
        <f t="array" ref="D497">IFERROR(
  INDEX(
    IR!$B$2:$E2026,                
    MATCH($A497, IR!$A$2:$A2026, 0), 
    MATCH(D$1, IR!$B$1:$E$1, 0) ), "")
</f>
        <v>-0.00227</v>
      </c>
      <c r="E497" s="9">
        <f t="array" ref="E497">IFERROR(
  INDEX(
    IR!$B$2:$E2026,                
    MATCH($A497, IR!$A$2:$A2026, 0), 
    MATCH(E$1, IR!$B$1:$E$1, 0) ), "")
</f>
        <v>-0.0013</v>
      </c>
      <c r="F497" s="9">
        <f t="array" ref="F497">IFERROR(
  INDEX(
    IR!$B$2:$E2026,                
    MATCH($A497, IR!$A$2:$A2026, 0), 
    MATCH(F$1, IR!$B$1:$E$1, 0) ), "")
</f>
        <v>-0.00006</v>
      </c>
      <c r="G497" s="14"/>
      <c r="H497" s="9">
        <f t="array" ref="H497">IFERROR(
  INDEX(
    SR!$B$2:$D2026,            
    MATCH($A497, SR!$A$2:$A2026, 0),  
    MATCH(H$1, SR!$B$1:$D$1, 0) ), "")
</f>
        <v>-0.00133</v>
      </c>
      <c r="I497" s="9">
        <f t="array" ref="I497">IFERROR(
  INDEX(
    SR!$B$2:$D2026,            
    MATCH($A497, SR!$A$2:$A2026, 0),  
    MATCH(I$1, SR!$B$1:$D$1, 0) ), "")
</f>
        <v>-0.000873</v>
      </c>
      <c r="J497" s="9">
        <f t="array" ref="J497">IFERROR(
  INDEX(
    SR!$B$2:$D2026,            
    MATCH($A497, SR!$A$2:$A2026, 0),  
    MATCH(J$1, SR!$B$1:$D$1, 0) ), "")
</f>
        <v>0.00092</v>
      </c>
      <c r="K497" s="14"/>
      <c r="L497" s="9">
        <v>118.44</v>
      </c>
      <c r="M497" s="9">
        <v>24.46</v>
      </c>
      <c r="N497" s="9">
        <v>113.07</v>
      </c>
      <c r="O497" s="9">
        <v>119.56</v>
      </c>
      <c r="P497" s="9">
        <v>126.29</v>
      </c>
      <c r="Q497" s="9">
        <v>1351.9495</v>
      </c>
      <c r="R497" s="14"/>
      <c r="S497" s="12">
        <f t="shared" si="2"/>
        <v>0.0001134985349</v>
      </c>
      <c r="T497" s="12">
        <f t="shared" si="3"/>
        <v>1.000113499</v>
      </c>
      <c r="U497" s="16">
        <f t="shared" si="7"/>
        <v>99.66883861</v>
      </c>
      <c r="V497" s="17"/>
      <c r="W497" s="12">
        <f t="array" ref="W497">SQRT(252/20) *  SQRT( SUMSQ( LN(U476:U495 / U475:U494) )  - (1/20) * ( SUM( LN(U476:U495 / U475:U494) ) ^ 2 ) )</f>
        <v>0.01169755422</v>
      </c>
      <c r="X497" s="9">
        <f t="shared" si="4"/>
        <v>1.5</v>
      </c>
      <c r="Y497" s="14"/>
      <c r="Z497" s="12">
        <f t="shared" si="5"/>
        <v>1.000174567</v>
      </c>
      <c r="AA497" s="16">
        <f t="shared" si="8"/>
        <v>99.5371642</v>
      </c>
      <c r="AB497" s="14"/>
      <c r="AC497" s="9">
        <f t="shared" si="6"/>
        <v>0</v>
      </c>
    </row>
    <row r="498">
      <c r="A498" s="8">
        <v>42445.0</v>
      </c>
      <c r="B498" s="14"/>
      <c r="C498" s="9">
        <f t="array" ref="C498">IFERROR(
  INDEX(
    IR!$B$2:$E2026,                
    MATCH($A498, IR!$A$2:$A2026, 0), 
    MATCH(C$1, IR!$B$1:$E$1, 0) ), "")
</f>
        <v>-0.00317</v>
      </c>
      <c r="D498" s="9">
        <f t="array" ref="D498">IFERROR(
  INDEX(
    IR!$B$2:$E2026,                
    MATCH($A498, IR!$A$2:$A2026, 0), 
    MATCH(D$1, IR!$B$1:$E$1, 0) ), "")
</f>
        <v>-0.0023</v>
      </c>
      <c r="E498" s="9">
        <f t="array" ref="E498">IFERROR(
  INDEX(
    IR!$B$2:$E2026,                
    MATCH($A498, IR!$A$2:$A2026, 0), 
    MATCH(E$1, IR!$B$1:$E$1, 0) ), "")
</f>
        <v>-0.00129</v>
      </c>
      <c r="F498" s="9">
        <f t="array" ref="F498">IFERROR(
  INDEX(
    IR!$B$2:$E2026,                
    MATCH($A498, IR!$A$2:$A2026, 0), 
    MATCH(F$1, IR!$B$1:$E$1, 0) ), "")
</f>
        <v>-0.00004</v>
      </c>
      <c r="G498" s="14"/>
      <c r="H498" s="9">
        <f t="array" ref="H498">IFERROR(
  INDEX(
    SR!$B$2:$D2026,            
    MATCH($A498, SR!$A$2:$A2026, 0),  
    MATCH(H$1, SR!$B$1:$D$1, 0) ), "")
</f>
        <v>-0.00142</v>
      </c>
      <c r="I498" s="9">
        <f t="array" ref="I498">IFERROR(
  INDEX(
    SR!$B$2:$D2026,            
    MATCH($A498, SR!$A$2:$A2026, 0),  
    MATCH(I$1, SR!$B$1:$D$1, 0) ), "")
</f>
        <v>-0.001047</v>
      </c>
      <c r="J498" s="9">
        <f t="array" ref="J498">IFERROR(
  INDEX(
    SR!$B$2:$D2026,            
    MATCH($A498, SR!$A$2:$A2026, 0),  
    MATCH(J$1, SR!$B$1:$D$1, 0) ), "")
</f>
        <v>0.00061</v>
      </c>
      <c r="K498" s="14"/>
      <c r="L498" s="9">
        <v>118.53</v>
      </c>
      <c r="M498" s="9">
        <v>24.46</v>
      </c>
      <c r="N498" s="9">
        <v>113.06</v>
      </c>
      <c r="O498" s="9">
        <v>119.36</v>
      </c>
      <c r="P498" s="9">
        <v>126.06</v>
      </c>
      <c r="Q498" s="9">
        <v>1348.8073</v>
      </c>
      <c r="R498" s="14"/>
      <c r="S498" s="12">
        <f t="shared" si="2"/>
        <v>-0.0008576838087</v>
      </c>
      <c r="T498" s="12">
        <f t="shared" si="3"/>
        <v>0.9991423162</v>
      </c>
      <c r="U498" s="16">
        <f t="shared" si="7"/>
        <v>99.58335426</v>
      </c>
      <c r="V498" s="17"/>
      <c r="W498" s="12">
        <f t="array" ref="W498">SQRT(252/20) *  SQRT( SUMSQ( LN(U477:U496 / U476:U495) )  - (1/20) * ( SUM( LN(U477:U496 / U476:U495) ) ^ 2 ) )</f>
        <v>0.01206393933</v>
      </c>
      <c r="X498" s="9">
        <f t="shared" si="4"/>
        <v>1.5</v>
      </c>
      <c r="Y498" s="14"/>
      <c r="Z498" s="12">
        <f t="shared" si="5"/>
        <v>0.9987178215</v>
      </c>
      <c r="AA498" s="16">
        <f t="shared" si="8"/>
        <v>99.40953979</v>
      </c>
      <c r="AB498" s="14"/>
      <c r="AC498" s="9">
        <f t="shared" si="6"/>
        <v>0</v>
      </c>
    </row>
    <row r="499">
      <c r="A499" s="8">
        <v>42446.0</v>
      </c>
      <c r="B499" s="14"/>
      <c r="C499" s="9">
        <f t="array" ref="C499">IFERROR(
  INDEX(
    IR!$B$2:$E2026,                
    MATCH($A499, IR!$A$2:$A2026, 0), 
    MATCH(C$1, IR!$B$1:$E$1, 0) ), "")
</f>
        <v>-0.00322</v>
      </c>
      <c r="D499" s="9">
        <f t="array" ref="D499">IFERROR(
  INDEX(
    IR!$B$2:$E2026,                
    MATCH($A499, IR!$A$2:$A2026, 0), 
    MATCH(D$1, IR!$B$1:$E$1, 0) ), "")
</f>
        <v>-0.00234</v>
      </c>
      <c r="E499" s="9">
        <f t="array" ref="E499">IFERROR(
  INDEX(
    IR!$B$2:$E2026,                
    MATCH($A499, IR!$A$2:$A2026, 0), 
    MATCH(E$1, IR!$B$1:$E$1, 0) ), "")
</f>
        <v>-0.00131</v>
      </c>
      <c r="F499" s="9">
        <f t="array" ref="F499">IFERROR(
  INDEX(
    IR!$B$2:$E2026,                
    MATCH($A499, IR!$A$2:$A2026, 0), 
    MATCH(F$1, IR!$B$1:$E$1, 0) ), "")
</f>
        <v>-0.00003</v>
      </c>
      <c r="G499" s="14"/>
      <c r="H499" s="9">
        <f t="array" ref="H499">IFERROR(
  INDEX(
    SR!$B$2:$D2026,            
    MATCH($A499, SR!$A$2:$A2026, 0),  
    MATCH(H$1, SR!$B$1:$D$1, 0) ), "")
</f>
        <v>-0.00146</v>
      </c>
      <c r="I499" s="9">
        <f t="array" ref="I499">IFERROR(
  INDEX(
    SR!$B$2:$D2026,            
    MATCH($A499, SR!$A$2:$A2026, 0),  
    MATCH(I$1, SR!$B$1:$D$1, 0) ), "")
</f>
        <v>-0.001111</v>
      </c>
      <c r="J499" s="9">
        <f t="array" ref="J499">IFERROR(
  INDEX(
    SR!$B$2:$D2026,            
    MATCH($A499, SR!$A$2:$A2026, 0),  
    MATCH(J$1, SR!$B$1:$D$1, 0) ), "")
</f>
        <v>0.00043</v>
      </c>
      <c r="K499" s="14"/>
      <c r="L499" s="9">
        <v>118.59</v>
      </c>
      <c r="M499" s="9">
        <v>24.45</v>
      </c>
      <c r="N499" s="9">
        <v>113.1</v>
      </c>
      <c r="O499" s="9">
        <v>119.46</v>
      </c>
      <c r="P499" s="9">
        <v>126.18</v>
      </c>
      <c r="Q499" s="9">
        <v>1350.8159</v>
      </c>
      <c r="R499" s="14"/>
      <c r="S499" s="12">
        <f t="shared" si="2"/>
        <v>0.0006215771508</v>
      </c>
      <c r="T499" s="12">
        <f t="shared" si="3"/>
        <v>1.000621577</v>
      </c>
      <c r="U499" s="16">
        <f t="shared" si="7"/>
        <v>99.645253</v>
      </c>
      <c r="V499" s="17"/>
      <c r="W499" s="12">
        <f t="array" ref="W499">SQRT(252/20) *  SQRT( SUMSQ( LN(U478:U497 / U477:U496) )  - (1/20) * ( SUM( LN(U478:U497 / U477:U496) ) ^ 2 ) )</f>
        <v>0.01227450324</v>
      </c>
      <c r="X499" s="9">
        <f t="shared" si="4"/>
        <v>1.5</v>
      </c>
      <c r="Y499" s="14"/>
      <c r="Z499" s="12">
        <f t="shared" si="5"/>
        <v>1.000936769</v>
      </c>
      <c r="AA499" s="16">
        <f t="shared" si="8"/>
        <v>99.50266351</v>
      </c>
      <c r="AB499" s="14"/>
      <c r="AC499" s="9">
        <f t="shared" si="6"/>
        <v>0</v>
      </c>
    </row>
    <row r="500">
      <c r="A500" s="8">
        <v>42447.0</v>
      </c>
      <c r="B500" s="14"/>
      <c r="C500" s="9">
        <f t="array" ref="C500">IFERROR(
  INDEX(
    IR!$B$2:$E2026,                
    MATCH($A500, IR!$A$2:$A2026, 0), 
    MATCH(C$1, IR!$B$1:$E$1, 0) ), "")
</f>
        <v>-0.00324</v>
      </c>
      <c r="D500" s="9">
        <f t="array" ref="D500">IFERROR(
  INDEX(
    IR!$B$2:$E2026,                
    MATCH($A500, IR!$A$2:$A2026, 0), 
    MATCH(D$1, IR!$B$1:$E$1, 0) ), "")
</f>
        <v>-0.00235</v>
      </c>
      <c r="E500" s="9">
        <f t="array" ref="E500">IFERROR(
  INDEX(
    IR!$B$2:$E2026,                
    MATCH($A500, IR!$A$2:$A2026, 0), 
    MATCH(E$1, IR!$B$1:$E$1, 0) ), "")
</f>
        <v>-0.00131</v>
      </c>
      <c r="F500" s="9">
        <f t="array" ref="F500">IFERROR(
  INDEX(
    IR!$B$2:$E2026,                
    MATCH($A500, IR!$A$2:$A2026, 0), 
    MATCH(F$1, IR!$B$1:$E$1, 0) ), "")
</f>
        <v>-0.00003</v>
      </c>
      <c r="G500" s="14"/>
      <c r="H500" s="9">
        <f t="array" ref="H500">IFERROR(
  INDEX(
    SR!$B$2:$D2026,            
    MATCH($A500, SR!$A$2:$A2026, 0),  
    MATCH(H$1, SR!$B$1:$D$1, 0) ), "")
</f>
        <v>-0.00152</v>
      </c>
      <c r="I500" s="9">
        <f t="array" ref="I500">IFERROR(
  INDEX(
    SR!$B$2:$D2026,            
    MATCH($A500, SR!$A$2:$A2026, 0),  
    MATCH(I$1, SR!$B$1:$D$1, 0) ), "")
</f>
        <v>-0.00116</v>
      </c>
      <c r="J500" s="9">
        <f t="array" ref="J500">IFERROR(
  INDEX(
    SR!$B$2:$D2026,            
    MATCH($A500, SR!$A$2:$A2026, 0),  
    MATCH(J$1, SR!$B$1:$D$1, 0) ), "")
</f>
        <v>0.000402</v>
      </c>
      <c r="K500" s="14"/>
      <c r="L500" s="9">
        <v>118.69</v>
      </c>
      <c r="M500" s="9">
        <v>24.45</v>
      </c>
      <c r="N500" s="9">
        <v>113.14</v>
      </c>
      <c r="O500" s="9">
        <v>119.68</v>
      </c>
      <c r="P500" s="9">
        <v>125.96</v>
      </c>
      <c r="Q500" s="9">
        <v>1351.9458</v>
      </c>
      <c r="R500" s="14"/>
      <c r="S500" s="12">
        <f t="shared" si="2"/>
        <v>0.0003551828534</v>
      </c>
      <c r="T500" s="12">
        <f t="shared" si="3"/>
        <v>1.000355183</v>
      </c>
      <c r="U500" s="16">
        <f t="shared" si="7"/>
        <v>99.68064529</v>
      </c>
      <c r="V500" s="17"/>
      <c r="W500" s="12">
        <f t="array" ref="W500">SQRT(252/20) *  SQRT( SUMSQ( LN(U479:U498 / U478:U497) )  - (1/20) * ( SUM( LN(U479:U498 / U478:U497) ) ^ 2 ) )</f>
        <v>0.01335191341</v>
      </c>
      <c r="X500" s="9">
        <f t="shared" si="4"/>
        <v>1.5</v>
      </c>
      <c r="Y500" s="14"/>
      <c r="Z500" s="12">
        <f t="shared" si="5"/>
        <v>1.000537247</v>
      </c>
      <c r="AA500" s="16">
        <f t="shared" si="8"/>
        <v>99.55612097</v>
      </c>
      <c r="AB500" s="14"/>
      <c r="AC500" s="9">
        <f t="shared" si="6"/>
        <v>0</v>
      </c>
    </row>
    <row r="501">
      <c r="A501" s="8">
        <v>42450.0</v>
      </c>
      <c r="B501" s="14"/>
      <c r="C501" s="9">
        <f t="array" ref="C501">IFERROR(
  INDEX(
    IR!$B$2:$E2026,                
    MATCH($A501, IR!$A$2:$A2026, 0), 
    MATCH(C$1, IR!$B$1:$E$1, 0) ), "")
</f>
        <v>-0.00326</v>
      </c>
      <c r="D501" s="9">
        <f t="array" ref="D501">IFERROR(
  INDEX(
    IR!$B$2:$E2026,                
    MATCH($A501, IR!$A$2:$A2026, 0), 
    MATCH(D$1, IR!$B$1:$E$1, 0) ), "")
</f>
        <v>-0.00238</v>
      </c>
      <c r="E501" s="9">
        <f t="array" ref="E501">IFERROR(
  INDEX(
    IR!$B$2:$E2026,                
    MATCH($A501, IR!$A$2:$A2026, 0), 
    MATCH(E$1, IR!$B$1:$E$1, 0) ), "")
</f>
        <v>-0.00131</v>
      </c>
      <c r="F501" s="9">
        <f t="array" ref="F501">IFERROR(
  INDEX(
    IR!$B$2:$E2026,                
    MATCH($A501, IR!$A$2:$A2026, 0), 
    MATCH(F$1, IR!$B$1:$E$1, 0) ), "")
</f>
        <v>-0.00002</v>
      </c>
      <c r="G501" s="14"/>
      <c r="H501" s="9">
        <f t="array" ref="H501">IFERROR(
  INDEX(
    SR!$B$2:$D2026,            
    MATCH($A501, SR!$A$2:$A2026, 0),  
    MATCH(H$1, SR!$B$1:$D$1, 0) ), "")
</f>
        <v>-0.00151</v>
      </c>
      <c r="I501" s="9">
        <f t="array" ref="I501">IFERROR(
  INDEX(
    SR!$B$2:$D2026,            
    MATCH($A501, SR!$A$2:$A2026, 0),  
    MATCH(I$1, SR!$B$1:$D$1, 0) ), "")
</f>
        <v>-0.00114</v>
      </c>
      <c r="J501" s="9">
        <f t="array" ref="J501">IFERROR(
  INDEX(
    SR!$B$2:$D2026,            
    MATCH($A501, SR!$A$2:$A2026, 0),  
    MATCH(J$1, SR!$B$1:$D$1, 0) ), "")
</f>
        <v>0.000435</v>
      </c>
      <c r="K501" s="14"/>
      <c r="L501" s="9">
        <v>118.88</v>
      </c>
      <c r="M501" s="9">
        <v>24.45</v>
      </c>
      <c r="N501" s="9">
        <v>113.18</v>
      </c>
      <c r="O501" s="9">
        <v>119.71</v>
      </c>
      <c r="P501" s="9">
        <v>126.06</v>
      </c>
      <c r="Q501" s="9">
        <v>1355.9958</v>
      </c>
      <c r="R501" s="14"/>
      <c r="S501" s="12">
        <f t="shared" si="2"/>
        <v>0.0009990010294</v>
      </c>
      <c r="T501" s="12">
        <f t="shared" si="3"/>
        <v>1.000999001</v>
      </c>
      <c r="U501" s="16">
        <f t="shared" si="7"/>
        <v>99.78022635</v>
      </c>
      <c r="V501" s="17"/>
      <c r="W501" s="12">
        <f t="array" ref="W501">SQRT(252/20) *  SQRT( SUMSQ( LN(U480:U499 / U479:U498) )  - (1/20) * ( SUM( LN(U480:U499 / U479:U498) ) ^ 2 ) )</f>
        <v>0.01228974231</v>
      </c>
      <c r="X501" s="9">
        <f t="shared" si="4"/>
        <v>1.5</v>
      </c>
      <c r="Y501" s="14"/>
      <c r="Z501" s="12">
        <f t="shared" si="5"/>
        <v>1.001512002</v>
      </c>
      <c r="AA501" s="16">
        <f t="shared" si="8"/>
        <v>99.70664998</v>
      </c>
      <c r="AB501" s="14"/>
      <c r="AC501" s="9">
        <f t="shared" si="6"/>
        <v>0</v>
      </c>
    </row>
    <row r="502">
      <c r="A502" s="8">
        <v>42451.0</v>
      </c>
      <c r="B502" s="14"/>
      <c r="C502" s="9">
        <f t="array" ref="C502">IFERROR(
  INDEX(
    IR!$B$2:$E2026,                
    MATCH($A502, IR!$A$2:$A2026, 0), 
    MATCH(C$1, IR!$B$1:$E$1, 0) ), "")
</f>
        <v>-0.00328</v>
      </c>
      <c r="D502" s="9">
        <f t="array" ref="D502">IFERROR(
  INDEX(
    IR!$B$2:$E2026,                
    MATCH($A502, IR!$A$2:$A2026, 0), 
    MATCH(D$1, IR!$B$1:$E$1, 0) ), "")
</f>
        <v>-0.00239</v>
      </c>
      <c r="E502" s="9">
        <f t="array" ref="E502">IFERROR(
  INDEX(
    IR!$B$2:$E2026,                
    MATCH($A502, IR!$A$2:$A2026, 0), 
    MATCH(E$1, IR!$B$1:$E$1, 0) ), "")
</f>
        <v>-0.00132</v>
      </c>
      <c r="F502" s="9">
        <f t="array" ref="F502">IFERROR(
  INDEX(
    IR!$B$2:$E2026,                
    MATCH($A502, IR!$A$2:$A2026, 0), 
    MATCH(F$1, IR!$B$1:$E$1, 0) ), "")
</f>
        <v>-0.00002</v>
      </c>
      <c r="G502" s="14"/>
      <c r="H502" s="9">
        <f t="array" ref="H502">IFERROR(
  INDEX(
    SR!$B$2:$D2026,            
    MATCH($A502, SR!$A$2:$A2026, 0),  
    MATCH(H$1, SR!$B$1:$D$1, 0) ), "")
</f>
        <v>-0.00149</v>
      </c>
      <c r="I502" s="9">
        <f t="array" ref="I502">IFERROR(
  INDEX(
    SR!$B$2:$D2026,            
    MATCH($A502, SR!$A$2:$A2026, 0),  
    MATCH(I$1, SR!$B$1:$D$1, 0) ), "")
</f>
        <v>-0.001103</v>
      </c>
      <c r="J502" s="9">
        <f t="array" ref="J502">IFERROR(
  INDEX(
    SR!$B$2:$D2026,            
    MATCH($A502, SR!$A$2:$A2026, 0),  
    MATCH(J$1, SR!$B$1:$D$1, 0) ), "")
</f>
        <v>0.00051</v>
      </c>
      <c r="K502" s="14"/>
      <c r="L502" s="9">
        <v>118.76</v>
      </c>
      <c r="M502" s="9">
        <v>24.45</v>
      </c>
      <c r="N502" s="9">
        <v>113.17</v>
      </c>
      <c r="O502" s="9">
        <v>119.72</v>
      </c>
      <c r="P502" s="9">
        <v>126.1</v>
      </c>
      <c r="Q502" s="9">
        <v>1358.6652</v>
      </c>
      <c r="R502" s="14"/>
      <c r="S502" s="12">
        <f t="shared" si="2"/>
        <v>0.0002120551648</v>
      </c>
      <c r="T502" s="12">
        <f t="shared" si="3"/>
        <v>1.000212055</v>
      </c>
      <c r="U502" s="16">
        <f t="shared" si="7"/>
        <v>99.80138527</v>
      </c>
      <c r="V502" s="17"/>
      <c r="W502" s="12">
        <f t="array" ref="W502">SQRT(252/20) *  SQRT( SUMSQ( LN(U481:U500 / U480:U499) )  - (1/20) * ( SUM( LN(U481:U500 / U480:U499) ) ^ 2 ) )</f>
        <v>0.01230993595</v>
      </c>
      <c r="X502" s="9">
        <f t="shared" si="4"/>
        <v>1.5</v>
      </c>
      <c r="Y502" s="14"/>
      <c r="Z502" s="12">
        <f t="shared" si="5"/>
        <v>1.000322611</v>
      </c>
      <c r="AA502" s="16">
        <f t="shared" si="8"/>
        <v>99.7388164</v>
      </c>
      <c r="AB502" s="14"/>
      <c r="AC502" s="9">
        <f t="shared" si="6"/>
        <v>0</v>
      </c>
    </row>
    <row r="503">
      <c r="A503" s="8">
        <v>42452.0</v>
      </c>
      <c r="B503" s="14"/>
      <c r="C503" s="9">
        <f t="array" ref="C503">IFERROR(
  INDEX(
    IR!$B$2:$E2026,                
    MATCH($A503, IR!$A$2:$A2026, 0), 
    MATCH(C$1, IR!$B$1:$E$1, 0) ), "")
</f>
        <v>-0.0033</v>
      </c>
      <c r="D503" s="9">
        <f t="array" ref="D503">IFERROR(
  INDEX(
    IR!$B$2:$E2026,                
    MATCH($A503, IR!$A$2:$A2026, 0), 
    MATCH(D$1, IR!$B$1:$E$1, 0) ), "")
</f>
        <v>-0.00241</v>
      </c>
      <c r="E503" s="9">
        <f t="array" ref="E503">IFERROR(
  INDEX(
    IR!$B$2:$E2026,                
    MATCH($A503, IR!$A$2:$A2026, 0), 
    MATCH(E$1, IR!$B$1:$E$1, 0) ), "")
</f>
        <v>-0.00133</v>
      </c>
      <c r="F503" s="9">
        <f t="array" ref="F503">IFERROR(
  INDEX(
    IR!$B$2:$E2026,                
    MATCH($A503, IR!$A$2:$A2026, 0), 
    MATCH(F$1, IR!$B$1:$E$1, 0) ), "")
</f>
        <v>-0.00003</v>
      </c>
      <c r="G503" s="14"/>
      <c r="H503" s="9">
        <f t="array" ref="H503">IFERROR(
  INDEX(
    SR!$B$2:$D2026,            
    MATCH($A503, SR!$A$2:$A2026, 0),  
    MATCH(H$1, SR!$B$1:$D$1, 0) ), "")
</f>
        <v>-0.00151</v>
      </c>
      <c r="I503" s="9">
        <f t="array" ref="I503">IFERROR(
  INDEX(
    SR!$B$2:$D2026,            
    MATCH($A503, SR!$A$2:$A2026, 0),  
    MATCH(I$1, SR!$B$1:$D$1, 0) ), "")
</f>
        <v>-0.001135</v>
      </c>
      <c r="J503" s="9">
        <f t="array" ref="J503">IFERROR(
  INDEX(
    SR!$B$2:$D2026,            
    MATCH($A503, SR!$A$2:$A2026, 0),  
    MATCH(J$1, SR!$B$1:$D$1, 0) ), "")
</f>
        <v>0.000435</v>
      </c>
      <c r="K503" s="14"/>
      <c r="L503" s="9">
        <v>118.82</v>
      </c>
      <c r="M503" s="9">
        <v>24.45</v>
      </c>
      <c r="N503" s="9">
        <v>113.16</v>
      </c>
      <c r="O503" s="9">
        <v>119.73</v>
      </c>
      <c r="P503" s="9">
        <v>126.1</v>
      </c>
      <c r="Q503" s="9">
        <v>1358.3358</v>
      </c>
      <c r="R503" s="14"/>
      <c r="S503" s="12">
        <f t="shared" si="2"/>
        <v>0.0000429489547</v>
      </c>
      <c r="T503" s="12">
        <f t="shared" si="3"/>
        <v>1.000042949</v>
      </c>
      <c r="U503" s="16">
        <f t="shared" si="7"/>
        <v>99.80567163</v>
      </c>
      <c r="V503" s="17"/>
      <c r="W503" s="12">
        <f t="array" ref="W503">SQRT(252/20) *  SQRT( SUMSQ( LN(U482:U501 / U481:U500) )  - (1/20) * ( SUM( LN(U482:U501 / U481:U500) ) ^ 2 ) )</f>
        <v>0.01225009793</v>
      </c>
      <c r="X503" s="9">
        <f t="shared" si="4"/>
        <v>1.5</v>
      </c>
      <c r="Y503" s="14"/>
      <c r="Z503" s="12">
        <f t="shared" si="5"/>
        <v>1.000068979</v>
      </c>
      <c r="AA503" s="16">
        <f t="shared" si="8"/>
        <v>99.74569628</v>
      </c>
      <c r="AB503" s="14"/>
      <c r="AC503" s="9">
        <f t="shared" si="6"/>
        <v>0</v>
      </c>
    </row>
    <row r="504">
      <c r="A504" s="8">
        <v>42453.0</v>
      </c>
      <c r="B504" s="14"/>
      <c r="C504" s="9">
        <f t="array" ref="C504">IFERROR(
  INDEX(
    IR!$B$2:$E2026,                
    MATCH($A504, IR!$A$2:$A2026, 0), 
    MATCH(C$1, IR!$B$1:$E$1, 0) ), "")
</f>
        <v>-0.00331</v>
      </c>
      <c r="D504" s="9">
        <f t="array" ref="D504">IFERROR(
  INDEX(
    IR!$B$2:$E2026,                
    MATCH($A504, IR!$A$2:$A2026, 0), 
    MATCH(D$1, IR!$B$1:$E$1, 0) ), "")
</f>
        <v>-0.00242</v>
      </c>
      <c r="E504" s="9">
        <f t="array" ref="E504">IFERROR(
  INDEX(
    IR!$B$2:$E2026,                
    MATCH($A504, IR!$A$2:$A2026, 0), 
    MATCH(E$1, IR!$B$1:$E$1, 0) ), "")
</f>
        <v>-0.00134</v>
      </c>
      <c r="F504" s="9">
        <f t="array" ref="F504">IFERROR(
  INDEX(
    IR!$B$2:$E2026,                
    MATCH($A504, IR!$A$2:$A2026, 0), 
    MATCH(F$1, IR!$B$1:$E$1, 0) ), "")
</f>
        <v>-0.00005</v>
      </c>
      <c r="G504" s="14"/>
      <c r="H504" s="9">
        <f t="array" ref="H504">IFERROR(
  INDEX(
    SR!$B$2:$D2026,            
    MATCH($A504, SR!$A$2:$A2026, 0),  
    MATCH(H$1, SR!$B$1:$D$1, 0) ), "")
</f>
        <v>-0.00144</v>
      </c>
      <c r="I504" s="9">
        <f t="array" ref="I504">IFERROR(
  INDEX(
    SR!$B$2:$D2026,            
    MATCH($A504, SR!$A$2:$A2026, 0),  
    MATCH(I$1, SR!$B$1:$D$1, 0) ), "")
</f>
        <v>-0.00109</v>
      </c>
      <c r="J504" s="9">
        <f t="array" ref="J504">IFERROR(
  INDEX(
    SR!$B$2:$D2026,            
    MATCH($A504, SR!$A$2:$A2026, 0),  
    MATCH(J$1, SR!$B$1:$D$1, 0) ), "")
</f>
        <v>0.000465</v>
      </c>
      <c r="K504" s="14"/>
      <c r="L504" s="9">
        <v>118.37</v>
      </c>
      <c r="M504" s="9">
        <v>24.46</v>
      </c>
      <c r="N504" s="9">
        <v>113.11</v>
      </c>
      <c r="O504" s="9">
        <v>119.66</v>
      </c>
      <c r="P504" s="9">
        <v>126.29</v>
      </c>
      <c r="Q504" s="9">
        <v>1353.5876</v>
      </c>
      <c r="R504" s="14"/>
      <c r="S504" s="12">
        <f t="shared" si="2"/>
        <v>-0.00106552409</v>
      </c>
      <c r="T504" s="12">
        <f t="shared" si="3"/>
        <v>0.9989344759</v>
      </c>
      <c r="U504" s="16">
        <f t="shared" si="7"/>
        <v>99.69932628</v>
      </c>
      <c r="V504" s="17"/>
      <c r="W504" s="12">
        <f t="array" ref="W504">SQRT(252/20) *  SQRT( SUMSQ( LN(U483:U502 / U482:U501) )  - (1/20) * ( SUM( LN(U483:U502 / U482:U501) ) ^ 2 ) )</f>
        <v>0.0123044044</v>
      </c>
      <c r="X504" s="9">
        <f t="shared" si="4"/>
        <v>1.5</v>
      </c>
      <c r="Y504" s="14"/>
      <c r="Z504" s="12">
        <f t="shared" si="5"/>
        <v>0.9984062972</v>
      </c>
      <c r="AA504" s="16">
        <f t="shared" si="8"/>
        <v>99.58673128</v>
      </c>
      <c r="AB504" s="14"/>
      <c r="AC504" s="9">
        <f t="shared" si="6"/>
        <v>0</v>
      </c>
    </row>
    <row r="505">
      <c r="A505" s="8">
        <v>42458.0</v>
      </c>
      <c r="B505" s="14"/>
      <c r="C505" s="9">
        <f t="array" ref="C505">IFERROR(
  INDEX(
    IR!$B$2:$E2026,                
    MATCH($A505, IR!$A$2:$A2026, 0), 
    MATCH(C$1, IR!$B$1:$E$1, 0) ), "")
</f>
        <v>-0.00332</v>
      </c>
      <c r="D505" s="9">
        <f t="array" ref="D505">IFERROR(
  INDEX(
    IR!$B$2:$E2026,                
    MATCH($A505, IR!$A$2:$A2026, 0), 
    MATCH(D$1, IR!$B$1:$E$1, 0) ), "")
</f>
        <v>-0.00242</v>
      </c>
      <c r="E505" s="9">
        <f t="array" ref="E505">IFERROR(
  INDEX(
    IR!$B$2:$E2026,                
    MATCH($A505, IR!$A$2:$A2026, 0), 
    MATCH(E$1, IR!$B$1:$E$1, 0) ), "")
</f>
        <v>-0.00134</v>
      </c>
      <c r="F505" s="9">
        <f t="array" ref="F505">IFERROR(
  INDEX(
    IR!$B$2:$E2026,                
    MATCH($A505, IR!$A$2:$A2026, 0), 
    MATCH(F$1, IR!$B$1:$E$1, 0) ), "")
</f>
        <v>-0.00006</v>
      </c>
      <c r="G505" s="14"/>
      <c r="H505" s="9">
        <f t="array" ref="H505">IFERROR(
  INDEX(
    SR!$B$2:$D2026,            
    MATCH($A505, SR!$A$2:$A2026, 0),  
    MATCH(H$1, SR!$B$1:$D$1, 0) ), "")
</f>
        <v>-0.00156</v>
      </c>
      <c r="I505" s="9">
        <f t="array" ref="I505">IFERROR(
  INDEX(
    SR!$B$2:$D2026,            
    MATCH($A505, SR!$A$2:$A2026, 0),  
    MATCH(I$1, SR!$B$1:$D$1, 0) ), "")
</f>
        <v>-0.001204</v>
      </c>
      <c r="J505" s="9">
        <f t="array" ref="J505">IFERROR(
  INDEX(
    SR!$B$2:$D2026,            
    MATCH($A505, SR!$A$2:$A2026, 0),  
    MATCH(J$1, SR!$B$1:$D$1, 0) ), "")
</f>
        <v>0.000165</v>
      </c>
      <c r="K505" s="14"/>
      <c r="L505" s="9">
        <v>118.26</v>
      </c>
      <c r="M505" s="9">
        <v>24.47</v>
      </c>
      <c r="N505" s="9">
        <v>113.2</v>
      </c>
      <c r="O505" s="9">
        <v>119.32</v>
      </c>
      <c r="P505" s="9">
        <v>126.18</v>
      </c>
      <c r="Q505" s="9">
        <v>1351.2799</v>
      </c>
      <c r="R505" s="14"/>
      <c r="S505" s="12">
        <f t="shared" si="2"/>
        <v>-0.0008568351798</v>
      </c>
      <c r="T505" s="12">
        <f t="shared" si="3"/>
        <v>0.9991431648</v>
      </c>
      <c r="U505" s="16">
        <f t="shared" si="7"/>
        <v>99.61390039</v>
      </c>
      <c r="V505" s="17"/>
      <c r="W505" s="12">
        <f t="array" ref="W505">SQRT(252/20) *  SQRT( SUMSQ( LN(U484:U503 / U483:U502) )  - (1/20) * ( SUM( LN(U484:U503 / U483:U502) ) ^ 2 ) )</f>
        <v>0.01122822638</v>
      </c>
      <c r="X505" s="9">
        <f t="shared" si="4"/>
        <v>1.5</v>
      </c>
      <c r="Y505" s="14"/>
      <c r="Z505" s="12">
        <f t="shared" si="5"/>
        <v>0.9987377333</v>
      </c>
      <c r="AA505" s="16">
        <f t="shared" si="8"/>
        <v>99.46102627</v>
      </c>
      <c r="AB505" s="14"/>
      <c r="AC505" s="9">
        <f t="shared" si="6"/>
        <v>0</v>
      </c>
    </row>
    <row r="506">
      <c r="A506" s="8">
        <v>42459.0</v>
      </c>
      <c r="B506" s="14"/>
      <c r="C506" s="9">
        <f t="array" ref="C506">IFERROR(
  INDEX(
    IR!$B$2:$E2026,                
    MATCH($A506, IR!$A$2:$A2026, 0), 
    MATCH(C$1, IR!$B$1:$E$1, 0) ), "")
</f>
        <v>-0.00332</v>
      </c>
      <c r="D506" s="9">
        <f t="array" ref="D506">IFERROR(
  INDEX(
    IR!$B$2:$E2026,                
    MATCH($A506, IR!$A$2:$A2026, 0), 
    MATCH(D$1, IR!$B$1:$E$1, 0) ), "")
</f>
        <v>-0.00243</v>
      </c>
      <c r="E506" s="9">
        <f t="array" ref="E506">IFERROR(
  INDEX(
    IR!$B$2:$E2026,                
    MATCH($A506, IR!$A$2:$A2026, 0), 
    MATCH(E$1, IR!$B$1:$E$1, 0) ), "")
</f>
        <v>-0.00132</v>
      </c>
      <c r="F506" s="9">
        <f t="array" ref="F506">IFERROR(
  INDEX(
    IR!$B$2:$E2026,                
    MATCH($A506, IR!$A$2:$A2026, 0), 
    MATCH(F$1, IR!$B$1:$E$1, 0) ), "")
</f>
        <v>-0.00004</v>
      </c>
      <c r="G506" s="14"/>
      <c r="H506" s="9">
        <f t="array" ref="H506">IFERROR(
  INDEX(
    SR!$B$2:$D2026,            
    MATCH($A506, SR!$A$2:$A2026, 0),  
    MATCH(H$1, SR!$B$1:$D$1, 0) ), "")
</f>
        <v>-0.00152</v>
      </c>
      <c r="I506" s="9">
        <f t="array" ref="I506">IFERROR(
  INDEX(
    SR!$B$2:$D2026,            
    MATCH($A506, SR!$A$2:$A2026, 0),  
    MATCH(I$1, SR!$B$1:$D$1, 0) ), "")
</f>
        <v>-0.00115</v>
      </c>
      <c r="J506" s="9">
        <f t="array" ref="J506">IFERROR(
  INDEX(
    SR!$B$2:$D2026,            
    MATCH($A506, SR!$A$2:$A2026, 0),  
    MATCH(J$1, SR!$B$1:$D$1, 0) ), "")
</f>
        <v>0.00023</v>
      </c>
      <c r="K506" s="14"/>
      <c r="L506" s="9">
        <v>118.63</v>
      </c>
      <c r="M506" s="9">
        <v>24.45</v>
      </c>
      <c r="N506" s="9">
        <v>113.24</v>
      </c>
      <c r="O506" s="9">
        <v>119.54</v>
      </c>
      <c r="P506" s="9">
        <v>126.43</v>
      </c>
      <c r="Q506" s="9">
        <v>1353.8275</v>
      </c>
      <c r="R506" s="14"/>
      <c r="S506" s="12">
        <f t="shared" si="2"/>
        <v>0.001395485307</v>
      </c>
      <c r="T506" s="12">
        <f t="shared" si="3"/>
        <v>1.001395485</v>
      </c>
      <c r="U506" s="16">
        <f t="shared" si="7"/>
        <v>99.75291013</v>
      </c>
      <c r="V506" s="17"/>
      <c r="W506" s="12">
        <f t="array" ref="W506">SQRT(252/20) *  SQRT( SUMSQ( LN(U485:U504 / U484:U503) )  - (1/20) * ( SUM( LN(U485:U504 / U484:U503) ) ^ 2 ) )</f>
        <v>0.0122927643</v>
      </c>
      <c r="X506" s="9">
        <f t="shared" si="4"/>
        <v>1.5</v>
      </c>
      <c r="Y506" s="14"/>
      <c r="Z506" s="12">
        <f t="shared" si="5"/>
        <v>1.002097839</v>
      </c>
      <c r="AA506" s="16">
        <f t="shared" si="8"/>
        <v>99.6696795</v>
      </c>
      <c r="AB506" s="14"/>
      <c r="AC506" s="9">
        <f t="shared" si="6"/>
        <v>0</v>
      </c>
    </row>
    <row r="507">
      <c r="A507" s="8">
        <v>42460.0</v>
      </c>
      <c r="B507" s="14"/>
      <c r="C507" s="9">
        <f t="array" ref="C507">IFERROR(
  INDEX(
    IR!$B$2:$E2026,                
    MATCH($A507, IR!$A$2:$A2026, 0), 
    MATCH(C$1, IR!$B$1:$E$1, 0) ), "")
</f>
        <v>-0.00334</v>
      </c>
      <c r="D507" s="9">
        <f t="array" ref="D507">IFERROR(
  INDEX(
    IR!$B$2:$E2026,                
    MATCH($A507, IR!$A$2:$A2026, 0), 
    MATCH(D$1, IR!$B$1:$E$1, 0) ), "")
</f>
        <v>-0.00244</v>
      </c>
      <c r="E507" s="9">
        <f t="array" ref="E507">IFERROR(
  INDEX(
    IR!$B$2:$E2026,                
    MATCH($A507, IR!$A$2:$A2026, 0), 
    MATCH(E$1, IR!$B$1:$E$1, 0) ), "")
</f>
        <v>-0.00132</v>
      </c>
      <c r="F507" s="9">
        <f t="array" ref="F507">IFERROR(
  INDEX(
    IR!$B$2:$E2026,                
    MATCH($A507, IR!$A$2:$A2026, 0), 
    MATCH(F$1, IR!$B$1:$E$1, 0) ), "")
</f>
        <v>-0.00005</v>
      </c>
      <c r="G507" s="14"/>
      <c r="H507" s="9">
        <f t="array" ref="H507">IFERROR(
  INDEX(
    SR!$B$2:$D2026,            
    MATCH($A507, SR!$A$2:$A2026, 0),  
    MATCH(H$1, SR!$B$1:$D$1, 0) ), "")
</f>
        <v>-0.00151</v>
      </c>
      <c r="I507" s="9">
        <f t="array" ref="I507">IFERROR(
  INDEX(
    SR!$B$2:$D2026,            
    MATCH($A507, SR!$A$2:$A2026, 0),  
    MATCH(I$1, SR!$B$1:$D$1, 0) ), "")
</f>
        <v>-0.00115</v>
      </c>
      <c r="J507" s="9">
        <f t="array" ref="J507">IFERROR(
  INDEX(
    SR!$B$2:$D2026,            
    MATCH($A507, SR!$A$2:$A2026, 0),  
    MATCH(J$1, SR!$B$1:$D$1, 0) ), "")
</f>
        <v>0.00023</v>
      </c>
      <c r="K507" s="14"/>
      <c r="L507" s="9">
        <v>118.45</v>
      </c>
      <c r="M507" s="9">
        <v>24.45</v>
      </c>
      <c r="N507" s="9">
        <v>113.27</v>
      </c>
      <c r="O507" s="9">
        <v>119.84</v>
      </c>
      <c r="P507" s="9">
        <v>126.35</v>
      </c>
      <c r="Q507" s="9">
        <v>1357.0128</v>
      </c>
      <c r="R507" s="14"/>
      <c r="S507" s="12">
        <f t="shared" si="2"/>
        <v>0.0004962486485</v>
      </c>
      <c r="T507" s="12">
        <f t="shared" si="3"/>
        <v>1.000496249</v>
      </c>
      <c r="U507" s="16">
        <f t="shared" si="7"/>
        <v>99.80241238</v>
      </c>
      <c r="V507" s="17"/>
      <c r="W507" s="12">
        <f t="array" ref="W507">SQRT(252/20) *  SQRT( SUMSQ( LN(U486:U505 / U485:U504) )  - (1/20) * ( SUM( LN(U486:U505 / U485:U504) ) ^ 2 ) )</f>
        <v>0.01233787021</v>
      </c>
      <c r="X507" s="9">
        <f t="shared" si="4"/>
        <v>1.5</v>
      </c>
      <c r="Y507" s="14"/>
      <c r="Z507" s="12">
        <f t="shared" si="5"/>
        <v>1.000748984</v>
      </c>
      <c r="AA507" s="16">
        <f t="shared" si="8"/>
        <v>99.7443305</v>
      </c>
      <c r="AB507" s="14"/>
      <c r="AC507" s="9">
        <f t="shared" si="6"/>
        <v>0</v>
      </c>
    </row>
    <row r="508">
      <c r="A508" s="8">
        <v>42461.0</v>
      </c>
      <c r="B508" s="14"/>
      <c r="C508" s="9">
        <f t="array" ref="C508">IFERROR(
  INDEX(
    IR!$B$2:$E2026,                
    MATCH($A508, IR!$A$2:$A2026, 0), 
    MATCH(C$1, IR!$B$1:$E$1, 0) ), "")
</f>
        <v>-0.00335</v>
      </c>
      <c r="D508" s="9">
        <f t="array" ref="D508">IFERROR(
  INDEX(
    IR!$B$2:$E2026,                
    MATCH($A508, IR!$A$2:$A2026, 0), 
    MATCH(D$1, IR!$B$1:$E$1, 0) ), "")
</f>
        <v>-0.00245</v>
      </c>
      <c r="E508" s="9">
        <f t="array" ref="E508">IFERROR(
  INDEX(
    IR!$B$2:$E2026,                
    MATCH($A508, IR!$A$2:$A2026, 0), 
    MATCH(E$1, IR!$B$1:$E$1, 0) ), "")
</f>
        <v>-0.00131</v>
      </c>
      <c r="F508" s="9">
        <f t="array" ref="F508">IFERROR(
  INDEX(
    IR!$B$2:$E2026,                
    MATCH($A508, IR!$A$2:$A2026, 0), 
    MATCH(F$1, IR!$B$1:$E$1, 0) ), "")
</f>
        <v>-0.00002</v>
      </c>
      <c r="G508" s="14"/>
      <c r="H508" s="9">
        <f t="array" ref="H508">IFERROR(
  INDEX(
    SR!$B$2:$D2026,            
    MATCH($A508, SR!$A$2:$A2026, 0),  
    MATCH(H$1, SR!$B$1:$D$1, 0) ), "")
</f>
        <v>-0.00148</v>
      </c>
      <c r="I508" s="9">
        <f t="array" ref="I508">IFERROR(
  INDEX(
    SR!$B$2:$D2026,            
    MATCH($A508, SR!$A$2:$A2026, 0),  
    MATCH(I$1, SR!$B$1:$D$1, 0) ), "")
</f>
        <v>-0.00115</v>
      </c>
      <c r="J508" s="9">
        <f t="array" ref="J508">IFERROR(
  INDEX(
    SR!$B$2:$D2026,            
    MATCH($A508, SR!$A$2:$A2026, 0),  
    MATCH(J$1, SR!$B$1:$D$1, 0) ), "")
</f>
        <v>0.00022</v>
      </c>
      <c r="K508" s="14"/>
      <c r="L508" s="9">
        <v>117.91</v>
      </c>
      <c r="M508" s="9">
        <v>24.44</v>
      </c>
      <c r="N508" s="9">
        <v>113.28</v>
      </c>
      <c r="O508" s="9">
        <v>119.63</v>
      </c>
      <c r="P508" s="9">
        <v>126.37</v>
      </c>
      <c r="Q508" s="9">
        <v>1354.3528</v>
      </c>
      <c r="R508" s="14"/>
      <c r="S508" s="12">
        <f t="shared" si="2"/>
        <v>-0.001405272557</v>
      </c>
      <c r="T508" s="12">
        <f t="shared" si="3"/>
        <v>0.9985947274</v>
      </c>
      <c r="U508" s="16">
        <f t="shared" si="7"/>
        <v>99.66216278</v>
      </c>
      <c r="V508" s="17"/>
      <c r="W508" s="12">
        <f t="array" ref="W508">SQRT(252/20) *  SQRT( SUMSQ( LN(U487:U506 / U486:U505) )  - (1/20) * ( SUM( LN(U487:U506 / U486:U505) ) ^ 2 ) )</f>
        <v>0.01286713281</v>
      </c>
      <c r="X508" s="9">
        <f t="shared" si="4"/>
        <v>1.5</v>
      </c>
      <c r="Y508" s="14"/>
      <c r="Z508" s="12">
        <f t="shared" si="5"/>
        <v>0.9978967301</v>
      </c>
      <c r="AA508" s="16">
        <f t="shared" si="8"/>
        <v>99.53454125</v>
      </c>
      <c r="AB508" s="14"/>
      <c r="AC508" s="9">
        <f t="shared" si="6"/>
        <v>0</v>
      </c>
    </row>
    <row r="509">
      <c r="A509" s="8">
        <v>42464.0</v>
      </c>
      <c r="B509" s="14"/>
      <c r="C509" s="9">
        <f t="array" ref="C509">IFERROR(
  INDEX(
    IR!$B$2:$E2026,                
    MATCH($A509, IR!$A$2:$A2026, 0), 
    MATCH(C$1, IR!$B$1:$E$1, 0) ), "")
</f>
        <v>-0.00339</v>
      </c>
      <c r="D509" s="9">
        <f t="array" ref="D509">IFERROR(
  INDEX(
    IR!$B$2:$E2026,                
    MATCH($A509, IR!$A$2:$A2026, 0), 
    MATCH(D$1, IR!$B$1:$E$1, 0) ), "")
</f>
        <v>-0.00246</v>
      </c>
      <c r="E509" s="9">
        <f t="array" ref="E509">IFERROR(
  INDEX(
    IR!$B$2:$E2026,                
    MATCH($A509, IR!$A$2:$A2026, 0), 
    MATCH(E$1, IR!$B$1:$E$1, 0) ), "")
</f>
        <v>-0.00132</v>
      </c>
      <c r="F509" s="9">
        <f t="array" ref="F509">IFERROR(
  INDEX(
    IR!$B$2:$E2026,                
    MATCH($A509, IR!$A$2:$A2026, 0), 
    MATCH(F$1, IR!$B$1:$E$1, 0) ), "")
</f>
        <v>-0.00001</v>
      </c>
      <c r="G509" s="14"/>
      <c r="H509" s="9">
        <f t="array" ref="H509">IFERROR(
  INDEX(
    SR!$B$2:$D2026,            
    MATCH($A509, SR!$A$2:$A2026, 0),  
    MATCH(H$1, SR!$B$1:$D$1, 0) ), "")
</f>
        <v>-0.00145</v>
      </c>
      <c r="I509" s="9">
        <f t="array" ref="I509">IFERROR(
  INDEX(
    SR!$B$2:$D2026,            
    MATCH($A509, SR!$A$2:$A2026, 0),  
    MATCH(I$1, SR!$B$1:$D$1, 0) ), "")
</f>
        <v>-0.0011</v>
      </c>
      <c r="J509" s="9">
        <f t="array" ref="J509">IFERROR(
  INDEX(
    SR!$B$2:$D2026,            
    MATCH($A509, SR!$A$2:$A2026, 0),  
    MATCH(J$1, SR!$B$1:$D$1, 0) ), "")
</f>
        <v>0.000231</v>
      </c>
      <c r="K509" s="14"/>
      <c r="L509" s="9">
        <v>117.79</v>
      </c>
      <c r="M509" s="9">
        <v>24.44</v>
      </c>
      <c r="N509" s="9">
        <v>113.34</v>
      </c>
      <c r="O509" s="9">
        <v>119.36</v>
      </c>
      <c r="P509" s="9">
        <v>124.28</v>
      </c>
      <c r="Q509" s="9">
        <v>1348.2864</v>
      </c>
      <c r="R509" s="14"/>
      <c r="S509" s="12">
        <f t="shared" si="2"/>
        <v>-0.003959354753</v>
      </c>
      <c r="T509" s="12">
        <f t="shared" si="3"/>
        <v>0.9960406452</v>
      </c>
      <c r="U509" s="16">
        <f t="shared" si="7"/>
        <v>99.26756493</v>
      </c>
      <c r="V509" s="17"/>
      <c r="W509" s="12">
        <f t="array" ref="W509">SQRT(252/20) *  SQRT( SUMSQ( LN(U488:U507 / U487:U506) )  - (1/20) * ( SUM( LN(U488:U507 / U487:U506) ) ^ 2 ) )</f>
        <v>0.01243144324</v>
      </c>
      <c r="X509" s="9">
        <f t="shared" si="4"/>
        <v>1.5</v>
      </c>
      <c r="Y509" s="14"/>
      <c r="Z509" s="12">
        <f t="shared" si="5"/>
        <v>0.9940749262</v>
      </c>
      <c r="AA509" s="16">
        <f t="shared" si="8"/>
        <v>98.94479175</v>
      </c>
      <c r="AB509" s="14"/>
      <c r="AC509" s="9">
        <f t="shared" si="6"/>
        <v>0</v>
      </c>
    </row>
    <row r="510">
      <c r="A510" s="8">
        <v>42465.0</v>
      </c>
      <c r="B510" s="14"/>
      <c r="C510" s="9">
        <f t="array" ref="C510">IFERROR(
  INDEX(
    IR!$B$2:$E2026,                
    MATCH($A510, IR!$A$2:$A2026, 0), 
    MATCH(C$1, IR!$B$1:$E$1, 0) ), "")
</f>
        <v>-0.00339</v>
      </c>
      <c r="D510" s="9">
        <f t="array" ref="D510">IFERROR(
  INDEX(
    IR!$B$2:$E2026,                
    MATCH($A510, IR!$A$2:$A2026, 0), 
    MATCH(D$1, IR!$B$1:$E$1, 0) ), "")
</f>
        <v>-0.00248</v>
      </c>
      <c r="E510" s="9">
        <f t="array" ref="E510">IFERROR(
  INDEX(
    IR!$B$2:$E2026,                
    MATCH($A510, IR!$A$2:$A2026, 0), 
    MATCH(E$1, IR!$B$1:$E$1, 0) ), "")
</f>
        <v>-0.00132</v>
      </c>
      <c r="F510" s="9">
        <f t="array" ref="F510">IFERROR(
  INDEX(
    IR!$B$2:$E2026,                
    MATCH($A510, IR!$A$2:$A2026, 0), 
    MATCH(F$1, IR!$B$1:$E$1, 0) ), "")
</f>
        <v>-0.00004</v>
      </c>
      <c r="G510" s="14"/>
      <c r="H510" s="9">
        <f t="array" ref="H510">IFERROR(
  INDEX(
    SR!$B$2:$D2026,            
    MATCH($A510, SR!$A$2:$A2026, 0),  
    MATCH(H$1, SR!$B$1:$D$1, 0) ), "")
</f>
        <v>-0.00152</v>
      </c>
      <c r="I510" s="9">
        <f t="array" ref="I510">IFERROR(
  INDEX(
    SR!$B$2:$D2026,            
    MATCH($A510, SR!$A$2:$A2026, 0),  
    MATCH(I$1, SR!$B$1:$D$1, 0) ), "")
</f>
        <v>-0.00121</v>
      </c>
      <c r="J510" s="9">
        <f t="array" ref="J510">IFERROR(
  INDEX(
    SR!$B$2:$D2026,            
    MATCH($A510, SR!$A$2:$A2026, 0),  
    MATCH(J$1, SR!$B$1:$D$1, 0) ), "")
</f>
        <v>0.000056</v>
      </c>
      <c r="K510" s="14"/>
      <c r="L510" s="9">
        <v>117.02</v>
      </c>
      <c r="M510" s="9">
        <v>24.44</v>
      </c>
      <c r="N510" s="9">
        <v>113.33</v>
      </c>
      <c r="O510" s="9">
        <v>119.39</v>
      </c>
      <c r="P510" s="9">
        <v>124.45</v>
      </c>
      <c r="Q510" s="9">
        <v>1353.8593</v>
      </c>
      <c r="R510" s="14"/>
      <c r="S510" s="12">
        <f t="shared" si="2"/>
        <v>-0.0001449863978</v>
      </c>
      <c r="T510" s="12">
        <f t="shared" si="3"/>
        <v>0.9998550136</v>
      </c>
      <c r="U510" s="16">
        <f t="shared" si="7"/>
        <v>99.25317248</v>
      </c>
      <c r="V510" s="17"/>
      <c r="W510" s="12">
        <f t="array" ref="W510">SQRT(252/20) *  SQRT( SUMSQ( LN(U489:U508 / U488:U507) )  - (1/20) * ( SUM( LN(U489:U508 / U488:U507) ) ^ 2 ) )</f>
        <v>0.01305875556</v>
      </c>
      <c r="X510" s="9">
        <f t="shared" si="4"/>
        <v>1.5</v>
      </c>
      <c r="Y510" s="14"/>
      <c r="Z510" s="12">
        <f t="shared" si="5"/>
        <v>0.9997872287</v>
      </c>
      <c r="AA510" s="16">
        <f t="shared" si="8"/>
        <v>98.92373914</v>
      </c>
      <c r="AB510" s="14"/>
      <c r="AC510" s="9">
        <f t="shared" si="6"/>
        <v>0</v>
      </c>
    </row>
    <row r="511">
      <c r="A511" s="8">
        <v>42466.0</v>
      </c>
      <c r="B511" s="14"/>
      <c r="C511" s="9">
        <f t="array" ref="C511">IFERROR(
  INDEX(
    IR!$B$2:$E2026,                
    MATCH($A511, IR!$A$2:$A2026, 0), 
    MATCH(C$1, IR!$B$1:$E$1, 0) ), "")
</f>
        <v>-0.00339</v>
      </c>
      <c r="D511" s="9">
        <f t="array" ref="D511">IFERROR(
  INDEX(
    IR!$B$2:$E2026,                
    MATCH($A511, IR!$A$2:$A2026, 0), 
    MATCH(D$1, IR!$B$1:$E$1, 0) ), "")
</f>
        <v>-0.00248</v>
      </c>
      <c r="E511" s="9">
        <f t="array" ref="E511">IFERROR(
  INDEX(
    IR!$B$2:$E2026,                
    MATCH($A511, IR!$A$2:$A2026, 0), 
    MATCH(E$1, IR!$B$1:$E$1, 0) ), "")
</f>
        <v>-0.00132</v>
      </c>
      <c r="F511" s="9">
        <f t="array" ref="F511">IFERROR(
  INDEX(
    IR!$B$2:$E2026,                
    MATCH($A511, IR!$A$2:$A2026, 0), 
    MATCH(F$1, IR!$B$1:$E$1, 0) ), "")
</f>
        <v>-0.00005</v>
      </c>
      <c r="G511" s="14"/>
      <c r="H511" s="9">
        <f t="array" ref="H511">IFERROR(
  INDEX(
    SR!$B$2:$D2026,            
    MATCH($A511, SR!$A$2:$A2026, 0),  
    MATCH(H$1, SR!$B$1:$D$1, 0) ), "")
</f>
        <v>-0.00152</v>
      </c>
      <c r="I511" s="9">
        <f t="array" ref="I511">IFERROR(
  INDEX(
    SR!$B$2:$D2026,            
    MATCH($A511, SR!$A$2:$A2026, 0),  
    MATCH(I$1, SR!$B$1:$D$1, 0) ), "")
</f>
        <v>-0.001225</v>
      </c>
      <c r="J511" s="9">
        <f t="array" ref="J511">IFERROR(
  INDEX(
    SR!$B$2:$D2026,            
    MATCH($A511, SR!$A$2:$A2026, 0),  
    MATCH(J$1, SR!$B$1:$D$1, 0) ), "")
</f>
        <v>0.000101</v>
      </c>
      <c r="K511" s="14"/>
      <c r="L511" s="9">
        <v>117.15</v>
      </c>
      <c r="M511" s="9">
        <v>24.44</v>
      </c>
      <c r="N511" s="9">
        <v>113.34</v>
      </c>
      <c r="O511" s="9">
        <v>119.06</v>
      </c>
      <c r="P511" s="9">
        <v>124.34</v>
      </c>
      <c r="Q511" s="9">
        <v>1347.8284</v>
      </c>
      <c r="R511" s="14"/>
      <c r="S511" s="12">
        <f t="shared" si="2"/>
        <v>-0.001150548467</v>
      </c>
      <c r="T511" s="12">
        <f t="shared" si="3"/>
        <v>0.9988494515</v>
      </c>
      <c r="U511" s="16">
        <f t="shared" si="7"/>
        <v>99.13897689</v>
      </c>
      <c r="V511" s="17"/>
      <c r="W511" s="12">
        <f t="array" ref="W511">SQRT(252/20) *  SQRT( SUMSQ( LN(U490:U509 / U489:U508) )  - (1/20) * ( SUM( LN(U490:U509 / U489:U508) ) ^ 2 ) )</f>
        <v>0.01936799665</v>
      </c>
      <c r="X511" s="9">
        <f t="shared" si="4"/>
        <v>1.5</v>
      </c>
      <c r="Y511" s="14"/>
      <c r="Z511" s="12">
        <f t="shared" si="5"/>
        <v>0.9982788856</v>
      </c>
      <c r="AA511" s="16">
        <f t="shared" si="8"/>
        <v>98.75348007</v>
      </c>
      <c r="AB511" s="14"/>
      <c r="AC511" s="9">
        <f t="shared" si="6"/>
        <v>0</v>
      </c>
    </row>
    <row r="512">
      <c r="A512" s="8">
        <v>42467.0</v>
      </c>
      <c r="B512" s="14"/>
      <c r="C512" s="9">
        <f t="array" ref="C512">IFERROR(
  INDEX(
    IR!$B$2:$E2026,                
    MATCH($A512, IR!$A$2:$A2026, 0), 
    MATCH(C$1, IR!$B$1:$E$1, 0) ), "")
</f>
        <v>-0.00339</v>
      </c>
      <c r="D512" s="9">
        <f t="array" ref="D512">IFERROR(
  INDEX(
    IR!$B$2:$E2026,                
    MATCH($A512, IR!$A$2:$A2026, 0), 
    MATCH(D$1, IR!$B$1:$E$1, 0) ), "")
</f>
        <v>-0.00247</v>
      </c>
      <c r="E512" s="9">
        <f t="array" ref="E512">IFERROR(
  INDEX(
    IR!$B$2:$E2026,                
    MATCH($A512, IR!$A$2:$A2026, 0), 
    MATCH(E$1, IR!$B$1:$E$1, 0) ), "")
</f>
        <v>-0.00134</v>
      </c>
      <c r="F512" s="9">
        <f t="array" ref="F512">IFERROR(
  INDEX(
    IR!$B$2:$E2026,                
    MATCH($A512, IR!$A$2:$A2026, 0), 
    MATCH(F$1, IR!$B$1:$E$1, 0) ), "")
</f>
        <v>-0.00007</v>
      </c>
      <c r="G512" s="14"/>
      <c r="H512" s="9">
        <f t="array" ref="H512">IFERROR(
  INDEX(
    SR!$B$2:$D2026,            
    MATCH($A512, SR!$A$2:$A2026, 0),  
    MATCH(H$1, SR!$B$1:$D$1, 0) ), "")
</f>
        <v>-0.00161</v>
      </c>
      <c r="I512" s="9">
        <f t="array" ref="I512">IFERROR(
  INDEX(
    SR!$B$2:$D2026,            
    MATCH($A512, SR!$A$2:$A2026, 0),  
    MATCH(I$1, SR!$B$1:$D$1, 0) ), "")
</f>
        <v>-0.00134</v>
      </c>
      <c r="J512" s="9">
        <f t="array" ref="J512">IFERROR(
  INDEX(
    SR!$B$2:$D2026,            
    MATCH($A512, SR!$A$2:$A2026, 0),  
    MATCH(J$1, SR!$B$1:$D$1, 0) ), "")
</f>
        <v>-0.00004</v>
      </c>
      <c r="K512" s="14"/>
      <c r="L512" s="9">
        <v>116.87</v>
      </c>
      <c r="M512" s="9">
        <v>24.44</v>
      </c>
      <c r="N512" s="9">
        <v>113.34</v>
      </c>
      <c r="O512" s="9">
        <v>118.93</v>
      </c>
      <c r="P512" s="9">
        <v>124.26</v>
      </c>
      <c r="Q512" s="9">
        <v>1352.0834</v>
      </c>
      <c r="R512" s="14"/>
      <c r="S512" s="12">
        <f t="shared" si="2"/>
        <v>-0.0001610283568</v>
      </c>
      <c r="T512" s="12">
        <f t="shared" si="3"/>
        <v>0.9998389716</v>
      </c>
      <c r="U512" s="16">
        <f t="shared" si="7"/>
        <v>99.12301271</v>
      </c>
      <c r="V512" s="17"/>
      <c r="W512" s="12">
        <f t="array" ref="W512">SQRT(252/20) *  SQRT( SUMSQ( LN(U491:U510 / U490:U509) )  - (1/20) * ( SUM( LN(U491:U510 / U490:U509) ) ^ 2 ) )</f>
        <v>0.01933124399</v>
      </c>
      <c r="X512" s="9">
        <f t="shared" si="4"/>
        <v>1.5</v>
      </c>
      <c r="Y512" s="14"/>
      <c r="Z512" s="12">
        <f t="shared" si="5"/>
        <v>0.9997631658</v>
      </c>
      <c r="AA512" s="16">
        <f t="shared" si="8"/>
        <v>98.73009187</v>
      </c>
      <c r="AB512" s="14"/>
      <c r="AC512" s="9">
        <f t="shared" si="6"/>
        <v>0</v>
      </c>
    </row>
    <row r="513">
      <c r="A513" s="8">
        <v>42468.0</v>
      </c>
      <c r="B513" s="14"/>
      <c r="C513" s="9">
        <f t="array" ref="C513">IFERROR(
  INDEX(
    IR!$B$2:$E2026,                
    MATCH($A513, IR!$A$2:$A2026, 0), 
    MATCH(C$1, IR!$B$1:$E$1, 0) ), "")
</f>
        <v>-0.00339</v>
      </c>
      <c r="D513" s="9">
        <f t="array" ref="D513">IFERROR(
  INDEX(
    IR!$B$2:$E2026,                
    MATCH($A513, IR!$A$2:$A2026, 0), 
    MATCH(D$1, IR!$B$1:$E$1, 0) ), "")
</f>
        <v>-0.00248</v>
      </c>
      <c r="E513" s="9">
        <f t="array" ref="E513">IFERROR(
  INDEX(
    IR!$B$2:$E2026,                
    MATCH($A513, IR!$A$2:$A2026, 0), 
    MATCH(E$1, IR!$B$1:$E$1, 0) ), "")
</f>
        <v>-0.00134</v>
      </c>
      <c r="F513" s="9">
        <f t="array" ref="F513">IFERROR(
  INDEX(
    IR!$B$2:$E2026,                
    MATCH($A513, IR!$A$2:$A2026, 0), 
    MATCH(F$1, IR!$B$1:$E$1, 0) ), "")
</f>
        <v>-0.0001</v>
      </c>
      <c r="G513" s="14"/>
      <c r="H513" s="9">
        <f t="array" ref="H513">IFERROR(
  INDEX(
    SR!$B$2:$D2026,            
    MATCH($A513, SR!$A$2:$A2026, 0),  
    MATCH(H$1, SR!$B$1:$D$1, 0) ), "")
</f>
        <v>-0.001613</v>
      </c>
      <c r="I513" s="9">
        <f t="array" ref="I513">IFERROR(
  INDEX(
    SR!$B$2:$D2026,            
    MATCH($A513, SR!$A$2:$A2026, 0),  
    MATCH(I$1, SR!$B$1:$D$1, 0) ), "")
</f>
        <v>-0.00136</v>
      </c>
      <c r="J513" s="9">
        <f t="array" ref="J513">IFERROR(
  INDEX(
    SR!$B$2:$D2026,            
    MATCH($A513, SR!$A$2:$A2026, 0),  
    MATCH(J$1, SR!$B$1:$D$1, 0) ), "")
</f>
        <v>-0.00009</v>
      </c>
      <c r="K513" s="14"/>
      <c r="L513" s="9">
        <v>117.2</v>
      </c>
      <c r="M513" s="9">
        <v>24.44</v>
      </c>
      <c r="N513" s="9">
        <v>113.38</v>
      </c>
      <c r="O513" s="9">
        <v>119.05</v>
      </c>
      <c r="P513" s="9">
        <v>124.57</v>
      </c>
      <c r="Q513" s="9">
        <v>1349.0557</v>
      </c>
      <c r="R513" s="14"/>
      <c r="S513" s="12">
        <f t="shared" si="2"/>
        <v>0.0007396552688</v>
      </c>
      <c r="T513" s="12">
        <f t="shared" si="3"/>
        <v>1.000739655</v>
      </c>
      <c r="U513" s="16">
        <f t="shared" si="7"/>
        <v>99.19632957</v>
      </c>
      <c r="V513" s="17"/>
      <c r="W513" s="12">
        <f t="array" ref="W513">SQRT(252/20) *  SQRT( SUMSQ( LN(U492:U511 / U491:U510) )  - (1/20) * ( SUM( LN(U492:U511 / U491:U510) ) ^ 2 ) )</f>
        <v>0.01970522196</v>
      </c>
      <c r="X513" s="9">
        <f t="shared" si="4"/>
        <v>1.5</v>
      </c>
      <c r="Y513" s="14"/>
      <c r="Z513" s="12">
        <f t="shared" si="5"/>
        <v>1.001114191</v>
      </c>
      <c r="AA513" s="16">
        <f t="shared" si="8"/>
        <v>98.84009607</v>
      </c>
      <c r="AB513" s="14"/>
      <c r="AC513" s="9">
        <f t="shared" si="6"/>
        <v>0</v>
      </c>
    </row>
    <row r="514">
      <c r="A514" s="8">
        <v>42471.0</v>
      </c>
      <c r="B514" s="14"/>
      <c r="C514" s="9">
        <f t="array" ref="C514">IFERROR(
  INDEX(
    IR!$B$2:$E2026,                
    MATCH($A514, IR!$A$2:$A2026, 0), 
    MATCH(C$1, IR!$B$1:$E$1, 0) ), "")
</f>
        <v>-0.0034</v>
      </c>
      <c r="D514" s="9">
        <f t="array" ref="D514">IFERROR(
  INDEX(
    IR!$B$2:$E2026,                
    MATCH($A514, IR!$A$2:$A2026, 0), 
    MATCH(D$1, IR!$B$1:$E$1, 0) ), "")
</f>
        <v>-0.00251</v>
      </c>
      <c r="E514" s="9">
        <f t="array" ref="E514">IFERROR(
  INDEX(
    IR!$B$2:$E2026,                
    MATCH($A514, IR!$A$2:$A2026, 0), 
    MATCH(E$1, IR!$B$1:$E$1, 0) ), "")
</f>
        <v>-0.00133</v>
      </c>
      <c r="F514" s="9">
        <f t="array" ref="F514">IFERROR(
  INDEX(
    IR!$B$2:$E2026,                
    MATCH($A514, IR!$A$2:$A2026, 0), 
    MATCH(F$1, IR!$B$1:$E$1, 0) ), "")
</f>
        <v>-0.00011</v>
      </c>
      <c r="G514" s="14"/>
      <c r="H514" s="9">
        <f t="array" ref="H514">IFERROR(
  INDEX(
    SR!$B$2:$D2026,            
    MATCH($A514, SR!$A$2:$A2026, 0),  
    MATCH(H$1, SR!$B$1:$D$1, 0) ), "")
</f>
        <v>-0.001654</v>
      </c>
      <c r="I514" s="9">
        <f t="array" ref="I514">IFERROR(
  INDEX(
    SR!$B$2:$D2026,            
    MATCH($A514, SR!$A$2:$A2026, 0),  
    MATCH(I$1, SR!$B$1:$D$1, 0) ), "")
</f>
        <v>-0.00138</v>
      </c>
      <c r="J514" s="9">
        <f t="array" ref="J514">IFERROR(
  INDEX(
    SR!$B$2:$D2026,            
    MATCH($A514, SR!$A$2:$A2026, 0),  
    MATCH(J$1, SR!$B$1:$D$1, 0) ), "")
</f>
        <v>-0.00008</v>
      </c>
      <c r="K514" s="14"/>
      <c r="L514" s="9">
        <v>117.47</v>
      </c>
      <c r="M514" s="9">
        <v>24.44</v>
      </c>
      <c r="N514" s="9">
        <v>113.42</v>
      </c>
      <c r="O514" s="9">
        <v>119.01</v>
      </c>
      <c r="P514" s="9">
        <v>124.32</v>
      </c>
      <c r="Q514" s="9">
        <v>1351.121</v>
      </c>
      <c r="R514" s="14"/>
      <c r="S514" s="12">
        <f t="shared" si="2"/>
        <v>0.0003074594287</v>
      </c>
      <c r="T514" s="12">
        <f t="shared" si="3"/>
        <v>1.000307459</v>
      </c>
      <c r="U514" s="16">
        <f t="shared" si="7"/>
        <v>99.22682841</v>
      </c>
      <c r="V514" s="17"/>
      <c r="W514" s="12">
        <f t="array" ref="W514">SQRT(252/20) *  SQRT( SUMSQ( LN(U493:U512 / U492:U511) )  - (1/20) * ( SUM( LN(U493:U512 / U492:U511) ) ^ 2 ) )</f>
        <v>0.01970196895</v>
      </c>
      <c r="X514" s="9">
        <f t="shared" si="4"/>
        <v>1.5</v>
      </c>
      <c r="Y514" s="14"/>
      <c r="Z514" s="12">
        <f t="shared" si="5"/>
        <v>1.000475314</v>
      </c>
      <c r="AA514" s="16">
        <f t="shared" si="8"/>
        <v>98.88707617</v>
      </c>
      <c r="AB514" s="14"/>
      <c r="AC514" s="9">
        <f t="shared" si="6"/>
        <v>0</v>
      </c>
    </row>
    <row r="515">
      <c r="A515" s="8">
        <v>42472.0</v>
      </c>
      <c r="B515" s="14"/>
      <c r="C515" s="9">
        <f t="array" ref="C515">IFERROR(
  INDEX(
    IR!$B$2:$E2026,                
    MATCH($A515, IR!$A$2:$A2026, 0), 
    MATCH(C$1, IR!$B$1:$E$1, 0) ), "")
</f>
        <v>-0.00342</v>
      </c>
      <c r="D515" s="9">
        <f t="array" ref="D515">IFERROR(
  INDEX(
    IR!$B$2:$E2026,                
    MATCH($A515, IR!$A$2:$A2026, 0), 
    MATCH(D$1, IR!$B$1:$E$1, 0) ), "")
</f>
        <v>-0.00249</v>
      </c>
      <c r="E515" s="9">
        <f t="array" ref="E515">IFERROR(
  INDEX(
    IR!$B$2:$E2026,                
    MATCH($A515, IR!$A$2:$A2026, 0), 
    MATCH(E$1, IR!$B$1:$E$1, 0) ), "")
</f>
        <v>-0.00136</v>
      </c>
      <c r="F515" s="9">
        <f t="array" ref="F515">IFERROR(
  INDEX(
    IR!$B$2:$E2026,                
    MATCH($A515, IR!$A$2:$A2026, 0), 
    MATCH(F$1, IR!$B$1:$E$1, 0) ), "")
</f>
        <v>-0.00012</v>
      </c>
      <c r="G515" s="14"/>
      <c r="H515" s="9">
        <f t="array" ref="H515">IFERROR(
  INDEX(
    SR!$B$2:$D2026,            
    MATCH($A515, SR!$A$2:$A2026, 0),  
    MATCH(H$1, SR!$B$1:$D$1, 0) ), "")
</f>
        <v>-0.00161</v>
      </c>
      <c r="I515" s="9">
        <f t="array" ref="I515">IFERROR(
  INDEX(
    SR!$B$2:$D2026,            
    MATCH($A515, SR!$A$2:$A2026, 0),  
    MATCH(I$1, SR!$B$1:$D$1, 0) ), "")
</f>
        <v>-0.001335</v>
      </c>
      <c r="J515" s="9">
        <f t="array" ref="J515">IFERROR(
  INDEX(
    SR!$B$2:$D2026,            
    MATCH($A515, SR!$A$2:$A2026, 0),  
    MATCH(J$1, SR!$B$1:$D$1, 0) ), "")
</f>
        <v>0.00017</v>
      </c>
      <c r="K515" s="14"/>
      <c r="L515" s="9">
        <v>117.54</v>
      </c>
      <c r="M515" s="9">
        <v>24.45</v>
      </c>
      <c r="N515" s="9">
        <v>113.45</v>
      </c>
      <c r="O515" s="9">
        <v>118.91</v>
      </c>
      <c r="P515" s="9">
        <v>124.28</v>
      </c>
      <c r="Q515" s="9">
        <v>1352.5877</v>
      </c>
      <c r="R515" s="14"/>
      <c r="S515" s="12">
        <f t="shared" si="2"/>
        <v>0.0001988778378</v>
      </c>
      <c r="T515" s="12">
        <f t="shared" si="3"/>
        <v>1.000198878</v>
      </c>
      <c r="U515" s="16">
        <f t="shared" si="7"/>
        <v>99.24656243</v>
      </c>
      <c r="V515" s="17"/>
      <c r="W515" s="12">
        <f t="array" ref="W515">SQRT(252/20) *  SQRT( SUMSQ( LN(U494:U513 / U493:U512) )  - (1/20) * ( SUM( LN(U494:U513 / U493:U512) ) ^ 2 ) )</f>
        <v>0.019909372</v>
      </c>
      <c r="X515" s="9">
        <f t="shared" si="4"/>
        <v>1.5</v>
      </c>
      <c r="Y515" s="14"/>
      <c r="Z515" s="12">
        <f t="shared" si="5"/>
        <v>1.000303039</v>
      </c>
      <c r="AA515" s="16">
        <f t="shared" si="8"/>
        <v>98.91704281</v>
      </c>
      <c r="AB515" s="14"/>
      <c r="AC515" s="9">
        <f t="shared" si="6"/>
        <v>0</v>
      </c>
    </row>
    <row r="516">
      <c r="A516" s="8">
        <v>42473.0</v>
      </c>
      <c r="B516" s="14"/>
      <c r="C516" s="9">
        <f t="array" ref="C516">IFERROR(
  INDEX(
    IR!$B$2:$E2026,                
    MATCH($A516, IR!$A$2:$A2026, 0), 
    MATCH(C$1, IR!$B$1:$E$1, 0) ), "")
</f>
        <v>-0.00342</v>
      </c>
      <c r="D516" s="9">
        <f t="array" ref="D516">IFERROR(
  INDEX(
    IR!$B$2:$E2026,                
    MATCH($A516, IR!$A$2:$A2026, 0), 
    MATCH(D$1, IR!$B$1:$E$1, 0) ), "")
</f>
        <v>-0.00249</v>
      </c>
      <c r="E516" s="9">
        <f t="array" ref="E516">IFERROR(
  INDEX(
    IR!$B$2:$E2026,                
    MATCH($A516, IR!$A$2:$A2026, 0), 
    MATCH(E$1, IR!$B$1:$E$1, 0) ), "")
</f>
        <v>-0.00138</v>
      </c>
      <c r="F516" s="9">
        <f t="array" ref="F516">IFERROR(
  INDEX(
    IR!$B$2:$E2026,                
    MATCH($A516, IR!$A$2:$A2026, 0), 
    MATCH(F$1, IR!$B$1:$E$1, 0) ), "")
</f>
        <v>-0.00013</v>
      </c>
      <c r="G516" s="14"/>
      <c r="H516" s="9">
        <f t="array" ref="H516">IFERROR(
  INDEX(
    SR!$B$2:$D2026,            
    MATCH($A516, SR!$A$2:$A2026, 0),  
    MATCH(H$1, SR!$B$1:$D$1, 0) ), "")
</f>
        <v>-0.00165</v>
      </c>
      <c r="I516" s="9">
        <f t="array" ref="I516">IFERROR(
  INDEX(
    SR!$B$2:$D2026,            
    MATCH($A516, SR!$A$2:$A2026, 0),  
    MATCH(I$1, SR!$B$1:$D$1, 0) ), "")
</f>
        <v>-0.001348</v>
      </c>
      <c r="J516" s="9">
        <f t="array" ref="J516">IFERROR(
  INDEX(
    SR!$B$2:$D2026,            
    MATCH($A516, SR!$A$2:$A2026, 0),  
    MATCH(J$1, SR!$B$1:$D$1, 0) ), "")
</f>
        <v>0.000053</v>
      </c>
      <c r="K516" s="14"/>
      <c r="L516" s="9">
        <v>118.07</v>
      </c>
      <c r="M516" s="9">
        <v>24.47</v>
      </c>
      <c r="N516" s="9">
        <v>113.47</v>
      </c>
      <c r="O516" s="9">
        <v>118.77</v>
      </c>
      <c r="P516" s="9">
        <v>124.13</v>
      </c>
      <c r="Q516" s="9">
        <v>1354.9026</v>
      </c>
      <c r="R516" s="14"/>
      <c r="S516" s="12">
        <f t="shared" si="2"/>
        <v>0.0008049383476</v>
      </c>
      <c r="T516" s="12">
        <f t="shared" si="3"/>
        <v>1.000804938</v>
      </c>
      <c r="U516" s="16">
        <f t="shared" si="7"/>
        <v>99.32644979</v>
      </c>
      <c r="V516" s="17"/>
      <c r="W516" s="12">
        <f t="array" ref="W516">SQRT(252/20) *  SQRT( SUMSQ( LN(U495:U514 / U494:U513) )  - (1/20) * ( SUM( LN(U495:U514 / U494:U513) ) ^ 2 ) )</f>
        <v>0.01995221932</v>
      </c>
      <c r="X516" s="9">
        <f t="shared" si="4"/>
        <v>1.5</v>
      </c>
      <c r="Y516" s="14"/>
      <c r="Z516" s="12">
        <f t="shared" si="5"/>
        <v>1.001212158</v>
      </c>
      <c r="AA516" s="16">
        <f t="shared" si="8"/>
        <v>99.03694584</v>
      </c>
      <c r="AB516" s="14"/>
      <c r="AC516" s="9">
        <f t="shared" si="6"/>
        <v>0</v>
      </c>
    </row>
    <row r="517">
      <c r="A517" s="8">
        <v>42474.0</v>
      </c>
      <c r="B517" s="14"/>
      <c r="C517" s="9">
        <f t="array" ref="C517">IFERROR(
  INDEX(
    IR!$B$2:$E2026,                
    MATCH($A517, IR!$A$2:$A2026, 0), 
    MATCH(C$1, IR!$B$1:$E$1, 0) ), "")
</f>
        <v>-0.00342</v>
      </c>
      <c r="D517" s="9">
        <f t="array" ref="D517">IFERROR(
  INDEX(
    IR!$B$2:$E2026,                
    MATCH($A517, IR!$A$2:$A2026, 0), 
    MATCH(D$1, IR!$B$1:$E$1, 0) ), "")
</f>
        <v>-0.00251</v>
      </c>
      <c r="E517" s="9">
        <f t="array" ref="E517">IFERROR(
  INDEX(
    IR!$B$2:$E2026,                
    MATCH($A517, IR!$A$2:$A2026, 0), 
    MATCH(E$1, IR!$B$1:$E$1, 0) ), "")
</f>
        <v>-0.00138</v>
      </c>
      <c r="F517" s="9">
        <f t="array" ref="F517">IFERROR(
  INDEX(
    IR!$B$2:$E2026,                
    MATCH($A517, IR!$A$2:$A2026, 0), 
    MATCH(F$1, IR!$B$1:$E$1, 0) ), "")
</f>
        <v>-0.00011</v>
      </c>
      <c r="G517" s="14"/>
      <c r="H517" s="9">
        <f t="array" ref="H517">IFERROR(
  INDEX(
    SR!$B$2:$D2026,            
    MATCH($A517, SR!$A$2:$A2026, 0),  
    MATCH(H$1, SR!$B$1:$D$1, 0) ), "")
</f>
        <v>-0.001559</v>
      </c>
      <c r="I517" s="9">
        <f t="array" ref="I517">IFERROR(
  INDEX(
    SR!$B$2:$D2026,            
    MATCH($A517, SR!$A$2:$A2026, 0),  
    MATCH(I$1, SR!$B$1:$D$1, 0) ), "")
</f>
        <v>-0.001169</v>
      </c>
      <c r="J517" s="9">
        <f t="array" ref="J517">IFERROR(
  INDEX(
    SR!$B$2:$D2026,            
    MATCH($A517, SR!$A$2:$A2026, 0),  
    MATCH(J$1, SR!$B$1:$D$1, 0) ), "")
</f>
        <v>0.00029</v>
      </c>
      <c r="K517" s="14"/>
      <c r="L517" s="9">
        <v>118.18</v>
      </c>
      <c r="M517" s="9">
        <v>24.47</v>
      </c>
      <c r="N517" s="9">
        <v>113.47</v>
      </c>
      <c r="O517" s="9">
        <v>118.79</v>
      </c>
      <c r="P517" s="9">
        <v>124.19</v>
      </c>
      <c r="Q517" s="9">
        <v>1365.804</v>
      </c>
      <c r="R517" s="14"/>
      <c r="S517" s="12">
        <f t="shared" si="2"/>
        <v>0.001605045908</v>
      </c>
      <c r="T517" s="12">
        <f t="shared" si="3"/>
        <v>1.001605046</v>
      </c>
      <c r="U517" s="16">
        <f t="shared" si="7"/>
        <v>99.48587331</v>
      </c>
      <c r="V517" s="17"/>
      <c r="W517" s="12">
        <f t="array" ref="W517">SQRT(252/20) *  SQRT( SUMSQ( LN(U496:U515 / U495:U514) )  - (1/20) * ( SUM( LN(U496:U515 / U495:U514) ) ^ 2 ) )</f>
        <v>0.0195005107</v>
      </c>
      <c r="X517" s="9">
        <f t="shared" si="4"/>
        <v>1.5</v>
      </c>
      <c r="Y517" s="14"/>
      <c r="Z517" s="12">
        <f t="shared" si="5"/>
        <v>1.002412319</v>
      </c>
      <c r="AA517" s="16">
        <f t="shared" si="8"/>
        <v>99.27585454</v>
      </c>
      <c r="AB517" s="14"/>
      <c r="AC517" s="9">
        <f t="shared" si="6"/>
        <v>0</v>
      </c>
    </row>
    <row r="518">
      <c r="A518" s="8">
        <v>42475.0</v>
      </c>
      <c r="B518" s="14"/>
      <c r="C518" s="9">
        <f t="array" ref="C518">IFERROR(
  INDEX(
    IR!$B$2:$E2026,                
    MATCH($A518, IR!$A$2:$A2026, 0), 
    MATCH(C$1, IR!$B$1:$E$1, 0) ), "")
</f>
        <v>-0.00342</v>
      </c>
      <c r="D518" s="9">
        <f t="array" ref="D518">IFERROR(
  INDEX(
    IR!$B$2:$E2026,                
    MATCH($A518, IR!$A$2:$A2026, 0), 
    MATCH(D$1, IR!$B$1:$E$1, 0) ), "")
</f>
        <v>-0.00249</v>
      </c>
      <c r="E518" s="9">
        <f t="array" ref="E518">IFERROR(
  INDEX(
    IR!$B$2:$E2026,                
    MATCH($A518, IR!$A$2:$A2026, 0), 
    MATCH(E$1, IR!$B$1:$E$1, 0) ), "")
</f>
        <v>-0.0014</v>
      </c>
      <c r="F518" s="9">
        <f t="array" ref="F518">IFERROR(
  INDEX(
    IR!$B$2:$E2026,                
    MATCH($A518, IR!$A$2:$A2026, 0), 
    MATCH(F$1, IR!$B$1:$E$1, 0) ), "")
</f>
        <v>-0.00011</v>
      </c>
      <c r="G518" s="14"/>
      <c r="H518" s="9">
        <f t="array" ref="H518">IFERROR(
  INDEX(
    SR!$B$2:$D2026,            
    MATCH($A518, SR!$A$2:$A2026, 0),  
    MATCH(H$1, SR!$B$1:$D$1, 0) ), "")
</f>
        <v>-0.00161</v>
      </c>
      <c r="I518" s="9">
        <f t="array" ref="I518">IFERROR(
  INDEX(
    SR!$B$2:$D2026,            
    MATCH($A518, SR!$A$2:$A2026, 0),  
    MATCH(I$1, SR!$B$1:$D$1, 0) ), "")
</f>
        <v>-0.001258</v>
      </c>
      <c r="J518" s="9">
        <f t="array" ref="J518">IFERROR(
  INDEX(
    SR!$B$2:$D2026,            
    MATCH($A518, SR!$A$2:$A2026, 0),  
    MATCH(J$1, SR!$B$1:$D$1, 0) ), "")
</f>
        <v>0.00006</v>
      </c>
      <c r="K518" s="14"/>
      <c r="L518" s="9">
        <v>118.13</v>
      </c>
      <c r="M518" s="9">
        <v>24.46</v>
      </c>
      <c r="N518" s="9">
        <v>113.46</v>
      </c>
      <c r="O518" s="9">
        <v>118.79</v>
      </c>
      <c r="P518" s="9">
        <v>124.2</v>
      </c>
      <c r="Q518" s="9">
        <v>1365.9559</v>
      </c>
      <c r="R518" s="14"/>
      <c r="S518" s="12">
        <f t="shared" si="2"/>
        <v>-0.0001212966355</v>
      </c>
      <c r="T518" s="12">
        <f t="shared" si="3"/>
        <v>0.9998787034</v>
      </c>
      <c r="U518" s="16">
        <f t="shared" si="7"/>
        <v>99.473806</v>
      </c>
      <c r="V518" s="17"/>
      <c r="W518" s="12">
        <f t="array" ref="W518">SQRT(252/20) *  SQRT( SUMSQ( LN(U497:U516 / U496:U515) )  - (1/20) * ( SUM( LN(U497:U516 / U496:U515) ) ^ 2 ) )</f>
        <v>0.01817973799</v>
      </c>
      <c r="X518" s="9">
        <f t="shared" si="4"/>
        <v>1.5</v>
      </c>
      <c r="Y518" s="14"/>
      <c r="Z518" s="12">
        <f t="shared" si="5"/>
        <v>0.999822805</v>
      </c>
      <c r="AA518" s="16">
        <f t="shared" si="8"/>
        <v>99.25826336</v>
      </c>
      <c r="AB518" s="14"/>
      <c r="AC518" s="9">
        <f t="shared" si="6"/>
        <v>0</v>
      </c>
    </row>
    <row r="519">
      <c r="A519" s="8">
        <v>42478.0</v>
      </c>
      <c r="B519" s="14"/>
      <c r="C519" s="9">
        <f t="array" ref="C519">IFERROR(
  INDEX(
    IR!$B$2:$E2026,                
    MATCH($A519, IR!$A$2:$A2026, 0), 
    MATCH(C$1, IR!$B$1:$E$1, 0) ), "")
</f>
        <v>-0.00342</v>
      </c>
      <c r="D519" s="9">
        <f t="array" ref="D519">IFERROR(
  INDEX(
    IR!$B$2:$E2026,                
    MATCH($A519, IR!$A$2:$A2026, 0), 
    MATCH(D$1, IR!$B$1:$E$1, 0) ), "")
</f>
        <v>-0.00249</v>
      </c>
      <c r="E519" s="9">
        <f t="array" ref="E519">IFERROR(
  INDEX(
    IR!$B$2:$E2026,                
    MATCH($A519, IR!$A$2:$A2026, 0), 
    MATCH(E$1, IR!$B$1:$E$1, 0) ), "")
</f>
        <v>-0.00139</v>
      </c>
      <c r="F519" s="9">
        <f t="array" ref="F519">IFERROR(
  INDEX(
    IR!$B$2:$E2026,                
    MATCH($A519, IR!$A$2:$A2026, 0), 
    MATCH(F$1, IR!$B$1:$E$1, 0) ), "")
</f>
        <v>-0.00012</v>
      </c>
      <c r="G519" s="14"/>
      <c r="H519" s="9">
        <f t="array" ref="H519">IFERROR(
  INDEX(
    SR!$B$2:$D2026,            
    MATCH($A519, SR!$A$2:$A2026, 0),  
    MATCH(H$1, SR!$B$1:$D$1, 0) ), "")
</f>
        <v>-0.00154</v>
      </c>
      <c r="I519" s="9">
        <f t="array" ref="I519">IFERROR(
  INDEX(
    SR!$B$2:$D2026,            
    MATCH($A519, SR!$A$2:$A2026, 0),  
    MATCH(I$1, SR!$B$1:$D$1, 0) ), "")
</f>
        <v>-0.00125</v>
      </c>
      <c r="J519" s="9">
        <f t="array" ref="J519">IFERROR(
  INDEX(
    SR!$B$2:$D2026,            
    MATCH($A519, SR!$A$2:$A2026, 0),  
    MATCH(J$1, SR!$B$1:$D$1, 0) ), "")
</f>
        <v>0.00015</v>
      </c>
      <c r="K519" s="14"/>
      <c r="L519" s="9">
        <v>118.15</v>
      </c>
      <c r="M519" s="9">
        <v>24.46</v>
      </c>
      <c r="N519" s="9">
        <v>113.46</v>
      </c>
      <c r="O519" s="9">
        <v>118.87</v>
      </c>
      <c r="P519" s="9">
        <v>124.36</v>
      </c>
      <c r="Q519" s="9">
        <v>1363.7221</v>
      </c>
      <c r="R519" s="14"/>
      <c r="S519" s="12">
        <f t="shared" si="2"/>
        <v>0.00008241489337</v>
      </c>
      <c r="T519" s="12">
        <f t="shared" si="3"/>
        <v>1.000082415</v>
      </c>
      <c r="U519" s="16">
        <f t="shared" si="7"/>
        <v>99.48200413</v>
      </c>
      <c r="V519" s="17"/>
      <c r="W519" s="12">
        <f t="array" ref="W519">SQRT(252/20) *  SQRT( SUMSQ( LN(U498:U517 / U497:U516) )  - (1/20) * ( SUM( LN(U498:U517 / U497:U516) ) ^ 2 ) )</f>
        <v>0.0191728371</v>
      </c>
      <c r="X519" s="9">
        <f t="shared" si="4"/>
        <v>1.5</v>
      </c>
      <c r="Y519" s="14"/>
      <c r="Z519" s="12">
        <f t="shared" si="5"/>
        <v>1.000137872</v>
      </c>
      <c r="AA519" s="16">
        <f t="shared" si="8"/>
        <v>99.27194832</v>
      </c>
      <c r="AB519" s="14"/>
      <c r="AC519" s="9">
        <f t="shared" si="6"/>
        <v>0</v>
      </c>
    </row>
    <row r="520">
      <c r="A520" s="8">
        <v>42479.0</v>
      </c>
      <c r="B520" s="14"/>
      <c r="C520" s="9">
        <f t="array" ref="C520">IFERROR(
  INDEX(
    IR!$B$2:$E2026,                
    MATCH($A520, IR!$A$2:$A2026, 0), 
    MATCH(C$1, IR!$B$1:$E$1, 0) ), "")
</f>
        <v>-0.00343</v>
      </c>
      <c r="D520" s="9">
        <f t="array" ref="D520">IFERROR(
  INDEX(
    IR!$B$2:$E2026,                
    MATCH($A520, IR!$A$2:$A2026, 0), 
    MATCH(D$1, IR!$B$1:$E$1, 0) ), "")
</f>
        <v>-0.0025</v>
      </c>
      <c r="E520" s="9">
        <f t="array" ref="E520">IFERROR(
  INDEX(
    IR!$B$2:$E2026,                
    MATCH($A520, IR!$A$2:$A2026, 0), 
    MATCH(E$1, IR!$B$1:$E$1, 0) ), "")
</f>
        <v>-0.00139</v>
      </c>
      <c r="F520" s="9">
        <f t="array" ref="F520">IFERROR(
  INDEX(
    IR!$B$2:$E2026,                
    MATCH($A520, IR!$A$2:$A2026, 0), 
    MATCH(F$1, IR!$B$1:$E$1, 0) ), "")
</f>
        <v>-0.00011</v>
      </c>
      <c r="G520" s="14"/>
      <c r="H520" s="9">
        <f t="array" ref="H520">IFERROR(
  INDEX(
    SR!$B$2:$D2026,            
    MATCH($A520, SR!$A$2:$A2026, 0),  
    MATCH(H$1, SR!$B$1:$D$1, 0) ), "")
</f>
        <v>-0.001534</v>
      </c>
      <c r="I520" s="9">
        <f t="array" ref="I520">IFERROR(
  INDEX(
    SR!$B$2:$D2026,            
    MATCH($A520, SR!$A$2:$A2026, 0),  
    MATCH(I$1, SR!$B$1:$D$1, 0) ), "")
</f>
        <v>-0.00125</v>
      </c>
      <c r="J520" s="9">
        <f t="array" ref="J520">IFERROR(
  INDEX(
    SR!$B$2:$D2026,            
    MATCH($A520, SR!$A$2:$A2026, 0),  
    MATCH(J$1, SR!$B$1:$D$1, 0) ), "")
</f>
        <v>0.000175</v>
      </c>
      <c r="K520" s="14"/>
      <c r="L520" s="9">
        <v>118.48</v>
      </c>
      <c r="M520" s="9">
        <v>24.46</v>
      </c>
      <c r="N520" s="9">
        <v>113.49</v>
      </c>
      <c r="O520" s="9">
        <v>118.93</v>
      </c>
      <c r="P520" s="9">
        <v>124.37</v>
      </c>
      <c r="Q520" s="9">
        <v>1367.5398</v>
      </c>
      <c r="R520" s="14"/>
      <c r="S520" s="12">
        <f t="shared" si="2"/>
        <v>0.001073534722</v>
      </c>
      <c r="T520" s="12">
        <f t="shared" si="3"/>
        <v>1.001073535</v>
      </c>
      <c r="U520" s="16">
        <f t="shared" si="7"/>
        <v>99.58880151</v>
      </c>
      <c r="V520" s="17"/>
      <c r="W520" s="12">
        <f t="array" ref="W520">SQRT(252/20) *  SQRT( SUMSQ( LN(U499:U518 / U498:U517) )  - (1/20) * ( SUM( LN(U499:U518 / U498:U517) ) ^ 2 ) )</f>
        <v>0.01897024033</v>
      </c>
      <c r="X520" s="9">
        <f t="shared" si="4"/>
        <v>1.5</v>
      </c>
      <c r="Y520" s="14"/>
      <c r="Z520" s="12">
        <f t="shared" si="5"/>
        <v>1.001615052</v>
      </c>
      <c r="AA520" s="16">
        <f t="shared" si="8"/>
        <v>99.43227769</v>
      </c>
      <c r="AB520" s="14"/>
      <c r="AC520" s="9">
        <f t="shared" si="6"/>
        <v>0</v>
      </c>
    </row>
    <row r="521">
      <c r="A521" s="8">
        <v>42480.0</v>
      </c>
      <c r="B521" s="14"/>
      <c r="C521" s="9">
        <f t="array" ref="C521">IFERROR(
  INDEX(
    IR!$B$2:$E2026,                
    MATCH($A521, IR!$A$2:$A2026, 0), 
    MATCH(C$1, IR!$B$1:$E$1, 0) ), "")
</f>
        <v>-0.00342</v>
      </c>
      <c r="D521" s="9">
        <f t="array" ref="D521">IFERROR(
  INDEX(
    IR!$B$2:$E2026,                
    MATCH($A521, IR!$A$2:$A2026, 0), 
    MATCH(D$1, IR!$B$1:$E$1, 0) ), "")
</f>
        <v>-0.00249</v>
      </c>
      <c r="E521" s="9">
        <f t="array" ref="E521">IFERROR(
  INDEX(
    IR!$B$2:$E2026,                
    MATCH($A521, IR!$A$2:$A2026, 0), 
    MATCH(E$1, IR!$B$1:$E$1, 0) ), "")
</f>
        <v>-0.00141</v>
      </c>
      <c r="F521" s="9">
        <f t="array" ref="F521">IFERROR(
  INDEX(
    IR!$B$2:$E2026,                
    MATCH($A521, IR!$A$2:$A2026, 0), 
    MATCH(F$1, IR!$B$1:$E$1, 0) ), "")
</f>
        <v>-0.00011</v>
      </c>
      <c r="G521" s="14"/>
      <c r="H521" s="9">
        <f t="array" ref="H521">IFERROR(
  INDEX(
    SR!$B$2:$D2026,            
    MATCH($A521, SR!$A$2:$A2026, 0),  
    MATCH(H$1, SR!$B$1:$D$1, 0) ), "")
</f>
        <v>-0.00152</v>
      </c>
      <c r="I521" s="9">
        <f t="array" ref="I521">IFERROR(
  INDEX(
    SR!$B$2:$D2026,            
    MATCH($A521, SR!$A$2:$A2026, 0),  
    MATCH(I$1, SR!$B$1:$D$1, 0) ), "")
</f>
        <v>-0.001267</v>
      </c>
      <c r="J521" s="9">
        <f t="array" ref="J521">IFERROR(
  INDEX(
    SR!$B$2:$D2026,            
    MATCH($A521, SR!$A$2:$A2026, 0),  
    MATCH(J$1, SR!$B$1:$D$1, 0) ), "")
</f>
        <v>0.000235</v>
      </c>
      <c r="K521" s="14"/>
      <c r="L521" s="9">
        <v>118.53</v>
      </c>
      <c r="M521" s="9">
        <v>24.46</v>
      </c>
      <c r="N521" s="9">
        <v>113.5</v>
      </c>
      <c r="O521" s="9">
        <v>119.3</v>
      </c>
      <c r="P521" s="9">
        <v>124.33</v>
      </c>
      <c r="Q521" s="9">
        <v>1368.0507</v>
      </c>
      <c r="R521" s="14"/>
      <c r="S521" s="12">
        <f t="shared" si="2"/>
        <v>0.0006119873153</v>
      </c>
      <c r="T521" s="12">
        <f t="shared" si="3"/>
        <v>1.000611987</v>
      </c>
      <c r="U521" s="16">
        <f t="shared" si="7"/>
        <v>99.6497486</v>
      </c>
      <c r="V521" s="17"/>
      <c r="W521" s="12">
        <f t="array" ref="W521">SQRT(252/20) *  SQRT( SUMSQ( LN(U500:U519 / U499:U518) )  - (1/20) * ( SUM( LN(U500:U519 / U499:U518) ) ^ 2 ) )</f>
        <v>0.0188191398</v>
      </c>
      <c r="X521" s="9">
        <f t="shared" si="4"/>
        <v>1.5</v>
      </c>
      <c r="Y521" s="14"/>
      <c r="Z521" s="12">
        <f t="shared" si="5"/>
        <v>1.000922745</v>
      </c>
      <c r="AA521" s="16">
        <f t="shared" si="8"/>
        <v>99.52402831</v>
      </c>
      <c r="AB521" s="14"/>
      <c r="AC521" s="9">
        <f t="shared" si="6"/>
        <v>0</v>
      </c>
    </row>
    <row r="522">
      <c r="A522" s="8">
        <v>42481.0</v>
      </c>
      <c r="B522" s="14"/>
      <c r="C522" s="9">
        <f t="array" ref="C522">IFERROR(
  INDEX(
    IR!$B$2:$E2026,                
    MATCH($A522, IR!$A$2:$A2026, 0), 
    MATCH(C$1, IR!$B$1:$E$1, 0) ), "")
</f>
        <v>-0.00342</v>
      </c>
      <c r="D522" s="9">
        <f t="array" ref="D522">IFERROR(
  INDEX(
    IR!$B$2:$E2026,                
    MATCH($A522, IR!$A$2:$A2026, 0), 
    MATCH(D$1, IR!$B$1:$E$1, 0) ), "")
</f>
        <v>-0.00249</v>
      </c>
      <c r="E522" s="9">
        <f t="array" ref="E522">IFERROR(
  INDEX(
    IR!$B$2:$E2026,                
    MATCH($A522, IR!$A$2:$A2026, 0), 
    MATCH(E$1, IR!$B$1:$E$1, 0) ), "")
</f>
        <v>-0.00143</v>
      </c>
      <c r="F522" s="9">
        <f t="array" ref="F522">IFERROR(
  INDEX(
    IR!$B$2:$E2026,                
    MATCH($A522, IR!$A$2:$A2026, 0), 
    MATCH(F$1, IR!$B$1:$E$1, 0) ), "")
</f>
        <v>-0.00011</v>
      </c>
      <c r="G522" s="14"/>
      <c r="H522" s="9">
        <f t="array" ref="H522">IFERROR(
  INDEX(
    SR!$B$2:$D2026,            
    MATCH($A522, SR!$A$2:$A2026, 0),  
    MATCH(H$1, SR!$B$1:$D$1, 0) ), "")
</f>
        <v>-0.00143</v>
      </c>
      <c r="I522" s="9">
        <f t="array" ref="I522">IFERROR(
  INDEX(
    SR!$B$2:$D2026,            
    MATCH($A522, SR!$A$2:$A2026, 0),  
    MATCH(I$1, SR!$B$1:$D$1, 0) ), "")
</f>
        <v>-0.0011</v>
      </c>
      <c r="J522" s="9">
        <f t="array" ref="J522">IFERROR(
  INDEX(
    SR!$B$2:$D2026,            
    MATCH($A522, SR!$A$2:$A2026, 0),  
    MATCH(J$1, SR!$B$1:$D$1, 0) ), "")
</f>
        <v>0.000503</v>
      </c>
      <c r="K522" s="14"/>
      <c r="L522" s="9">
        <v>118.51</v>
      </c>
      <c r="M522" s="9">
        <v>24.47</v>
      </c>
      <c r="N522" s="9">
        <v>113.52</v>
      </c>
      <c r="O522" s="9">
        <v>119.87</v>
      </c>
      <c r="P522" s="9">
        <v>124.2</v>
      </c>
      <c r="Q522" s="9">
        <v>1371.5118</v>
      </c>
      <c r="R522" s="14"/>
      <c r="S522" s="12">
        <f t="shared" si="2"/>
        <v>0.001112895279</v>
      </c>
      <c r="T522" s="12">
        <f t="shared" si="3"/>
        <v>1.001112895</v>
      </c>
      <c r="U522" s="16">
        <f t="shared" si="7"/>
        <v>99.76064833</v>
      </c>
      <c r="V522" s="17"/>
      <c r="W522" s="12">
        <f t="array" ref="W522">SQRT(252/20) *  SQRT( SUMSQ( LN(U501:U520 / U500:U519) )  - (1/20) * ( SUM( LN(U501:U520 / U500:U519) ) ^ 2 ) )</f>
        <v>0.01918945169</v>
      </c>
      <c r="X522" s="9">
        <f t="shared" si="4"/>
        <v>1.5</v>
      </c>
      <c r="Y522" s="14"/>
      <c r="Z522" s="12">
        <f t="shared" si="5"/>
        <v>1.001674093</v>
      </c>
      <c r="AA522" s="16">
        <f t="shared" si="8"/>
        <v>99.69064079</v>
      </c>
      <c r="AB522" s="14"/>
      <c r="AC522" s="9">
        <f t="shared" si="6"/>
        <v>0</v>
      </c>
    </row>
    <row r="523">
      <c r="A523" s="8">
        <v>42482.0</v>
      </c>
      <c r="B523" s="14"/>
      <c r="C523" s="9">
        <f t="array" ref="C523">IFERROR(
  INDEX(
    IR!$B$2:$E2026,                
    MATCH($A523, IR!$A$2:$A2026, 0), 
    MATCH(C$1, IR!$B$1:$E$1, 0) ), "")
</f>
        <v>-0.00342</v>
      </c>
      <c r="D523" s="9">
        <f t="array" ref="D523">IFERROR(
  INDEX(
    IR!$B$2:$E2026,                
    MATCH($A523, IR!$A$2:$A2026, 0), 
    MATCH(D$1, IR!$B$1:$E$1, 0) ), "")
</f>
        <v>-0.00249</v>
      </c>
      <c r="E523" s="9">
        <f t="array" ref="E523">IFERROR(
  INDEX(
    IR!$B$2:$E2026,                
    MATCH($A523, IR!$A$2:$A2026, 0), 
    MATCH(E$1, IR!$B$1:$E$1, 0) ), "")
</f>
        <v>-0.00143</v>
      </c>
      <c r="F523" s="9">
        <f t="array" ref="F523">IFERROR(
  INDEX(
    IR!$B$2:$E2026,                
    MATCH($A523, IR!$A$2:$A2026, 0), 
    MATCH(F$1, IR!$B$1:$E$1, 0) ), "")
</f>
        <v>-0.00011</v>
      </c>
      <c r="G523" s="14"/>
      <c r="H523" s="9">
        <f t="array" ref="H523">IFERROR(
  INDEX(
    SR!$B$2:$D2026,            
    MATCH($A523, SR!$A$2:$A2026, 0),  
    MATCH(H$1, SR!$B$1:$D$1, 0) ), "")
</f>
        <v>-0.00155</v>
      </c>
      <c r="I523" s="9">
        <f t="array" ref="I523">IFERROR(
  INDEX(
    SR!$B$2:$D2026,            
    MATCH($A523, SR!$A$2:$A2026, 0),  
    MATCH(I$1, SR!$B$1:$D$1, 0) ), "")
</f>
        <v>-0.001248</v>
      </c>
      <c r="J523" s="9">
        <f t="array" ref="J523">IFERROR(
  INDEX(
    SR!$B$2:$D2026,            
    MATCH($A523, SR!$A$2:$A2026, 0),  
    MATCH(J$1, SR!$B$1:$D$1, 0) ), "")
</f>
        <v>0.000363</v>
      </c>
      <c r="K523" s="14"/>
      <c r="L523" s="9">
        <v>118.34</v>
      </c>
      <c r="M523" s="9">
        <v>24.5</v>
      </c>
      <c r="N523" s="9">
        <v>113.52</v>
      </c>
      <c r="O523" s="9">
        <v>119.42</v>
      </c>
      <c r="P523" s="9">
        <v>124.05</v>
      </c>
      <c r="Q523" s="9">
        <v>1372.2202</v>
      </c>
      <c r="R523" s="14"/>
      <c r="S523" s="12">
        <f t="shared" si="2"/>
        <v>-0.0007752669553</v>
      </c>
      <c r="T523" s="12">
        <f t="shared" si="3"/>
        <v>0.999224733</v>
      </c>
      <c r="U523" s="16">
        <f t="shared" si="7"/>
        <v>99.6833072</v>
      </c>
      <c r="V523" s="17"/>
      <c r="W523" s="12">
        <f t="array" ref="W523">SQRT(252/20) *  SQRT( SUMSQ( LN(U502:U521 / U501:U520) )  - (1/20) * ( SUM( LN(U502:U521 / U501:U520) ) ^ 2 ) )</f>
        <v>0.01896959638</v>
      </c>
      <c r="X523" s="9">
        <f t="shared" si="4"/>
        <v>1.5</v>
      </c>
      <c r="Y523" s="14"/>
      <c r="Z523" s="12">
        <f t="shared" si="5"/>
        <v>0.9988418496</v>
      </c>
      <c r="AA523" s="16">
        <f t="shared" si="8"/>
        <v>99.57518403</v>
      </c>
      <c r="AB523" s="14"/>
      <c r="AC523" s="9">
        <f t="shared" si="6"/>
        <v>0</v>
      </c>
    </row>
    <row r="524">
      <c r="A524" s="8">
        <v>42485.0</v>
      </c>
      <c r="B524" s="14"/>
      <c r="C524" s="9">
        <f t="array" ref="C524">IFERROR(
  INDEX(
    IR!$B$2:$E2026,                
    MATCH($A524, IR!$A$2:$A2026, 0), 
    MATCH(C$1, IR!$B$1:$E$1, 0) ), "")
</f>
        <v>-0.00343</v>
      </c>
      <c r="D524" s="9">
        <f t="array" ref="D524">IFERROR(
  INDEX(
    IR!$B$2:$E2026,                
    MATCH($A524, IR!$A$2:$A2026, 0), 
    MATCH(D$1, IR!$B$1:$E$1, 0) ), "")
</f>
        <v>-0.0025</v>
      </c>
      <c r="E524" s="9">
        <f t="array" ref="E524">IFERROR(
  INDEX(
    IR!$B$2:$E2026,                
    MATCH($A524, IR!$A$2:$A2026, 0), 
    MATCH(E$1, IR!$B$1:$E$1, 0) ), "")
</f>
        <v>-0.00144</v>
      </c>
      <c r="F524" s="9">
        <f t="array" ref="F524">IFERROR(
  INDEX(
    IR!$B$2:$E2026,                
    MATCH($A524, IR!$A$2:$A2026, 0), 
    MATCH(F$1, IR!$B$1:$E$1, 0) ), "")
</f>
        <v>-0.00013</v>
      </c>
      <c r="G524" s="14"/>
      <c r="H524" s="9">
        <f t="array" ref="H524">IFERROR(
  INDEX(
    SR!$B$2:$D2026,            
    MATCH($A524, SR!$A$2:$A2026, 0),  
    MATCH(H$1, SR!$B$1:$D$1, 0) ), "")
</f>
        <v>-0.0015</v>
      </c>
      <c r="I524" s="9">
        <f t="array" ref="I524">IFERROR(
  INDEX(
    SR!$B$2:$D2026,            
    MATCH($A524, SR!$A$2:$A2026, 0),  
    MATCH(I$1, SR!$B$1:$D$1, 0) ), "")
</f>
        <v>-0.00114</v>
      </c>
      <c r="J524" s="9">
        <f t="array" ref="J524">IFERROR(
  INDEX(
    SR!$B$2:$D2026,            
    MATCH($A524, SR!$A$2:$A2026, 0),  
    MATCH(J$1, SR!$B$1:$D$1, 0) ), "")
</f>
        <v>0.000549</v>
      </c>
      <c r="K524" s="14"/>
      <c r="L524" s="9">
        <v>118.17</v>
      </c>
      <c r="M524" s="9">
        <v>24.5</v>
      </c>
      <c r="N524" s="9">
        <v>113.54</v>
      </c>
      <c r="O524" s="9">
        <v>119.02</v>
      </c>
      <c r="P524" s="9">
        <v>123.94</v>
      </c>
      <c r="Q524" s="9">
        <v>1370.5518</v>
      </c>
      <c r="R524" s="14"/>
      <c r="S524" s="12">
        <f t="shared" si="2"/>
        <v>-0.001118417443</v>
      </c>
      <c r="T524" s="12">
        <f t="shared" si="3"/>
        <v>0.9988815826</v>
      </c>
      <c r="U524" s="16">
        <f t="shared" si="7"/>
        <v>99.57181965</v>
      </c>
      <c r="V524" s="17"/>
      <c r="W524" s="12">
        <f t="array" ref="W524">SQRT(252/20) *  SQRT( SUMSQ( LN(U503:U522 / U502:U521) )  - (1/20) * ( SUM( LN(U503:U522 / U502:U521) ) ^ 2 ) )</f>
        <v>0.01938661892</v>
      </c>
      <c r="X524" s="9">
        <f t="shared" si="4"/>
        <v>1.5</v>
      </c>
      <c r="Y524" s="14"/>
      <c r="Z524" s="12">
        <f t="shared" si="5"/>
        <v>0.9983366238</v>
      </c>
      <c r="AA524" s="16">
        <f t="shared" si="8"/>
        <v>99.40955304</v>
      </c>
      <c r="AB524" s="14"/>
      <c r="AC524" s="9">
        <f t="shared" si="6"/>
        <v>0</v>
      </c>
    </row>
    <row r="525">
      <c r="A525" s="8">
        <v>42486.0</v>
      </c>
      <c r="B525" s="14"/>
      <c r="C525" s="9">
        <f t="array" ref="C525">IFERROR(
  INDEX(
    IR!$B$2:$E2026,                
    MATCH($A525, IR!$A$2:$A2026, 0), 
    MATCH(C$1, IR!$B$1:$E$1, 0) ), "")
</f>
        <v>-0.00343</v>
      </c>
      <c r="D525" s="9">
        <f t="array" ref="D525">IFERROR(
  INDEX(
    IR!$B$2:$E2026,                
    MATCH($A525, IR!$A$2:$A2026, 0), 
    MATCH(D$1, IR!$B$1:$E$1, 0) ), "")
</f>
        <v>-0.00252</v>
      </c>
      <c r="E525" s="9">
        <f t="array" ref="E525">IFERROR(
  INDEX(
    IR!$B$2:$E2026,                
    MATCH($A525, IR!$A$2:$A2026, 0), 
    MATCH(E$1, IR!$B$1:$E$1, 0) ), "")
</f>
        <v>-0.00143</v>
      </c>
      <c r="F525" s="9">
        <f t="array" ref="F525">IFERROR(
  INDEX(
    IR!$B$2:$E2026,                
    MATCH($A525, IR!$A$2:$A2026, 0), 
    MATCH(F$1, IR!$B$1:$E$1, 0) ), "")
</f>
        <v>-0.00014</v>
      </c>
      <c r="G525" s="14"/>
      <c r="H525" s="9">
        <f t="array" ref="H525">IFERROR(
  INDEX(
    SR!$B$2:$D2026,            
    MATCH($A525, SR!$A$2:$A2026, 0),  
    MATCH(H$1, SR!$B$1:$D$1, 0) ), "")
</f>
        <v>-0.00146</v>
      </c>
      <c r="I525" s="9">
        <f t="array" ref="I525">IFERROR(
  INDEX(
    SR!$B$2:$D2026,            
    MATCH($A525, SR!$A$2:$A2026, 0),  
    MATCH(I$1, SR!$B$1:$D$1, 0) ), "")
</f>
        <v>-0.001061</v>
      </c>
      <c r="J525" s="9">
        <f t="array" ref="J525">IFERROR(
  INDEX(
    SR!$B$2:$D2026,            
    MATCH($A525, SR!$A$2:$A2026, 0),  
    MATCH(J$1, SR!$B$1:$D$1, 0) ), "")
</f>
        <v>0.00083</v>
      </c>
      <c r="K525" s="14"/>
      <c r="L525" s="9">
        <v>118.25</v>
      </c>
      <c r="M525" s="9">
        <v>24.49</v>
      </c>
      <c r="N525" s="9">
        <v>113.57</v>
      </c>
      <c r="O525" s="9">
        <v>118.58</v>
      </c>
      <c r="P525" s="9">
        <v>123.87</v>
      </c>
      <c r="Q525" s="9">
        <v>1368.3922</v>
      </c>
      <c r="R525" s="14"/>
      <c r="S525" s="12">
        <f t="shared" si="2"/>
        <v>-0.0008838558209</v>
      </c>
      <c r="T525" s="12">
        <f t="shared" si="3"/>
        <v>0.9991161442</v>
      </c>
      <c r="U525" s="16">
        <f t="shared" si="7"/>
        <v>99.48381252</v>
      </c>
      <c r="V525" s="17"/>
      <c r="W525" s="12">
        <f t="array" ref="W525">SQRT(252/20) *  SQRT( SUMSQ( LN(U504:U523 / U503:U522) )  - (1/20) * ( SUM( LN(U504:U523 / U503:U522) ) ^ 2 ) )</f>
        <v>0.01955897704</v>
      </c>
      <c r="X525" s="9">
        <f t="shared" si="4"/>
        <v>1.5</v>
      </c>
      <c r="Y525" s="14"/>
      <c r="Z525" s="12">
        <f t="shared" si="5"/>
        <v>0.9986789802</v>
      </c>
      <c r="AA525" s="16">
        <f t="shared" si="8"/>
        <v>99.27823105</v>
      </c>
      <c r="AB525" s="14"/>
      <c r="AC525" s="9">
        <f t="shared" si="6"/>
        <v>0</v>
      </c>
    </row>
    <row r="526">
      <c r="A526" s="8">
        <v>42487.0</v>
      </c>
      <c r="B526" s="14"/>
      <c r="C526" s="9">
        <f t="array" ref="C526">IFERROR(
  INDEX(
    IR!$B$2:$E2026,                
    MATCH($A526, IR!$A$2:$A2026, 0), 
    MATCH(C$1, IR!$B$1:$E$1, 0) ), "")
</f>
        <v>-0.00343</v>
      </c>
      <c r="D526" s="9">
        <f t="array" ref="D526">IFERROR(
  INDEX(
    IR!$B$2:$E2026,                
    MATCH($A526, IR!$A$2:$A2026, 0), 
    MATCH(D$1, IR!$B$1:$E$1, 0) ), "")
</f>
        <v>-0.00251</v>
      </c>
      <c r="E526" s="9">
        <f t="array" ref="E526">IFERROR(
  INDEX(
    IR!$B$2:$E2026,                
    MATCH($A526, IR!$A$2:$A2026, 0), 
    MATCH(E$1, IR!$B$1:$E$1, 0) ), "")
</f>
        <v>-0.00142</v>
      </c>
      <c r="F526" s="9">
        <f t="array" ref="F526">IFERROR(
  INDEX(
    IR!$B$2:$E2026,                
    MATCH($A526, IR!$A$2:$A2026, 0), 
    MATCH(F$1, IR!$B$1:$E$1, 0) ), "")
</f>
        <v>-0.00011</v>
      </c>
      <c r="G526" s="14"/>
      <c r="H526" s="9">
        <f t="array" ref="H526">IFERROR(
  INDEX(
    SR!$B$2:$D2026,            
    MATCH($A526, SR!$A$2:$A2026, 0),  
    MATCH(H$1, SR!$B$1:$D$1, 0) ), "")
</f>
        <v>-0.00149</v>
      </c>
      <c r="I526" s="9">
        <f t="array" ref="I526">IFERROR(
  INDEX(
    SR!$B$2:$D2026,            
    MATCH($A526, SR!$A$2:$A2026, 0),  
    MATCH(I$1, SR!$B$1:$D$1, 0) ), "")
</f>
        <v>-0.00111</v>
      </c>
      <c r="J526" s="9">
        <f t="array" ref="J526">IFERROR(
  INDEX(
    SR!$B$2:$D2026,            
    MATCH($A526, SR!$A$2:$A2026, 0),  
    MATCH(J$1, SR!$B$1:$D$1, 0) ), "")
</f>
        <v>0.000639</v>
      </c>
      <c r="K526" s="14"/>
      <c r="L526" s="9">
        <v>118.38</v>
      </c>
      <c r="M526" s="9">
        <v>24.49</v>
      </c>
      <c r="N526" s="9">
        <v>113.59</v>
      </c>
      <c r="O526" s="9">
        <v>118.17</v>
      </c>
      <c r="P526" s="9">
        <v>123.56</v>
      </c>
      <c r="Q526" s="9">
        <v>1370.9022</v>
      </c>
      <c r="R526" s="14"/>
      <c r="S526" s="12">
        <f t="shared" si="2"/>
        <v>-0.0004747043851</v>
      </c>
      <c r="T526" s="12">
        <f t="shared" si="3"/>
        <v>0.9995252956</v>
      </c>
      <c r="U526" s="16">
        <f t="shared" si="7"/>
        <v>99.43658711</v>
      </c>
      <c r="V526" s="17"/>
      <c r="W526" s="12">
        <f t="array" ref="W526">SQRT(252/20) *  SQRT( SUMSQ( LN(U505:U524 / U504:U523) )  - (1/20) * ( SUM( LN(U505:U524 / U504:U523) ) ^ 2 ) )</f>
        <v>0.01959407709</v>
      </c>
      <c r="X526" s="9">
        <f t="shared" si="4"/>
        <v>1.5</v>
      </c>
      <c r="Y526" s="14"/>
      <c r="Z526" s="12">
        <f t="shared" si="5"/>
        <v>0.9992927073</v>
      </c>
      <c r="AA526" s="16">
        <f t="shared" si="8"/>
        <v>99.20801228</v>
      </c>
      <c r="AB526" s="14"/>
      <c r="AC526" s="9">
        <f t="shared" si="6"/>
        <v>0</v>
      </c>
    </row>
    <row r="527">
      <c r="A527" s="8">
        <v>42488.0</v>
      </c>
      <c r="B527" s="14"/>
      <c r="C527" s="9">
        <f t="array" ref="C527">IFERROR(
  INDEX(
    IR!$B$2:$E2026,                
    MATCH($A527, IR!$A$2:$A2026, 0), 
    MATCH(C$1, IR!$B$1:$E$1, 0) ), "")
</f>
        <v>-0.00343</v>
      </c>
      <c r="D527" s="9">
        <f t="array" ref="D527">IFERROR(
  INDEX(
    IR!$B$2:$E2026,                
    MATCH($A527, IR!$A$2:$A2026, 0), 
    MATCH(D$1, IR!$B$1:$E$1, 0) ), "")
</f>
        <v>-0.00252</v>
      </c>
      <c r="E527" s="9">
        <f t="array" ref="E527">IFERROR(
  INDEX(
    IR!$B$2:$E2026,                
    MATCH($A527, IR!$A$2:$A2026, 0), 
    MATCH(E$1, IR!$B$1:$E$1, 0) ), "")
</f>
        <v>-0.00142</v>
      </c>
      <c r="F527" s="9">
        <f t="array" ref="F527">IFERROR(
  INDEX(
    IR!$B$2:$E2026,                
    MATCH($A527, IR!$A$2:$A2026, 0), 
    MATCH(F$1, IR!$B$1:$E$1, 0) ), "")
</f>
        <v>-0.00012</v>
      </c>
      <c r="G527" s="14"/>
      <c r="H527" s="9">
        <f t="array" ref="H527">IFERROR(
  INDEX(
    SR!$B$2:$D2026,            
    MATCH($A527, SR!$A$2:$A2026, 0),  
    MATCH(H$1, SR!$B$1:$D$1, 0) ), "")
</f>
        <v>-0.00148</v>
      </c>
      <c r="I527" s="9">
        <f t="array" ref="I527">IFERROR(
  INDEX(
    SR!$B$2:$D2026,            
    MATCH($A527, SR!$A$2:$A2026, 0),  
    MATCH(I$1, SR!$B$1:$D$1, 0) ), "")
</f>
        <v>-0.001114</v>
      </c>
      <c r="J527" s="9">
        <f t="array" ref="J527">IFERROR(
  INDEX(
    SR!$B$2:$D2026,            
    MATCH($A527, SR!$A$2:$A2026, 0),  
    MATCH(J$1, SR!$B$1:$D$1, 0) ), "")
</f>
        <v>0.000475</v>
      </c>
      <c r="K527" s="14"/>
      <c r="L527" s="9">
        <v>118.34</v>
      </c>
      <c r="M527" s="9">
        <v>24.5</v>
      </c>
      <c r="N527" s="9">
        <v>113.62</v>
      </c>
      <c r="O527" s="9">
        <v>118.31</v>
      </c>
      <c r="P527" s="9">
        <v>123.66</v>
      </c>
      <c r="Q527" s="9">
        <v>1370.8455</v>
      </c>
      <c r="R527" s="14"/>
      <c r="S527" s="12">
        <f t="shared" si="2"/>
        <v>0.0003810501165</v>
      </c>
      <c r="T527" s="12">
        <f t="shared" si="3"/>
        <v>1.00038105</v>
      </c>
      <c r="U527" s="16">
        <f t="shared" si="7"/>
        <v>99.47447744</v>
      </c>
      <c r="V527" s="17"/>
      <c r="W527" s="12">
        <f t="array" ref="W527">SQRT(252/20) *  SQRT( SUMSQ( LN(U506:U525 / U505:U524) )  - (1/20) * ( SUM( LN(U506:U525 / U505:U524) ) ^ 2 ) )</f>
        <v>0.01960809014</v>
      </c>
      <c r="X527" s="9">
        <f t="shared" si="4"/>
        <v>1.5</v>
      </c>
      <c r="Y527" s="14"/>
      <c r="Z527" s="12">
        <f t="shared" si="5"/>
        <v>1.000576339</v>
      </c>
      <c r="AA527" s="16">
        <f t="shared" si="8"/>
        <v>99.26518973</v>
      </c>
      <c r="AB527" s="14"/>
      <c r="AC527" s="9">
        <f t="shared" si="6"/>
        <v>0</v>
      </c>
    </row>
    <row r="528">
      <c r="A528" s="8">
        <v>42489.0</v>
      </c>
      <c r="B528" s="14"/>
      <c r="C528" s="9">
        <f t="array" ref="C528">IFERROR(
  INDEX(
    IR!$B$2:$E2026,                
    MATCH($A528, IR!$A$2:$A2026, 0), 
    MATCH(C$1, IR!$B$1:$E$1, 0) ), "")
</f>
        <v>-0.00344</v>
      </c>
      <c r="D528" s="9">
        <f t="array" ref="D528">IFERROR(
  INDEX(
    IR!$B$2:$E2026,                
    MATCH($A528, IR!$A$2:$A2026, 0), 
    MATCH(D$1, IR!$B$1:$E$1, 0) ), "")
</f>
        <v>-0.00251</v>
      </c>
      <c r="E528" s="9">
        <f t="array" ref="E528">IFERROR(
  INDEX(
    IR!$B$2:$E2026,                
    MATCH($A528, IR!$A$2:$A2026, 0), 
    MATCH(E$1, IR!$B$1:$E$1, 0) ), "")
</f>
        <v>-0.00141</v>
      </c>
      <c r="F528" s="9">
        <f t="array" ref="F528">IFERROR(
  INDEX(
    IR!$B$2:$E2026,                
    MATCH($A528, IR!$A$2:$A2026, 0), 
    MATCH(F$1, IR!$B$1:$E$1, 0) ), "")
</f>
        <v>-0.00012</v>
      </c>
      <c r="G528" s="14"/>
      <c r="H528" s="9">
        <f t="array" ref="H528">IFERROR(
  INDEX(
    SR!$B$2:$D2026,            
    MATCH($A528, SR!$A$2:$A2026, 0),  
    MATCH(H$1, SR!$B$1:$D$1, 0) ), "")
</f>
        <v>-0.00134</v>
      </c>
      <c r="I528" s="9">
        <f t="array" ref="I528">IFERROR(
  INDEX(
    SR!$B$2:$D2026,            
    MATCH($A528, SR!$A$2:$A2026, 0),  
    MATCH(I$1, SR!$B$1:$D$1, 0) ), "")
</f>
        <v>-0.00091</v>
      </c>
      <c r="J528" s="9">
        <f t="array" ref="J528">IFERROR(
  INDEX(
    SR!$B$2:$D2026,            
    MATCH($A528, SR!$A$2:$A2026, 0),  
    MATCH(J$1, SR!$B$1:$D$1, 0) ), "")
</f>
        <v>0.00073</v>
      </c>
      <c r="K528" s="14"/>
      <c r="L528" s="9">
        <v>118.01</v>
      </c>
      <c r="M528" s="9">
        <v>24.48</v>
      </c>
      <c r="N528" s="9">
        <v>113.62</v>
      </c>
      <c r="O528" s="9">
        <v>118.58</v>
      </c>
      <c r="P528" s="9">
        <v>123.83</v>
      </c>
      <c r="Q528" s="9">
        <v>1367.1128</v>
      </c>
      <c r="R528" s="14"/>
      <c r="S528" s="12">
        <f t="shared" si="2"/>
        <v>-0.0004452513259</v>
      </c>
      <c r="T528" s="12">
        <f t="shared" si="3"/>
        <v>0.9995547487</v>
      </c>
      <c r="U528" s="16">
        <f t="shared" si="7"/>
        <v>99.43018629</v>
      </c>
      <c r="V528" s="17"/>
      <c r="W528" s="12">
        <f t="array" ref="W528">SQRT(252/20) *  SQRT( SUMSQ( LN(U507:U526 / U506:U525) )  - (1/20) * ( SUM( LN(U507:U526 / U506:U525) ) ^ 2 ) )</f>
        <v>0.01890861491</v>
      </c>
      <c r="X528" s="9">
        <f t="shared" si="4"/>
        <v>1.5</v>
      </c>
      <c r="Y528" s="14"/>
      <c r="Z528" s="12">
        <f t="shared" si="5"/>
        <v>0.9993368869</v>
      </c>
      <c r="AA528" s="16">
        <f t="shared" si="8"/>
        <v>99.19936569</v>
      </c>
      <c r="AB528" s="14"/>
      <c r="AC528" s="9">
        <f t="shared" si="6"/>
        <v>0</v>
      </c>
    </row>
    <row r="529">
      <c r="A529" s="8">
        <v>42492.0</v>
      </c>
      <c r="B529" s="14"/>
      <c r="C529" s="9">
        <f t="array" ref="C529">IFERROR(
  INDEX(
    IR!$B$2:$E2026,                
    MATCH($A529, IR!$A$2:$A2026, 0), 
    MATCH(C$1, IR!$B$1:$E$1, 0) ), "")
</f>
        <v>-0.00343</v>
      </c>
      <c r="D529" s="9">
        <f t="array" ref="D529">IFERROR(
  INDEX(
    IR!$B$2:$E2026,                
    MATCH($A529, IR!$A$2:$A2026, 0), 
    MATCH(D$1, IR!$B$1:$E$1, 0) ), "")
</f>
        <v>-0.0025</v>
      </c>
      <c r="E529" s="9">
        <f t="array" ref="E529">IFERROR(
  INDEX(
    IR!$B$2:$E2026,                
    MATCH($A529, IR!$A$2:$A2026, 0), 
    MATCH(E$1, IR!$B$1:$E$1, 0) ), "")
</f>
        <v>-0.00141</v>
      </c>
      <c r="F529" s="9">
        <f t="array" ref="F529">IFERROR(
  INDEX(
    IR!$B$2:$E2026,                
    MATCH($A529, IR!$A$2:$A2026, 0), 
    MATCH(F$1, IR!$B$1:$E$1, 0) ), "")
</f>
        <v>-0.00012</v>
      </c>
      <c r="G529" s="14"/>
      <c r="H529" s="9">
        <f t="array" ref="H529">IFERROR(
  INDEX(
    SR!$B$2:$D2026,            
    MATCH($A529, SR!$A$2:$A2026, 0),  
    MATCH(H$1, SR!$B$1:$D$1, 0) ), "")
</f>
        <v>-0.00123</v>
      </c>
      <c r="I529" s="9">
        <f t="array" ref="I529">IFERROR(
  INDEX(
    SR!$B$2:$D2026,            
    MATCH($A529, SR!$A$2:$A2026, 0),  
    MATCH(I$1, SR!$B$1:$D$1, 0) ), "")
</f>
        <v>-0.000859</v>
      </c>
      <c r="J529" s="9">
        <f t="array" ref="J529">IFERROR(
  INDEX(
    SR!$B$2:$D2026,            
    MATCH($A529, SR!$A$2:$A2026, 0),  
    MATCH(J$1, SR!$B$1:$D$1, 0) ), "")
</f>
        <v>0.000794</v>
      </c>
      <c r="K529" s="14"/>
      <c r="L529" s="9">
        <v>118.01</v>
      </c>
      <c r="M529" s="9">
        <v>24.48</v>
      </c>
      <c r="N529" s="9">
        <v>113.68</v>
      </c>
      <c r="O529" s="9">
        <v>117.21</v>
      </c>
      <c r="P529" s="9">
        <v>123.56</v>
      </c>
      <c r="Q529" s="23">
        <v>1367.1128</v>
      </c>
      <c r="R529" s="14"/>
      <c r="S529" s="12">
        <f t="shared" si="2"/>
        <v>-0.002200071997</v>
      </c>
      <c r="T529" s="12">
        <f t="shared" si="3"/>
        <v>0.997799928</v>
      </c>
      <c r="U529" s="16">
        <f t="shared" si="7"/>
        <v>99.21143273</v>
      </c>
      <c r="V529" s="17"/>
      <c r="W529" s="12">
        <f t="array" ref="W529">SQRT(252/20) *  SQRT( SUMSQ( LN(U508:U527 / U507:U526) )  - (1/20) * ( SUM( LN(U508:U527 / U507:U526) ) ^ 2 ) )</f>
        <v>0.0188625024</v>
      </c>
      <c r="X529" s="9">
        <f t="shared" si="4"/>
        <v>1.5</v>
      </c>
      <c r="Y529" s="14"/>
      <c r="Z529" s="12">
        <f t="shared" si="5"/>
        <v>0.9967142253</v>
      </c>
      <c r="AA529" s="16">
        <f t="shared" si="8"/>
        <v>98.87341892</v>
      </c>
      <c r="AB529" s="14"/>
      <c r="AC529" s="9">
        <f t="shared" si="6"/>
        <v>0</v>
      </c>
    </row>
    <row r="530">
      <c r="A530" s="8">
        <v>42493.0</v>
      </c>
      <c r="B530" s="14"/>
      <c r="C530" s="9">
        <f t="array" ref="C530">IFERROR(
  INDEX(
    IR!$B$2:$E2026,                
    MATCH($A530, IR!$A$2:$A2026, 0), 
    MATCH(C$1, IR!$B$1:$E$1, 0) ), "")
</f>
        <v>-0.00343</v>
      </c>
      <c r="D530" s="9">
        <f t="array" ref="D530">IFERROR(
  INDEX(
    IR!$B$2:$E2026,                
    MATCH($A530, IR!$A$2:$A2026, 0), 
    MATCH(D$1, IR!$B$1:$E$1, 0) ), "")
</f>
        <v>-0.00251</v>
      </c>
      <c r="E530" s="9">
        <f t="array" ref="E530">IFERROR(
  INDEX(
    IR!$B$2:$E2026,                
    MATCH($A530, IR!$A$2:$A2026, 0), 
    MATCH(E$1, IR!$B$1:$E$1, 0) ), "")
</f>
        <v>-0.00142</v>
      </c>
      <c r="F530" s="9">
        <f t="array" ref="F530">IFERROR(
  INDEX(
    IR!$B$2:$E2026,                
    MATCH($A530, IR!$A$2:$A2026, 0), 
    MATCH(F$1, IR!$B$1:$E$1, 0) ), "")
</f>
        <v>-0.00012</v>
      </c>
      <c r="G530" s="14"/>
      <c r="H530" s="9">
        <f t="array" ref="H530">IFERROR(
  INDEX(
    SR!$B$2:$D2026,            
    MATCH($A530, SR!$A$2:$A2026, 0),  
    MATCH(H$1, SR!$B$1:$D$1, 0) ), "")
</f>
        <v>-0.00142</v>
      </c>
      <c r="I530" s="9">
        <f t="array" ref="I530">IFERROR(
  INDEX(
    SR!$B$2:$D2026,            
    MATCH($A530, SR!$A$2:$A2026, 0),  
    MATCH(I$1, SR!$B$1:$D$1, 0) ), "")
</f>
        <v>-0.001097</v>
      </c>
      <c r="J530" s="9">
        <f t="array" ref="J530">IFERROR(
  INDEX(
    SR!$B$2:$D2026,            
    MATCH($A530, SR!$A$2:$A2026, 0),  
    MATCH(J$1, SR!$B$1:$D$1, 0) ), "")
</f>
        <v>0.000352</v>
      </c>
      <c r="K530" s="14"/>
      <c r="L530" s="9">
        <v>117.63</v>
      </c>
      <c r="M530" s="9">
        <v>24.47</v>
      </c>
      <c r="N530" s="9">
        <v>113.67</v>
      </c>
      <c r="O530" s="9">
        <v>117.39</v>
      </c>
      <c r="P530" s="9">
        <v>123.44</v>
      </c>
      <c r="Q530" s="9">
        <v>1361.5049</v>
      </c>
      <c r="R530" s="14"/>
      <c r="S530" s="12">
        <f t="shared" si="2"/>
        <v>-0.001208928999</v>
      </c>
      <c r="T530" s="12">
        <f t="shared" si="3"/>
        <v>0.998791071</v>
      </c>
      <c r="U530" s="16">
        <f t="shared" si="7"/>
        <v>99.09149315</v>
      </c>
      <c r="V530" s="17"/>
      <c r="W530" s="12">
        <f t="array" ref="W530">SQRT(252/20) *  SQRT( SUMSQ( LN(U509:U528 / U508:U527) )  - (1/20) * ( SUM( LN(U509:U528 / U508:U527) ) ^ 2 ) )</f>
        <v>0.01835153481</v>
      </c>
      <c r="X530" s="9">
        <f t="shared" si="4"/>
        <v>1.5</v>
      </c>
      <c r="Y530" s="14"/>
      <c r="Z530" s="12">
        <f t="shared" si="5"/>
        <v>0.9981913704</v>
      </c>
      <c r="AA530" s="16">
        <f t="shared" si="8"/>
        <v>98.69459353</v>
      </c>
      <c r="AB530" s="14"/>
      <c r="AC530" s="9">
        <f t="shared" si="6"/>
        <v>0</v>
      </c>
    </row>
    <row r="531">
      <c r="A531" s="8">
        <v>42494.0</v>
      </c>
      <c r="B531" s="14"/>
      <c r="C531" s="9">
        <f t="array" ref="C531">IFERROR(
  INDEX(
    IR!$B$2:$E2026,                
    MATCH($A531, IR!$A$2:$A2026, 0), 
    MATCH(C$1, IR!$B$1:$E$1, 0) ), "")
</f>
        <v>-0.00345</v>
      </c>
      <c r="D531" s="9">
        <f t="array" ref="D531">IFERROR(
  INDEX(
    IR!$B$2:$E2026,                
    MATCH($A531, IR!$A$2:$A2026, 0), 
    MATCH(D$1, IR!$B$1:$E$1, 0) ), "")
</f>
        <v>-0.00253</v>
      </c>
      <c r="E531" s="9">
        <f t="array" ref="E531">IFERROR(
  INDEX(
    IR!$B$2:$E2026,                
    MATCH($A531, IR!$A$2:$A2026, 0), 
    MATCH(E$1, IR!$B$1:$E$1, 0) ), "")
</f>
        <v>-0.00142</v>
      </c>
      <c r="F531" s="9">
        <f t="array" ref="F531">IFERROR(
  INDEX(
    IR!$B$2:$E2026,                
    MATCH($A531, IR!$A$2:$A2026, 0), 
    MATCH(F$1, IR!$B$1:$E$1, 0) ), "")
</f>
        <v>-0.00012</v>
      </c>
      <c r="G531" s="14"/>
      <c r="H531" s="9">
        <f t="array" ref="H531">IFERROR(
  INDEX(
    SR!$B$2:$D2026,            
    MATCH($A531, SR!$A$2:$A2026, 0),  
    MATCH(H$1, SR!$B$1:$D$1, 0) ), "")
</f>
        <v>-0.00146</v>
      </c>
      <c r="I531" s="9">
        <f t="array" ref="I531">IFERROR(
  INDEX(
    SR!$B$2:$D2026,            
    MATCH($A531, SR!$A$2:$A2026, 0),  
    MATCH(I$1, SR!$B$1:$D$1, 0) ), "")
</f>
        <v>-0.001028</v>
      </c>
      <c r="J531" s="9">
        <f t="array" ref="J531">IFERROR(
  INDEX(
    SR!$B$2:$D2026,            
    MATCH($A531, SR!$A$2:$A2026, 0),  
    MATCH(J$1, SR!$B$1:$D$1, 0) ), "")
</f>
        <v>0.000368</v>
      </c>
      <c r="K531" s="14"/>
      <c r="L531" s="9">
        <v>117.45</v>
      </c>
      <c r="M531" s="9">
        <v>24.47</v>
      </c>
      <c r="N531" s="9">
        <v>113.67</v>
      </c>
      <c r="O531" s="9">
        <v>117.18</v>
      </c>
      <c r="P531" s="9">
        <v>123.54</v>
      </c>
      <c r="Q531" s="9">
        <v>1355.7898</v>
      </c>
      <c r="R531" s="14"/>
      <c r="S531" s="12">
        <f t="shared" si="2"/>
        <v>-0.001117748489</v>
      </c>
      <c r="T531" s="12">
        <f t="shared" si="3"/>
        <v>0.9988822515</v>
      </c>
      <c r="U531" s="16">
        <f t="shared" si="7"/>
        <v>98.98073378</v>
      </c>
      <c r="V531" s="17"/>
      <c r="W531" s="12">
        <f t="array" ref="W531">SQRT(252/20) *  SQRT( SUMSQ( LN(U510:U529 / U509:U528) )  - (1/20) * ( SUM( LN(U510:U529 / U509:U528) ) ^ 2 ) )</f>
        <v>0.01424121605</v>
      </c>
      <c r="X531" s="9">
        <f t="shared" si="4"/>
        <v>1.5</v>
      </c>
      <c r="Y531" s="14"/>
      <c r="Z531" s="12">
        <f t="shared" si="5"/>
        <v>0.9983281412</v>
      </c>
      <c r="AA531" s="16">
        <f t="shared" si="8"/>
        <v>98.5295901</v>
      </c>
      <c r="AB531" s="14"/>
      <c r="AC531" s="9">
        <f t="shared" si="6"/>
        <v>0</v>
      </c>
    </row>
    <row r="532">
      <c r="A532" s="8">
        <v>42496.0</v>
      </c>
      <c r="B532" s="14"/>
      <c r="C532" s="9">
        <f t="array" ref="C532">IFERROR(
  INDEX(
    IR!$B$2:$E2026,                
    MATCH($A532, IR!$A$2:$A2026, 0), 
    MATCH(C$1, IR!$B$1:$E$1, 0) ), "")
</f>
        <v>-0.00348</v>
      </c>
      <c r="D532" s="9">
        <f t="array" ref="D532">IFERROR(
  INDEX(
    IR!$B$2:$E2026,                
    MATCH($A532, IR!$A$2:$A2026, 0), 
    MATCH(D$1, IR!$B$1:$E$1, 0) ), "")
</f>
        <v>-0.00256</v>
      </c>
      <c r="E532" s="9">
        <f t="array" ref="E532">IFERROR(
  INDEX(
    IR!$B$2:$E2026,                
    MATCH($A532, IR!$A$2:$A2026, 0), 
    MATCH(E$1, IR!$B$1:$E$1, 0) ), "")
</f>
        <v>-0.00144</v>
      </c>
      <c r="F532" s="9">
        <f t="array" ref="F532">IFERROR(
  INDEX(
    IR!$B$2:$E2026,                
    MATCH($A532, IR!$A$2:$A2026, 0), 
    MATCH(F$1, IR!$B$1:$E$1, 0) ), "")
</f>
        <v>-0.00013</v>
      </c>
      <c r="G532" s="14"/>
      <c r="H532" s="9">
        <f t="array" ref="H532">IFERROR(
  INDEX(
    SR!$B$2:$D2026,            
    MATCH($A532, SR!$A$2:$A2026, 0),  
    MATCH(H$1, SR!$B$1:$D$1, 0) ), "")
</f>
        <v>-0.00153</v>
      </c>
      <c r="I532" s="9">
        <f t="array" ref="I532">IFERROR(
  INDEX(
    SR!$B$2:$D2026,            
    MATCH($A532, SR!$A$2:$A2026, 0),  
    MATCH(I$1, SR!$B$1:$D$1, 0) ), "")
</f>
        <v>-0.00128</v>
      </c>
      <c r="J532" s="9">
        <f t="array" ref="J532">IFERROR(
  INDEX(
    SR!$B$2:$D2026,            
    MATCH($A532, SR!$A$2:$A2026, 0),  
    MATCH(J$1, SR!$B$1:$D$1, 0) ), "")
</f>
        <v>0.00021</v>
      </c>
      <c r="K532" s="14"/>
      <c r="L532" s="9">
        <v>117.63</v>
      </c>
      <c r="M532" s="9">
        <v>24.47</v>
      </c>
      <c r="N532" s="9">
        <v>113.66</v>
      </c>
      <c r="O532" s="9">
        <v>116.74</v>
      </c>
      <c r="P532" s="9">
        <v>123.79</v>
      </c>
      <c r="Q532" s="9">
        <v>1350.3901</v>
      </c>
      <c r="R532" s="14"/>
      <c r="S532" s="12">
        <f t="shared" si="2"/>
        <v>-0.0007116761187</v>
      </c>
      <c r="T532" s="12">
        <f t="shared" si="3"/>
        <v>0.9992883239</v>
      </c>
      <c r="U532" s="16">
        <f t="shared" si="7"/>
        <v>98.91029156</v>
      </c>
      <c r="V532" s="17"/>
      <c r="W532" s="12">
        <f t="array" ref="W532">SQRT(252/20) *  SQRT( SUMSQ( LN(U511:U530 / U510:U529) )  - (1/20) * ( SUM( LN(U511:U530 / U510:U529) ) ^ 2 ) )</f>
        <v>0.01481592909</v>
      </c>
      <c r="X532" s="9">
        <f t="shared" si="4"/>
        <v>1.5</v>
      </c>
      <c r="Y532" s="14"/>
      <c r="Z532" s="12">
        <f t="shared" si="5"/>
        <v>0.9989420692</v>
      </c>
      <c r="AA532" s="16">
        <f t="shared" si="8"/>
        <v>98.42535261</v>
      </c>
      <c r="AB532" s="14"/>
      <c r="AC532" s="9">
        <f t="shared" si="6"/>
        <v>0</v>
      </c>
    </row>
    <row r="533">
      <c r="A533" s="8">
        <v>42499.0</v>
      </c>
      <c r="B533" s="14"/>
      <c r="C533" s="9">
        <f t="array" ref="C533">IFERROR(
  INDEX(
    IR!$B$2:$E2026,                
    MATCH($A533, IR!$A$2:$A2026, 0), 
    MATCH(C$1, IR!$B$1:$E$1, 0) ), "")
</f>
        <v>-0.00349</v>
      </c>
      <c r="D533" s="9">
        <f t="array" ref="D533">IFERROR(
  INDEX(
    IR!$B$2:$E2026,                
    MATCH($A533, IR!$A$2:$A2026, 0), 
    MATCH(D$1, IR!$B$1:$E$1, 0) ), "")
</f>
        <v>-0.00258</v>
      </c>
      <c r="E533" s="9">
        <f t="array" ref="E533">IFERROR(
  INDEX(
    IR!$B$2:$E2026,                
    MATCH($A533, IR!$A$2:$A2026, 0), 
    MATCH(E$1, IR!$B$1:$E$1, 0) ), "")
</f>
        <v>-0.00143</v>
      </c>
      <c r="F533" s="9">
        <f t="array" ref="F533">IFERROR(
  INDEX(
    IR!$B$2:$E2026,                
    MATCH($A533, IR!$A$2:$A2026, 0), 
    MATCH(F$1, IR!$B$1:$E$1, 0) ), "")
</f>
        <v>-0.00014</v>
      </c>
      <c r="G533" s="14"/>
      <c r="H533" s="9">
        <f t="array" ref="H533">IFERROR(
  INDEX(
    SR!$B$2:$D2026,            
    MATCH($A533, SR!$A$2:$A2026, 0),  
    MATCH(H$1, SR!$B$1:$D$1, 0) ), "")
</f>
        <v>-0.0016</v>
      </c>
      <c r="I533" s="9">
        <f t="array" ref="I533">IFERROR(
  INDEX(
    SR!$B$2:$D2026,            
    MATCH($A533, SR!$A$2:$A2026, 0),  
    MATCH(I$1, SR!$B$1:$D$1, 0) ), "")
</f>
        <v>-0.00135</v>
      </c>
      <c r="J533" s="9">
        <f t="array" ref="J533">IFERROR(
  INDEX(
    SR!$B$2:$D2026,            
    MATCH($A533, SR!$A$2:$A2026, 0),  
    MATCH(J$1, SR!$B$1:$D$1, 0) ), "")
</f>
        <v>-0.00004</v>
      </c>
      <c r="K533" s="14"/>
      <c r="L533" s="9">
        <v>117.71</v>
      </c>
      <c r="M533" s="9">
        <v>24.46</v>
      </c>
      <c r="N533" s="9">
        <v>113.67</v>
      </c>
      <c r="O533" s="9">
        <v>117.11</v>
      </c>
      <c r="P533" s="9">
        <v>123.58</v>
      </c>
      <c r="Q533" s="9">
        <v>1350.4302</v>
      </c>
      <c r="R533" s="14"/>
      <c r="S533" s="12">
        <f t="shared" si="2"/>
        <v>0.0003102332882</v>
      </c>
      <c r="T533" s="12">
        <f t="shared" si="3"/>
        <v>1.000310233</v>
      </c>
      <c r="U533" s="16">
        <f t="shared" si="7"/>
        <v>98.94097682</v>
      </c>
      <c r="V533" s="17"/>
      <c r="W533" s="12">
        <f t="array" ref="W533">SQRT(252/20) *  SQRT( SUMSQ( LN(U512:U531 / U511:U530) )  - (1/20) * ( SUM( LN(U512:U531 / U511:U530) ) ^ 2 ) )</f>
        <v>0.01478646307</v>
      </c>
      <c r="X533" s="9">
        <f t="shared" si="4"/>
        <v>1.5</v>
      </c>
      <c r="Y533" s="14"/>
      <c r="Z533" s="12">
        <f t="shared" si="5"/>
        <v>1.00047985</v>
      </c>
      <c r="AA533" s="16">
        <f t="shared" si="8"/>
        <v>98.47258201</v>
      </c>
      <c r="AB533" s="14"/>
      <c r="AC533" s="9">
        <f t="shared" si="6"/>
        <v>0</v>
      </c>
    </row>
    <row r="534">
      <c r="A534" s="8">
        <v>42500.0</v>
      </c>
      <c r="B534" s="14"/>
      <c r="C534" s="9">
        <f t="array" ref="C534">IFERROR(
  INDEX(
    IR!$B$2:$E2026,                
    MATCH($A534, IR!$A$2:$A2026, 0), 
    MATCH(C$1, IR!$B$1:$E$1, 0) ), "")
</f>
        <v>-0.00349</v>
      </c>
      <c r="D534" s="9">
        <f t="array" ref="D534">IFERROR(
  INDEX(
    IR!$B$2:$E2026,                
    MATCH($A534, IR!$A$2:$A2026, 0), 
    MATCH(D$1, IR!$B$1:$E$1, 0) ), "")
</f>
        <v>-0.0026</v>
      </c>
      <c r="E534" s="9">
        <f t="array" ref="E534">IFERROR(
  INDEX(
    IR!$B$2:$E2026,                
    MATCH($A534, IR!$A$2:$A2026, 0), 
    MATCH(E$1, IR!$B$1:$E$1, 0) ), "")
</f>
        <v>-0.00144</v>
      </c>
      <c r="F534" s="9">
        <f t="array" ref="F534">IFERROR(
  INDEX(
    IR!$B$2:$E2026,                
    MATCH($A534, IR!$A$2:$A2026, 0), 
    MATCH(F$1, IR!$B$1:$E$1, 0) ), "")
</f>
        <v>-0.00013</v>
      </c>
      <c r="G534" s="14"/>
      <c r="H534" s="9">
        <f t="array" ref="H534">IFERROR(
  INDEX(
    SR!$B$2:$D2026,            
    MATCH($A534, SR!$A$2:$A2026, 0),  
    MATCH(H$1, SR!$B$1:$D$1, 0) ), "")
</f>
        <v>-0.0016</v>
      </c>
      <c r="I534" s="9">
        <f t="array" ref="I534">IFERROR(
  INDEX(
    SR!$B$2:$D2026,            
    MATCH($A534, SR!$A$2:$A2026, 0),  
    MATCH(I$1, SR!$B$1:$D$1, 0) ), "")
</f>
        <v>-0.001353</v>
      </c>
      <c r="J534" s="9">
        <f t="array" ref="J534">IFERROR(
  INDEX(
    SR!$B$2:$D2026,            
    MATCH($A534, SR!$A$2:$A2026, 0),  
    MATCH(J$1, SR!$B$1:$D$1, 0) ), "")
</f>
        <v>-0.000085</v>
      </c>
      <c r="K534" s="14"/>
      <c r="L534" s="9">
        <v>117.79</v>
      </c>
      <c r="M534" s="9">
        <v>24.46</v>
      </c>
      <c r="N534" s="9">
        <v>113.68</v>
      </c>
      <c r="O534" s="9">
        <v>117.73</v>
      </c>
      <c r="P534" s="9">
        <v>123.78</v>
      </c>
      <c r="Q534" s="9">
        <v>1354.5404</v>
      </c>
      <c r="R534" s="14"/>
      <c r="S534" s="12">
        <f t="shared" si="2"/>
        <v>0.001786887072</v>
      </c>
      <c r="T534" s="12">
        <f t="shared" si="3"/>
        <v>1.001786887</v>
      </c>
      <c r="U534" s="16">
        <f t="shared" si="7"/>
        <v>99.11777317</v>
      </c>
      <c r="V534" s="17"/>
      <c r="W534" s="12">
        <f t="array" ref="W534">SQRT(252/20) *  SQRT( SUMSQ( LN(U513:U532 / U512:U531) )  - (1/20) * ( SUM( LN(U513:U532 / U512:U531) ) ^ 2 ) )</f>
        <v>0.01494653591</v>
      </c>
      <c r="X534" s="9">
        <f t="shared" si="4"/>
        <v>1.5</v>
      </c>
      <c r="Y534" s="14"/>
      <c r="Z534" s="12">
        <f t="shared" si="5"/>
        <v>1.002685178</v>
      </c>
      <c r="AA534" s="16">
        <f t="shared" si="8"/>
        <v>98.7369984</v>
      </c>
      <c r="AB534" s="14"/>
      <c r="AC534" s="9">
        <f t="shared" si="6"/>
        <v>0</v>
      </c>
    </row>
    <row r="535">
      <c r="A535" s="8">
        <v>42501.0</v>
      </c>
      <c r="B535" s="14"/>
      <c r="C535" s="9">
        <f t="array" ref="C535">IFERROR(
  INDEX(
    IR!$B$2:$E2026,                
    MATCH($A535, IR!$A$2:$A2026, 0), 
    MATCH(C$1, IR!$B$1:$E$1, 0) ), "")
</f>
        <v>-0.0035</v>
      </c>
      <c r="D535" s="9">
        <f t="array" ref="D535">IFERROR(
  INDEX(
    IR!$B$2:$E2026,                
    MATCH($A535, IR!$A$2:$A2026, 0), 
    MATCH(D$1, IR!$B$1:$E$1, 0) ), "")
</f>
        <v>-0.00259</v>
      </c>
      <c r="E535" s="9">
        <f t="array" ref="E535">IFERROR(
  INDEX(
    IR!$B$2:$E2026,                
    MATCH($A535, IR!$A$2:$A2026, 0), 
    MATCH(E$1, IR!$B$1:$E$1, 0) ), "")
</f>
        <v>-0.00144</v>
      </c>
      <c r="F535" s="9">
        <f t="array" ref="F535">IFERROR(
  INDEX(
    IR!$B$2:$E2026,                
    MATCH($A535, IR!$A$2:$A2026, 0), 
    MATCH(F$1, IR!$B$1:$E$1, 0) ), "")
</f>
        <v>-0.00012</v>
      </c>
      <c r="G535" s="14"/>
      <c r="H535" s="9">
        <f t="array" ref="H535">IFERROR(
  INDEX(
    SR!$B$2:$D2026,            
    MATCH($A535, SR!$A$2:$A2026, 0),  
    MATCH(H$1, SR!$B$1:$D$1, 0) ), "")
</f>
        <v>-0.00163</v>
      </c>
      <c r="I535" s="9">
        <f t="array" ref="I535">IFERROR(
  INDEX(
    SR!$B$2:$D2026,            
    MATCH($A535, SR!$A$2:$A2026, 0),  
    MATCH(I$1, SR!$B$1:$D$1, 0) ), "")
</f>
        <v>-0.00139</v>
      </c>
      <c r="J535" s="9">
        <f t="array" ref="J535">IFERROR(
  INDEX(
    SR!$B$2:$D2026,            
    MATCH($A535, SR!$A$2:$A2026, 0),  
    MATCH(J$1, SR!$B$1:$D$1, 0) ), "")
</f>
        <v>-0.000074</v>
      </c>
      <c r="K535" s="14"/>
      <c r="L535" s="9">
        <v>117.69</v>
      </c>
      <c r="M535" s="9">
        <v>24.46</v>
      </c>
      <c r="N535" s="9">
        <v>113.7</v>
      </c>
      <c r="O535" s="9">
        <v>118.02</v>
      </c>
      <c r="P535" s="9">
        <v>123.82</v>
      </c>
      <c r="Q535" s="9">
        <v>1356.9063</v>
      </c>
      <c r="R535" s="14"/>
      <c r="S535" s="12">
        <f t="shared" si="2"/>
        <v>0.0006432548998</v>
      </c>
      <c r="T535" s="12">
        <f t="shared" si="3"/>
        <v>1.000643255</v>
      </c>
      <c r="U535" s="16">
        <f t="shared" si="7"/>
        <v>99.18153117</v>
      </c>
      <c r="V535" s="17"/>
      <c r="W535" s="12">
        <f t="array" ref="W535">SQRT(252/20) *  SQRT( SUMSQ( LN(U514:U533 / U513:U532) )  - (1/20) * ( SUM( LN(U514:U533 / U513:U532) ) ^ 2 ) )</f>
        <v>0.01471207524</v>
      </c>
      <c r="X535" s="9">
        <f t="shared" si="4"/>
        <v>1.5</v>
      </c>
      <c r="Y535" s="14"/>
      <c r="Z535" s="12">
        <f t="shared" si="5"/>
        <v>1.00096973</v>
      </c>
      <c r="AA535" s="16">
        <f t="shared" si="8"/>
        <v>98.83274659</v>
      </c>
      <c r="AB535" s="14"/>
      <c r="AC535" s="9">
        <f t="shared" si="6"/>
        <v>0</v>
      </c>
    </row>
    <row r="536">
      <c r="A536" s="8">
        <v>42502.0</v>
      </c>
      <c r="B536" s="14"/>
      <c r="C536" s="9">
        <f t="array" ref="C536">IFERROR(
  INDEX(
    IR!$B$2:$E2026,                
    MATCH($A536, IR!$A$2:$A2026, 0), 
    MATCH(C$1, IR!$B$1:$E$1, 0) ), "")
</f>
        <v>-0.00349</v>
      </c>
      <c r="D536" s="9">
        <f t="array" ref="D536">IFERROR(
  INDEX(
    IR!$B$2:$E2026,                
    MATCH($A536, IR!$A$2:$A2026, 0), 
    MATCH(D$1, IR!$B$1:$E$1, 0) ), "")
</f>
        <v>-0.00258</v>
      </c>
      <c r="E536" s="9">
        <f t="array" ref="E536">IFERROR(
  INDEX(
    IR!$B$2:$E2026,                
    MATCH($A536, IR!$A$2:$A2026, 0), 
    MATCH(E$1, IR!$B$1:$E$1, 0) ), "")
</f>
        <v>-0.00144</v>
      </c>
      <c r="F536" s="9">
        <f t="array" ref="F536">IFERROR(
  INDEX(
    IR!$B$2:$E2026,                
    MATCH($A536, IR!$A$2:$A2026, 0), 
    MATCH(F$1, IR!$B$1:$E$1, 0) ), "")
</f>
        <v>-0.00012</v>
      </c>
      <c r="G536" s="14"/>
      <c r="H536" s="9">
        <f t="array" ref="H536">IFERROR(
  INDEX(
    SR!$B$2:$D2026,            
    MATCH($A536, SR!$A$2:$A2026, 0),  
    MATCH(H$1, SR!$B$1:$D$1, 0) ), "")
</f>
        <v>-0.00156</v>
      </c>
      <c r="I536" s="9">
        <f t="array" ref="I536">IFERROR(
  INDEX(
    SR!$B$2:$D2026,            
    MATCH($A536, SR!$A$2:$A2026, 0),  
    MATCH(I$1, SR!$B$1:$D$1, 0) ), "")
</f>
        <v>-0.00128</v>
      </c>
      <c r="J536" s="9">
        <f t="array" ref="J536">IFERROR(
  INDEX(
    SR!$B$2:$D2026,            
    MATCH($A536, SR!$A$2:$A2026, 0),  
    MATCH(J$1, SR!$B$1:$D$1, 0) ), "")
</f>
        <v>0.000097</v>
      </c>
      <c r="K536" s="14"/>
      <c r="L536" s="9">
        <v>117.53</v>
      </c>
      <c r="M536" s="9">
        <v>24.46</v>
      </c>
      <c r="N536" s="9">
        <v>113.72</v>
      </c>
      <c r="O536" s="9">
        <v>117.75</v>
      </c>
      <c r="P536" s="9">
        <v>123.74</v>
      </c>
      <c r="Q536" s="9">
        <v>1356.9348</v>
      </c>
      <c r="R536" s="14"/>
      <c r="S536" s="12">
        <f t="shared" si="2"/>
        <v>-0.0006824657433</v>
      </c>
      <c r="T536" s="12">
        <f t="shared" si="3"/>
        <v>0.9993175343</v>
      </c>
      <c r="U536" s="16">
        <f t="shared" si="7"/>
        <v>99.11384317</v>
      </c>
      <c r="V536" s="17"/>
      <c r="W536" s="12">
        <f t="array" ref="W536">SQRT(252/20) *  SQRT( SUMSQ( LN(U515:U534 / U514:U533) )  - (1/20) * ( SUM( LN(U515:U534 / U514:U533) ) ^ 2 ) )</f>
        <v>0.01608843445</v>
      </c>
      <c r="X536" s="9">
        <f t="shared" si="4"/>
        <v>1.5</v>
      </c>
      <c r="Y536" s="14"/>
      <c r="Z536" s="12">
        <f t="shared" si="5"/>
        <v>0.9989811625</v>
      </c>
      <c r="AA536" s="16">
        <f t="shared" si="8"/>
        <v>98.73205208</v>
      </c>
      <c r="AB536" s="14"/>
      <c r="AC536" s="9">
        <f t="shared" si="6"/>
        <v>0</v>
      </c>
    </row>
    <row r="537">
      <c r="A537" s="8">
        <v>42503.0</v>
      </c>
      <c r="B537" s="14"/>
      <c r="C537" s="9">
        <f t="array" ref="C537">IFERROR(
  INDEX(
    IR!$B$2:$E2026,                
    MATCH($A537, IR!$A$2:$A2026, 0), 
    MATCH(C$1, IR!$B$1:$E$1, 0) ), "")
</f>
        <v>-0.00349</v>
      </c>
      <c r="D537" s="9">
        <f t="array" ref="D537">IFERROR(
  INDEX(
    IR!$B$2:$E2026,                
    MATCH($A537, IR!$A$2:$A2026, 0), 
    MATCH(D$1, IR!$B$1:$E$1, 0) ), "")
</f>
        <v>-0.00257</v>
      </c>
      <c r="E537" s="9">
        <f t="array" ref="E537">IFERROR(
  INDEX(
    IR!$B$2:$E2026,                
    MATCH($A537, IR!$A$2:$A2026, 0), 
    MATCH(E$1, IR!$B$1:$E$1, 0) ), "")
</f>
        <v>-0.00144</v>
      </c>
      <c r="F537" s="9">
        <f t="array" ref="F537">IFERROR(
  INDEX(
    IR!$B$2:$E2026,                
    MATCH($A537, IR!$A$2:$A2026, 0), 
    MATCH(F$1, IR!$B$1:$E$1, 0) ), "")
</f>
        <v>-0.00012</v>
      </c>
      <c r="G537" s="14"/>
      <c r="H537" s="9">
        <f t="array" ref="H537">IFERROR(
  INDEX(
    SR!$B$2:$D2026,            
    MATCH($A537, SR!$A$2:$A2026, 0),  
    MATCH(H$1, SR!$B$1:$D$1, 0) ), "")
</f>
        <v>-0.00158</v>
      </c>
      <c r="I537" s="9">
        <f t="array" ref="I537">IFERROR(
  INDEX(
    SR!$B$2:$D2026,            
    MATCH($A537, SR!$A$2:$A2026, 0),  
    MATCH(I$1, SR!$B$1:$D$1, 0) ), "")
</f>
        <v>-0.00127</v>
      </c>
      <c r="J537" s="9">
        <f t="array" ref="J537">IFERROR(
  INDEX(
    SR!$B$2:$D2026,            
    MATCH($A537, SR!$A$2:$A2026, 0),  
    MATCH(J$1, SR!$B$1:$D$1, 0) ), "")
</f>
        <v>-0.00003</v>
      </c>
      <c r="K537" s="14"/>
      <c r="L537" s="9">
        <v>117.58</v>
      </c>
      <c r="M537" s="9">
        <v>24.47</v>
      </c>
      <c r="N537" s="9">
        <v>113.73</v>
      </c>
      <c r="O537" s="9">
        <v>117.01</v>
      </c>
      <c r="P537" s="9">
        <v>123.72</v>
      </c>
      <c r="Q537" s="9">
        <v>1352.3731</v>
      </c>
      <c r="R537" s="14"/>
      <c r="S537" s="12">
        <f t="shared" si="2"/>
        <v>-0.001480695292</v>
      </c>
      <c r="T537" s="12">
        <f t="shared" si="3"/>
        <v>0.9985193047</v>
      </c>
      <c r="U537" s="16">
        <f t="shared" si="7"/>
        <v>98.96708577</v>
      </c>
      <c r="V537" s="17"/>
      <c r="W537" s="12">
        <f t="array" ref="W537">SQRT(252/20) *  SQRT( SUMSQ( LN(U516:U535 / U515:U534) )  - (1/20) * ( SUM( LN(U516:U535 / U515:U534) ) ^ 2 ) )</f>
        <v>0.01624933385</v>
      </c>
      <c r="X537" s="9">
        <f t="shared" si="4"/>
        <v>1.5</v>
      </c>
      <c r="Y537" s="14"/>
      <c r="Z537" s="12">
        <f t="shared" si="5"/>
        <v>0.9977838043</v>
      </c>
      <c r="AA537" s="16">
        <f t="shared" si="8"/>
        <v>98.51324253</v>
      </c>
      <c r="AB537" s="14"/>
      <c r="AC537" s="9">
        <f t="shared" si="6"/>
        <v>0</v>
      </c>
    </row>
    <row r="538">
      <c r="A538" s="8">
        <v>42507.0</v>
      </c>
      <c r="B538" s="14"/>
      <c r="C538" s="9">
        <f t="array" ref="C538">IFERROR(
  INDEX(
    IR!$B$2:$E2026,                
    MATCH($A538, IR!$A$2:$A2026, 0), 
    MATCH(C$1, IR!$B$1:$E$1, 0) ), "")
</f>
        <v>-0.00348</v>
      </c>
      <c r="D538" s="9">
        <f t="array" ref="D538">IFERROR(
  INDEX(
    IR!$B$2:$E2026,                
    MATCH($A538, IR!$A$2:$A2026, 0), 
    MATCH(D$1, IR!$B$1:$E$1, 0) ), "")
</f>
        <v>-0.00257</v>
      </c>
      <c r="E538" s="9">
        <f t="array" ref="E538">IFERROR(
  INDEX(
    IR!$B$2:$E2026,                
    MATCH($A538, IR!$A$2:$A2026, 0), 
    MATCH(E$1, IR!$B$1:$E$1, 0) ), "")
</f>
        <v>-0.00143</v>
      </c>
      <c r="F538" s="9">
        <f t="array" ref="F538">IFERROR(
  INDEX(
    IR!$B$2:$E2026,                
    MATCH($A538, IR!$A$2:$A2026, 0), 
    MATCH(F$1, IR!$B$1:$E$1, 0) ), "")
</f>
        <v>-0.00011</v>
      </c>
      <c r="G538" s="14"/>
      <c r="H538" s="9">
        <f t="array" ref="H538">IFERROR(
  INDEX(
    SR!$B$2:$D2026,            
    MATCH($A538, SR!$A$2:$A2026, 0),  
    MATCH(H$1, SR!$B$1:$D$1, 0) ), "")
</f>
        <v>-0.00148</v>
      </c>
      <c r="I538" s="9">
        <f t="array" ref="I538">IFERROR(
  INDEX(
    SR!$B$2:$D2026,            
    MATCH($A538, SR!$A$2:$A2026, 0),  
    MATCH(I$1, SR!$B$1:$D$1, 0) ), "")
</f>
        <v>-0.001186</v>
      </c>
      <c r="J538" s="9">
        <f t="array" ref="J538">IFERROR(
  INDEX(
    SR!$B$2:$D2026,            
    MATCH($A538, SR!$A$2:$A2026, 0),  
    MATCH(J$1, SR!$B$1:$D$1, 0) ), "")
</f>
        <v>0.00013</v>
      </c>
      <c r="K538" s="14"/>
      <c r="L538" s="9">
        <v>117.59</v>
      </c>
      <c r="M538" s="9">
        <v>24.47</v>
      </c>
      <c r="N538" s="9">
        <v>113.77</v>
      </c>
      <c r="O538" s="9">
        <v>117.45</v>
      </c>
      <c r="P538" s="9">
        <v>123.74</v>
      </c>
      <c r="Q538" s="9">
        <v>1357.1334</v>
      </c>
      <c r="R538" s="14"/>
      <c r="S538" s="12">
        <f t="shared" si="2"/>
        <v>0.001312949574</v>
      </c>
      <c r="T538" s="12">
        <f t="shared" si="3"/>
        <v>1.00131295</v>
      </c>
      <c r="U538" s="16">
        <f t="shared" si="7"/>
        <v>99.09702456</v>
      </c>
      <c r="V538" s="17"/>
      <c r="W538" s="12">
        <f t="array" ref="W538">SQRT(252/20) *  SQRT( SUMSQ( LN(U517:U536 / U516:U535) )  - (1/20) * ( SUM( LN(U517:U536 / U516:U535) ) ^ 2 ) )</f>
        <v>0.01609764444</v>
      </c>
      <c r="X538" s="9">
        <f t="shared" si="4"/>
        <v>1.5</v>
      </c>
      <c r="Y538" s="14"/>
      <c r="Z538" s="12">
        <f t="shared" si="5"/>
        <v>1.001988813</v>
      </c>
      <c r="AA538" s="16">
        <f t="shared" si="8"/>
        <v>98.70916697</v>
      </c>
      <c r="AB538" s="14"/>
      <c r="AC538" s="9">
        <f t="shared" si="6"/>
        <v>0</v>
      </c>
    </row>
    <row r="539">
      <c r="A539" s="8">
        <v>42508.0</v>
      </c>
      <c r="B539" s="14"/>
      <c r="C539" s="9">
        <f t="array" ref="C539">IFERROR(
  INDEX(
    IR!$B$2:$E2026,                
    MATCH($A539, IR!$A$2:$A2026, 0), 
    MATCH(C$1, IR!$B$1:$E$1, 0) ), "")
</f>
        <v>-0.00348</v>
      </c>
      <c r="D539" s="9">
        <f t="array" ref="D539">IFERROR(
  INDEX(
    IR!$B$2:$E2026,                
    MATCH($A539, IR!$A$2:$A2026, 0), 
    MATCH(D$1, IR!$B$1:$E$1, 0) ), "")
</f>
        <v>-0.00257</v>
      </c>
      <c r="E539" s="9">
        <f t="array" ref="E539">IFERROR(
  INDEX(
    IR!$B$2:$E2026,                
    MATCH($A539, IR!$A$2:$A2026, 0), 
    MATCH(E$1, IR!$B$1:$E$1, 0) ), "")
</f>
        <v>-0.00144</v>
      </c>
      <c r="F539" s="9">
        <f t="array" ref="F539">IFERROR(
  INDEX(
    IR!$B$2:$E2026,                
    MATCH($A539, IR!$A$2:$A2026, 0), 
    MATCH(F$1, IR!$B$1:$E$1, 0) ), "")
</f>
        <v>-0.00011</v>
      </c>
      <c r="G539" s="14"/>
      <c r="H539" s="9">
        <f t="array" ref="H539">IFERROR(
  INDEX(
    SR!$B$2:$D2026,            
    MATCH($A539, SR!$A$2:$A2026, 0),  
    MATCH(H$1, SR!$B$1:$D$1, 0) ), "")
</f>
        <v>-0.00145</v>
      </c>
      <c r="I539" s="9">
        <f t="array" ref="I539">IFERROR(
  INDEX(
    SR!$B$2:$D2026,            
    MATCH($A539, SR!$A$2:$A2026, 0),  
    MATCH(I$1, SR!$B$1:$D$1, 0) ), "")
</f>
        <v>-0.001095</v>
      </c>
      <c r="J539" s="9">
        <f t="array" ref="J539">IFERROR(
  INDEX(
    SR!$B$2:$D2026,            
    MATCH($A539, SR!$A$2:$A2026, 0),  
    MATCH(J$1, SR!$B$1:$D$1, 0) ), "")
</f>
        <v>0.000355</v>
      </c>
      <c r="K539" s="14"/>
      <c r="L539" s="9">
        <v>117.64</v>
      </c>
      <c r="M539" s="9">
        <v>24.48</v>
      </c>
      <c r="N539" s="9">
        <v>113.75</v>
      </c>
      <c r="O539" s="9">
        <v>117.21</v>
      </c>
      <c r="P539" s="9">
        <v>123.65</v>
      </c>
      <c r="Q539" s="9">
        <v>1353.9627</v>
      </c>
      <c r="R539" s="14"/>
      <c r="S539" s="12">
        <f t="shared" si="2"/>
        <v>-0.0007414368906</v>
      </c>
      <c r="T539" s="12">
        <f t="shared" si="3"/>
        <v>0.9992585631</v>
      </c>
      <c r="U539" s="16">
        <f t="shared" si="7"/>
        <v>99.02355037</v>
      </c>
      <c r="V539" s="17"/>
      <c r="W539" s="12">
        <f t="array" ref="W539">SQRT(252/20) *  SQRT( SUMSQ( LN(U518:U537 / U517:U536) )  - (1/20) * ( SUM( LN(U518:U537 / U517:U536) ) ^ 2 ) )</f>
        <v>0.01549398812</v>
      </c>
      <c r="X539" s="9">
        <f t="shared" si="4"/>
        <v>1.5</v>
      </c>
      <c r="Y539" s="14"/>
      <c r="Z539" s="12">
        <f t="shared" si="5"/>
        <v>0.998892678</v>
      </c>
      <c r="AA539" s="16">
        <f t="shared" si="8"/>
        <v>98.59986414</v>
      </c>
      <c r="AB539" s="14"/>
      <c r="AC539" s="9">
        <f t="shared" si="6"/>
        <v>0</v>
      </c>
    </row>
    <row r="540">
      <c r="A540" s="8">
        <v>42509.0</v>
      </c>
      <c r="B540" s="14"/>
      <c r="C540" s="9">
        <f t="array" ref="C540">IFERROR(
  INDEX(
    IR!$B$2:$E2026,                
    MATCH($A540, IR!$A$2:$A2026, 0), 
    MATCH(C$1, IR!$B$1:$E$1, 0) ), "")
</f>
        <v>-0.00349</v>
      </c>
      <c r="D540" s="9">
        <f t="array" ref="D540">IFERROR(
  INDEX(
    IR!$B$2:$E2026,                
    MATCH($A540, IR!$A$2:$A2026, 0), 
    MATCH(D$1, IR!$B$1:$E$1, 0) ), "")
</f>
        <v>-0.00258</v>
      </c>
      <c r="E540" s="9">
        <f t="array" ref="E540">IFERROR(
  INDEX(
    IR!$B$2:$E2026,                
    MATCH($A540, IR!$A$2:$A2026, 0), 
    MATCH(E$1, IR!$B$1:$E$1, 0) ), "")
</f>
        <v>-0.00143</v>
      </c>
      <c r="F540" s="9">
        <f t="array" ref="F540">IFERROR(
  INDEX(
    IR!$B$2:$E2026,                
    MATCH($A540, IR!$A$2:$A2026, 0), 
    MATCH(F$1, IR!$B$1:$E$1, 0) ), "")
</f>
        <v>-0.00011</v>
      </c>
      <c r="G540" s="14"/>
      <c r="H540" s="9">
        <f t="array" ref="H540">IFERROR(
  INDEX(
    SR!$B$2:$D2026,            
    MATCH($A540, SR!$A$2:$A2026, 0),  
    MATCH(H$1, SR!$B$1:$D$1, 0) ), "")
</f>
        <v>-0.00147</v>
      </c>
      <c r="I540" s="9">
        <f t="array" ref="I540">IFERROR(
  INDEX(
    SR!$B$2:$D2026,            
    MATCH($A540, SR!$A$2:$A2026, 0),  
    MATCH(I$1, SR!$B$1:$D$1, 0) ), "")
</f>
        <v>-0.001161</v>
      </c>
      <c r="J540" s="9">
        <f t="array" ref="J540">IFERROR(
  INDEX(
    SR!$B$2:$D2026,            
    MATCH($A540, SR!$A$2:$A2026, 0),  
    MATCH(J$1, SR!$B$1:$D$1, 0) ), "")
</f>
        <v>0.000297</v>
      </c>
      <c r="K540" s="14"/>
      <c r="L540" s="9">
        <v>117.32</v>
      </c>
      <c r="M540" s="9">
        <v>24.48</v>
      </c>
      <c r="N540" s="9">
        <v>113.73</v>
      </c>
      <c r="O540" s="9">
        <v>117.28</v>
      </c>
      <c r="P540" s="9">
        <v>123.41</v>
      </c>
      <c r="Q540" s="9">
        <v>1354.8936</v>
      </c>
      <c r="R540" s="14"/>
      <c r="S540" s="12">
        <f t="shared" si="2"/>
        <v>-0.000591726718</v>
      </c>
      <c r="T540" s="12">
        <f t="shared" si="3"/>
        <v>0.9994082733</v>
      </c>
      <c r="U540" s="16">
        <f t="shared" si="7"/>
        <v>98.96495549</v>
      </c>
      <c r="V540" s="17"/>
      <c r="W540" s="12">
        <f t="array" ref="W540">SQRT(252/20) *  SQRT( SUMSQ( LN(U519:U538 / U518:U537) )  - (1/20) * ( SUM( LN(U519:U538 / U518:U537) ) ^ 2 ) )</f>
        <v>0.01642310768</v>
      </c>
      <c r="X540" s="9">
        <f t="shared" si="4"/>
        <v>1.5</v>
      </c>
      <c r="Y540" s="14"/>
      <c r="Z540" s="12">
        <f t="shared" si="5"/>
        <v>0.9991172433</v>
      </c>
      <c r="AA540" s="16">
        <f t="shared" si="8"/>
        <v>98.51282444</v>
      </c>
      <c r="AB540" s="14"/>
      <c r="AC540" s="9">
        <f t="shared" si="6"/>
        <v>0</v>
      </c>
    </row>
    <row r="541">
      <c r="A541" s="8">
        <v>42510.0</v>
      </c>
      <c r="B541" s="14"/>
      <c r="C541" s="9">
        <f t="array" ref="C541">IFERROR(
  INDEX(
    IR!$B$2:$E2026,                
    MATCH($A541, IR!$A$2:$A2026, 0), 
    MATCH(C$1, IR!$B$1:$E$1, 0) ), "")
</f>
        <v>-0.00349</v>
      </c>
      <c r="D541" s="9">
        <f t="array" ref="D541">IFERROR(
  INDEX(
    IR!$B$2:$E2026,                
    MATCH($A541, IR!$A$2:$A2026, 0), 
    MATCH(D$1, IR!$B$1:$E$1, 0) ), "")
</f>
        <v>-0.00258</v>
      </c>
      <c r="E541" s="9">
        <f t="array" ref="E541">IFERROR(
  INDEX(
    IR!$B$2:$E2026,                
    MATCH($A541, IR!$A$2:$A2026, 0), 
    MATCH(E$1, IR!$B$1:$E$1, 0) ), "")
</f>
        <v>-0.00143</v>
      </c>
      <c r="F541" s="9">
        <f t="array" ref="F541">IFERROR(
  INDEX(
    IR!$B$2:$E2026,                
    MATCH($A541, IR!$A$2:$A2026, 0), 
    MATCH(F$1, IR!$B$1:$E$1, 0) ), "")
</f>
        <v>-0.00011</v>
      </c>
      <c r="G541" s="14"/>
      <c r="H541" s="9">
        <f t="array" ref="H541">IFERROR(
  INDEX(
    SR!$B$2:$D2026,            
    MATCH($A541, SR!$A$2:$A2026, 0),  
    MATCH(H$1, SR!$B$1:$D$1, 0) ), "")
</f>
        <v>-0.00148</v>
      </c>
      <c r="I541" s="9">
        <f t="array" ref="I541">IFERROR(
  INDEX(
    SR!$B$2:$D2026,            
    MATCH($A541, SR!$A$2:$A2026, 0),  
    MATCH(I$1, SR!$B$1:$D$1, 0) ), "")
</f>
        <v>-0.00116</v>
      </c>
      <c r="J541" s="9">
        <f t="array" ref="J541">IFERROR(
  INDEX(
    SR!$B$2:$D2026,            
    MATCH($A541, SR!$A$2:$A2026, 0),  
    MATCH(J$1, SR!$B$1:$D$1, 0) ), "")
</f>
        <v>0.000248</v>
      </c>
      <c r="K541" s="14"/>
      <c r="L541" s="9">
        <v>117.62</v>
      </c>
      <c r="M541" s="9">
        <v>24.49</v>
      </c>
      <c r="N541" s="9">
        <v>113.76</v>
      </c>
      <c r="O541" s="9">
        <v>116.61</v>
      </c>
      <c r="P541" s="9">
        <v>123.33</v>
      </c>
      <c r="Q541" s="9">
        <v>1351.9973</v>
      </c>
      <c r="R541" s="14"/>
      <c r="S541" s="12">
        <f t="shared" si="2"/>
        <v>-0.0008780858417</v>
      </c>
      <c r="T541" s="12">
        <f t="shared" si="3"/>
        <v>0.9991219142</v>
      </c>
      <c r="U541" s="16">
        <f t="shared" si="7"/>
        <v>98.87805576</v>
      </c>
      <c r="V541" s="17"/>
      <c r="W541" s="12">
        <f t="array" ref="W541">SQRT(252/20) *  SQRT( SUMSQ( LN(U520:U539 / U519:U538) )  - (1/20) * ( SUM( LN(U520:U539 / U519:U538) ) ^ 2 ) )</f>
        <v>0.01649836607</v>
      </c>
      <c r="X541" s="9">
        <f t="shared" si="4"/>
        <v>1.5</v>
      </c>
      <c r="Y541" s="14"/>
      <c r="Z541" s="12">
        <f t="shared" si="5"/>
        <v>0.9986877185</v>
      </c>
      <c r="AA541" s="16">
        <f t="shared" si="8"/>
        <v>98.38354788</v>
      </c>
      <c r="AB541" s="14"/>
      <c r="AC541" s="9">
        <f t="shared" si="6"/>
        <v>0</v>
      </c>
    </row>
    <row r="542">
      <c r="A542" s="8">
        <v>42513.0</v>
      </c>
      <c r="B542" s="14"/>
      <c r="C542" s="9">
        <f t="array" ref="C542">IFERROR(
  INDEX(
    IR!$B$2:$E2026,                
    MATCH($A542, IR!$A$2:$A2026, 0), 
    MATCH(C$1, IR!$B$1:$E$1, 0) ), "")
</f>
        <v>-0.00349</v>
      </c>
      <c r="D542" s="9">
        <f t="array" ref="D542">IFERROR(
  INDEX(
    IR!$B$2:$E2026,                
    MATCH($A542, IR!$A$2:$A2026, 0), 
    MATCH(D$1, IR!$B$1:$E$1, 0) ), "")
</f>
        <v>-0.00258</v>
      </c>
      <c r="E542" s="9">
        <f t="array" ref="E542">IFERROR(
  INDEX(
    IR!$B$2:$E2026,                
    MATCH($A542, IR!$A$2:$A2026, 0), 
    MATCH(E$1, IR!$B$1:$E$1, 0) ), "")
</f>
        <v>-0.00144</v>
      </c>
      <c r="F542" s="9">
        <f t="array" ref="F542">IFERROR(
  INDEX(
    IR!$B$2:$E2026,                
    MATCH($A542, IR!$A$2:$A2026, 0), 
    MATCH(F$1, IR!$B$1:$E$1, 0) ), "")
</f>
        <v>-0.00012</v>
      </c>
      <c r="G542" s="14"/>
      <c r="H542" s="9">
        <f t="array" ref="H542">IFERROR(
  INDEX(
    SR!$B$2:$D2026,            
    MATCH($A542, SR!$A$2:$A2026, 0),  
    MATCH(H$1, SR!$B$1:$D$1, 0) ), "")
</f>
        <v>-0.00147</v>
      </c>
      <c r="I542" s="9">
        <f t="array" ref="I542">IFERROR(
  INDEX(
    SR!$B$2:$D2026,            
    MATCH($A542, SR!$A$2:$A2026, 0),  
    MATCH(I$1, SR!$B$1:$D$1, 0) ), "")
</f>
        <v>-0.001077</v>
      </c>
      <c r="J542" s="9">
        <f t="array" ref="J542">IFERROR(
  INDEX(
    SR!$B$2:$D2026,            
    MATCH($A542, SR!$A$2:$A2026, 0),  
    MATCH(J$1, SR!$B$1:$D$1, 0) ), "")
</f>
        <v>0.000257</v>
      </c>
      <c r="K542" s="14"/>
      <c r="L542" s="9">
        <v>117.54</v>
      </c>
      <c r="M542" s="9">
        <v>24.49</v>
      </c>
      <c r="N542" s="9">
        <v>113.78</v>
      </c>
      <c r="O542" s="9">
        <v>117.07</v>
      </c>
      <c r="P542" s="9">
        <v>123.33</v>
      </c>
      <c r="Q542" s="9">
        <v>1356.833</v>
      </c>
      <c r="R542" s="14"/>
      <c r="S542" s="12">
        <f t="shared" si="2"/>
        <v>0.00116941216</v>
      </c>
      <c r="T542" s="12">
        <f t="shared" si="3"/>
        <v>1.001169412</v>
      </c>
      <c r="U542" s="16">
        <f t="shared" si="7"/>
        <v>98.99368497</v>
      </c>
      <c r="V542" s="17"/>
      <c r="W542" s="12">
        <f t="array" ref="W542">SQRT(252/20) *  SQRT( SUMSQ( LN(U521:U540 / U520:U539) )  - (1/20) * ( SUM( LN(U521:U540 / U520:U539) ) ^ 2 ) )</f>
        <v>0.01583253313</v>
      </c>
      <c r="X542" s="9">
        <f t="shared" si="4"/>
        <v>1.5</v>
      </c>
      <c r="Y542" s="14"/>
      <c r="Z542" s="12">
        <f t="shared" si="5"/>
        <v>1.00176866</v>
      </c>
      <c r="AA542" s="16">
        <f t="shared" si="8"/>
        <v>98.55755492</v>
      </c>
      <c r="AB542" s="14"/>
      <c r="AC542" s="9">
        <f t="shared" si="6"/>
        <v>0</v>
      </c>
    </row>
    <row r="543">
      <c r="A543" s="8">
        <v>42514.0</v>
      </c>
      <c r="B543" s="14"/>
      <c r="C543" s="9">
        <f t="array" ref="C543">IFERROR(
  INDEX(
    IR!$B$2:$E2026,                
    MATCH($A543, IR!$A$2:$A2026, 0), 
    MATCH(C$1, IR!$B$1:$E$1, 0) ), "")
</f>
        <v>-0.00351</v>
      </c>
      <c r="D543" s="9">
        <f t="array" ref="D543">IFERROR(
  INDEX(
    IR!$B$2:$E2026,                
    MATCH($A543, IR!$A$2:$A2026, 0), 
    MATCH(D$1, IR!$B$1:$E$1, 0) ), "")
</f>
        <v>-0.00258</v>
      </c>
      <c r="E543" s="9">
        <f t="array" ref="E543">IFERROR(
  INDEX(
    IR!$B$2:$E2026,                
    MATCH($A543, IR!$A$2:$A2026, 0), 
    MATCH(E$1, IR!$B$1:$E$1, 0) ), "")
</f>
        <v>-0.00144</v>
      </c>
      <c r="F543" s="9">
        <f t="array" ref="F543">IFERROR(
  INDEX(
    IR!$B$2:$E2026,                
    MATCH($A543, IR!$A$2:$A2026, 0), 
    MATCH(F$1, IR!$B$1:$E$1, 0) ), "")
</f>
        <v>-0.00012</v>
      </c>
      <c r="G543" s="14"/>
      <c r="H543" s="9">
        <f t="array" ref="H543">IFERROR(
  INDEX(
    SR!$B$2:$D2026,            
    MATCH($A543, SR!$A$2:$A2026, 0),  
    MATCH(H$1, SR!$B$1:$D$1, 0) ), "")
</f>
        <v>-0.0015</v>
      </c>
      <c r="I543" s="9">
        <f t="array" ref="I543">IFERROR(
  INDEX(
    SR!$B$2:$D2026,            
    MATCH($A543, SR!$A$2:$A2026, 0),  
    MATCH(I$1, SR!$B$1:$D$1, 0) ), "")
</f>
        <v>-0.00116</v>
      </c>
      <c r="J543" s="9">
        <f t="array" ref="J543">IFERROR(
  INDEX(
    SR!$B$2:$D2026,            
    MATCH($A543, SR!$A$2:$A2026, 0),  
    MATCH(J$1, SR!$B$1:$D$1, 0) ), "")
</f>
        <v>0.00026</v>
      </c>
      <c r="K543" s="14"/>
      <c r="L543" s="9">
        <v>118.05</v>
      </c>
      <c r="M543" s="9">
        <v>24.5</v>
      </c>
      <c r="N543" s="9">
        <v>113.82</v>
      </c>
      <c r="O543" s="9">
        <v>116.77</v>
      </c>
      <c r="P543" s="9">
        <v>123.33</v>
      </c>
      <c r="Q543" s="9">
        <v>1356.7356</v>
      </c>
      <c r="R543" s="14"/>
      <c r="S543" s="12">
        <f t="shared" si="2"/>
        <v>0.0004105751552</v>
      </c>
      <c r="T543" s="12">
        <f t="shared" si="3"/>
        <v>1.000410575</v>
      </c>
      <c r="U543" s="16">
        <f t="shared" si="7"/>
        <v>99.03432931</v>
      </c>
      <c r="V543" s="17"/>
      <c r="W543" s="12">
        <f t="array" ref="W543">SQRT(252/20) *  SQRT( SUMSQ( LN(U522:U541 / U521:U540) )  - (1/20) * ( SUM( LN(U522:U541 / U521:U540) ) ^ 2 ) )</f>
        <v>0.01557169709</v>
      </c>
      <c r="X543" s="9">
        <f t="shared" si="4"/>
        <v>1.5</v>
      </c>
      <c r="Y543" s="14"/>
      <c r="Z543" s="12">
        <f t="shared" si="5"/>
        <v>1.00062071</v>
      </c>
      <c r="AA543" s="16">
        <f t="shared" si="8"/>
        <v>98.61873057</v>
      </c>
      <c r="AB543" s="14"/>
      <c r="AC543" s="9">
        <f t="shared" si="6"/>
        <v>0</v>
      </c>
    </row>
    <row r="544">
      <c r="A544" s="8">
        <v>42515.0</v>
      </c>
      <c r="B544" s="14"/>
      <c r="C544" s="9">
        <f t="array" ref="C544">IFERROR(
  INDEX(
    IR!$B$2:$E2026,                
    MATCH($A544, IR!$A$2:$A2026, 0), 
    MATCH(C$1, IR!$B$1:$E$1, 0) ), "")
</f>
        <v>-0.00349</v>
      </c>
      <c r="D544" s="9">
        <f t="array" ref="D544">IFERROR(
  INDEX(
    IR!$B$2:$E2026,                
    MATCH($A544, IR!$A$2:$A2026, 0), 
    MATCH(D$1, IR!$B$1:$E$1, 0) ), "")
</f>
        <v>-0.00258</v>
      </c>
      <c r="E544" s="9">
        <f t="array" ref="E544">IFERROR(
  INDEX(
    IR!$B$2:$E2026,                
    MATCH($A544, IR!$A$2:$A2026, 0), 
    MATCH(E$1, IR!$B$1:$E$1, 0) ), "")
</f>
        <v>-0.00144</v>
      </c>
      <c r="F544" s="9">
        <f t="array" ref="F544">IFERROR(
  INDEX(
    IR!$B$2:$E2026,                
    MATCH($A544, IR!$A$2:$A2026, 0), 
    MATCH(F$1, IR!$B$1:$E$1, 0) ), "")
</f>
        <v>-0.00013</v>
      </c>
      <c r="G544" s="14"/>
      <c r="H544" s="9">
        <f t="array" ref="H544">IFERROR(
  INDEX(
    SR!$B$2:$D2026,            
    MATCH($A544, SR!$A$2:$A2026, 0),  
    MATCH(H$1, SR!$B$1:$D$1, 0) ), "")
</f>
        <v>-0.00153</v>
      </c>
      <c r="I544" s="9">
        <f t="array" ref="I544">IFERROR(
  INDEX(
    SR!$B$2:$D2026,            
    MATCH($A544, SR!$A$2:$A2026, 0),  
    MATCH(I$1, SR!$B$1:$D$1, 0) ), "")
</f>
        <v>-0.001146</v>
      </c>
      <c r="J544" s="9">
        <f t="array" ref="J544">IFERROR(
  INDEX(
    SR!$B$2:$D2026,            
    MATCH($A544, SR!$A$2:$A2026, 0),  
    MATCH(J$1, SR!$B$1:$D$1, 0) ), "")
</f>
        <v>0.000169</v>
      </c>
      <c r="K544" s="14"/>
      <c r="L544" s="9">
        <v>118.34</v>
      </c>
      <c r="M544" s="9">
        <v>24.51</v>
      </c>
      <c r="N544" s="9">
        <v>113.82</v>
      </c>
      <c r="O544" s="9">
        <v>117.8</v>
      </c>
      <c r="P544" s="9">
        <v>123.44</v>
      </c>
      <c r="Q544" s="9">
        <v>1363.2078</v>
      </c>
      <c r="R544" s="14"/>
      <c r="S544" s="12">
        <f t="shared" si="2"/>
        <v>0.002890628055</v>
      </c>
      <c r="T544" s="12">
        <f t="shared" si="3"/>
        <v>1.002890628</v>
      </c>
      <c r="U544" s="16">
        <f t="shared" si="7"/>
        <v>99.32060072</v>
      </c>
      <c r="V544" s="17"/>
      <c r="W544" s="12">
        <f t="array" ref="W544">SQRT(252/20) *  SQRT( SUMSQ( LN(U523:U542 / U522:U541) )  - (1/20) * ( SUM( LN(U523:U542 / U522:U541) ) ^ 2 ) )</f>
        <v>0.01564132996</v>
      </c>
      <c r="X544" s="9">
        <f t="shared" si="4"/>
        <v>1.5</v>
      </c>
      <c r="Y544" s="14"/>
      <c r="Z544" s="12">
        <f t="shared" si="5"/>
        <v>1.004340817</v>
      </c>
      <c r="AA544" s="16">
        <f t="shared" si="8"/>
        <v>99.04681644</v>
      </c>
      <c r="AB544" s="14"/>
      <c r="AC544" s="9">
        <f t="shared" si="6"/>
        <v>0</v>
      </c>
    </row>
    <row r="545">
      <c r="A545" s="8">
        <v>42516.0</v>
      </c>
      <c r="B545" s="14"/>
      <c r="C545" s="9">
        <f t="array" ref="C545">IFERROR(
  INDEX(
    IR!$B$2:$E2026,                
    MATCH($A545, IR!$A$2:$A2026, 0), 
    MATCH(C$1, IR!$B$1:$E$1, 0) ), "")
</f>
        <v>-0.00348</v>
      </c>
      <c r="D545" s="9">
        <f t="array" ref="D545">IFERROR(
  INDEX(
    IR!$B$2:$E2026,                
    MATCH($A545, IR!$A$2:$A2026, 0), 
    MATCH(D$1, IR!$B$1:$E$1, 0) ), "")
</f>
        <v>-0.00258</v>
      </c>
      <c r="E545" s="9">
        <f t="array" ref="E545">IFERROR(
  INDEX(
    IR!$B$2:$E2026,                
    MATCH($A545, IR!$A$2:$A2026, 0), 
    MATCH(E$1, IR!$B$1:$E$1, 0) ), "")
</f>
        <v>-0.00146</v>
      </c>
      <c r="F545" s="9">
        <f t="array" ref="F545">IFERROR(
  INDEX(
    IR!$B$2:$E2026,                
    MATCH($A545, IR!$A$2:$A2026, 0), 
    MATCH(F$1, IR!$B$1:$E$1, 0) ), "")
</f>
        <v>-0.00014</v>
      </c>
      <c r="G545" s="14"/>
      <c r="H545" s="9">
        <f t="array" ref="H545">IFERROR(
  INDEX(
    SR!$B$2:$D2026,            
    MATCH($A545, SR!$A$2:$A2026, 0),  
    MATCH(H$1, SR!$B$1:$D$1, 0) ), "")
</f>
        <v>-0.00162</v>
      </c>
      <c r="I545" s="9">
        <f t="array" ref="I545">IFERROR(
  INDEX(
    SR!$B$2:$D2026,            
    MATCH($A545, SR!$A$2:$A2026, 0),  
    MATCH(I$1, SR!$B$1:$D$1, 0) ), "")
</f>
        <v>-0.00127</v>
      </c>
      <c r="J545" s="9">
        <f t="array" ref="J545">IFERROR(
  INDEX(
    SR!$B$2:$D2026,            
    MATCH($A545, SR!$A$2:$A2026, 0),  
    MATCH(J$1, SR!$B$1:$D$1, 0) ), "")
</f>
        <v>0.000005</v>
      </c>
      <c r="K545" s="14"/>
      <c r="L545" s="9">
        <v>118.6</v>
      </c>
      <c r="M545" s="9">
        <v>24.5</v>
      </c>
      <c r="N545" s="9">
        <v>113.82</v>
      </c>
      <c r="O545" s="9">
        <v>118.58</v>
      </c>
      <c r="P545" s="9">
        <v>123.57</v>
      </c>
      <c r="Q545" s="9">
        <v>1366.3133</v>
      </c>
      <c r="R545" s="14"/>
      <c r="S545" s="12">
        <f t="shared" si="2"/>
        <v>0.0019563918</v>
      </c>
      <c r="T545" s="12">
        <f t="shared" si="3"/>
        <v>1.001956392</v>
      </c>
      <c r="U545" s="16">
        <f t="shared" si="7"/>
        <v>99.51491073</v>
      </c>
      <c r="V545" s="17"/>
      <c r="W545" s="12">
        <f t="array" ref="W545">SQRT(252/20) *  SQRT( SUMSQ( LN(U524:U543 / U523:U542) )  - (1/20) * ( SUM( LN(U524:U543 / U523:U542) ) ^ 2 ) )</f>
        <v>0.01580641584</v>
      </c>
      <c r="X545" s="9">
        <f t="shared" si="4"/>
        <v>1.5</v>
      </c>
      <c r="Y545" s="14"/>
      <c r="Z545" s="12">
        <f t="shared" si="5"/>
        <v>1.002939435</v>
      </c>
      <c r="AA545" s="16">
        <f t="shared" si="8"/>
        <v>99.33795812</v>
      </c>
      <c r="AB545" s="14"/>
      <c r="AC545" s="9">
        <f t="shared" si="6"/>
        <v>0</v>
      </c>
    </row>
    <row r="546">
      <c r="A546" s="8">
        <v>42517.0</v>
      </c>
      <c r="B546" s="14"/>
      <c r="C546" s="9">
        <f t="array" ref="C546">IFERROR(
  INDEX(
    IR!$B$2:$E2026,                
    MATCH($A546, IR!$A$2:$A2026, 0), 
    MATCH(C$1, IR!$B$1:$E$1, 0) ), "")
</f>
        <v>-0.00349</v>
      </c>
      <c r="D546" s="9">
        <f t="array" ref="D546">IFERROR(
  INDEX(
    IR!$B$2:$E2026,                
    MATCH($A546, IR!$A$2:$A2026, 0), 
    MATCH(D$1, IR!$B$1:$E$1, 0) ), "")
</f>
        <v>-0.0026</v>
      </c>
      <c r="E546" s="9">
        <f t="array" ref="E546">IFERROR(
  INDEX(
    IR!$B$2:$E2026,                
    MATCH($A546, IR!$A$2:$A2026, 0), 
    MATCH(E$1, IR!$B$1:$E$1, 0) ), "")
</f>
        <v>-0.00149</v>
      </c>
      <c r="F546" s="9">
        <f t="array" ref="F546">IFERROR(
  INDEX(
    IR!$B$2:$E2026,                
    MATCH($A546, IR!$A$2:$A2026, 0), 
    MATCH(F$1, IR!$B$1:$E$1, 0) ), "")
</f>
        <v>-0.00015</v>
      </c>
      <c r="G546" s="14"/>
      <c r="H546" s="9">
        <f t="array" ref="H546">IFERROR(
  INDEX(
    SR!$B$2:$D2026,            
    MATCH($A546, SR!$A$2:$A2026, 0),  
    MATCH(H$1, SR!$B$1:$D$1, 0) ), "")
</f>
        <v>-0.0016</v>
      </c>
      <c r="I546" s="9">
        <f t="array" ref="I546">IFERROR(
  INDEX(
    SR!$B$2:$D2026,            
    MATCH($A546, SR!$A$2:$A2026, 0),  
    MATCH(I$1, SR!$B$1:$D$1, 0) ), "")
</f>
        <v>-0.001297</v>
      </c>
      <c r="J546" s="9">
        <f t="array" ref="J546">IFERROR(
  INDEX(
    SR!$B$2:$D2026,            
    MATCH($A546, SR!$A$2:$A2026, 0),  
    MATCH(J$1, SR!$B$1:$D$1, 0) ), "")
</f>
        <v>0.00001</v>
      </c>
      <c r="K546" s="14"/>
      <c r="L546" s="9">
        <v>118.71</v>
      </c>
      <c r="M546" s="9">
        <v>24.5</v>
      </c>
      <c r="N546" s="9">
        <v>113.83</v>
      </c>
      <c r="O546" s="9">
        <v>118.92</v>
      </c>
      <c r="P546" s="9">
        <v>123.58</v>
      </c>
      <c r="Q546" s="9">
        <v>1369.2764</v>
      </c>
      <c r="R546" s="14"/>
      <c r="S546" s="12">
        <f t="shared" si="2"/>
        <v>0.001021844131</v>
      </c>
      <c r="T546" s="12">
        <f t="shared" si="3"/>
        <v>1.001021844</v>
      </c>
      <c r="U546" s="16">
        <f t="shared" si="7"/>
        <v>99.61659946</v>
      </c>
      <c r="V546" s="17"/>
      <c r="W546" s="12">
        <f t="array" ref="W546">SQRT(252/20) *  SQRT( SUMSQ( LN(U525:U544 / U524:U543) )  - (1/20) * ( SUM( LN(U525:U544 / U524:U543) ) ^ 2 ) )</f>
        <v>0.01902367514</v>
      </c>
      <c r="X546" s="9">
        <f t="shared" si="4"/>
        <v>1.5</v>
      </c>
      <c r="Y546" s="14"/>
      <c r="Z546" s="12">
        <f t="shared" si="5"/>
        <v>1.0015376</v>
      </c>
      <c r="AA546" s="16">
        <f t="shared" si="8"/>
        <v>99.49070011</v>
      </c>
      <c r="AB546" s="14"/>
      <c r="AC546" s="9">
        <f t="shared" si="6"/>
        <v>0</v>
      </c>
    </row>
    <row r="547">
      <c r="A547" s="8">
        <v>42520.0</v>
      </c>
      <c r="B547" s="14"/>
      <c r="C547" s="9">
        <f t="array" ref="C547">IFERROR(
  INDEX(
    IR!$B$2:$E2026,                
    MATCH($A547, IR!$A$2:$A2026, 0), 
    MATCH(C$1, IR!$B$1:$E$1, 0) ), "")
</f>
        <v>-0.00348</v>
      </c>
      <c r="D547" s="9">
        <f t="array" ref="D547">IFERROR(
  INDEX(
    IR!$B$2:$E2026,                
    MATCH($A547, IR!$A$2:$A2026, 0), 
    MATCH(D$1, IR!$B$1:$E$1, 0) ), "")
</f>
        <v>-0.00261</v>
      </c>
      <c r="E547" s="9">
        <f t="array" ref="E547">IFERROR(
  INDEX(
    IR!$B$2:$E2026,                
    MATCH($A547, IR!$A$2:$A2026, 0), 
    MATCH(E$1, IR!$B$1:$E$1, 0) ), "")
</f>
        <v>-0.00151</v>
      </c>
      <c r="F547" s="9">
        <f t="array" ref="F547">IFERROR(
  INDEX(
    IR!$B$2:$E2026,                
    MATCH($A547, IR!$A$2:$A2026, 0), 
    MATCH(F$1, IR!$B$1:$E$1, 0) ), "")
</f>
        <v>-0.00015</v>
      </c>
      <c r="G547" s="14"/>
      <c r="H547" s="9">
        <f t="array" ref="H547">IFERROR(
  INDEX(
    SR!$B$2:$D2026,            
    MATCH($A547, SR!$A$2:$A2026, 0),  
    MATCH(H$1, SR!$B$1:$D$1, 0) ), "")
</f>
        <v>-0.00158</v>
      </c>
      <c r="I547" s="9">
        <f t="array" ref="I547">IFERROR(
  INDEX(
    SR!$B$2:$D2026,            
    MATCH($A547, SR!$A$2:$A2026, 0),  
    MATCH(I$1, SR!$B$1:$D$1, 0) ), "")
</f>
        <v>-0.001278</v>
      </c>
      <c r="J547" s="9">
        <f t="array" ref="J547">IFERROR(
  INDEX(
    SR!$B$2:$D2026,            
    MATCH($A547, SR!$A$2:$A2026, 0),  
    MATCH(J$1, SR!$B$1:$D$1, 0) ), "")
</f>
        <v>0.00012</v>
      </c>
      <c r="K547" s="14"/>
      <c r="L547" s="9">
        <v>118.76</v>
      </c>
      <c r="M547" s="9">
        <v>24.5</v>
      </c>
      <c r="N547" s="9">
        <v>113.88</v>
      </c>
      <c r="O547" s="9">
        <v>118.92</v>
      </c>
      <c r="P547" s="9">
        <v>123.68</v>
      </c>
      <c r="Q547" s="23">
        <v>1369.2764</v>
      </c>
      <c r="R547" s="14"/>
      <c r="S547" s="12">
        <f t="shared" si="2"/>
        <v>0.0002781617656</v>
      </c>
      <c r="T547" s="12">
        <f t="shared" si="3"/>
        <v>1.000278162</v>
      </c>
      <c r="U547" s="16">
        <f t="shared" si="7"/>
        <v>99.64430899</v>
      </c>
      <c r="V547" s="17"/>
      <c r="W547" s="12">
        <f t="array" ref="W547">SQRT(252/20) *  SQRT( SUMSQ( LN(U526:U545 / U525:U544) )  - (1/20) * ( SUM( LN(U526:U545 / U525:U544) ) ^ 2 ) )</f>
        <v>0.02010321268</v>
      </c>
      <c r="X547" s="9">
        <f t="shared" si="4"/>
        <v>1.5</v>
      </c>
      <c r="Y547" s="14"/>
      <c r="Z547" s="12">
        <f t="shared" si="5"/>
        <v>1.000431784</v>
      </c>
      <c r="AA547" s="16">
        <f t="shared" si="8"/>
        <v>99.53365864</v>
      </c>
      <c r="AB547" s="14"/>
      <c r="AC547" s="9">
        <f t="shared" si="6"/>
        <v>0</v>
      </c>
    </row>
    <row r="548">
      <c r="A548" s="8">
        <v>42521.0</v>
      </c>
      <c r="B548" s="14"/>
      <c r="C548" s="9">
        <f t="array" ref="C548">IFERROR(
  INDEX(
    IR!$B$2:$E2026,                
    MATCH($A548, IR!$A$2:$A2026, 0), 
    MATCH(C$1, IR!$B$1:$E$1, 0) ), "")
</f>
        <v>-0.00349</v>
      </c>
      <c r="D548" s="9">
        <f t="array" ref="D548">IFERROR(
  INDEX(
    IR!$B$2:$E2026,                
    MATCH($A548, IR!$A$2:$A2026, 0), 
    MATCH(D$1, IR!$B$1:$E$1, 0) ), "")
</f>
        <v>-0.00261</v>
      </c>
      <c r="E548" s="9">
        <f t="array" ref="E548">IFERROR(
  INDEX(
    IR!$B$2:$E2026,                
    MATCH($A548, IR!$A$2:$A2026, 0), 
    MATCH(E$1, IR!$B$1:$E$1, 0) ), "")
</f>
        <v>-0.00153</v>
      </c>
      <c r="F548" s="9">
        <f t="array" ref="F548">IFERROR(
  INDEX(
    IR!$B$2:$E2026,                
    MATCH($A548, IR!$A$2:$A2026, 0), 
    MATCH(F$1, IR!$B$1:$E$1, 0) ), "")
</f>
        <v>-0.00015</v>
      </c>
      <c r="G548" s="14"/>
      <c r="H548" s="9">
        <f t="array" ref="H548">IFERROR(
  INDEX(
    SR!$B$2:$D2026,            
    MATCH($A548, SR!$A$2:$A2026, 0),  
    MATCH(H$1, SR!$B$1:$D$1, 0) ), "")
</f>
        <v>-0.00161</v>
      </c>
      <c r="I548" s="9">
        <f t="array" ref="I548">IFERROR(
  INDEX(
    SR!$B$2:$D2026,            
    MATCH($A548, SR!$A$2:$A2026, 0),  
    MATCH(I$1, SR!$B$1:$D$1, 0) ), "")
</f>
        <v>-0.0013</v>
      </c>
      <c r="J548" s="9">
        <f t="array" ref="J548">IFERROR(
  INDEX(
    SR!$B$2:$D2026,            
    MATCH($A548, SR!$A$2:$A2026, 0),  
    MATCH(J$1, SR!$B$1:$D$1, 0) ), "")
</f>
        <v>0.000062</v>
      </c>
      <c r="K548" s="14"/>
      <c r="L548" s="9">
        <v>118.57</v>
      </c>
      <c r="M548" s="9">
        <v>24.5</v>
      </c>
      <c r="N548" s="9">
        <v>113.88</v>
      </c>
      <c r="O548" s="9">
        <v>118.99</v>
      </c>
      <c r="P548" s="9">
        <v>123.64</v>
      </c>
      <c r="Q548" s="9">
        <v>1372.4075</v>
      </c>
      <c r="R548" s="14"/>
      <c r="S548" s="12">
        <f t="shared" si="2"/>
        <v>0.0001588373151</v>
      </c>
      <c r="T548" s="12">
        <f t="shared" si="3"/>
        <v>1.000158837</v>
      </c>
      <c r="U548" s="16">
        <f t="shared" si="7"/>
        <v>99.66013622</v>
      </c>
      <c r="V548" s="17"/>
      <c r="W548" s="12">
        <f t="array" ref="W548">SQRT(252/20) *  SQRT( SUMSQ( LN(U527:U546 / U526:U545) )  - (1/20) * ( SUM( LN(U527:U546 / U526:U545) ) ^ 2 ) )</f>
        <v>0.02030867107</v>
      </c>
      <c r="X548" s="9">
        <f t="shared" si="4"/>
        <v>1.5</v>
      </c>
      <c r="Y548" s="14"/>
      <c r="Z548" s="12">
        <f t="shared" si="5"/>
        <v>1.000243089</v>
      </c>
      <c r="AA548" s="16">
        <f t="shared" si="8"/>
        <v>99.55785421</v>
      </c>
      <c r="AB548" s="14"/>
      <c r="AC548" s="9">
        <f t="shared" si="6"/>
        <v>0</v>
      </c>
    </row>
    <row r="549">
      <c r="A549" s="8">
        <v>42522.0</v>
      </c>
      <c r="B549" s="14"/>
      <c r="C549" s="9">
        <f t="array" ref="C549">IFERROR(
  INDEX(
    IR!$B$2:$E2026,                
    MATCH($A549, IR!$A$2:$A2026, 0), 
    MATCH(C$1, IR!$B$1:$E$1, 0) ), "")
</f>
        <v>-0.00349</v>
      </c>
      <c r="D549" s="9">
        <f t="array" ref="D549">IFERROR(
  INDEX(
    IR!$B$2:$E2026,                
    MATCH($A549, IR!$A$2:$A2026, 0), 
    MATCH(D$1, IR!$B$1:$E$1, 0) ), "")
</f>
        <v>-0.00261</v>
      </c>
      <c r="E549" s="9">
        <f t="array" ref="E549">IFERROR(
  INDEX(
    IR!$B$2:$E2026,                
    MATCH($A549, IR!$A$2:$A2026, 0), 
    MATCH(E$1, IR!$B$1:$E$1, 0) ), "")
</f>
        <v>-0.00153</v>
      </c>
      <c r="F549" s="9">
        <f t="array" ref="F549">IFERROR(
  INDEX(
    IR!$B$2:$E2026,                
    MATCH($A549, IR!$A$2:$A2026, 0), 
    MATCH(F$1, IR!$B$1:$E$1, 0) ), "")
</f>
        <v>-0.00018</v>
      </c>
      <c r="G549" s="14"/>
      <c r="H549" s="9">
        <f t="array" ref="H549">IFERROR(
  INDEX(
    SR!$B$2:$D2026,            
    MATCH($A549, SR!$A$2:$A2026, 0),  
    MATCH(H$1, SR!$B$1:$D$1, 0) ), "")
</f>
        <v>-0.00159</v>
      </c>
      <c r="I549" s="9">
        <f t="array" ref="I549">IFERROR(
  INDEX(
    SR!$B$2:$D2026,            
    MATCH($A549, SR!$A$2:$A2026, 0),  
    MATCH(I$1, SR!$B$1:$D$1, 0) ), "")
</f>
        <v>-0.00133</v>
      </c>
      <c r="J549" s="9">
        <f t="array" ref="J549">IFERROR(
  INDEX(
    SR!$B$2:$D2026,            
    MATCH($A549, SR!$A$2:$A2026, 0),  
    MATCH(J$1, SR!$B$1:$D$1, 0) ), "")
</f>
        <v>0.000049</v>
      </c>
      <c r="K549" s="14"/>
      <c r="L549" s="9">
        <v>118.38</v>
      </c>
      <c r="M549" s="9">
        <v>24.5</v>
      </c>
      <c r="N549" s="9">
        <v>113.89</v>
      </c>
      <c r="O549" s="9">
        <v>118.77</v>
      </c>
      <c r="P549" s="9">
        <v>123.67</v>
      </c>
      <c r="Q549" s="9">
        <v>1371.1796</v>
      </c>
      <c r="R549" s="14"/>
      <c r="S549" s="12">
        <f t="shared" si="2"/>
        <v>-0.0006690846426</v>
      </c>
      <c r="T549" s="12">
        <f t="shared" si="3"/>
        <v>0.9993309154</v>
      </c>
      <c r="U549" s="16">
        <f t="shared" si="7"/>
        <v>99.59345516</v>
      </c>
      <c r="V549" s="17"/>
      <c r="W549" s="12">
        <f t="array" ref="W549">SQRT(252/20) *  SQRT( SUMSQ( LN(U528:U547 / U527:U546) )  - (1/20) * ( SUM( LN(U528:U547 / U527:U546) ) ^ 2 ) )</f>
        <v>0.02029324231</v>
      </c>
      <c r="X549" s="9">
        <f t="shared" si="4"/>
        <v>1.5</v>
      </c>
      <c r="Y549" s="14"/>
      <c r="Z549" s="12">
        <f t="shared" si="5"/>
        <v>0.9990012203</v>
      </c>
      <c r="AA549" s="16">
        <f t="shared" si="8"/>
        <v>99.45841784</v>
      </c>
      <c r="AB549" s="14"/>
      <c r="AC549" s="9">
        <f t="shared" si="6"/>
        <v>0</v>
      </c>
    </row>
    <row r="550">
      <c r="A550" s="8">
        <v>42523.0</v>
      </c>
      <c r="B550" s="14"/>
      <c r="C550" s="9">
        <f t="array" ref="C550">IFERROR(
  INDEX(
    IR!$B$2:$E2026,                
    MATCH($A550, IR!$A$2:$A2026, 0), 
    MATCH(C$1, IR!$B$1:$E$1, 0) ), "")
</f>
        <v>-0.0035</v>
      </c>
      <c r="D550" s="9">
        <f t="array" ref="D550">IFERROR(
  INDEX(
    IR!$B$2:$E2026,                
    MATCH($A550, IR!$A$2:$A2026, 0), 
    MATCH(D$1, IR!$B$1:$E$1, 0) ), "")
</f>
        <v>-0.00262</v>
      </c>
      <c r="E550" s="9">
        <f t="array" ref="E550">IFERROR(
  INDEX(
    IR!$B$2:$E2026,                
    MATCH($A550, IR!$A$2:$A2026, 0), 
    MATCH(E$1, IR!$B$1:$E$1, 0) ), "")
</f>
        <v>-0.00153</v>
      </c>
      <c r="F550" s="9">
        <f t="array" ref="F550">IFERROR(
  INDEX(
    IR!$B$2:$E2026,                
    MATCH($A550, IR!$A$2:$A2026, 0), 
    MATCH(F$1, IR!$B$1:$E$1, 0) ), "")
</f>
        <v>-0.00017</v>
      </c>
      <c r="G550" s="14"/>
      <c r="H550" s="9">
        <f t="array" ref="H550">IFERROR(
  INDEX(
    SR!$B$2:$D2026,            
    MATCH($A550, SR!$A$2:$A2026, 0),  
    MATCH(H$1, SR!$B$1:$D$1, 0) ), "")
</f>
        <v>-0.00157</v>
      </c>
      <c r="I550" s="9">
        <f t="array" ref="I550">IFERROR(
  INDEX(
    SR!$B$2:$D2026,            
    MATCH($A550, SR!$A$2:$A2026, 0),  
    MATCH(I$1, SR!$B$1:$D$1, 0) ), "")
</f>
        <v>-0.00128</v>
      </c>
      <c r="J550" s="9">
        <f t="array" ref="J550">IFERROR(
  INDEX(
    SR!$B$2:$D2026,            
    MATCH($A550, SR!$A$2:$A2026, 0),  
    MATCH(J$1, SR!$B$1:$D$1, 0) ), "")
</f>
        <v>-0.000004</v>
      </c>
      <c r="K550" s="14"/>
      <c r="L550" s="9">
        <v>118.42</v>
      </c>
      <c r="M550" s="9">
        <v>24.5</v>
      </c>
      <c r="N550" s="9">
        <v>113.89</v>
      </c>
      <c r="O550" s="9">
        <v>118.52</v>
      </c>
      <c r="P550" s="9">
        <v>123.55</v>
      </c>
      <c r="Q550" s="9">
        <v>1370.9264</v>
      </c>
      <c r="R550" s="14"/>
      <c r="S550" s="12">
        <f t="shared" si="2"/>
        <v>-0.0004868230837</v>
      </c>
      <c r="T550" s="12">
        <f t="shared" si="3"/>
        <v>0.9995131769</v>
      </c>
      <c r="U550" s="16">
        <f t="shared" si="7"/>
        <v>99.54497076</v>
      </c>
      <c r="V550" s="17"/>
      <c r="W550" s="12">
        <f t="array" ref="W550">SQRT(252/20) *  SQRT( SUMSQ( LN(U529:U548 / U528:U547) )  - (1/20) * ( SUM( LN(U529:U548 / U528:U547) ) ^ 2 ) )</f>
        <v>0.02020163174</v>
      </c>
      <c r="X550" s="9">
        <f t="shared" si="4"/>
        <v>1.5</v>
      </c>
      <c r="Y550" s="14"/>
      <c r="Z550" s="12">
        <f t="shared" si="5"/>
        <v>0.9992746126</v>
      </c>
      <c r="AA550" s="16">
        <f t="shared" si="8"/>
        <v>99.38627195</v>
      </c>
      <c r="AB550" s="14"/>
      <c r="AC550" s="9">
        <f t="shared" si="6"/>
        <v>0</v>
      </c>
    </row>
    <row r="551">
      <c r="A551" s="8">
        <v>42524.0</v>
      </c>
      <c r="B551" s="14"/>
      <c r="C551" s="9">
        <f t="array" ref="C551">IFERROR(
  INDEX(
    IR!$B$2:$E2026,                
    MATCH($A551, IR!$A$2:$A2026, 0), 
    MATCH(C$1, IR!$B$1:$E$1, 0) ), "")
</f>
        <v>-0.00351</v>
      </c>
      <c r="D551" s="9">
        <f t="array" ref="D551">IFERROR(
  INDEX(
    IR!$B$2:$E2026,                
    MATCH($A551, IR!$A$2:$A2026, 0), 
    MATCH(D$1, IR!$B$1:$E$1, 0) ), "")
</f>
        <v>-0.00261</v>
      </c>
      <c r="E551" s="9">
        <f t="array" ref="E551">IFERROR(
  INDEX(
    IR!$B$2:$E2026,                
    MATCH($A551, IR!$A$2:$A2026, 0), 
    MATCH(E$1, IR!$B$1:$E$1, 0) ), "")
</f>
        <v>-0.00154</v>
      </c>
      <c r="F551" s="9">
        <f t="array" ref="F551">IFERROR(
  INDEX(
    IR!$B$2:$E2026,                
    MATCH($A551, IR!$A$2:$A2026, 0), 
    MATCH(F$1, IR!$B$1:$E$1, 0) ), "")
</f>
        <v>-0.00016</v>
      </c>
      <c r="G551" s="14"/>
      <c r="H551" s="9">
        <f t="array" ref="H551">IFERROR(
  INDEX(
    SR!$B$2:$D2026,            
    MATCH($A551, SR!$A$2:$A2026, 0),  
    MATCH(H$1, SR!$B$1:$D$1, 0) ), "")
</f>
        <v>-0.00169</v>
      </c>
      <c r="I551" s="9">
        <f t="array" ref="I551">IFERROR(
  INDEX(
    SR!$B$2:$D2026,            
    MATCH($A551, SR!$A$2:$A2026, 0),  
    MATCH(I$1, SR!$B$1:$D$1, 0) ), "")
</f>
        <v>-0.00144</v>
      </c>
      <c r="J551" s="9">
        <f t="array" ref="J551">IFERROR(
  INDEX(
    SR!$B$2:$D2026,            
    MATCH($A551, SR!$A$2:$A2026, 0),  
    MATCH(J$1, SR!$B$1:$D$1, 0) ), "")
</f>
        <v>-0.000238</v>
      </c>
      <c r="K551" s="14"/>
      <c r="L551" s="9">
        <v>118.31</v>
      </c>
      <c r="M551" s="9">
        <v>24.48</v>
      </c>
      <c r="N551" s="9">
        <v>113.91</v>
      </c>
      <c r="O551" s="9">
        <v>118.73</v>
      </c>
      <c r="P551" s="9">
        <v>123.71</v>
      </c>
      <c r="Q551" s="9">
        <v>1373.1152</v>
      </c>
      <c r="R551" s="14"/>
      <c r="S551" s="12">
        <f t="shared" si="2"/>
        <v>0.0005155940843</v>
      </c>
      <c r="T551" s="12">
        <f t="shared" si="3"/>
        <v>1.000515594</v>
      </c>
      <c r="U551" s="16">
        <f t="shared" si="7"/>
        <v>99.59629556</v>
      </c>
      <c r="V551" s="17"/>
      <c r="W551" s="12">
        <f t="array" ref="W551">SQRT(252/20) *  SQRT( SUMSQ( LN(U530:U549 / U529:U548) )  - (1/20) * ( SUM( LN(U530:U549 / U529:U548) ) ^ 2 ) )</f>
        <v>0.01861946645</v>
      </c>
      <c r="X551" s="9">
        <f t="shared" si="4"/>
        <v>1.5</v>
      </c>
      <c r="Y551" s="14"/>
      <c r="Z551" s="12">
        <f t="shared" si="5"/>
        <v>1.000778252</v>
      </c>
      <c r="AA551" s="16">
        <f t="shared" si="8"/>
        <v>99.46361954</v>
      </c>
      <c r="AB551" s="14"/>
      <c r="AC551" s="9">
        <f t="shared" si="6"/>
        <v>0</v>
      </c>
    </row>
    <row r="552">
      <c r="A552" s="8">
        <v>42527.0</v>
      </c>
      <c r="B552" s="14"/>
      <c r="C552" s="9">
        <f t="array" ref="C552">IFERROR(
  INDEX(
    IR!$B$2:$E2026,                
    MATCH($A552, IR!$A$2:$A2026, 0), 
    MATCH(C$1, IR!$B$1:$E$1, 0) ), "")
</f>
        <v>-0.00352</v>
      </c>
      <c r="D552" s="9">
        <f t="array" ref="D552">IFERROR(
  INDEX(
    IR!$B$2:$E2026,                
    MATCH($A552, IR!$A$2:$A2026, 0), 
    MATCH(D$1, IR!$B$1:$E$1, 0) ), "")
</f>
        <v>-0.00262</v>
      </c>
      <c r="E552" s="9">
        <f t="array" ref="E552">IFERROR(
  INDEX(
    IR!$B$2:$E2026,                
    MATCH($A552, IR!$A$2:$A2026, 0), 
    MATCH(E$1, IR!$B$1:$E$1, 0) ), "")
</f>
        <v>-0.00157</v>
      </c>
      <c r="F552" s="9">
        <f t="array" ref="F552">IFERROR(
  INDEX(
    IR!$B$2:$E2026,                
    MATCH($A552, IR!$A$2:$A2026, 0), 
    MATCH(F$1, IR!$B$1:$E$1, 0) ), "")
</f>
        <v>-0.00018</v>
      </c>
      <c r="G552" s="14"/>
      <c r="H552" s="9">
        <f t="array" ref="H552">IFERROR(
  INDEX(
    SR!$B$2:$D2026,            
    MATCH($A552, SR!$A$2:$A2026, 0),  
    MATCH(H$1, SR!$B$1:$D$1, 0) ), "")
</f>
        <v>-0.0017</v>
      </c>
      <c r="I552" s="9">
        <f t="array" ref="I552">IFERROR(
  INDEX(
    SR!$B$2:$D2026,            
    MATCH($A552, SR!$A$2:$A2026, 0),  
    MATCH(I$1, SR!$B$1:$D$1, 0) ), "")
</f>
        <v>-0.001409</v>
      </c>
      <c r="J552" s="9">
        <f t="array" ref="J552">IFERROR(
  INDEX(
    SR!$B$2:$D2026,            
    MATCH($A552, SR!$A$2:$A2026, 0),  
    MATCH(J$1, SR!$B$1:$D$1, 0) ), "")
</f>
        <v>-0.000082</v>
      </c>
      <c r="K552" s="14"/>
      <c r="L552" s="9">
        <v>118.34</v>
      </c>
      <c r="M552" s="9">
        <v>24.48</v>
      </c>
      <c r="N552" s="9">
        <v>113.95</v>
      </c>
      <c r="O552" s="9">
        <v>118.36</v>
      </c>
      <c r="P552" s="9">
        <v>123.71</v>
      </c>
      <c r="Q552" s="9">
        <v>1370.9648</v>
      </c>
      <c r="R552" s="14"/>
      <c r="S552" s="12">
        <f t="shared" si="2"/>
        <v>-0.0006794952248</v>
      </c>
      <c r="T552" s="12">
        <f t="shared" si="3"/>
        <v>0.9993205048</v>
      </c>
      <c r="U552" s="16">
        <f t="shared" si="7"/>
        <v>99.52862035</v>
      </c>
      <c r="V552" s="17"/>
      <c r="W552" s="12">
        <f t="array" ref="W552">SQRT(252/20) *  SQRT( SUMSQ( LN(U531:U550 / U530:U549) )  - (1/20) * ( SUM( LN(U531:U550 / U530:U549) ) ^ 2 ) )</f>
        <v>0.01809436556</v>
      </c>
      <c r="X552" s="9">
        <f t="shared" si="4"/>
        <v>1.5</v>
      </c>
      <c r="Y552" s="14"/>
      <c r="Z552" s="12">
        <f t="shared" si="5"/>
        <v>0.9989953822</v>
      </c>
      <c r="AA552" s="16">
        <f t="shared" si="8"/>
        <v>99.36369662</v>
      </c>
      <c r="AB552" s="14"/>
      <c r="AC552" s="9">
        <f t="shared" si="6"/>
        <v>0</v>
      </c>
    </row>
    <row r="553">
      <c r="A553" s="8">
        <v>42528.0</v>
      </c>
      <c r="B553" s="14"/>
      <c r="C553" s="9">
        <f t="array" ref="C553">IFERROR(
  INDEX(
    IR!$B$2:$E2026,                
    MATCH($A553, IR!$A$2:$A2026, 0), 
    MATCH(C$1, IR!$B$1:$E$1, 0) ), "")
</f>
        <v>-0.00352</v>
      </c>
      <c r="D553" s="9">
        <f t="array" ref="D553">IFERROR(
  INDEX(
    IR!$B$2:$E2026,                
    MATCH($A553, IR!$A$2:$A2026, 0), 
    MATCH(D$1, IR!$B$1:$E$1, 0) ), "")
</f>
        <v>-0.00261</v>
      </c>
      <c r="E553" s="9">
        <f t="array" ref="E553">IFERROR(
  INDEX(
    IR!$B$2:$E2026,                
    MATCH($A553, IR!$A$2:$A2026, 0), 
    MATCH(E$1, IR!$B$1:$E$1, 0) ), "")
</f>
        <v>-0.00159</v>
      </c>
      <c r="F553" s="9">
        <f t="array" ref="F553">IFERROR(
  INDEX(
    IR!$B$2:$E2026,                
    MATCH($A553, IR!$A$2:$A2026, 0), 
    MATCH(F$1, IR!$B$1:$E$1, 0) ), "")
</f>
        <v>-0.00018</v>
      </c>
      <c r="G553" s="14"/>
      <c r="H553" s="9">
        <f t="array" ref="H553">IFERROR(
  INDEX(
    SR!$B$2:$D2026,            
    MATCH($A553, SR!$A$2:$A2026, 0),  
    MATCH(H$1, SR!$B$1:$D$1, 0) ), "")
</f>
        <v>-0.00167</v>
      </c>
      <c r="I553" s="9">
        <f t="array" ref="I553">IFERROR(
  INDEX(
    SR!$B$2:$D2026,            
    MATCH($A553, SR!$A$2:$A2026, 0),  
    MATCH(I$1, SR!$B$1:$D$1, 0) ), "")
</f>
        <v>-0.001437</v>
      </c>
      <c r="J553" s="9">
        <f t="array" ref="J553">IFERROR(
  INDEX(
    SR!$B$2:$D2026,            
    MATCH($A553, SR!$A$2:$A2026, 0),  
    MATCH(J$1, SR!$B$1:$D$1, 0) ), "")
</f>
        <v>-0.000179</v>
      </c>
      <c r="K553" s="14"/>
      <c r="L553" s="9">
        <v>118.6</v>
      </c>
      <c r="M553" s="9">
        <v>24.49</v>
      </c>
      <c r="N553" s="9">
        <v>113.97</v>
      </c>
      <c r="O553" s="9">
        <v>118.45</v>
      </c>
      <c r="P553" s="9">
        <v>123.65</v>
      </c>
      <c r="Q553" s="9">
        <v>1373.879</v>
      </c>
      <c r="R553" s="14"/>
      <c r="S553" s="12">
        <f t="shared" si="2"/>
        <v>0.000863552879</v>
      </c>
      <c r="T553" s="12">
        <f t="shared" si="3"/>
        <v>1.000863553</v>
      </c>
      <c r="U553" s="16">
        <f t="shared" si="7"/>
        <v>99.61456858</v>
      </c>
      <c r="V553" s="17"/>
      <c r="W553" s="12">
        <f t="array" ref="W553">SQRT(252/20) *  SQRT( SUMSQ( LN(U532:U551 / U531:U550) )  - (1/20) * ( SUM( LN(U532:U551 / U531:U550) ) ^ 2 ) )</f>
        <v>0.01743310216</v>
      </c>
      <c r="X553" s="9">
        <f t="shared" si="4"/>
        <v>1.5</v>
      </c>
      <c r="Y553" s="14"/>
      <c r="Z553" s="12">
        <f t="shared" si="5"/>
        <v>1.001300218</v>
      </c>
      <c r="AA553" s="16">
        <f t="shared" si="8"/>
        <v>99.4928911</v>
      </c>
      <c r="AB553" s="14"/>
      <c r="AC553" s="9">
        <f t="shared" si="6"/>
        <v>0</v>
      </c>
    </row>
    <row r="554">
      <c r="A554" s="8">
        <v>42529.0</v>
      </c>
      <c r="B554" s="14"/>
      <c r="C554" s="9">
        <f t="array" ref="C554">IFERROR(
  INDEX(
    IR!$B$2:$E2026,                
    MATCH($A554, IR!$A$2:$A2026, 0), 
    MATCH(C$1, IR!$B$1:$E$1, 0) ), "")
</f>
        <v>-0.00352</v>
      </c>
      <c r="D554" s="9">
        <f t="array" ref="D554">IFERROR(
  INDEX(
    IR!$B$2:$E2026,                
    MATCH($A554, IR!$A$2:$A2026, 0), 
    MATCH(D$1, IR!$B$1:$E$1, 0) ), "")
</f>
        <v>-0.00264</v>
      </c>
      <c r="E554" s="9">
        <f t="array" ref="E554">IFERROR(
  INDEX(
    IR!$B$2:$E2026,                
    MATCH($A554, IR!$A$2:$A2026, 0), 
    MATCH(E$1, IR!$B$1:$E$1, 0) ), "")
</f>
        <v>-0.0016</v>
      </c>
      <c r="F554" s="9">
        <f t="array" ref="F554">IFERROR(
  INDEX(
    IR!$B$2:$E2026,                
    MATCH($A554, IR!$A$2:$A2026, 0), 
    MATCH(F$1, IR!$B$1:$E$1, 0) ), "")
</f>
        <v>-0.00018</v>
      </c>
      <c r="G554" s="14"/>
      <c r="H554" s="9">
        <f t="array" ref="H554">IFERROR(
  INDEX(
    SR!$B$2:$D2026,            
    MATCH($A554, SR!$A$2:$A2026, 0),  
    MATCH(H$1, SR!$B$1:$D$1, 0) ), "")
</f>
        <v>-0.0016</v>
      </c>
      <c r="I554" s="9">
        <f t="array" ref="I554">IFERROR(
  INDEX(
    SR!$B$2:$D2026,            
    MATCH($A554, SR!$A$2:$A2026, 0),  
    MATCH(I$1, SR!$B$1:$D$1, 0) ), "")
</f>
        <v>-0.00136</v>
      </c>
      <c r="J554" s="9">
        <f t="array" ref="J554">IFERROR(
  INDEX(
    SR!$B$2:$D2026,            
    MATCH($A554, SR!$A$2:$A2026, 0),  
    MATCH(J$1, SR!$B$1:$D$1, 0) ), "")
</f>
        <v>-0.00011</v>
      </c>
      <c r="K554" s="14"/>
      <c r="L554" s="9">
        <v>118.47</v>
      </c>
      <c r="M554" s="9">
        <v>24.49</v>
      </c>
      <c r="N554" s="9">
        <v>113.98</v>
      </c>
      <c r="O554" s="9">
        <v>119.35</v>
      </c>
      <c r="P554" s="9">
        <v>123.83</v>
      </c>
      <c r="Q554" s="9">
        <v>1377.4821</v>
      </c>
      <c r="R554" s="14"/>
      <c r="S554" s="12">
        <f t="shared" si="2"/>
        <v>0.00177756104</v>
      </c>
      <c r="T554" s="12">
        <f t="shared" si="3"/>
        <v>1.001777561</v>
      </c>
      <c r="U554" s="16">
        <f t="shared" si="7"/>
        <v>99.79163956</v>
      </c>
      <c r="V554" s="17"/>
      <c r="W554" s="12">
        <f t="array" ref="W554">SQRT(252/20) *  SQRT( SUMSQ( LN(U533:U552 / U532:U551) )  - (1/20) * ( SUM( LN(U533:U552 / U532:U551) ) ^ 2 ) )</f>
        <v>0.01740965696</v>
      </c>
      <c r="X554" s="9">
        <f t="shared" si="4"/>
        <v>1.5</v>
      </c>
      <c r="Y554" s="14"/>
      <c r="Z554" s="12">
        <f t="shared" si="5"/>
        <v>1.00267123</v>
      </c>
      <c r="AA554" s="16">
        <f t="shared" si="8"/>
        <v>99.75865954</v>
      </c>
      <c r="AB554" s="14"/>
      <c r="AC554" s="9">
        <f t="shared" si="6"/>
        <v>0</v>
      </c>
    </row>
    <row r="555">
      <c r="A555" s="8">
        <v>42530.0</v>
      </c>
      <c r="B555" s="14"/>
      <c r="C555" s="9">
        <f t="array" ref="C555">IFERROR(
  INDEX(
    IR!$B$2:$E2026,                
    MATCH($A555, IR!$A$2:$A2026, 0), 
    MATCH(C$1, IR!$B$1:$E$1, 0) ), "")
</f>
        <v>-0.00351</v>
      </c>
      <c r="D555" s="9">
        <f t="array" ref="D555">IFERROR(
  INDEX(
    IR!$B$2:$E2026,                
    MATCH($A555, IR!$A$2:$A2026, 0), 
    MATCH(D$1, IR!$B$1:$E$1, 0) ), "")
</f>
        <v>-0.00262</v>
      </c>
      <c r="E555" s="9">
        <f t="array" ref="E555">IFERROR(
  INDEX(
    IR!$B$2:$E2026,                
    MATCH($A555, IR!$A$2:$A2026, 0), 
    MATCH(E$1, IR!$B$1:$E$1, 0) ), "")
</f>
        <v>-0.00159</v>
      </c>
      <c r="F555" s="9">
        <f t="array" ref="F555">IFERROR(
  INDEX(
    IR!$B$2:$E2026,                
    MATCH($A555, IR!$A$2:$A2026, 0), 
    MATCH(F$1, IR!$B$1:$E$1, 0) ), "")
</f>
        <v>-0.00018</v>
      </c>
      <c r="G555" s="14"/>
      <c r="H555" s="9">
        <f t="array" ref="H555">IFERROR(
  INDEX(
    SR!$B$2:$D2026,            
    MATCH($A555, SR!$A$2:$A2026, 0),  
    MATCH(H$1, SR!$B$1:$D$1, 0) ), "")
</f>
        <v>-0.00161</v>
      </c>
      <c r="I555" s="9">
        <f t="array" ref="I555">IFERROR(
  INDEX(
    SR!$B$2:$D2026,            
    MATCH($A555, SR!$A$2:$A2026, 0),  
    MATCH(I$1, SR!$B$1:$D$1, 0) ), "")
</f>
        <v>-0.00138</v>
      </c>
      <c r="J555" s="9">
        <f t="array" ref="J555">IFERROR(
  INDEX(
    SR!$B$2:$D2026,            
    MATCH($A555, SR!$A$2:$A2026, 0),  
    MATCH(J$1, SR!$B$1:$D$1, 0) ), "")
</f>
        <v>-0.0002</v>
      </c>
      <c r="K555" s="14"/>
      <c r="L555" s="9">
        <v>118.28</v>
      </c>
      <c r="M555" s="9">
        <v>24.5</v>
      </c>
      <c r="N555" s="9">
        <v>113.98</v>
      </c>
      <c r="O555" s="9">
        <v>118.94</v>
      </c>
      <c r="P555" s="9">
        <v>123.91</v>
      </c>
      <c r="Q555" s="9">
        <v>1376.1425</v>
      </c>
      <c r="R555" s="14"/>
      <c r="S555" s="12">
        <f t="shared" si="2"/>
        <v>-0.0008259631124</v>
      </c>
      <c r="T555" s="12">
        <f t="shared" si="3"/>
        <v>0.9991740369</v>
      </c>
      <c r="U555" s="16">
        <f t="shared" si="7"/>
        <v>99.70921534</v>
      </c>
      <c r="V555" s="17"/>
      <c r="W555" s="12">
        <f t="array" ref="W555">SQRT(252/20) *  SQRT( SUMSQ( LN(U534:U553 / U533:U552) )  - (1/20) * ( SUM( LN(U534:U553 / U533:U552) ) ^ 2 ) )</f>
        <v>0.01751390709</v>
      </c>
      <c r="X555" s="9">
        <f t="shared" si="4"/>
        <v>1.5</v>
      </c>
      <c r="Y555" s="14"/>
      <c r="Z555" s="12">
        <f t="shared" si="5"/>
        <v>0.9987659442</v>
      </c>
      <c r="AA555" s="16">
        <f t="shared" si="8"/>
        <v>99.63555179</v>
      </c>
      <c r="AB555" s="14"/>
      <c r="AC555" s="9">
        <f t="shared" si="6"/>
        <v>0</v>
      </c>
    </row>
    <row r="556">
      <c r="A556" s="8">
        <v>42531.0</v>
      </c>
      <c r="B556" s="14"/>
      <c r="C556" s="9">
        <f t="array" ref="C556">IFERROR(
  INDEX(
    IR!$B$2:$E2026,                
    MATCH($A556, IR!$A$2:$A2026, 0), 
    MATCH(C$1, IR!$B$1:$E$1, 0) ), "")
</f>
        <v>-0.00353</v>
      </c>
      <c r="D556" s="9">
        <f t="array" ref="D556">IFERROR(
  INDEX(
    IR!$B$2:$E2026,                
    MATCH($A556, IR!$A$2:$A2026, 0), 
    MATCH(D$1, IR!$B$1:$E$1, 0) ), "")
</f>
        <v>-0.00263</v>
      </c>
      <c r="E556" s="9">
        <f t="array" ref="E556">IFERROR(
  INDEX(
    IR!$B$2:$E2026,                
    MATCH($A556, IR!$A$2:$A2026, 0), 
    MATCH(E$1, IR!$B$1:$E$1, 0) ), "")
</f>
        <v>-0.00159</v>
      </c>
      <c r="F556" s="9">
        <f t="array" ref="F556">IFERROR(
  INDEX(
    IR!$B$2:$E2026,                
    MATCH($A556, IR!$A$2:$A2026, 0), 
    MATCH(F$1, IR!$B$1:$E$1, 0) ), "")
</f>
        <v>-0.00018</v>
      </c>
      <c r="G556" s="14"/>
      <c r="H556" s="9">
        <f t="array" ref="H556">IFERROR(
  INDEX(
    SR!$B$2:$D2026,            
    MATCH($A556, SR!$A$2:$A2026, 0),  
    MATCH(H$1, SR!$B$1:$D$1, 0) ), "")
</f>
        <v>-0.00161</v>
      </c>
      <c r="I556" s="9">
        <f t="array" ref="I556">IFERROR(
  INDEX(
    SR!$B$2:$D2026,            
    MATCH($A556, SR!$A$2:$A2026, 0),  
    MATCH(I$1, SR!$B$1:$D$1, 0) ), "")
</f>
        <v>-0.00139</v>
      </c>
      <c r="J556" s="9">
        <f t="array" ref="J556">IFERROR(
  INDEX(
    SR!$B$2:$D2026,            
    MATCH($A556, SR!$A$2:$A2026, 0),  
    MATCH(J$1, SR!$B$1:$D$1, 0) ), "")
</f>
        <v>-0.00022</v>
      </c>
      <c r="K556" s="14"/>
      <c r="L556" s="9">
        <v>117.61</v>
      </c>
      <c r="M556" s="9">
        <v>24.5</v>
      </c>
      <c r="N556" s="9">
        <v>113.97</v>
      </c>
      <c r="O556" s="9">
        <v>118.51</v>
      </c>
      <c r="P556" s="9">
        <v>124.12</v>
      </c>
      <c r="Q556" s="9">
        <v>1372.5999</v>
      </c>
      <c r="R556" s="14"/>
      <c r="S556" s="12">
        <f t="shared" si="2"/>
        <v>-0.0017074154</v>
      </c>
      <c r="T556" s="12">
        <f t="shared" si="3"/>
        <v>0.9982925846</v>
      </c>
      <c r="U556" s="16">
        <f t="shared" si="7"/>
        <v>99.53897029</v>
      </c>
      <c r="V556" s="17"/>
      <c r="W556" s="12">
        <f t="array" ref="W556">SQRT(252/20) *  SQRT( SUMSQ( LN(U535:U554 / U534:U553) )  - (1/20) * ( SUM( LN(U535:U554 / U534:U553) ) ^ 2 ) )</f>
        <v>0.01750424919</v>
      </c>
      <c r="X556" s="9">
        <f t="shared" si="4"/>
        <v>1.5</v>
      </c>
      <c r="Y556" s="14"/>
      <c r="Z556" s="12">
        <f t="shared" si="5"/>
        <v>0.9974437519</v>
      </c>
      <c r="AA556" s="16">
        <f t="shared" si="8"/>
        <v>99.3808586</v>
      </c>
      <c r="AB556" s="14"/>
      <c r="AC556" s="9">
        <f t="shared" si="6"/>
        <v>0</v>
      </c>
    </row>
    <row r="557">
      <c r="A557" s="8">
        <v>42534.0</v>
      </c>
      <c r="B557" s="14"/>
      <c r="C557" s="9">
        <f t="array" ref="C557">IFERROR(
  INDEX(
    IR!$B$2:$E2026,                
    MATCH($A557, IR!$A$2:$A2026, 0), 
    MATCH(C$1, IR!$B$1:$E$1, 0) ), "")
</f>
        <v>-0.00353</v>
      </c>
      <c r="D557" s="9">
        <f t="array" ref="D557">IFERROR(
  INDEX(
    IR!$B$2:$E2026,                
    MATCH($A557, IR!$A$2:$A2026, 0), 
    MATCH(D$1, IR!$B$1:$E$1, 0) ), "")
</f>
        <v>-0.00263</v>
      </c>
      <c r="E557" s="9">
        <f t="array" ref="E557">IFERROR(
  INDEX(
    IR!$B$2:$E2026,                
    MATCH($A557, IR!$A$2:$A2026, 0), 
    MATCH(E$1, IR!$B$1:$E$1, 0) ), "")
</f>
        <v>-0.00158</v>
      </c>
      <c r="F557" s="9">
        <f t="array" ref="F557">IFERROR(
  INDEX(
    IR!$B$2:$E2026,                
    MATCH($A557, IR!$A$2:$A2026, 0), 
    MATCH(F$1, IR!$B$1:$E$1, 0) ), "")
</f>
        <v>-0.0002</v>
      </c>
      <c r="G557" s="14"/>
      <c r="H557" s="9">
        <f t="array" ref="H557">IFERROR(
  INDEX(
    SR!$B$2:$D2026,            
    MATCH($A557, SR!$A$2:$A2026, 0),  
    MATCH(H$1, SR!$B$1:$D$1, 0) ), "")
</f>
        <v>-0.00161</v>
      </c>
      <c r="I557" s="9">
        <f t="array" ref="I557">IFERROR(
  INDEX(
    SR!$B$2:$D2026,            
    MATCH($A557, SR!$A$2:$A2026, 0),  
    MATCH(I$1, SR!$B$1:$D$1, 0) ), "")
</f>
        <v>-0.00138</v>
      </c>
      <c r="J557" s="9">
        <f t="array" ref="J557">IFERROR(
  INDEX(
    SR!$B$2:$D2026,            
    MATCH($A557, SR!$A$2:$A2026, 0),  
    MATCH(J$1, SR!$B$1:$D$1, 0) ), "")
</f>
        <v>-0.000204</v>
      </c>
      <c r="K557" s="14"/>
      <c r="L557" s="9">
        <v>117.02</v>
      </c>
      <c r="M557" s="9">
        <v>24.5</v>
      </c>
      <c r="N557" s="9">
        <v>113.96</v>
      </c>
      <c r="O557" s="9">
        <v>117.38</v>
      </c>
      <c r="P557" s="9">
        <v>123.94</v>
      </c>
      <c r="Q557" s="9">
        <v>1361.126</v>
      </c>
      <c r="R557" s="14"/>
      <c r="S557" s="12">
        <f t="shared" si="2"/>
        <v>-0.004074012378</v>
      </c>
      <c r="T557" s="12">
        <f t="shared" si="3"/>
        <v>0.9959259876</v>
      </c>
      <c r="U557" s="16">
        <f t="shared" si="7"/>
        <v>99.1334473</v>
      </c>
      <c r="V557" s="17"/>
      <c r="W557" s="12">
        <f t="array" ref="W557">SQRT(252/20) *  SQRT( SUMSQ( LN(U536:U555 / U535:U554) )  - (1/20) * ( SUM( LN(U536:U555 / U535:U554) ) ^ 2 ) )</f>
        <v>0.01791579349</v>
      </c>
      <c r="X557" s="9">
        <f t="shared" si="4"/>
        <v>1.5</v>
      </c>
      <c r="Y557" s="14"/>
      <c r="Z557" s="12">
        <f t="shared" si="5"/>
        <v>0.9939036898</v>
      </c>
      <c r="AA557" s="16">
        <f t="shared" si="8"/>
        <v>98.77500206</v>
      </c>
      <c r="AB557" s="14"/>
      <c r="AC557" s="9">
        <f t="shared" si="6"/>
        <v>0</v>
      </c>
    </row>
    <row r="558">
      <c r="A558" s="8">
        <v>42535.0</v>
      </c>
      <c r="B558" s="14"/>
      <c r="C558" s="9">
        <f t="array" ref="C558">IFERROR(
  INDEX(
    IR!$B$2:$E2026,                
    MATCH($A558, IR!$A$2:$A2026, 0), 
    MATCH(C$1, IR!$B$1:$E$1, 0) ), "")
</f>
        <v>-0.00353</v>
      </c>
      <c r="D558" s="9">
        <f t="array" ref="D558">IFERROR(
  INDEX(
    IR!$B$2:$E2026,                
    MATCH($A558, IR!$A$2:$A2026, 0), 
    MATCH(D$1, IR!$B$1:$E$1, 0) ), "")
</f>
        <v>-0.00262</v>
      </c>
      <c r="E558" s="9">
        <f t="array" ref="E558">IFERROR(
  INDEX(
    IR!$B$2:$E2026,                
    MATCH($A558, IR!$A$2:$A2026, 0), 
    MATCH(E$1, IR!$B$1:$E$1, 0) ), "")
</f>
        <v>-0.00159</v>
      </c>
      <c r="F558" s="9">
        <f t="array" ref="F558">IFERROR(
  INDEX(
    IR!$B$2:$E2026,                
    MATCH($A558, IR!$A$2:$A2026, 0), 
    MATCH(F$1, IR!$B$1:$E$1, 0) ), "")
</f>
        <v>-0.00021</v>
      </c>
      <c r="G558" s="14"/>
      <c r="H558" s="9">
        <f t="array" ref="H558">IFERROR(
  INDEX(
    SR!$B$2:$D2026,            
    MATCH($A558, SR!$A$2:$A2026, 0),  
    MATCH(H$1, SR!$B$1:$D$1, 0) ), "")
</f>
        <v>-0.00167</v>
      </c>
      <c r="I558" s="9">
        <f t="array" ref="I558">IFERROR(
  INDEX(
    SR!$B$2:$D2026,            
    MATCH($A558, SR!$A$2:$A2026, 0),  
    MATCH(I$1, SR!$B$1:$D$1, 0) ), "")
</f>
        <v>-0.00149</v>
      </c>
      <c r="J558" s="9">
        <f t="array" ref="J558">IFERROR(
  INDEX(
    SR!$B$2:$D2026,            
    MATCH($A558, SR!$A$2:$A2026, 0),  
    MATCH(J$1, SR!$B$1:$D$1, 0) ), "")
</f>
        <v>-0.000304</v>
      </c>
      <c r="K558" s="14"/>
      <c r="L558" s="9">
        <v>116.33</v>
      </c>
      <c r="M558" s="9">
        <v>24.5</v>
      </c>
      <c r="N558" s="9">
        <v>113.93</v>
      </c>
      <c r="O558" s="9">
        <v>116.63</v>
      </c>
      <c r="P558" s="9">
        <v>123.65</v>
      </c>
      <c r="Q558" s="9">
        <v>1357.714</v>
      </c>
      <c r="R558" s="14"/>
      <c r="S558" s="12">
        <f t="shared" si="2"/>
        <v>-0.002898386348</v>
      </c>
      <c r="T558" s="12">
        <f t="shared" si="3"/>
        <v>0.9971016137</v>
      </c>
      <c r="U558" s="16">
        <f t="shared" si="7"/>
        <v>98.84612027</v>
      </c>
      <c r="V558" s="17"/>
      <c r="W558" s="12">
        <f t="array" ref="W558">SQRT(252/20) *  SQRT( SUMSQ( LN(U537:U556 / U536:U555) )  - (1/20) * ( SUM( LN(U537:U556 / U536:U555) ) ^ 2 ) )</f>
        <v>0.01892341879</v>
      </c>
      <c r="X558" s="9">
        <f t="shared" si="4"/>
        <v>1.5</v>
      </c>
      <c r="Y558" s="14"/>
      <c r="Z558" s="12">
        <f t="shared" si="5"/>
        <v>0.9956573233</v>
      </c>
      <c r="AA558" s="16">
        <f t="shared" si="8"/>
        <v>98.34605415</v>
      </c>
      <c r="AB558" s="14"/>
      <c r="AC558" s="9">
        <f t="shared" si="6"/>
        <v>0</v>
      </c>
    </row>
    <row r="559">
      <c r="A559" s="8">
        <v>42536.0</v>
      </c>
      <c r="B559" s="14"/>
      <c r="C559" s="9">
        <f t="array" ref="C559">IFERROR(
  INDEX(
    IR!$B$2:$E2026,                
    MATCH($A559, IR!$A$2:$A2026, 0), 
    MATCH(C$1, IR!$B$1:$E$1, 0) ), "")
</f>
        <v>-0.00353</v>
      </c>
      <c r="D559" s="9">
        <f t="array" ref="D559">IFERROR(
  INDEX(
    IR!$B$2:$E2026,                
    MATCH($A559, IR!$A$2:$A2026, 0), 
    MATCH(D$1, IR!$B$1:$E$1, 0) ), "")
</f>
        <v>-0.00262</v>
      </c>
      <c r="E559" s="9">
        <f t="array" ref="E559">IFERROR(
  INDEX(
    IR!$B$2:$E2026,                
    MATCH($A559, IR!$A$2:$A2026, 0), 
    MATCH(E$1, IR!$B$1:$E$1, 0) ), "")
</f>
        <v>-0.00159</v>
      </c>
      <c r="F559" s="9">
        <f t="array" ref="F559">IFERROR(
  INDEX(
    IR!$B$2:$E2026,                
    MATCH($A559, IR!$A$2:$A2026, 0), 
    MATCH(F$1, IR!$B$1:$E$1, 0) ), "")
</f>
        <v>-0.00021</v>
      </c>
      <c r="G559" s="14"/>
      <c r="H559" s="9">
        <f t="array" ref="H559">IFERROR(
  INDEX(
    SR!$B$2:$D2026,            
    MATCH($A559, SR!$A$2:$A2026, 0),  
    MATCH(H$1, SR!$B$1:$D$1, 0) ), "")
</f>
        <v>-0.00183</v>
      </c>
      <c r="I559" s="9">
        <f t="array" ref="I559">IFERROR(
  INDEX(
    SR!$B$2:$D2026,            
    MATCH($A559, SR!$A$2:$A2026, 0),  
    MATCH(I$1, SR!$B$1:$D$1, 0) ), "")
</f>
        <v>-0.001585</v>
      </c>
      <c r="J559" s="9">
        <f t="array" ref="J559">IFERROR(
  INDEX(
    SR!$B$2:$D2026,            
    MATCH($A559, SR!$A$2:$A2026, 0),  
    MATCH(J$1, SR!$B$1:$D$1, 0) ), "")
</f>
        <v>-0.00048</v>
      </c>
      <c r="K559" s="14"/>
      <c r="L559" s="9">
        <v>116.45</v>
      </c>
      <c r="M559" s="9">
        <v>24.5</v>
      </c>
      <c r="N559" s="9">
        <v>113.92</v>
      </c>
      <c r="O559" s="9">
        <v>116.42</v>
      </c>
      <c r="P559" s="9">
        <v>123.51</v>
      </c>
      <c r="Q559" s="9">
        <v>1351.811</v>
      </c>
      <c r="R559" s="14"/>
      <c r="S559" s="12">
        <f t="shared" si="2"/>
        <v>-0.001056140357</v>
      </c>
      <c r="T559" s="12">
        <f t="shared" si="3"/>
        <v>0.9989438596</v>
      </c>
      <c r="U559" s="16">
        <f t="shared" si="7"/>
        <v>98.74172489</v>
      </c>
      <c r="V559" s="17"/>
      <c r="W559" s="12">
        <f t="array" ref="W559">SQRT(252/20) *  SQRT( SUMSQ( LN(U538:U557 / U537:U556) )  - (1/20) * ( SUM( LN(U538:U557 / U537:U556) ) ^ 2 ) )</f>
        <v>0.02345588368</v>
      </c>
      <c r="X559" s="9">
        <f t="shared" si="4"/>
        <v>1.5</v>
      </c>
      <c r="Y559" s="14"/>
      <c r="Z559" s="12">
        <f t="shared" si="5"/>
        <v>0.9984206922</v>
      </c>
      <c r="AA559" s="16">
        <f t="shared" si="8"/>
        <v>98.19073547</v>
      </c>
      <c r="AB559" s="14"/>
      <c r="AC559" s="9">
        <f t="shared" si="6"/>
        <v>0</v>
      </c>
    </row>
    <row r="560">
      <c r="A560" s="8">
        <v>42537.0</v>
      </c>
      <c r="B560" s="14"/>
      <c r="C560" s="9">
        <f t="array" ref="C560">IFERROR(
  INDEX(
    IR!$B$2:$E2026,                
    MATCH($A560, IR!$A$2:$A2026, 0), 
    MATCH(C$1, IR!$B$1:$E$1, 0) ), "")
</f>
        <v>-0.00356</v>
      </c>
      <c r="D560" s="9">
        <f t="array" ref="D560">IFERROR(
  INDEX(
    IR!$B$2:$E2026,                
    MATCH($A560, IR!$A$2:$A2026, 0), 
    MATCH(D$1, IR!$B$1:$E$1, 0) ), "")
</f>
        <v>-0.00264</v>
      </c>
      <c r="E560" s="9">
        <f t="array" ref="E560">IFERROR(
  INDEX(
    IR!$B$2:$E2026,                
    MATCH($A560, IR!$A$2:$A2026, 0), 
    MATCH(E$1, IR!$B$1:$E$1, 0) ), "")
</f>
        <v>-0.0016</v>
      </c>
      <c r="F560" s="9">
        <f t="array" ref="F560">IFERROR(
  INDEX(
    IR!$B$2:$E2026,                
    MATCH($A560, IR!$A$2:$A2026, 0), 
    MATCH(F$1, IR!$B$1:$E$1, 0) ), "")
</f>
        <v>-0.00026</v>
      </c>
      <c r="G560" s="14"/>
      <c r="H560" s="9">
        <f t="array" ref="H560">IFERROR(
  INDEX(
    SR!$B$2:$D2026,            
    MATCH($A560, SR!$A$2:$A2026, 0),  
    MATCH(H$1, SR!$B$1:$D$1, 0) ), "")
</f>
        <v>-0.0018</v>
      </c>
      <c r="I560" s="9">
        <f t="array" ref="I560">IFERROR(
  INDEX(
    SR!$B$2:$D2026,            
    MATCH($A560, SR!$A$2:$A2026, 0),  
    MATCH(I$1, SR!$B$1:$D$1, 0) ), "")
</f>
        <v>-0.001634</v>
      </c>
      <c r="J560" s="9">
        <f t="array" ref="J560">IFERROR(
  INDEX(
    SR!$B$2:$D2026,            
    MATCH($A560, SR!$A$2:$A2026, 0),  
    MATCH(J$1, SR!$B$1:$D$1, 0) ), "")
</f>
        <v>-0.000475</v>
      </c>
      <c r="K560" s="14"/>
      <c r="L560" s="9">
        <v>116.17</v>
      </c>
      <c r="M560" s="9">
        <v>24.51</v>
      </c>
      <c r="N560" s="9">
        <v>113.92</v>
      </c>
      <c r="O560" s="9">
        <v>116.75</v>
      </c>
      <c r="P560" s="9">
        <v>123.58</v>
      </c>
      <c r="Q560" s="9">
        <v>1351.191</v>
      </c>
      <c r="R560" s="14"/>
      <c r="S560" s="12">
        <f t="shared" si="2"/>
        <v>0.0001576200555</v>
      </c>
      <c r="T560" s="12">
        <f t="shared" si="3"/>
        <v>1.00015762</v>
      </c>
      <c r="U560" s="16">
        <f t="shared" si="7"/>
        <v>98.75728857</v>
      </c>
      <c r="V560" s="17"/>
      <c r="W560" s="12">
        <f t="array" ref="W560">SQRT(252/20) *  SQRT( SUMSQ( LN(U539:U558 / U538:U557) )  - (1/20) * ( SUM( LN(U539:U558 / U538:U557) ) ^ 2 ) )</f>
        <v>0.0251469807</v>
      </c>
      <c r="X560" s="9">
        <f t="shared" si="4"/>
        <v>1.5</v>
      </c>
      <c r="Y560" s="14"/>
      <c r="Z560" s="12">
        <f t="shared" si="5"/>
        <v>1.000241333</v>
      </c>
      <c r="AA560" s="16">
        <f t="shared" si="8"/>
        <v>98.21443212</v>
      </c>
      <c r="AB560" s="14"/>
      <c r="AC560" s="9">
        <f t="shared" si="6"/>
        <v>0</v>
      </c>
    </row>
    <row r="561">
      <c r="A561" s="8">
        <v>42538.0</v>
      </c>
      <c r="B561" s="14"/>
      <c r="C561" s="9">
        <f t="array" ref="C561">IFERROR(
  INDEX(
    IR!$B$2:$E2026,                
    MATCH($A561, IR!$A$2:$A2026, 0), 
    MATCH(C$1, IR!$B$1:$E$1, 0) ), "")
</f>
        <v>-0.00356</v>
      </c>
      <c r="D561" s="9">
        <f t="array" ref="D561">IFERROR(
  INDEX(
    IR!$B$2:$E2026,                
    MATCH($A561, IR!$A$2:$A2026, 0), 
    MATCH(D$1, IR!$B$1:$E$1, 0) ), "")
</f>
        <v>-0.00265</v>
      </c>
      <c r="E561" s="9">
        <f t="array" ref="E561">IFERROR(
  INDEX(
    IR!$B$2:$E2026,                
    MATCH($A561, IR!$A$2:$A2026, 0), 
    MATCH(E$1, IR!$B$1:$E$1, 0) ), "")
</f>
        <v>-0.00159</v>
      </c>
      <c r="F561" s="9">
        <f t="array" ref="F561">IFERROR(
  INDEX(
    IR!$B$2:$E2026,                
    MATCH($A561, IR!$A$2:$A2026, 0), 
    MATCH(F$1, IR!$B$1:$E$1, 0) ), "")
</f>
        <v>-0.00026</v>
      </c>
      <c r="G561" s="14"/>
      <c r="H561" s="9">
        <f t="array" ref="H561">IFERROR(
  INDEX(
    SR!$B$2:$D2026,            
    MATCH($A561, SR!$A$2:$A2026, 0),  
    MATCH(H$1, SR!$B$1:$D$1, 0) ), "")
</f>
        <v>-0.00195</v>
      </c>
      <c r="I561" s="9">
        <f t="array" ref="I561">IFERROR(
  INDEX(
    SR!$B$2:$D2026,            
    MATCH($A561, SR!$A$2:$A2026, 0),  
    MATCH(I$1, SR!$B$1:$D$1, 0) ), "")
</f>
        <v>-0.00181</v>
      </c>
      <c r="J561" s="9">
        <f t="array" ref="J561">IFERROR(
  INDEX(
    SR!$B$2:$D2026,            
    MATCH($A561, SR!$A$2:$A2026, 0),  
    MATCH(J$1, SR!$B$1:$D$1, 0) ), "")
</f>
        <v>-0.000631</v>
      </c>
      <c r="K561" s="14"/>
      <c r="L561" s="9">
        <v>116.42</v>
      </c>
      <c r="M561" s="9">
        <v>24.49</v>
      </c>
      <c r="N561" s="9">
        <v>113.91</v>
      </c>
      <c r="O561" s="9">
        <v>116.58</v>
      </c>
      <c r="P561" s="9">
        <v>123.67</v>
      </c>
      <c r="Q561" s="9">
        <v>1350.0227</v>
      </c>
      <c r="R561" s="14"/>
      <c r="S561" s="12">
        <f t="shared" si="2"/>
        <v>-0.00005743517856</v>
      </c>
      <c r="T561" s="12">
        <f t="shared" si="3"/>
        <v>0.9999425648</v>
      </c>
      <c r="U561" s="16">
        <f t="shared" si="7"/>
        <v>98.75161642</v>
      </c>
      <c r="V561" s="17"/>
      <c r="W561" s="12">
        <f t="array" ref="W561">SQRT(252/20) *  SQRT( SUMSQ( LN(U540:U559 / U539:U558) )  - (1/20) * ( SUM( LN(U540:U559 / U539:U558) ) ^ 2 ) )</f>
        <v>0.02526736182</v>
      </c>
      <c r="X561" s="9">
        <f t="shared" si="4"/>
        <v>1.5</v>
      </c>
      <c r="Y561" s="14"/>
      <c r="Z561" s="12">
        <f t="shared" si="5"/>
        <v>0.9999187917</v>
      </c>
      <c r="AA561" s="16">
        <f t="shared" si="8"/>
        <v>98.20645629</v>
      </c>
      <c r="AB561" s="14"/>
      <c r="AC561" s="9">
        <f t="shared" si="6"/>
        <v>0</v>
      </c>
    </row>
    <row r="562">
      <c r="A562" s="8">
        <v>42541.0</v>
      </c>
      <c r="B562" s="14"/>
      <c r="C562" s="9">
        <f t="array" ref="C562">IFERROR(
  INDEX(
    IR!$B$2:$E2026,                
    MATCH($A562, IR!$A$2:$A2026, 0), 
    MATCH(C$1, IR!$B$1:$E$1, 0) ), "")
</f>
        <v>-0.00358</v>
      </c>
      <c r="D562" s="9">
        <f t="array" ref="D562">IFERROR(
  INDEX(
    IR!$B$2:$E2026,                
    MATCH($A562, IR!$A$2:$A2026, 0), 
    MATCH(D$1, IR!$B$1:$E$1, 0) ), "")
</f>
        <v>-0.00266</v>
      </c>
      <c r="E562" s="9">
        <f t="array" ref="E562">IFERROR(
  INDEX(
    IR!$B$2:$E2026,                
    MATCH($A562, IR!$A$2:$A2026, 0), 
    MATCH(E$1, IR!$B$1:$E$1, 0) ), "")
</f>
        <v>-0.00159</v>
      </c>
      <c r="F562" s="9">
        <f t="array" ref="F562">IFERROR(
  INDEX(
    IR!$B$2:$E2026,                
    MATCH($A562, IR!$A$2:$A2026, 0), 
    MATCH(F$1, IR!$B$1:$E$1, 0) ), "")
</f>
        <v>-0.00028</v>
      </c>
      <c r="G562" s="14"/>
      <c r="H562" s="9">
        <f t="array" ref="H562">IFERROR(
  INDEX(
    SR!$B$2:$D2026,            
    MATCH($A562, SR!$A$2:$A2026, 0),  
    MATCH(H$1, SR!$B$1:$D$1, 0) ), "")
</f>
        <v>-0.00187</v>
      </c>
      <c r="I562" s="9">
        <f t="array" ref="I562">IFERROR(
  INDEX(
    SR!$B$2:$D2026,            
    MATCH($A562, SR!$A$2:$A2026, 0),  
    MATCH(I$1, SR!$B$1:$D$1, 0) ), "")
</f>
        <v>-0.00169</v>
      </c>
      <c r="J562" s="9">
        <f t="array" ref="J562">IFERROR(
  INDEX(
    SR!$B$2:$D2026,            
    MATCH($A562, SR!$A$2:$A2026, 0),  
    MATCH(J$1, SR!$B$1:$D$1, 0) ), "")
</f>
        <v>-0.00053</v>
      </c>
      <c r="K562" s="14"/>
      <c r="L562" s="9">
        <v>117.17</v>
      </c>
      <c r="M562" s="9">
        <v>24.49</v>
      </c>
      <c r="N562" s="9">
        <v>113.97</v>
      </c>
      <c r="O562" s="9">
        <v>116.29</v>
      </c>
      <c r="P562" s="9">
        <v>123.42</v>
      </c>
      <c r="Q562" s="9">
        <v>1350.2903</v>
      </c>
      <c r="R562" s="14"/>
      <c r="S562" s="12">
        <f t="shared" si="2"/>
        <v>0.0004428545404</v>
      </c>
      <c r="T562" s="12">
        <f t="shared" si="3"/>
        <v>1.000442855</v>
      </c>
      <c r="U562" s="16">
        <f t="shared" si="7"/>
        <v>98.79534903</v>
      </c>
      <c r="V562" s="17"/>
      <c r="W562" s="12">
        <f t="array" ref="W562">SQRT(252/20) *  SQRT( SUMSQ( LN(U541:U560 / U540:U559) )  - (1/20) * ( SUM( LN(U541:U560 / U540:U559) ) ^ 2 ) )</f>
        <v>0.02523243649</v>
      </c>
      <c r="X562" s="9">
        <f t="shared" si="4"/>
        <v>1.5</v>
      </c>
      <c r="Y562" s="14"/>
      <c r="Z562" s="12">
        <f t="shared" si="5"/>
        <v>1.000679115</v>
      </c>
      <c r="AA562" s="16">
        <f t="shared" si="8"/>
        <v>98.27314978</v>
      </c>
      <c r="AB562" s="14"/>
      <c r="AC562" s="9">
        <f t="shared" si="6"/>
        <v>0</v>
      </c>
    </row>
    <row r="563">
      <c r="A563" s="8">
        <v>42542.0</v>
      </c>
      <c r="B563" s="14"/>
      <c r="C563" s="9">
        <f t="array" ref="C563">IFERROR(
  INDEX(
    IR!$B$2:$E2026,                
    MATCH($A563, IR!$A$2:$A2026, 0), 
    MATCH(C$1, IR!$B$1:$E$1, 0) ), "")
</f>
        <v>-0.00358</v>
      </c>
      <c r="D563" s="9">
        <f t="array" ref="D563">IFERROR(
  INDEX(
    IR!$B$2:$E2026,                
    MATCH($A563, IR!$A$2:$A2026, 0), 
    MATCH(D$1, IR!$B$1:$E$1, 0) ), "")
</f>
        <v>-0.00266</v>
      </c>
      <c r="E563" s="9">
        <f t="array" ref="E563">IFERROR(
  INDEX(
    IR!$B$2:$E2026,                
    MATCH($A563, IR!$A$2:$A2026, 0), 
    MATCH(E$1, IR!$B$1:$E$1, 0) ), "")
</f>
        <v>-0.00159</v>
      </c>
      <c r="F563" s="9">
        <f t="array" ref="F563">IFERROR(
  INDEX(
    IR!$B$2:$E2026,                
    MATCH($A563, IR!$A$2:$A2026, 0), 
    MATCH(F$1, IR!$B$1:$E$1, 0) ), "")
</f>
        <v>-0.00029</v>
      </c>
      <c r="G563" s="14"/>
      <c r="H563" s="9">
        <f t="array" ref="H563">IFERROR(
  INDEX(
    SR!$B$2:$D2026,            
    MATCH($A563, SR!$A$2:$A2026, 0),  
    MATCH(H$1, SR!$B$1:$D$1, 0) ), "")
</f>
        <v>-0.00188</v>
      </c>
      <c r="I563" s="9">
        <f t="array" ref="I563">IFERROR(
  INDEX(
    SR!$B$2:$D2026,            
    MATCH($A563, SR!$A$2:$A2026, 0),  
    MATCH(I$1, SR!$B$1:$D$1, 0) ), "")
</f>
        <v>-0.00167</v>
      </c>
      <c r="J563" s="9">
        <f t="array" ref="J563">IFERROR(
  INDEX(
    SR!$B$2:$D2026,            
    MATCH($A563, SR!$A$2:$A2026, 0),  
    MATCH(J$1, SR!$B$1:$D$1, 0) ), "")
</f>
        <v>-0.0004</v>
      </c>
      <c r="K563" s="14"/>
      <c r="L563" s="9">
        <v>117.33</v>
      </c>
      <c r="M563" s="9">
        <v>24.5</v>
      </c>
      <c r="N563" s="9">
        <v>113.98</v>
      </c>
      <c r="O563" s="9">
        <v>116.03</v>
      </c>
      <c r="P563" s="9">
        <v>123.27</v>
      </c>
      <c r="Q563" s="9">
        <v>1358.6848</v>
      </c>
      <c r="R563" s="14"/>
      <c r="S563" s="12">
        <f t="shared" si="2"/>
        <v>0.0007715246736</v>
      </c>
      <c r="T563" s="12">
        <f t="shared" si="3"/>
        <v>1.000771525</v>
      </c>
      <c r="U563" s="16">
        <f t="shared" si="7"/>
        <v>98.87157208</v>
      </c>
      <c r="V563" s="17"/>
      <c r="W563" s="12">
        <f t="array" ref="W563">SQRT(252/20) *  SQRT( SUMSQ( LN(U542:U561 / U541:U560) )  - (1/20) * ( SUM( LN(U542:U561 / U541:U560) ) ^ 2 ) )</f>
        <v>0.02507473296</v>
      </c>
      <c r="X563" s="9">
        <f t="shared" si="4"/>
        <v>1.5</v>
      </c>
      <c r="Y563" s="14"/>
      <c r="Z563" s="12">
        <f t="shared" si="5"/>
        <v>1.001162259</v>
      </c>
      <c r="AA563" s="16">
        <f t="shared" si="8"/>
        <v>98.38736866</v>
      </c>
      <c r="AB563" s="14"/>
      <c r="AC563" s="9">
        <f t="shared" si="6"/>
        <v>0</v>
      </c>
    </row>
    <row r="564">
      <c r="A564" s="8">
        <v>42543.0</v>
      </c>
      <c r="B564" s="14"/>
      <c r="C564" s="9">
        <f t="array" ref="C564">IFERROR(
  INDEX(
    IR!$B$2:$E2026,                
    MATCH($A564, IR!$A$2:$A2026, 0), 
    MATCH(C$1, IR!$B$1:$E$1, 0) ), "")
</f>
        <v>-0.00358</v>
      </c>
      <c r="D564" s="9">
        <f t="array" ref="D564">IFERROR(
  INDEX(
    IR!$B$2:$E2026,                
    MATCH($A564, IR!$A$2:$A2026, 0), 
    MATCH(D$1, IR!$B$1:$E$1, 0) ), "")
</f>
        <v>-0.00268</v>
      </c>
      <c r="E564" s="9">
        <f t="array" ref="E564">IFERROR(
  INDEX(
    IR!$B$2:$E2026,                
    MATCH($A564, IR!$A$2:$A2026, 0), 
    MATCH(E$1, IR!$B$1:$E$1, 0) ), "")
</f>
        <v>-0.00161</v>
      </c>
      <c r="F564" s="9">
        <f t="array" ref="F564">IFERROR(
  INDEX(
    IR!$B$2:$E2026,                
    MATCH($A564, IR!$A$2:$A2026, 0), 
    MATCH(F$1, IR!$B$1:$E$1, 0) ), "")
</f>
        <v>-0.00029</v>
      </c>
      <c r="G564" s="14"/>
      <c r="H564" s="9">
        <f t="array" ref="H564">IFERROR(
  INDEX(
    SR!$B$2:$D2026,            
    MATCH($A564, SR!$A$2:$A2026, 0),  
    MATCH(H$1, SR!$B$1:$D$1, 0) ), "")
</f>
        <v>-0.00186</v>
      </c>
      <c r="I564" s="9">
        <f t="array" ref="I564">IFERROR(
  INDEX(
    SR!$B$2:$D2026,            
    MATCH($A564, SR!$A$2:$A2026, 0),  
    MATCH(I$1, SR!$B$1:$D$1, 0) ), "")
</f>
        <v>-0.00161</v>
      </c>
      <c r="J564" s="9">
        <f t="array" ref="J564">IFERROR(
  INDEX(
    SR!$B$2:$D2026,            
    MATCH($A564, SR!$A$2:$A2026, 0),  
    MATCH(J$1, SR!$B$1:$D$1, 0) ), "")
</f>
        <v>-0.00039</v>
      </c>
      <c r="K564" s="14"/>
      <c r="L564" s="9">
        <v>117.52</v>
      </c>
      <c r="M564" s="9">
        <v>24.5</v>
      </c>
      <c r="N564" s="9">
        <v>114.02</v>
      </c>
      <c r="O564" s="9">
        <v>116.02</v>
      </c>
      <c r="P564" s="9">
        <v>123.44</v>
      </c>
      <c r="Q564" s="9">
        <v>1358.8356</v>
      </c>
      <c r="R564" s="14"/>
      <c r="S564" s="12">
        <f t="shared" si="2"/>
        <v>0.0005621519168</v>
      </c>
      <c r="T564" s="12">
        <f t="shared" si="3"/>
        <v>1.000562152</v>
      </c>
      <c r="U564" s="16">
        <f t="shared" si="7"/>
        <v>98.92715292</v>
      </c>
      <c r="V564" s="17"/>
      <c r="W564" s="12">
        <f t="array" ref="W564">SQRT(252/20) *  SQRT( SUMSQ( LN(U543:U562 / U542:U561) )  - (1/20) * ( SUM( LN(U543:U562 / U542:U561) ) ^ 2 ) )</f>
        <v>0.02474871899</v>
      </c>
      <c r="X564" s="9">
        <f t="shared" si="4"/>
        <v>1.5</v>
      </c>
      <c r="Y564" s="14"/>
      <c r="Z564" s="12">
        <f t="shared" si="5"/>
        <v>1.0008482</v>
      </c>
      <c r="AA564" s="16">
        <f t="shared" si="8"/>
        <v>98.47082083</v>
      </c>
      <c r="AB564" s="14"/>
      <c r="AC564" s="9">
        <f t="shared" si="6"/>
        <v>0</v>
      </c>
    </row>
    <row r="565">
      <c r="A565" s="8">
        <v>42545.0</v>
      </c>
      <c r="B565" s="14"/>
      <c r="C565" s="9">
        <f t="array" ref="C565">IFERROR(
  INDEX(
    IR!$B$2:$E2026,                
    MATCH($A565, IR!$A$2:$A2026, 0), 
    MATCH(C$1, IR!$B$1:$E$1, 0) ), "")
</f>
        <v>-0.00364</v>
      </c>
      <c r="D565" s="9">
        <f t="array" ref="D565">IFERROR(
  INDEX(
    IR!$B$2:$E2026,                
    MATCH($A565, IR!$A$2:$A2026, 0), 
    MATCH(D$1, IR!$B$1:$E$1, 0) ), "")
</f>
        <v>-0.00281</v>
      </c>
      <c r="E565" s="9">
        <f t="array" ref="E565">IFERROR(
  INDEX(
    IR!$B$2:$E2026,                
    MATCH($A565, IR!$A$2:$A2026, 0), 
    MATCH(E$1, IR!$B$1:$E$1, 0) ), "")
</f>
        <v>-0.00175</v>
      </c>
      <c r="F565" s="9">
        <f t="array" ref="F565">IFERROR(
  INDEX(
    IR!$B$2:$E2026,                
    MATCH($A565, IR!$A$2:$A2026, 0), 
    MATCH(F$1, IR!$B$1:$E$1, 0) ), "")
</f>
        <v>-0.00047</v>
      </c>
      <c r="G565" s="14"/>
      <c r="H565" s="9">
        <f t="array" ref="H565">IFERROR(
  INDEX(
    SR!$B$2:$D2026,            
    MATCH($A565, SR!$A$2:$A2026, 0),  
    MATCH(H$1, SR!$B$1:$D$1, 0) ), "")
</f>
        <v>-0.0019</v>
      </c>
      <c r="I565" s="9">
        <f t="array" ref="I565">IFERROR(
  INDEX(
    SR!$B$2:$D2026,            
    MATCH($A565, SR!$A$2:$A2026, 0),  
    MATCH(I$1, SR!$B$1:$D$1, 0) ), "")
</f>
        <v>-0.0019</v>
      </c>
      <c r="J565" s="9">
        <f t="array" ref="J565">IFERROR(
  INDEX(
    SR!$B$2:$D2026,            
    MATCH($A565, SR!$A$2:$A2026, 0),  
    MATCH(J$1, SR!$B$1:$D$1, 0) ), "")
</f>
        <v>-0.00048</v>
      </c>
      <c r="K565" s="14"/>
      <c r="L565" s="9">
        <v>115.85</v>
      </c>
      <c r="M565" s="9">
        <v>24.5</v>
      </c>
      <c r="N565" s="9">
        <v>113.88</v>
      </c>
      <c r="O565" s="9">
        <v>115.81</v>
      </c>
      <c r="P565" s="9">
        <v>123.24</v>
      </c>
      <c r="Q565" s="9">
        <v>1362.5864</v>
      </c>
      <c r="R565" s="14"/>
      <c r="S565" s="12">
        <f t="shared" si="2"/>
        <v>-0.002683341852</v>
      </c>
      <c r="T565" s="12">
        <f t="shared" si="3"/>
        <v>0.9973166581</v>
      </c>
      <c r="U565" s="16">
        <f t="shared" si="7"/>
        <v>98.66169755</v>
      </c>
      <c r="V565" s="17"/>
      <c r="W565" s="12">
        <f t="array" ref="W565">SQRT(252/20) *  SQRT( SUMSQ( LN(U544:U563 / U543:U562) )  - (1/20) * ( SUM( LN(U544:U563 / U543:U562) ) ^ 2 ) )</f>
        <v>0.02487367917</v>
      </c>
      <c r="X565" s="9">
        <f t="shared" si="4"/>
        <v>1.5</v>
      </c>
      <c r="Y565" s="14"/>
      <c r="Z565" s="12">
        <f t="shared" si="5"/>
        <v>0.9959849317</v>
      </c>
      <c r="AA565" s="16">
        <f t="shared" si="8"/>
        <v>98.07545376</v>
      </c>
      <c r="AB565" s="14"/>
      <c r="AC565" s="9">
        <f t="shared" si="6"/>
        <v>0</v>
      </c>
    </row>
    <row r="566">
      <c r="A566" s="8">
        <v>42548.0</v>
      </c>
      <c r="B566" s="14"/>
      <c r="C566" s="9">
        <f t="array" ref="C566">IFERROR(
  INDEX(
    IR!$B$2:$E2026,                
    MATCH($A566, IR!$A$2:$A2026, 0), 
    MATCH(C$1, IR!$B$1:$E$1, 0) ), "")
</f>
        <v>-0.00364</v>
      </c>
      <c r="D566" s="9">
        <f t="array" ref="D566">IFERROR(
  INDEX(
    IR!$B$2:$E2026,                
    MATCH($A566, IR!$A$2:$A2026, 0), 
    MATCH(D$1, IR!$B$1:$E$1, 0) ), "")
</f>
        <v>-0.00283</v>
      </c>
      <c r="E566" s="9">
        <f t="array" ref="E566">IFERROR(
  INDEX(
    IR!$B$2:$E2026,                
    MATCH($A566, IR!$A$2:$A2026, 0), 
    MATCH(E$1, IR!$B$1:$E$1, 0) ), "")
</f>
        <v>-0.00176</v>
      </c>
      <c r="F566" s="9">
        <f t="array" ref="F566">IFERROR(
  INDEX(
    IR!$B$2:$E2026,                
    MATCH($A566, IR!$A$2:$A2026, 0), 
    MATCH(F$1, IR!$B$1:$E$1, 0) ), "")
</f>
        <v>-0.00048</v>
      </c>
      <c r="G566" s="14"/>
      <c r="H566" s="9">
        <f t="array" ref="H566">IFERROR(
  INDEX(
    SR!$B$2:$D2026,            
    MATCH($A566, SR!$A$2:$A2026, 0),  
    MATCH(H$1, SR!$B$1:$D$1, 0) ), "")
</f>
        <v>-0.00194</v>
      </c>
      <c r="I566" s="9">
        <f t="array" ref="I566">IFERROR(
  INDEX(
    SR!$B$2:$D2026,            
    MATCH($A566, SR!$A$2:$A2026, 0),  
    MATCH(I$1, SR!$B$1:$D$1, 0) ), "")
</f>
        <v>-0.001982</v>
      </c>
      <c r="J566" s="9">
        <f t="array" ref="J566">IFERROR(
  INDEX(
    SR!$B$2:$D2026,            
    MATCH($A566, SR!$A$2:$A2026, 0),  
    MATCH(J$1, SR!$B$1:$D$1, 0) ), "")
</f>
        <v>-0.000882</v>
      </c>
      <c r="K566" s="14"/>
      <c r="L566" s="9">
        <v>114.55</v>
      </c>
      <c r="M566" s="9">
        <v>24.5</v>
      </c>
      <c r="N566" s="9">
        <v>113.92</v>
      </c>
      <c r="O566" s="9">
        <v>116.69</v>
      </c>
      <c r="P566" s="9">
        <v>124.0</v>
      </c>
      <c r="Q566" s="9">
        <v>1324.516</v>
      </c>
      <c r="R566" s="14"/>
      <c r="S566" s="12">
        <f t="shared" si="2"/>
        <v>-0.004175205079</v>
      </c>
      <c r="T566" s="12">
        <f t="shared" si="3"/>
        <v>0.9958247949</v>
      </c>
      <c r="U566" s="16">
        <f t="shared" si="7"/>
        <v>98.24976473</v>
      </c>
      <c r="V566" s="17"/>
      <c r="W566" s="12">
        <f t="array" ref="W566">SQRT(252/20) *  SQRT( SUMSQ( LN(U545:U564 / U544:U563) )  - (1/20) * ( SUM( LN(U545:U564 / U544:U563) ) ^ 2 ) )</f>
        <v>0.02257165251</v>
      </c>
      <c r="X566" s="9">
        <f t="shared" si="4"/>
        <v>1.5</v>
      </c>
      <c r="Y566" s="14"/>
      <c r="Z566" s="12">
        <f t="shared" si="5"/>
        <v>0.993752359</v>
      </c>
      <c r="AA566" s="16">
        <f t="shared" si="8"/>
        <v>97.46271354</v>
      </c>
      <c r="AB566" s="14"/>
      <c r="AC566" s="9">
        <f t="shared" si="6"/>
        <v>0</v>
      </c>
    </row>
    <row r="567">
      <c r="A567" s="8">
        <v>42549.0</v>
      </c>
      <c r="B567" s="14"/>
      <c r="C567" s="9">
        <f t="array" ref="C567">IFERROR(
  INDEX(
    IR!$B$2:$E2026,                
    MATCH($A567, IR!$A$2:$A2026, 0), 
    MATCH(C$1, IR!$B$1:$E$1, 0) ), "")
</f>
        <v>-0.00361</v>
      </c>
      <c r="D567" s="9">
        <f t="array" ref="D567">IFERROR(
  INDEX(
    IR!$B$2:$E2026,                
    MATCH($A567, IR!$A$2:$A2026, 0), 
    MATCH(D$1, IR!$B$1:$E$1, 0) ), "")
</f>
        <v>-0.00281</v>
      </c>
      <c r="E567" s="9">
        <f t="array" ref="E567">IFERROR(
  INDEX(
    IR!$B$2:$E2026,                
    MATCH($A567, IR!$A$2:$A2026, 0), 
    MATCH(E$1, IR!$B$1:$E$1, 0) ), "")
</f>
        <v>-0.00176</v>
      </c>
      <c r="F567" s="9">
        <f t="array" ref="F567">IFERROR(
  INDEX(
    IR!$B$2:$E2026,                
    MATCH($A567, IR!$A$2:$A2026, 0), 
    MATCH(F$1, IR!$B$1:$E$1, 0) ), "")
</f>
        <v>-0.00049</v>
      </c>
      <c r="G567" s="14"/>
      <c r="H567" s="9">
        <f t="array" ref="H567">IFERROR(
  INDEX(
    SR!$B$2:$D2026,            
    MATCH($A567, SR!$A$2:$A2026, 0),  
    MATCH(H$1, SR!$B$1:$D$1, 0) ), "")
</f>
        <v>-0.00204</v>
      </c>
      <c r="I567" s="9">
        <f t="array" ref="I567">IFERROR(
  INDEX(
    SR!$B$2:$D2026,            
    MATCH($A567, SR!$A$2:$A2026, 0),  
    MATCH(I$1, SR!$B$1:$D$1, 0) ), "")
</f>
        <v>-0.00205</v>
      </c>
      <c r="J567" s="9">
        <f t="array" ref="J567">IFERROR(
  INDEX(
    SR!$B$2:$D2026,            
    MATCH($A567, SR!$A$2:$A2026, 0),  
    MATCH(J$1, SR!$B$1:$D$1, 0) ), "")
</f>
        <v>-0.000959</v>
      </c>
      <c r="K567" s="14"/>
      <c r="L567" s="9">
        <v>115.0</v>
      </c>
      <c r="M567" s="9">
        <v>24.49</v>
      </c>
      <c r="N567" s="9">
        <v>113.97</v>
      </c>
      <c r="O567" s="9">
        <v>117.15</v>
      </c>
      <c r="P567" s="9">
        <v>124.21</v>
      </c>
      <c r="Q567" s="9">
        <v>1320.9557</v>
      </c>
      <c r="R567" s="14"/>
      <c r="S567" s="12">
        <f t="shared" si="2"/>
        <v>0.001150399604</v>
      </c>
      <c r="T567" s="12">
        <f t="shared" si="3"/>
        <v>1.0011504</v>
      </c>
      <c r="U567" s="16">
        <f t="shared" si="7"/>
        <v>98.36279122</v>
      </c>
      <c r="V567" s="17"/>
      <c r="W567" s="12">
        <f t="array" ref="W567">SQRT(252/20) *  SQRT( SUMSQ( LN(U546:U565 / U545:U564) )  - (1/20) * ( SUM( LN(U546:U565 / U545:U564) ) ^ 2 ) )</f>
        <v>0.02270530035</v>
      </c>
      <c r="X567" s="9">
        <f t="shared" si="4"/>
        <v>1.5</v>
      </c>
      <c r="Y567" s="14"/>
      <c r="Z567" s="12">
        <f t="shared" si="5"/>
        <v>1.001730655</v>
      </c>
      <c r="AA567" s="16">
        <f t="shared" si="8"/>
        <v>97.63138787</v>
      </c>
      <c r="AB567" s="14"/>
      <c r="AC567" s="9">
        <f t="shared" si="6"/>
        <v>0</v>
      </c>
    </row>
    <row r="568">
      <c r="A568" s="8">
        <v>42550.0</v>
      </c>
      <c r="B568" s="14"/>
      <c r="C568" s="9">
        <f t="array" ref="C568">IFERROR(
  INDEX(
    IR!$B$2:$E2026,                
    MATCH($A568, IR!$A$2:$A2026, 0), 
    MATCH(C$1, IR!$B$1:$E$1, 0) ), "")
</f>
        <v>-0.00364</v>
      </c>
      <c r="D568" s="9">
        <f t="array" ref="D568">IFERROR(
  INDEX(
    IR!$B$2:$E2026,                
    MATCH($A568, IR!$A$2:$A2026, 0), 
    MATCH(D$1, IR!$B$1:$E$1, 0) ), "")
</f>
        <v>-0.00282</v>
      </c>
      <c r="E568" s="9">
        <f t="array" ref="E568">IFERROR(
  INDEX(
    IR!$B$2:$E2026,                
    MATCH($A568, IR!$A$2:$A2026, 0), 
    MATCH(E$1, IR!$B$1:$E$1, 0) ), "")
</f>
        <v>-0.00178</v>
      </c>
      <c r="F568" s="9">
        <f t="array" ref="F568">IFERROR(
  INDEX(
    IR!$B$2:$E2026,                
    MATCH($A568, IR!$A$2:$A2026, 0), 
    MATCH(F$1, IR!$B$1:$E$1, 0) ), "")
</f>
        <v>-0.00051</v>
      </c>
      <c r="G568" s="14"/>
      <c r="H568" s="9">
        <f t="array" ref="H568">IFERROR(
  INDEX(
    SR!$B$2:$D2026,            
    MATCH($A568, SR!$A$2:$A2026, 0),  
    MATCH(H$1, SR!$B$1:$D$1, 0) ), "")
</f>
        <v>-0.00203</v>
      </c>
      <c r="I568" s="9">
        <f t="array" ref="I568">IFERROR(
  INDEX(
    SR!$B$2:$D2026,            
    MATCH($A568, SR!$A$2:$A2026, 0),  
    MATCH(I$1, SR!$B$1:$D$1, 0) ), "")
</f>
        <v>-0.00206</v>
      </c>
      <c r="J568" s="9">
        <f t="array" ref="J568">IFERROR(
  INDEX(
    SR!$B$2:$D2026,            
    MATCH($A568, SR!$A$2:$A2026, 0),  
    MATCH(J$1, SR!$B$1:$D$1, 0) ), "")
</f>
        <v>-0.000902</v>
      </c>
      <c r="K568" s="14"/>
      <c r="L568" s="9">
        <v>115.91</v>
      </c>
      <c r="M568" s="9">
        <v>24.49</v>
      </c>
      <c r="N568" s="9">
        <v>114.03</v>
      </c>
      <c r="O568" s="9">
        <v>117.35</v>
      </c>
      <c r="P568" s="9">
        <v>124.05</v>
      </c>
      <c r="Q568" s="9">
        <v>1330.9463</v>
      </c>
      <c r="R568" s="14"/>
      <c r="S568" s="12">
        <f t="shared" si="2"/>
        <v>0.002736616576</v>
      </c>
      <c r="T568" s="12">
        <f t="shared" si="3"/>
        <v>1.002736617</v>
      </c>
      <c r="U568" s="16">
        <f t="shared" si="7"/>
        <v>98.63197246</v>
      </c>
      <c r="V568" s="17"/>
      <c r="W568" s="12">
        <f t="array" ref="W568">SQRT(252/20) *  SQRT( SUMSQ( LN(U547:U566 / U546:U565) )  - (1/20) * ( SUM( LN(U547:U566 / U546:U565) ) ^ 2 ) )</f>
        <v>0.02548355439</v>
      </c>
      <c r="X568" s="9">
        <f t="shared" si="4"/>
        <v>1.5</v>
      </c>
      <c r="Y568" s="14"/>
      <c r="Z568" s="12">
        <f t="shared" si="5"/>
        <v>1.004109939</v>
      </c>
      <c r="AA568" s="16">
        <f t="shared" si="8"/>
        <v>98.03264689</v>
      </c>
      <c r="AB568" s="14"/>
      <c r="AC568" s="9">
        <f t="shared" si="6"/>
        <v>0</v>
      </c>
    </row>
    <row r="569">
      <c r="A569" s="8">
        <v>42551.0</v>
      </c>
      <c r="B569" s="14"/>
      <c r="C569" s="9">
        <f t="array" ref="C569">IFERROR(
  INDEX(
    IR!$B$2:$E2026,                
    MATCH($A569, IR!$A$2:$A2026, 0), 
    MATCH(C$1, IR!$B$1:$E$1, 0) ), "")
</f>
        <v>-0.00364</v>
      </c>
      <c r="D569" s="9">
        <f t="array" ref="D569">IFERROR(
  INDEX(
    IR!$B$2:$E2026,                
    MATCH($A569, IR!$A$2:$A2026, 0), 
    MATCH(D$1, IR!$B$1:$E$1, 0) ), "")
</f>
        <v>-0.00286</v>
      </c>
      <c r="E569" s="9">
        <f t="array" ref="E569">IFERROR(
  INDEX(
    IR!$B$2:$E2026,                
    MATCH($A569, IR!$A$2:$A2026, 0), 
    MATCH(E$1, IR!$B$1:$E$1, 0) ), "")
</f>
        <v>-0.00179</v>
      </c>
      <c r="F569" s="9">
        <f t="array" ref="F569">IFERROR(
  INDEX(
    IR!$B$2:$E2026,                
    MATCH($A569, IR!$A$2:$A2026, 0), 
    MATCH(F$1, IR!$B$1:$E$1, 0) ), "")
</f>
        <v>-0.00051</v>
      </c>
      <c r="G569" s="14"/>
      <c r="H569" s="9">
        <f t="array" ref="H569">IFERROR(
  INDEX(
    SR!$B$2:$D2026,            
    MATCH($A569, SR!$A$2:$A2026, 0),  
    MATCH(H$1, SR!$B$1:$D$1, 0) ), "")
</f>
        <v>-0.00201</v>
      </c>
      <c r="I569" s="9">
        <f t="array" ref="I569">IFERROR(
  INDEX(
    SR!$B$2:$D2026,            
    MATCH($A569, SR!$A$2:$A2026, 0),  
    MATCH(I$1, SR!$B$1:$D$1, 0) ), "")
</f>
        <v>-0.002017</v>
      </c>
      <c r="J569" s="9">
        <f t="array" ref="J569">IFERROR(
  INDEX(
    SR!$B$2:$D2026,            
    MATCH($A569, SR!$A$2:$A2026, 0),  
    MATCH(J$1, SR!$B$1:$D$1, 0) ), "")
</f>
        <v>-0.00077</v>
      </c>
      <c r="K569" s="14"/>
      <c r="L569" s="9">
        <v>116.21</v>
      </c>
      <c r="M569" s="9">
        <v>24.5</v>
      </c>
      <c r="N569" s="9">
        <v>114.03</v>
      </c>
      <c r="O569" s="9">
        <v>117.43</v>
      </c>
      <c r="P569" s="9">
        <v>124.1</v>
      </c>
      <c r="Q569" s="9">
        <v>1342.1172</v>
      </c>
      <c r="R569" s="14"/>
      <c r="S569" s="12">
        <f t="shared" si="2"/>
        <v>0.002079096133</v>
      </c>
      <c r="T569" s="12">
        <f t="shared" si="3"/>
        <v>1.002079096</v>
      </c>
      <c r="U569" s="16">
        <f t="shared" si="7"/>
        <v>98.83703782</v>
      </c>
      <c r="V569" s="17"/>
      <c r="W569" s="12">
        <f t="array" ref="W569">SQRT(252/20) *  SQRT( SUMSQ( LN(U548:U567 / U547:U566) )  - (1/20) * ( SUM( LN(U548:U567 / U547:U566) ) ^ 2 ) )</f>
        <v>0.02607273239</v>
      </c>
      <c r="X569" s="9">
        <f t="shared" si="4"/>
        <v>1.5</v>
      </c>
      <c r="Y569" s="14"/>
      <c r="Z569" s="12">
        <f t="shared" si="5"/>
        <v>1.0031237</v>
      </c>
      <c r="AA569" s="16">
        <f t="shared" si="8"/>
        <v>98.33887144</v>
      </c>
      <c r="AB569" s="14"/>
      <c r="AC569" s="9">
        <f t="shared" si="6"/>
        <v>0</v>
      </c>
    </row>
    <row r="570">
      <c r="A570" s="8">
        <v>42552.0</v>
      </c>
      <c r="B570" s="14"/>
      <c r="C570" s="9">
        <f t="array" ref="C570">IFERROR(
  INDEX(
    IR!$B$2:$E2026,                
    MATCH($A570, IR!$A$2:$A2026, 0), 
    MATCH(C$1, IR!$B$1:$E$1, 0) ), "")
</f>
        <v>-0.00363</v>
      </c>
      <c r="D570" s="9">
        <f t="array" ref="D570">IFERROR(
  INDEX(
    IR!$B$2:$E2026,                
    MATCH($A570, IR!$A$2:$A2026, 0), 
    MATCH(D$1, IR!$B$1:$E$1, 0) ), "")
</f>
        <v>-0.0029</v>
      </c>
      <c r="E570" s="9">
        <f t="array" ref="E570">IFERROR(
  INDEX(
    IR!$B$2:$E2026,                
    MATCH($A570, IR!$A$2:$A2026, 0), 
    MATCH(E$1, IR!$B$1:$E$1, 0) ), "")
</f>
        <v>-0.00182</v>
      </c>
      <c r="F570" s="9">
        <f t="array" ref="F570">IFERROR(
  INDEX(
    IR!$B$2:$E2026,                
    MATCH($A570, IR!$A$2:$A2026, 0), 
    MATCH(F$1, IR!$B$1:$E$1, 0) ), "")
</f>
        <v>-0.00052</v>
      </c>
      <c r="G570" s="14"/>
      <c r="H570" s="9">
        <f t="array" ref="H570">IFERROR(
  INDEX(
    SR!$B$2:$D2026,            
    MATCH($A570, SR!$A$2:$A2026, 0),  
    MATCH(H$1, SR!$B$1:$D$1, 0) ), "")
</f>
        <v>-0.00223</v>
      </c>
      <c r="I570" s="9">
        <f t="array" ref="I570">IFERROR(
  INDEX(
    SR!$B$2:$D2026,            
    MATCH($A570, SR!$A$2:$A2026, 0),  
    MATCH(I$1, SR!$B$1:$D$1, 0) ), "")
</f>
        <v>-0.002239</v>
      </c>
      <c r="J570" s="9">
        <f t="array" ref="J570">IFERROR(
  INDEX(
    SR!$B$2:$D2026,            
    MATCH($A570, SR!$A$2:$A2026, 0),  
    MATCH(J$1, SR!$B$1:$D$1, 0) ), "")
</f>
        <v>-0.00121</v>
      </c>
      <c r="K570" s="14"/>
      <c r="L570" s="9">
        <v>116.46</v>
      </c>
      <c r="M570" s="9">
        <v>24.5</v>
      </c>
      <c r="N570" s="9">
        <v>114.05</v>
      </c>
      <c r="O570" s="9">
        <v>117.54</v>
      </c>
      <c r="P570" s="9">
        <v>124.34</v>
      </c>
      <c r="Q570" s="9">
        <v>1347.3255</v>
      </c>
      <c r="R570" s="14"/>
      <c r="S570" s="12">
        <f t="shared" si="2"/>
        <v>0.001512779937</v>
      </c>
      <c r="T570" s="12">
        <f t="shared" si="3"/>
        <v>1.00151278</v>
      </c>
      <c r="U570" s="16">
        <f t="shared" si="7"/>
        <v>98.9865565</v>
      </c>
      <c r="V570" s="17"/>
      <c r="W570" s="12">
        <f t="array" ref="W570">SQRT(252/20) *  SQRT( SUMSQ( LN(U549:U568 / U548:U567) )  - (1/20) * ( SUM( LN(U549:U568 / U548:U567) ) ^ 2 ) )</f>
        <v>0.02848477654</v>
      </c>
      <c r="X570" s="9">
        <f t="shared" si="4"/>
        <v>1.5</v>
      </c>
      <c r="Y570" s="14"/>
      <c r="Z570" s="12">
        <f t="shared" si="5"/>
        <v>1.002274225</v>
      </c>
      <c r="AA570" s="16">
        <f t="shared" si="8"/>
        <v>98.56251621</v>
      </c>
      <c r="AB570" s="14"/>
      <c r="AC570" s="9">
        <f t="shared" si="6"/>
        <v>0</v>
      </c>
    </row>
    <row r="571">
      <c r="A571" s="8">
        <v>42555.0</v>
      </c>
      <c r="B571" s="14"/>
      <c r="C571" s="9">
        <f t="array" ref="C571">IFERROR(
  INDEX(
    IR!$B$2:$E2026,                
    MATCH($A571, IR!$A$2:$A2026, 0), 
    MATCH(C$1, IR!$B$1:$E$1, 0) ), "")
</f>
        <v>-0.00363</v>
      </c>
      <c r="D571" s="9">
        <f t="array" ref="D571">IFERROR(
  INDEX(
    IR!$B$2:$E2026,                
    MATCH($A571, IR!$A$2:$A2026, 0), 
    MATCH(D$1, IR!$B$1:$E$1, 0) ), "")
</f>
        <v>-0.00291</v>
      </c>
      <c r="E571" s="9">
        <f t="array" ref="E571">IFERROR(
  INDEX(
    IR!$B$2:$E2026,                
    MATCH($A571, IR!$A$2:$A2026, 0), 
    MATCH(E$1, IR!$B$1:$E$1, 0) ), "")
</f>
        <v>-0.00185</v>
      </c>
      <c r="F571" s="9">
        <f t="array" ref="F571">IFERROR(
  INDEX(
    IR!$B$2:$E2026,                
    MATCH($A571, IR!$A$2:$A2026, 0), 
    MATCH(F$1, IR!$B$1:$E$1, 0) ), "")
</f>
        <v>-0.00055</v>
      </c>
      <c r="G571" s="14"/>
      <c r="H571" s="9">
        <f t="array" ref="H571">IFERROR(
  INDEX(
    SR!$B$2:$D2026,            
    MATCH($A571, SR!$A$2:$A2026, 0),  
    MATCH(H$1, SR!$B$1:$D$1, 0) ), "")
</f>
        <v>-0.00235</v>
      </c>
      <c r="I571" s="9">
        <f t="array" ref="I571">IFERROR(
  INDEX(
    SR!$B$2:$D2026,            
    MATCH($A571, SR!$A$2:$A2026, 0),  
    MATCH(I$1, SR!$B$1:$D$1, 0) ), "")
</f>
        <v>-0.002338</v>
      </c>
      <c r="J571" s="9">
        <f t="array" ref="J571">IFERROR(
  INDEX(
    SR!$B$2:$D2026,            
    MATCH($A571, SR!$A$2:$A2026, 0),  
    MATCH(J$1, SR!$B$1:$D$1, 0) ), "")
</f>
        <v>-0.001455</v>
      </c>
      <c r="K571" s="14"/>
      <c r="L571" s="9">
        <v>116.3</v>
      </c>
      <c r="M571" s="9">
        <v>24.5</v>
      </c>
      <c r="N571" s="9">
        <v>114.08</v>
      </c>
      <c r="O571" s="9">
        <v>117.73</v>
      </c>
      <c r="P571" s="9">
        <v>124.63</v>
      </c>
      <c r="Q571" s="9">
        <v>1349.4156</v>
      </c>
      <c r="R571" s="14"/>
      <c r="S571" s="12">
        <f t="shared" si="2"/>
        <v>0.0007314060747</v>
      </c>
      <c r="T571" s="12">
        <f t="shared" si="3"/>
        <v>1.000731406</v>
      </c>
      <c r="U571" s="16">
        <f t="shared" si="7"/>
        <v>99.05895587</v>
      </c>
      <c r="V571" s="17"/>
      <c r="W571" s="12">
        <f t="array" ref="W571">SQRT(252/20) *  SQRT( SUMSQ( LN(U550:U569 / U549:U568) )  - (1/20) * ( SUM( LN(U550:U569 / U549:U568) ) ^ 2 ) )</f>
        <v>0.02985335643</v>
      </c>
      <c r="X571" s="9">
        <f t="shared" si="4"/>
        <v>1.5</v>
      </c>
      <c r="Y571" s="14"/>
      <c r="Z571" s="12">
        <f t="shared" si="5"/>
        <v>1.001112234</v>
      </c>
      <c r="AA571" s="16">
        <f t="shared" si="8"/>
        <v>98.6721408</v>
      </c>
      <c r="AB571" s="14"/>
      <c r="AC571" s="9">
        <f t="shared" si="6"/>
        <v>0</v>
      </c>
    </row>
    <row r="572">
      <c r="A572" s="8">
        <v>42556.0</v>
      </c>
      <c r="B572" s="14"/>
      <c r="C572" s="9">
        <f t="array" ref="C572">IFERROR(
  INDEX(
    IR!$B$2:$E2026,                
    MATCH($A572, IR!$A$2:$A2026, 0), 
    MATCH(C$1, IR!$B$1:$E$1, 0) ), "")
</f>
        <v>-0.00363</v>
      </c>
      <c r="D572" s="9">
        <f t="array" ref="D572">IFERROR(
  INDEX(
    IR!$B$2:$E2026,                
    MATCH($A572, IR!$A$2:$A2026, 0), 
    MATCH(D$1, IR!$B$1:$E$1, 0) ), "")
</f>
        <v>-0.00292</v>
      </c>
      <c r="E572" s="9">
        <f t="array" ref="E572">IFERROR(
  INDEX(
    IR!$B$2:$E2026,                
    MATCH($A572, IR!$A$2:$A2026, 0), 
    MATCH(E$1, IR!$B$1:$E$1, 0) ), "")
</f>
        <v>-0.00188</v>
      </c>
      <c r="F572" s="9">
        <f t="array" ref="F572">IFERROR(
  INDEX(
    IR!$B$2:$E2026,                
    MATCH($A572, IR!$A$2:$A2026, 0), 
    MATCH(F$1, IR!$B$1:$E$1, 0) ), "")
</f>
        <v>-0.00059</v>
      </c>
      <c r="G572" s="14"/>
      <c r="H572" s="9">
        <f t="array" ref="H572">IFERROR(
  INDEX(
    SR!$B$2:$D2026,            
    MATCH($A572, SR!$A$2:$A2026, 0),  
    MATCH(H$1, SR!$B$1:$D$1, 0) ), "")
</f>
        <v>-0.00241</v>
      </c>
      <c r="I572" s="9">
        <f t="array" ref="I572">IFERROR(
  INDEX(
    SR!$B$2:$D2026,            
    MATCH($A572, SR!$A$2:$A2026, 0),  
    MATCH(I$1, SR!$B$1:$D$1, 0) ), "")
</f>
        <v>-0.00237</v>
      </c>
      <c r="J572" s="9">
        <f t="array" ref="J572">IFERROR(
  INDEX(
    SR!$B$2:$D2026,            
    MATCH($A572, SR!$A$2:$A2026, 0),  
    MATCH(J$1, SR!$B$1:$D$1, 0) ), "")
</f>
        <v>-0.001648</v>
      </c>
      <c r="K572" s="14"/>
      <c r="L572" s="9">
        <v>115.87</v>
      </c>
      <c r="M572" s="9">
        <v>24.5</v>
      </c>
      <c r="N572" s="9">
        <v>114.09</v>
      </c>
      <c r="O572" s="9">
        <v>117.75</v>
      </c>
      <c r="P572" s="9">
        <v>124.58</v>
      </c>
      <c r="Q572" s="9">
        <v>1348.5261</v>
      </c>
      <c r="R572" s="14"/>
      <c r="S572" s="12">
        <f t="shared" si="2"/>
        <v>-0.000749792276</v>
      </c>
      <c r="T572" s="12">
        <f t="shared" si="3"/>
        <v>0.9992502077</v>
      </c>
      <c r="U572" s="16">
        <f t="shared" si="7"/>
        <v>98.98468223</v>
      </c>
      <c r="V572" s="17"/>
      <c r="W572" s="12">
        <f t="array" ref="W572">SQRT(252/20) *  SQRT( SUMSQ( LN(U551:U570 / U550:U569) )  - (1/20) * ( SUM( LN(U551:U570 / U550:U569) ) ^ 2 ) )</f>
        <v>0.03055665823</v>
      </c>
      <c r="X572" s="9">
        <f t="shared" si="4"/>
        <v>1.5</v>
      </c>
      <c r="Y572" s="14"/>
      <c r="Z572" s="12">
        <f t="shared" si="5"/>
        <v>0.9988803533</v>
      </c>
      <c r="AA572" s="16">
        <f t="shared" si="8"/>
        <v>98.56166286</v>
      </c>
      <c r="AB572" s="14"/>
      <c r="AC572" s="9">
        <f t="shared" si="6"/>
        <v>0</v>
      </c>
    </row>
    <row r="573">
      <c r="A573" s="8">
        <v>42557.0</v>
      </c>
      <c r="B573" s="14"/>
      <c r="C573" s="9">
        <f t="array" ref="C573">IFERROR(
  INDEX(
    IR!$B$2:$E2026,                
    MATCH($A573, IR!$A$2:$A2026, 0), 
    MATCH(C$1, IR!$B$1:$E$1, 0) ), "")
</f>
        <v>-0.00365</v>
      </c>
      <c r="D573" s="9">
        <f t="array" ref="D573">IFERROR(
  INDEX(
    IR!$B$2:$E2026,                
    MATCH($A573, IR!$A$2:$A2026, 0), 
    MATCH(D$1, IR!$B$1:$E$1, 0) ), "")
</f>
        <v>-0.00293</v>
      </c>
      <c r="E573" s="9">
        <f t="array" ref="E573">IFERROR(
  INDEX(
    IR!$B$2:$E2026,                
    MATCH($A573, IR!$A$2:$A2026, 0), 
    MATCH(E$1, IR!$B$1:$E$1, 0) ), "")
</f>
        <v>-0.00189</v>
      </c>
      <c r="F573" s="9">
        <f t="array" ref="F573">IFERROR(
  INDEX(
    IR!$B$2:$E2026,                
    MATCH($A573, IR!$A$2:$A2026, 0), 
    MATCH(F$1, IR!$B$1:$E$1, 0) ), "")
</f>
        <v>-0.00062</v>
      </c>
      <c r="G573" s="14"/>
      <c r="H573" s="9">
        <f t="array" ref="H573">IFERROR(
  INDEX(
    SR!$B$2:$D2026,            
    MATCH($A573, SR!$A$2:$A2026, 0),  
    MATCH(H$1, SR!$B$1:$D$1, 0) ), "")
</f>
        <v>-0.00238</v>
      </c>
      <c r="I573" s="9">
        <f t="array" ref="I573">IFERROR(
  INDEX(
    SR!$B$2:$D2026,            
    MATCH($A573, SR!$A$2:$A2026, 0),  
    MATCH(I$1, SR!$B$1:$D$1, 0) ), "")
</f>
        <v>-0.002381</v>
      </c>
      <c r="J573" s="9">
        <f t="array" ref="J573">IFERROR(
  INDEX(
    SR!$B$2:$D2026,            
    MATCH($A573, SR!$A$2:$A2026, 0),  
    MATCH(J$1, SR!$B$1:$D$1, 0) ), "")
</f>
        <v>-0.001626</v>
      </c>
      <c r="K573" s="14"/>
      <c r="L573" s="9">
        <v>115.22</v>
      </c>
      <c r="M573" s="9">
        <v>24.5</v>
      </c>
      <c r="N573" s="9">
        <v>114.08</v>
      </c>
      <c r="O573" s="9">
        <v>118.02</v>
      </c>
      <c r="P573" s="9">
        <v>124.63</v>
      </c>
      <c r="Q573" s="9">
        <v>1332.3885</v>
      </c>
      <c r="R573" s="14"/>
      <c r="S573" s="12">
        <f t="shared" si="2"/>
        <v>-0.002495179675</v>
      </c>
      <c r="T573" s="12">
        <f t="shared" si="3"/>
        <v>0.9975048203</v>
      </c>
      <c r="U573" s="16">
        <f t="shared" si="7"/>
        <v>98.73769767</v>
      </c>
      <c r="V573" s="17"/>
      <c r="W573" s="12">
        <f t="array" ref="W573">SQRT(252/20) *  SQRT( SUMSQ( LN(U552:U571 / U551:U570) )  - (1/20) * ( SUM( LN(U552:U571 / U551:U570) ) ^ 2 ) )</f>
        <v>0.03063652195</v>
      </c>
      <c r="X573" s="9">
        <f t="shared" si="4"/>
        <v>1.5</v>
      </c>
      <c r="Y573" s="14"/>
      <c r="Z573" s="12">
        <f t="shared" si="5"/>
        <v>0.9962622722</v>
      </c>
      <c r="AA573" s="16">
        <f t="shared" si="8"/>
        <v>98.19326619</v>
      </c>
      <c r="AB573" s="14"/>
      <c r="AC573" s="9">
        <f t="shared" si="6"/>
        <v>0</v>
      </c>
    </row>
    <row r="574">
      <c r="A574" s="8">
        <v>42558.0</v>
      </c>
      <c r="B574" s="14"/>
      <c r="C574" s="9">
        <f t="array" ref="C574">IFERROR(
  INDEX(
    IR!$B$2:$E2026,                
    MATCH($A574, IR!$A$2:$A2026, 0), 
    MATCH(C$1, IR!$B$1:$E$1, 0) ), "")
</f>
        <v>-0.00366</v>
      </c>
      <c r="D574" s="9">
        <f t="array" ref="D574">IFERROR(
  INDEX(
    IR!$B$2:$E2026,                
    MATCH($A574, IR!$A$2:$A2026, 0), 
    MATCH(D$1, IR!$B$1:$E$1, 0) ), "")
</f>
        <v>-0.00293</v>
      </c>
      <c r="E574" s="9">
        <f t="array" ref="E574">IFERROR(
  INDEX(
    IR!$B$2:$E2026,                
    MATCH($A574, IR!$A$2:$A2026, 0), 
    MATCH(E$1, IR!$B$1:$E$1, 0) ), "")
</f>
        <v>-0.00189</v>
      </c>
      <c r="F574" s="9">
        <f t="array" ref="F574">IFERROR(
  INDEX(
    IR!$B$2:$E2026,                
    MATCH($A574, IR!$A$2:$A2026, 0), 
    MATCH(F$1, IR!$B$1:$E$1, 0) ), "")
</f>
        <v>-0.00063</v>
      </c>
      <c r="G574" s="14"/>
      <c r="H574" s="9">
        <f t="array" ref="H574">IFERROR(
  INDEX(
    SR!$B$2:$D2026,            
    MATCH($A574, SR!$A$2:$A2026, 0),  
    MATCH(H$1, SR!$B$1:$D$1, 0) ), "")
</f>
        <v>-0.00239</v>
      </c>
      <c r="I574" s="9">
        <f t="array" ref="I574">IFERROR(
  INDEX(
    SR!$B$2:$D2026,            
    MATCH($A574, SR!$A$2:$A2026, 0),  
    MATCH(I$1, SR!$B$1:$D$1, 0) ), "")
</f>
        <v>-0.002383</v>
      </c>
      <c r="J574" s="9">
        <f t="array" ref="J574">IFERROR(
  INDEX(
    SR!$B$2:$D2026,            
    MATCH($A574, SR!$A$2:$A2026, 0),  
    MATCH(J$1, SR!$B$1:$D$1, 0) ), "")
</f>
        <v>-0.00165</v>
      </c>
      <c r="K574" s="14"/>
      <c r="L574" s="9">
        <v>115.36</v>
      </c>
      <c r="M574" s="9">
        <v>24.51</v>
      </c>
      <c r="N574" s="9">
        <v>114.08</v>
      </c>
      <c r="O574" s="9">
        <v>118.06</v>
      </c>
      <c r="P574" s="9">
        <v>124.64</v>
      </c>
      <c r="Q574" s="9">
        <v>1341.6543</v>
      </c>
      <c r="R574" s="14"/>
      <c r="S574" s="12">
        <f t="shared" si="2"/>
        <v>0.001499540846</v>
      </c>
      <c r="T574" s="12">
        <f t="shared" si="3"/>
        <v>1.001499541</v>
      </c>
      <c r="U574" s="16">
        <f t="shared" si="7"/>
        <v>98.88575888</v>
      </c>
      <c r="V574" s="17"/>
      <c r="W574" s="12">
        <f t="array" ref="W574">SQRT(252/20) *  SQRT( SUMSQ( LN(U553:U572 / U552:U571) )  - (1/20) * ( SUM( LN(U553:U572 / U552:U571) ) ^ 2 ) )</f>
        <v>0.03064932609</v>
      </c>
      <c r="X574" s="9">
        <f t="shared" si="4"/>
        <v>1.5</v>
      </c>
      <c r="Y574" s="14"/>
      <c r="Z574" s="12">
        <f t="shared" si="5"/>
        <v>1.002254381</v>
      </c>
      <c r="AA574" s="16">
        <f t="shared" si="8"/>
        <v>98.4146312</v>
      </c>
      <c r="AB574" s="14"/>
      <c r="AC574" s="9">
        <f t="shared" si="6"/>
        <v>0</v>
      </c>
    </row>
    <row r="575">
      <c r="A575" s="8">
        <v>42559.0</v>
      </c>
      <c r="B575" s="14"/>
      <c r="C575" s="9">
        <f t="array" ref="C575">IFERROR(
  INDEX(
    IR!$B$2:$E2026,                
    MATCH($A575, IR!$A$2:$A2026, 0), 
    MATCH(C$1, IR!$B$1:$E$1, 0) ), "")
</f>
        <v>-0.00367</v>
      </c>
      <c r="D575" s="9">
        <f t="array" ref="D575">IFERROR(
  INDEX(
    IR!$B$2:$E2026,                
    MATCH($A575, IR!$A$2:$A2026, 0), 
    MATCH(D$1, IR!$B$1:$E$1, 0) ), "")
</f>
        <v>-0.00293</v>
      </c>
      <c r="E575" s="9">
        <f t="array" ref="E575">IFERROR(
  INDEX(
    IR!$B$2:$E2026,                
    MATCH($A575, IR!$A$2:$A2026, 0), 
    MATCH(E$1, IR!$B$1:$E$1, 0) ), "")
</f>
        <v>-0.0019</v>
      </c>
      <c r="F575" s="9">
        <f t="array" ref="F575">IFERROR(
  INDEX(
    IR!$B$2:$E2026,                
    MATCH($A575, IR!$A$2:$A2026, 0), 
    MATCH(F$1, IR!$B$1:$E$1, 0) ), "")
</f>
        <v>-0.00059</v>
      </c>
      <c r="G575" s="14"/>
      <c r="H575" s="9">
        <f t="array" ref="H575">IFERROR(
  INDEX(
    SR!$B$2:$D2026,            
    MATCH($A575, SR!$A$2:$A2026, 0),  
    MATCH(H$1, SR!$B$1:$D$1, 0) ), "")
</f>
        <v>-0.00258</v>
      </c>
      <c r="I575" s="9">
        <f t="array" ref="I575">IFERROR(
  INDEX(
    SR!$B$2:$D2026,            
    MATCH($A575, SR!$A$2:$A2026, 0),  
    MATCH(I$1, SR!$B$1:$D$1, 0) ), "")
</f>
        <v>-0.002506</v>
      </c>
      <c r="J575" s="9">
        <f t="array" ref="J575">IFERROR(
  INDEX(
    SR!$B$2:$D2026,            
    MATCH($A575, SR!$A$2:$A2026, 0),  
    MATCH(J$1, SR!$B$1:$D$1, 0) ), "")
</f>
        <v>-0.00183</v>
      </c>
      <c r="K575" s="14"/>
      <c r="L575" s="9">
        <v>115.71</v>
      </c>
      <c r="M575" s="9">
        <v>24.52</v>
      </c>
      <c r="N575" s="9">
        <v>114.11</v>
      </c>
      <c r="O575" s="9">
        <v>117.9</v>
      </c>
      <c r="P575" s="9">
        <v>124.8</v>
      </c>
      <c r="Q575" s="9">
        <v>1344.438</v>
      </c>
      <c r="R575" s="14"/>
      <c r="S575" s="12">
        <f t="shared" si="2"/>
        <v>0.0009511988005</v>
      </c>
      <c r="T575" s="12">
        <f t="shared" si="3"/>
        <v>1.000951199</v>
      </c>
      <c r="U575" s="16">
        <f t="shared" si="7"/>
        <v>98.97981889</v>
      </c>
      <c r="V575" s="17"/>
      <c r="W575" s="12">
        <f t="array" ref="W575">SQRT(252/20) *  SQRT( SUMSQ( LN(U554:U573 / U553:U572) )  - (1/20) * ( SUM( LN(U554:U573 / U553:U572) ) ^ 2 ) )</f>
        <v>0.03127788968</v>
      </c>
      <c r="X575" s="9">
        <f t="shared" si="4"/>
        <v>1.5</v>
      </c>
      <c r="Y575" s="14"/>
      <c r="Z575" s="12">
        <f t="shared" si="5"/>
        <v>1.001431882</v>
      </c>
      <c r="AA575" s="16">
        <f t="shared" si="8"/>
        <v>98.55554929</v>
      </c>
      <c r="AB575" s="14"/>
      <c r="AC575" s="9">
        <f t="shared" si="6"/>
        <v>0</v>
      </c>
    </row>
    <row r="576">
      <c r="A576" s="8">
        <v>42562.0</v>
      </c>
      <c r="B576" s="14"/>
      <c r="C576" s="9">
        <f t="array" ref="C576">IFERROR(
  INDEX(
    IR!$B$2:$E2026,                
    MATCH($A576, IR!$A$2:$A2026, 0), 
    MATCH(C$1, IR!$B$1:$E$1, 0) ), "")
</f>
        <v>-0.00367</v>
      </c>
      <c r="D576" s="9">
        <f t="array" ref="D576">IFERROR(
  INDEX(
    IR!$B$2:$E2026,                
    MATCH($A576, IR!$A$2:$A2026, 0), 
    MATCH(D$1, IR!$B$1:$E$1, 0) ), "")
</f>
        <v>-0.00292</v>
      </c>
      <c r="E576" s="9">
        <f t="array" ref="E576">IFERROR(
  INDEX(
    IR!$B$2:$E2026,                
    MATCH($A576, IR!$A$2:$A2026, 0), 
    MATCH(E$1, IR!$B$1:$E$1, 0) ), "")
</f>
        <v>-0.0019</v>
      </c>
      <c r="F576" s="9">
        <f t="array" ref="F576">IFERROR(
  INDEX(
    IR!$B$2:$E2026,                
    MATCH($A576, IR!$A$2:$A2026, 0), 
    MATCH(F$1, IR!$B$1:$E$1, 0) ), "")
</f>
        <v>-0.00063</v>
      </c>
      <c r="G576" s="14"/>
      <c r="H576" s="9">
        <f t="array" ref="H576">IFERROR(
  INDEX(
    SR!$B$2:$D2026,            
    MATCH($A576, SR!$A$2:$A2026, 0),  
    MATCH(H$1, SR!$B$1:$D$1, 0) ), "")
</f>
        <v>-0.00246</v>
      </c>
      <c r="I576" s="9">
        <f t="array" ref="I576">IFERROR(
  INDEX(
    SR!$B$2:$D2026,            
    MATCH($A576, SR!$A$2:$A2026, 0),  
    MATCH(I$1, SR!$B$1:$D$1, 0) ), "")
</f>
        <v>-0.00247</v>
      </c>
      <c r="J576" s="9">
        <f t="array" ref="J576">IFERROR(
  INDEX(
    SR!$B$2:$D2026,            
    MATCH($A576, SR!$A$2:$A2026, 0),  
    MATCH(J$1, SR!$B$1:$D$1, 0) ), "")
</f>
        <v>-0.001675</v>
      </c>
      <c r="K576" s="14"/>
      <c r="L576" s="9">
        <v>116.17</v>
      </c>
      <c r="M576" s="9">
        <v>24.52</v>
      </c>
      <c r="N576" s="9">
        <v>114.16</v>
      </c>
      <c r="O576" s="9">
        <v>118.1</v>
      </c>
      <c r="P576" s="9">
        <v>125.27</v>
      </c>
      <c r="Q576" s="9">
        <v>1354.7418</v>
      </c>
      <c r="R576" s="14"/>
      <c r="S576" s="12">
        <f t="shared" si="2"/>
        <v>0.002922935111</v>
      </c>
      <c r="T576" s="12">
        <f t="shared" si="3"/>
        <v>1.002922935</v>
      </c>
      <c r="U576" s="16">
        <f t="shared" si="7"/>
        <v>99.26913048</v>
      </c>
      <c r="V576" s="17"/>
      <c r="W576" s="12">
        <f t="array" ref="W576">SQRT(252/20) *  SQRT( SUMSQ( LN(U555:U574 / U554:U573) )  - (1/20) * ( SUM( LN(U555:U574 / U554:U573) ) ^ 2 ) )</f>
        <v>0.03104374348</v>
      </c>
      <c r="X576" s="9">
        <f t="shared" si="4"/>
        <v>1.5</v>
      </c>
      <c r="Y576" s="14"/>
      <c r="Z576" s="12">
        <f t="shared" si="5"/>
        <v>1.004399694</v>
      </c>
      <c r="AA576" s="16">
        <f t="shared" si="8"/>
        <v>98.98916358</v>
      </c>
      <c r="AB576" s="14"/>
      <c r="AC576" s="9">
        <f t="shared" si="6"/>
        <v>0</v>
      </c>
    </row>
    <row r="577">
      <c r="A577" s="8">
        <v>42563.0</v>
      </c>
      <c r="B577" s="14"/>
      <c r="C577" s="9">
        <f t="array" ref="C577">IFERROR(
  INDEX(
    IR!$B$2:$E2026,                
    MATCH($A577, IR!$A$2:$A2026, 0), 
    MATCH(C$1, IR!$B$1:$E$1, 0) ), "")
</f>
        <v>-0.00369</v>
      </c>
      <c r="D577" s="9">
        <f t="array" ref="D577">IFERROR(
  INDEX(
    IR!$B$2:$E2026,                
    MATCH($A577, IR!$A$2:$A2026, 0), 
    MATCH(D$1, IR!$B$1:$E$1, 0) ), "")
</f>
        <v>-0.00291</v>
      </c>
      <c r="E577" s="9">
        <f t="array" ref="E577">IFERROR(
  INDEX(
    IR!$B$2:$E2026,                
    MATCH($A577, IR!$A$2:$A2026, 0), 
    MATCH(E$1, IR!$B$1:$E$1, 0) ), "")
</f>
        <v>-0.00191</v>
      </c>
      <c r="F577" s="9">
        <f t="array" ref="F577">IFERROR(
  INDEX(
    IR!$B$2:$E2026,                
    MATCH($A577, IR!$A$2:$A2026, 0), 
    MATCH(F$1, IR!$B$1:$E$1, 0) ), "")
</f>
        <v>-0.00061</v>
      </c>
      <c r="G577" s="14"/>
      <c r="H577" s="9">
        <f t="array" ref="H577">IFERROR(
  INDEX(
    SR!$B$2:$D2026,            
    MATCH($A577, SR!$A$2:$A2026, 0),  
    MATCH(H$1, SR!$B$1:$D$1, 0) ), "")
</f>
        <v>-0.00223</v>
      </c>
      <c r="I577" s="9">
        <f t="array" ref="I577">IFERROR(
  INDEX(
    SR!$B$2:$D2026,            
    MATCH($A577, SR!$A$2:$A2026, 0),  
    MATCH(I$1, SR!$B$1:$D$1, 0) ), "")
</f>
        <v>-0.002263</v>
      </c>
      <c r="J577" s="9">
        <f t="array" ref="J577">IFERROR(
  INDEX(
    SR!$B$2:$D2026,            
    MATCH($A577, SR!$A$2:$A2026, 0),  
    MATCH(J$1, SR!$B$1:$D$1, 0) ), "")
</f>
        <v>-0.001405</v>
      </c>
      <c r="K577" s="14"/>
      <c r="L577" s="9">
        <v>116.5</v>
      </c>
      <c r="M577" s="9">
        <v>24.52</v>
      </c>
      <c r="N577" s="9">
        <v>114.18</v>
      </c>
      <c r="O577" s="9">
        <v>117.93</v>
      </c>
      <c r="P577" s="9">
        <v>125.51</v>
      </c>
      <c r="Q577" s="9">
        <v>1361.4249</v>
      </c>
      <c r="R577" s="14"/>
      <c r="S577" s="12">
        <f t="shared" si="2"/>
        <v>0.001404161295</v>
      </c>
      <c r="T577" s="12">
        <f t="shared" si="3"/>
        <v>1.001404161</v>
      </c>
      <c r="U577" s="16">
        <f t="shared" si="7"/>
        <v>99.40852035</v>
      </c>
      <c r="V577" s="17"/>
      <c r="W577" s="12">
        <f t="array" ref="W577">SQRT(252/20) *  SQRT( SUMSQ( LN(U556:U575 / U555:U574) )  - (1/20) * ( SUM( LN(U556:U575 / U555:U574) ) ^ 2 ) )</f>
        <v>0.0313835864</v>
      </c>
      <c r="X577" s="9">
        <f t="shared" si="4"/>
        <v>1.5</v>
      </c>
      <c r="Y577" s="14"/>
      <c r="Z577" s="12">
        <f t="shared" si="5"/>
        <v>1.002111339</v>
      </c>
      <c r="AA577" s="16">
        <f t="shared" si="8"/>
        <v>99.19816328</v>
      </c>
      <c r="AB577" s="14"/>
      <c r="AC577" s="9">
        <f t="shared" si="6"/>
        <v>0</v>
      </c>
    </row>
    <row r="578">
      <c r="A578" s="8">
        <v>42564.0</v>
      </c>
      <c r="B578" s="14"/>
      <c r="C578" s="9">
        <f t="array" ref="C578">IFERROR(
  INDEX(
    IR!$B$2:$E2026,                
    MATCH($A578, IR!$A$2:$A2026, 0), 
    MATCH(C$1, IR!$B$1:$E$1, 0) ), "")
</f>
        <v>-0.00371</v>
      </c>
      <c r="D578" s="9">
        <f t="array" ref="D578">IFERROR(
  INDEX(
    IR!$B$2:$E2026,                
    MATCH($A578, IR!$A$2:$A2026, 0), 
    MATCH(D$1, IR!$B$1:$E$1, 0) ), "")
</f>
        <v>-0.00295</v>
      </c>
      <c r="E578" s="9">
        <f t="array" ref="E578">IFERROR(
  INDEX(
    IR!$B$2:$E2026,                
    MATCH($A578, IR!$A$2:$A2026, 0), 
    MATCH(E$1, IR!$B$1:$E$1, 0) ), "")
</f>
        <v>-0.00191</v>
      </c>
      <c r="F578" s="9">
        <f t="array" ref="F578">IFERROR(
  INDEX(
    IR!$B$2:$E2026,                
    MATCH($A578, IR!$A$2:$A2026, 0), 
    MATCH(F$1, IR!$B$1:$E$1, 0) ), "")
</f>
        <v>-0.00061</v>
      </c>
      <c r="G578" s="14"/>
      <c r="H578" s="9">
        <f t="array" ref="H578">IFERROR(
  INDEX(
    SR!$B$2:$D2026,            
    MATCH($A578, SR!$A$2:$A2026, 0),  
    MATCH(H$1, SR!$B$1:$D$1, 0) ), "")
</f>
        <v>-0.0024</v>
      </c>
      <c r="I578" s="9">
        <f t="array" ref="I578">IFERROR(
  INDEX(
    SR!$B$2:$D2026,            
    MATCH($A578, SR!$A$2:$A2026, 0),  
    MATCH(I$1, SR!$B$1:$D$1, 0) ), "")
</f>
        <v>-0.002374</v>
      </c>
      <c r="J578" s="9">
        <f t="array" ref="J578">IFERROR(
  INDEX(
    SR!$B$2:$D2026,            
    MATCH($A578, SR!$A$2:$A2026, 0),  
    MATCH(J$1, SR!$B$1:$D$1, 0) ), "")
</f>
        <v>-0.00157</v>
      </c>
      <c r="K578" s="14"/>
      <c r="L578" s="9">
        <v>116.59</v>
      </c>
      <c r="M578" s="9">
        <v>24.52</v>
      </c>
      <c r="N578" s="9">
        <v>114.17</v>
      </c>
      <c r="O578" s="9">
        <v>117.62</v>
      </c>
      <c r="P578" s="9">
        <v>125.38</v>
      </c>
      <c r="Q578" s="9">
        <v>1366.5679</v>
      </c>
      <c r="R578" s="14"/>
      <c r="S578" s="12">
        <f t="shared" si="2"/>
        <v>0.0001333510254</v>
      </c>
      <c r="T578" s="12">
        <f t="shared" si="3"/>
        <v>1.000133351</v>
      </c>
      <c r="U578" s="16">
        <f t="shared" si="7"/>
        <v>99.42177658</v>
      </c>
      <c r="V578" s="17"/>
      <c r="W578" s="12">
        <f t="array" ref="W578">SQRT(252/20) *  SQRT( SUMSQ( LN(U557:U576 / U556:U575) )  - (1/20) * ( SUM( LN(U557:U576 / U556:U575) ) ^ 2 ) )</f>
        <v>0.03293612109</v>
      </c>
      <c r="X578" s="9">
        <f t="shared" si="4"/>
        <v>1.5</v>
      </c>
      <c r="Y578" s="14"/>
      <c r="Z578" s="12">
        <f t="shared" si="5"/>
        <v>1.000205152</v>
      </c>
      <c r="AA578" s="16">
        <f t="shared" si="8"/>
        <v>99.21851393</v>
      </c>
      <c r="AB578" s="14"/>
      <c r="AC578" s="9">
        <f t="shared" si="6"/>
        <v>0</v>
      </c>
    </row>
    <row r="579">
      <c r="A579" s="8">
        <v>42565.0</v>
      </c>
      <c r="B579" s="14"/>
      <c r="C579" s="9">
        <f t="array" ref="C579">IFERROR(
  INDEX(
    IR!$B$2:$E2026,                
    MATCH($A579, IR!$A$2:$A2026, 0), 
    MATCH(C$1, IR!$B$1:$E$1, 0) ), "")
</f>
        <v>-0.00371</v>
      </c>
      <c r="D579" s="9">
        <f t="array" ref="D579">IFERROR(
  INDEX(
    IR!$B$2:$E2026,                
    MATCH($A579, IR!$A$2:$A2026, 0), 
    MATCH(D$1, IR!$B$1:$E$1, 0) ), "")
</f>
        <v>-0.00295</v>
      </c>
      <c r="E579" s="9">
        <f t="array" ref="E579">IFERROR(
  INDEX(
    IR!$B$2:$E2026,                
    MATCH($A579, IR!$A$2:$A2026, 0), 
    MATCH(E$1, IR!$B$1:$E$1, 0) ), "")
</f>
        <v>-0.0019</v>
      </c>
      <c r="F579" s="9">
        <f t="array" ref="F579">IFERROR(
  INDEX(
    IR!$B$2:$E2026,                
    MATCH($A579, IR!$A$2:$A2026, 0), 
    MATCH(F$1, IR!$B$1:$E$1, 0) ), "")
</f>
        <v>-0.00061</v>
      </c>
      <c r="G579" s="14"/>
      <c r="H579" s="9">
        <f t="array" ref="H579">IFERROR(
  INDEX(
    SR!$B$2:$D2026,            
    MATCH($A579, SR!$A$2:$A2026, 0),  
    MATCH(H$1, SR!$B$1:$D$1, 0) ), "")
</f>
        <v>-0.00231</v>
      </c>
      <c r="I579" s="9">
        <f t="array" ref="I579">IFERROR(
  INDEX(
    SR!$B$2:$D2026,            
    MATCH($A579, SR!$A$2:$A2026, 0),  
    MATCH(I$1, SR!$B$1:$D$1, 0) ), "")
</f>
        <v>-0.00226</v>
      </c>
      <c r="J579" s="9">
        <f t="array" ref="J579">IFERROR(
  INDEX(
    SR!$B$2:$D2026,            
    MATCH($A579, SR!$A$2:$A2026, 0),  
    MATCH(J$1, SR!$B$1:$D$1, 0) ), "")
</f>
        <v>-0.001435</v>
      </c>
      <c r="K579" s="14"/>
      <c r="L579" s="23">
        <v>116.59</v>
      </c>
      <c r="M579" s="9">
        <v>24.52</v>
      </c>
      <c r="N579" s="9">
        <v>114.17</v>
      </c>
      <c r="O579" s="9">
        <v>117.86</v>
      </c>
      <c r="P579" s="9">
        <v>125.41</v>
      </c>
      <c r="Q579" s="9">
        <v>1367.7404</v>
      </c>
      <c r="R579" s="14"/>
      <c r="S579" s="12">
        <f t="shared" si="2"/>
        <v>0.0005228317425</v>
      </c>
      <c r="T579" s="12">
        <f t="shared" si="3"/>
        <v>1.000522832</v>
      </c>
      <c r="U579" s="16">
        <f t="shared" si="7"/>
        <v>99.47375744</v>
      </c>
      <c r="V579" s="17"/>
      <c r="W579" s="12">
        <f t="array" ref="W579">SQRT(252/20) *  SQRT( SUMSQ( LN(U558:U577 / U557:U576) )  - (1/20) * ( SUM( LN(U558:U577 / U557:U576) ) ^ 2 ) )</f>
        <v>0.02999027921</v>
      </c>
      <c r="X579" s="9">
        <f t="shared" si="4"/>
        <v>1.5</v>
      </c>
      <c r="Y579" s="14"/>
      <c r="Z579" s="12">
        <f t="shared" si="5"/>
        <v>1.0007894</v>
      </c>
      <c r="AA579" s="16">
        <f t="shared" si="8"/>
        <v>99.29683707</v>
      </c>
      <c r="AB579" s="14"/>
      <c r="AC579" s="9">
        <f t="shared" si="6"/>
        <v>0</v>
      </c>
    </row>
    <row r="580">
      <c r="A580" s="8">
        <v>42566.0</v>
      </c>
      <c r="B580" s="14"/>
      <c r="C580" s="9">
        <f t="array" ref="C580">IFERROR(
  INDEX(
    IR!$B$2:$E2026,                
    MATCH($A580, IR!$A$2:$A2026, 0), 
    MATCH(C$1, IR!$B$1:$E$1, 0) ), "")
</f>
        <v>-0.00371</v>
      </c>
      <c r="D580" s="9">
        <f t="array" ref="D580">IFERROR(
  INDEX(
    IR!$B$2:$E2026,                
    MATCH($A580, IR!$A$2:$A2026, 0), 
    MATCH(D$1, IR!$B$1:$E$1, 0) ), "")
</f>
        <v>-0.00293</v>
      </c>
      <c r="E580" s="9">
        <f t="array" ref="E580">IFERROR(
  INDEX(
    IR!$B$2:$E2026,                
    MATCH($A580, IR!$A$2:$A2026, 0), 
    MATCH(E$1, IR!$B$1:$E$1, 0) ), "")
</f>
        <v>-0.00187</v>
      </c>
      <c r="F580" s="9">
        <f t="array" ref="F580">IFERROR(
  INDEX(
    IR!$B$2:$E2026,                
    MATCH($A580, IR!$A$2:$A2026, 0), 
    MATCH(F$1, IR!$B$1:$E$1, 0) ), "")
</f>
        <v>-0.00057</v>
      </c>
      <c r="G580" s="14"/>
      <c r="H580" s="9">
        <f t="array" ref="H580">IFERROR(
  INDEX(
    SR!$B$2:$D2026,            
    MATCH($A580, SR!$A$2:$A2026, 0),  
    MATCH(H$1, SR!$B$1:$D$1, 0) ), "")
</f>
        <v>-0.00218</v>
      </c>
      <c r="I580" s="9">
        <f t="array" ref="I580">IFERROR(
  INDEX(
    SR!$B$2:$D2026,            
    MATCH($A580, SR!$A$2:$A2026, 0),  
    MATCH(I$1, SR!$B$1:$D$1, 0) ), "")
</f>
        <v>-0.00216</v>
      </c>
      <c r="J580" s="9">
        <f t="array" ref="J580">IFERROR(
  INDEX(
    SR!$B$2:$D2026,            
    MATCH($A580, SR!$A$2:$A2026, 0),  
    MATCH(J$1, SR!$B$1:$D$1, 0) ), "")
</f>
        <v>-0.001206</v>
      </c>
      <c r="K580" s="14"/>
      <c r="L580" s="9">
        <v>116.82</v>
      </c>
      <c r="M580" s="9">
        <v>24.52</v>
      </c>
      <c r="N580" s="9">
        <v>114.17</v>
      </c>
      <c r="O580" s="9">
        <v>117.64</v>
      </c>
      <c r="P580" s="9">
        <v>125.5</v>
      </c>
      <c r="Q580" s="9">
        <v>1369.3474</v>
      </c>
      <c r="R580" s="14"/>
      <c r="S580" s="12">
        <f t="shared" si="2"/>
        <v>0.0003330976149</v>
      </c>
      <c r="T580" s="12">
        <f t="shared" si="3"/>
        <v>1.000333098</v>
      </c>
      <c r="U580" s="16">
        <f t="shared" si="7"/>
        <v>99.50689191</v>
      </c>
      <c r="V580" s="17"/>
      <c r="W580" s="12">
        <f t="array" ref="W580">SQRT(252/20) *  SQRT( SUMSQ( LN(U559:U578 / U558:U577) )  - (1/20) * ( SUM( LN(U559:U578 / U558:U577) ) ^ 2 ) )</f>
        <v>0.02787613518</v>
      </c>
      <c r="X580" s="9">
        <f t="shared" si="4"/>
        <v>1.5</v>
      </c>
      <c r="Y580" s="14"/>
      <c r="Z580" s="12">
        <f t="shared" si="5"/>
        <v>1.000504799</v>
      </c>
      <c r="AA580" s="16">
        <f t="shared" si="8"/>
        <v>99.34696203</v>
      </c>
      <c r="AB580" s="14"/>
      <c r="AC580" s="9">
        <f t="shared" si="6"/>
        <v>0</v>
      </c>
    </row>
    <row r="581">
      <c r="A581" s="8">
        <v>42569.0</v>
      </c>
      <c r="B581" s="14"/>
      <c r="C581" s="9">
        <f t="array" ref="C581">IFERROR(
  INDEX(
    IR!$B$2:$E2026,                
    MATCH($A581, IR!$A$2:$A2026, 0), 
    MATCH(C$1, IR!$B$1:$E$1, 0) ), "")
</f>
        <v>-0.00371</v>
      </c>
      <c r="D581" s="9">
        <f t="array" ref="D581">IFERROR(
  INDEX(
    IR!$B$2:$E2026,                
    MATCH($A581, IR!$A$2:$A2026, 0), 
    MATCH(D$1, IR!$B$1:$E$1, 0) ), "")
</f>
        <v>-0.00295</v>
      </c>
      <c r="E581" s="9">
        <f t="array" ref="E581">IFERROR(
  INDEX(
    IR!$B$2:$E2026,                
    MATCH($A581, IR!$A$2:$A2026, 0), 
    MATCH(E$1, IR!$B$1:$E$1, 0) ), "")
</f>
        <v>-0.00191</v>
      </c>
      <c r="F581" s="9">
        <f t="array" ref="F581">IFERROR(
  INDEX(
    IR!$B$2:$E2026,                
    MATCH($A581, IR!$A$2:$A2026, 0), 
    MATCH(F$1, IR!$B$1:$E$1, 0) ), "")
</f>
        <v>-0.00061</v>
      </c>
      <c r="G581" s="14"/>
      <c r="H581" s="9">
        <f t="array" ref="H581">IFERROR(
  INDEX(
    SR!$B$2:$D2026,            
    MATCH($A581, SR!$A$2:$A2026, 0),  
    MATCH(H$1, SR!$B$1:$D$1, 0) ), "")
</f>
        <v>-0.00234</v>
      </c>
      <c r="I581" s="9">
        <f t="array" ref="I581">IFERROR(
  INDEX(
    SR!$B$2:$D2026,            
    MATCH($A581, SR!$A$2:$A2026, 0),  
    MATCH(I$1, SR!$B$1:$D$1, 0) ), "")
</f>
        <v>-0.00226</v>
      </c>
      <c r="J581" s="9">
        <f t="array" ref="J581">IFERROR(
  INDEX(
    SR!$B$2:$D2026,            
    MATCH($A581, SR!$A$2:$A2026, 0),  
    MATCH(J$1, SR!$B$1:$D$1, 0) ), "")
</f>
        <v>-0.00141</v>
      </c>
      <c r="K581" s="14"/>
      <c r="L581" s="9">
        <v>116.85</v>
      </c>
      <c r="M581" s="9">
        <v>24.52</v>
      </c>
      <c r="N581" s="9">
        <v>114.17</v>
      </c>
      <c r="O581" s="9">
        <v>117.34</v>
      </c>
      <c r="P581" s="9">
        <v>125.32</v>
      </c>
      <c r="Q581" s="9">
        <v>1369.1714</v>
      </c>
      <c r="R581" s="14"/>
      <c r="S581" s="12">
        <f t="shared" si="2"/>
        <v>-0.0006424456092</v>
      </c>
      <c r="T581" s="12">
        <f t="shared" si="3"/>
        <v>0.9993575544</v>
      </c>
      <c r="U581" s="16">
        <f t="shared" si="7"/>
        <v>99.44296414</v>
      </c>
      <c r="V581" s="17"/>
      <c r="W581" s="12">
        <f t="array" ref="W581">SQRT(252/20) *  SQRT( SUMSQ( LN(U560:U579 / U559:U578) )  - (1/20) * ( SUM( LN(U560:U579 / U559:U578) ) ^ 2 ) )</f>
        <v>0.02744676028</v>
      </c>
      <c r="X581" s="9">
        <f t="shared" si="4"/>
        <v>1.5</v>
      </c>
      <c r="Y581" s="14"/>
      <c r="Z581" s="12">
        <f t="shared" si="5"/>
        <v>0.9990517899</v>
      </c>
      <c r="AA581" s="16">
        <f t="shared" si="8"/>
        <v>99.25276024</v>
      </c>
      <c r="AB581" s="14"/>
      <c r="AC581" s="9">
        <f t="shared" si="6"/>
        <v>0</v>
      </c>
    </row>
    <row r="582">
      <c r="A582" s="8">
        <v>42570.0</v>
      </c>
      <c r="B582" s="14"/>
      <c r="C582" s="9">
        <f t="array" ref="C582">IFERROR(
  INDEX(
    IR!$B$2:$E2026,                
    MATCH($A582, IR!$A$2:$A2026, 0), 
    MATCH(C$1, IR!$B$1:$E$1, 0) ), "")
</f>
        <v>-0.00371</v>
      </c>
      <c r="D582" s="9">
        <f t="array" ref="D582">IFERROR(
  INDEX(
    IR!$B$2:$E2026,                
    MATCH($A582, IR!$A$2:$A2026, 0), 
    MATCH(D$1, IR!$B$1:$E$1, 0) ), "")
</f>
        <v>-0.00295</v>
      </c>
      <c r="E582" s="9">
        <f t="array" ref="E582">IFERROR(
  INDEX(
    IR!$B$2:$E2026,                
    MATCH($A582, IR!$A$2:$A2026, 0), 
    MATCH(E$1, IR!$B$1:$E$1, 0) ), "")
</f>
        <v>-0.00189</v>
      </c>
      <c r="F582" s="9">
        <f t="array" ref="F582">IFERROR(
  INDEX(
    IR!$B$2:$E2026,                
    MATCH($A582, IR!$A$2:$A2026, 0), 
    MATCH(F$1, IR!$B$1:$E$1, 0) ), "")
</f>
        <v>-0.00059</v>
      </c>
      <c r="G582" s="14"/>
      <c r="H582" s="9">
        <f t="array" ref="H582">IFERROR(
  INDEX(
    SR!$B$2:$D2026,            
    MATCH($A582, SR!$A$2:$A2026, 0),  
    MATCH(H$1, SR!$B$1:$D$1, 0) ), "")
</f>
        <v>-0.00231</v>
      </c>
      <c r="I582" s="9">
        <f t="array" ref="I582">IFERROR(
  INDEX(
    SR!$B$2:$D2026,            
    MATCH($A582, SR!$A$2:$A2026, 0),  
    MATCH(I$1, SR!$B$1:$D$1, 0) ), "")
</f>
        <v>-0.00221</v>
      </c>
      <c r="J582" s="9">
        <f t="array" ref="J582">IFERROR(
  INDEX(
    SR!$B$2:$D2026,            
    MATCH($A582, SR!$A$2:$A2026, 0),  
    MATCH(J$1, SR!$B$1:$D$1, 0) ), "")
</f>
        <v>-0.001344</v>
      </c>
      <c r="K582" s="14"/>
      <c r="L582" s="9">
        <v>116.82</v>
      </c>
      <c r="M582" s="9">
        <v>24.52</v>
      </c>
      <c r="N582" s="9">
        <v>114.13</v>
      </c>
      <c r="O582" s="9">
        <v>117.45</v>
      </c>
      <c r="P582" s="9">
        <v>125.45</v>
      </c>
      <c r="Q582" s="9">
        <v>1371.2461</v>
      </c>
      <c r="R582" s="14"/>
      <c r="S582" s="12">
        <f t="shared" si="2"/>
        <v>0.0004804581684</v>
      </c>
      <c r="T582" s="12">
        <f t="shared" si="3"/>
        <v>1.000480458</v>
      </c>
      <c r="U582" s="16">
        <f t="shared" si="7"/>
        <v>99.49074233</v>
      </c>
      <c r="V582" s="17"/>
      <c r="W582" s="12">
        <f t="array" ref="W582">SQRT(252/20) *  SQRT( SUMSQ( LN(U561:U580 / U560:U579) )  - (1/20) * ( SUM( LN(U561:U580 / U560:U579) ) ^ 2 ) )</f>
        <v>0.02743641949</v>
      </c>
      <c r="X582" s="9">
        <f t="shared" si="4"/>
        <v>1.5</v>
      </c>
      <c r="Y582" s="14"/>
      <c r="Z582" s="12">
        <f t="shared" si="5"/>
        <v>1.00072584</v>
      </c>
      <c r="AA582" s="16">
        <f t="shared" si="8"/>
        <v>99.32480187</v>
      </c>
      <c r="AB582" s="14"/>
      <c r="AC582" s="9">
        <f t="shared" si="6"/>
        <v>0</v>
      </c>
    </row>
    <row r="583">
      <c r="A583" s="8">
        <v>42571.0</v>
      </c>
      <c r="B583" s="14"/>
      <c r="C583" s="9">
        <f t="array" ref="C583">IFERROR(
  INDEX(
    IR!$B$2:$E2026,                
    MATCH($A583, IR!$A$2:$A2026, 0), 
    MATCH(C$1, IR!$B$1:$E$1, 0) ), "")
</f>
        <v>-0.00371</v>
      </c>
      <c r="D583" s="9">
        <f t="array" ref="D583">IFERROR(
  INDEX(
    IR!$B$2:$E2026,                
    MATCH($A583, IR!$A$2:$A2026, 0), 
    MATCH(D$1, IR!$B$1:$E$1, 0) ), "")
</f>
        <v>-0.00297</v>
      </c>
      <c r="E583" s="9">
        <f t="array" ref="E583">IFERROR(
  INDEX(
    IR!$B$2:$E2026,                
    MATCH($A583, IR!$A$2:$A2026, 0), 
    MATCH(E$1, IR!$B$1:$E$1, 0) ), "")
</f>
        <v>-0.00189</v>
      </c>
      <c r="F583" s="9">
        <f t="array" ref="F583">IFERROR(
  INDEX(
    IR!$B$2:$E2026,                
    MATCH($A583, IR!$A$2:$A2026, 0), 
    MATCH(F$1, IR!$B$1:$E$1, 0) ), "")
</f>
        <v>-0.00056</v>
      </c>
      <c r="G583" s="14"/>
      <c r="H583" s="9">
        <f t="array" ref="H583">IFERROR(
  INDEX(
    SR!$B$2:$D2026,            
    MATCH($A583, SR!$A$2:$A2026, 0),  
    MATCH(H$1, SR!$B$1:$D$1, 0) ), "")
</f>
        <v>-0.00222</v>
      </c>
      <c r="I583" s="9">
        <f t="array" ref="I583">IFERROR(
  INDEX(
    SR!$B$2:$D2026,            
    MATCH($A583, SR!$A$2:$A2026, 0),  
    MATCH(I$1, SR!$B$1:$D$1, 0) ), "")
</f>
        <v>-0.00216</v>
      </c>
      <c r="J583" s="9">
        <f t="array" ref="J583">IFERROR(
  INDEX(
    SR!$B$2:$D2026,            
    MATCH($A583, SR!$A$2:$A2026, 0),  
    MATCH(J$1, SR!$B$1:$D$1, 0) ), "")
</f>
        <v>-0.001266</v>
      </c>
      <c r="K583" s="14"/>
      <c r="L583" s="9">
        <v>117.05</v>
      </c>
      <c r="M583" s="9">
        <v>24.52</v>
      </c>
      <c r="N583" s="9">
        <v>114.09</v>
      </c>
      <c r="O583" s="9">
        <v>117.46</v>
      </c>
      <c r="P583" s="9">
        <v>125.57</v>
      </c>
      <c r="Q583" s="9">
        <v>1369.7091</v>
      </c>
      <c r="R583" s="14"/>
      <c r="S583" s="12">
        <f t="shared" si="2"/>
        <v>0.0002563159891</v>
      </c>
      <c r="T583" s="12">
        <f t="shared" si="3"/>
        <v>1.000256316</v>
      </c>
      <c r="U583" s="16">
        <f t="shared" si="7"/>
        <v>99.5162434</v>
      </c>
      <c r="V583" s="17"/>
      <c r="W583" s="12">
        <f t="array" ref="W583">SQRT(252/20) *  SQRT( SUMSQ( LN(U562:U581 / U561:U580) )  - (1/20) * ( SUM( LN(U562:U581 / U561:U580) ) ^ 2 ) )</f>
        <v>0.0276275114</v>
      </c>
      <c r="X583" s="9">
        <f t="shared" si="4"/>
        <v>1.5</v>
      </c>
      <c r="Y583" s="14"/>
      <c r="Z583" s="12">
        <f t="shared" si="5"/>
        <v>1.000389627</v>
      </c>
      <c r="AA583" s="16">
        <f t="shared" si="8"/>
        <v>99.36350147</v>
      </c>
      <c r="AB583" s="14"/>
      <c r="AC583" s="9">
        <f t="shared" si="6"/>
        <v>0</v>
      </c>
    </row>
    <row r="584">
      <c r="A584" s="8">
        <v>42572.0</v>
      </c>
      <c r="B584" s="14"/>
      <c r="C584" s="9">
        <f t="array" ref="C584">IFERROR(
  INDEX(
    IR!$B$2:$E2026,                
    MATCH($A584, IR!$A$2:$A2026, 0), 
    MATCH(C$1, IR!$B$1:$E$1, 0) ), "")
</f>
        <v>-0.0037</v>
      </c>
      <c r="D584" s="9">
        <f t="array" ref="D584">IFERROR(
  INDEX(
    IR!$B$2:$E2026,                
    MATCH($A584, IR!$A$2:$A2026, 0), 
    MATCH(D$1, IR!$B$1:$E$1, 0) ), "")
</f>
        <v>-0.00297</v>
      </c>
      <c r="E584" s="9">
        <f t="array" ref="E584">IFERROR(
  INDEX(
    IR!$B$2:$E2026,                
    MATCH($A584, IR!$A$2:$A2026, 0), 
    MATCH(E$1, IR!$B$1:$E$1, 0) ), "")
</f>
        <v>-0.00188</v>
      </c>
      <c r="F584" s="9">
        <f t="array" ref="F584">IFERROR(
  INDEX(
    IR!$B$2:$E2026,                
    MATCH($A584, IR!$A$2:$A2026, 0), 
    MATCH(F$1, IR!$B$1:$E$1, 0) ), "")
</f>
        <v>-0.00054</v>
      </c>
      <c r="G584" s="14"/>
      <c r="H584" s="9">
        <f t="array" ref="H584">IFERROR(
  INDEX(
    SR!$B$2:$D2026,            
    MATCH($A584, SR!$A$2:$A2026, 0),  
    MATCH(H$1, SR!$B$1:$D$1, 0) ), "")
</f>
        <v>-0.00221</v>
      </c>
      <c r="I584" s="9">
        <f t="array" ref="I584">IFERROR(
  INDEX(
    SR!$B$2:$D2026,            
    MATCH($A584, SR!$A$2:$A2026, 0),  
    MATCH(I$1, SR!$B$1:$D$1, 0) ), "")
</f>
        <v>-0.00211</v>
      </c>
      <c r="J584" s="9">
        <f t="array" ref="J584">IFERROR(
  INDEX(
    SR!$B$2:$D2026,            
    MATCH($A584, SR!$A$2:$A2026, 0),  
    MATCH(J$1, SR!$B$1:$D$1, 0) ), "")
</f>
        <v>-0.001235</v>
      </c>
      <c r="K584" s="14"/>
      <c r="L584" s="9">
        <v>117.06</v>
      </c>
      <c r="M584" s="9">
        <v>24.51</v>
      </c>
      <c r="N584" s="9">
        <v>114.06</v>
      </c>
      <c r="O584" s="9">
        <v>117.43</v>
      </c>
      <c r="P584" s="9">
        <v>125.97</v>
      </c>
      <c r="Q584" s="9">
        <v>1375.5391</v>
      </c>
      <c r="R584" s="14"/>
      <c r="S584" s="12">
        <f t="shared" si="2"/>
        <v>0.001100168782</v>
      </c>
      <c r="T584" s="12">
        <f t="shared" si="3"/>
        <v>1.001100169</v>
      </c>
      <c r="U584" s="16">
        <f t="shared" si="7"/>
        <v>99.62572806</v>
      </c>
      <c r="V584" s="17"/>
      <c r="W584" s="12">
        <f t="array" ref="W584">SQRT(252/20) *  SQRT( SUMSQ( LN(U563:U582 / U562:U581) )  - (1/20) * ( SUM( LN(U563:U582 / U562:U581) ) ^ 2 ) )</f>
        <v>0.02762942755</v>
      </c>
      <c r="X584" s="9">
        <f t="shared" si="4"/>
        <v>1.5</v>
      </c>
      <c r="Y584" s="14"/>
      <c r="Z584" s="12">
        <f t="shared" si="5"/>
        <v>1.001655406</v>
      </c>
      <c r="AA584" s="16">
        <f t="shared" si="8"/>
        <v>99.5279884</v>
      </c>
      <c r="AB584" s="14"/>
      <c r="AC584" s="9">
        <f t="shared" si="6"/>
        <v>0</v>
      </c>
    </row>
    <row r="585">
      <c r="A585" s="8">
        <v>42573.0</v>
      </c>
      <c r="B585" s="14"/>
      <c r="C585" s="9">
        <f t="array" ref="C585">IFERROR(
  INDEX(
    IR!$B$2:$E2026,                
    MATCH($A585, IR!$A$2:$A2026, 0), 
    MATCH(C$1, IR!$B$1:$E$1, 0) ), "")
</f>
        <v>-0.00371</v>
      </c>
      <c r="D585" s="9">
        <f t="array" ref="D585">IFERROR(
  INDEX(
    IR!$B$2:$E2026,                
    MATCH($A585, IR!$A$2:$A2026, 0), 
    MATCH(D$1, IR!$B$1:$E$1, 0) ), "")
</f>
        <v>-0.00297</v>
      </c>
      <c r="E585" s="9">
        <f t="array" ref="E585">IFERROR(
  INDEX(
    IR!$B$2:$E2026,                
    MATCH($A585, IR!$A$2:$A2026, 0), 
    MATCH(E$1, IR!$B$1:$E$1, 0) ), "")
</f>
        <v>-0.00189</v>
      </c>
      <c r="F585" s="9">
        <f t="array" ref="F585">IFERROR(
  INDEX(
    IR!$B$2:$E2026,                
    MATCH($A585, IR!$A$2:$A2026, 0), 
    MATCH(F$1, IR!$B$1:$E$1, 0) ), "")
</f>
        <v>-0.0005</v>
      </c>
      <c r="G585" s="14"/>
      <c r="H585" s="9">
        <f t="array" ref="H585">IFERROR(
  INDEX(
    SR!$B$2:$D2026,            
    MATCH($A585, SR!$A$2:$A2026, 0),  
    MATCH(H$1, SR!$B$1:$D$1, 0) ), "")
</f>
        <v>-0.00214</v>
      </c>
      <c r="I585" s="9">
        <f t="array" ref="I585">IFERROR(
  INDEX(
    SR!$B$2:$D2026,            
    MATCH($A585, SR!$A$2:$A2026, 0),  
    MATCH(I$1, SR!$B$1:$D$1, 0) ), "")
</f>
        <v>-0.00205</v>
      </c>
      <c r="J585" s="9">
        <f t="array" ref="J585">IFERROR(
  INDEX(
    SR!$B$2:$D2026,            
    MATCH($A585, SR!$A$2:$A2026, 0),  
    MATCH(J$1, SR!$B$1:$D$1, 0) ), "")
</f>
        <v>-0.001115</v>
      </c>
      <c r="K585" s="14"/>
      <c r="L585" s="9">
        <v>117.12</v>
      </c>
      <c r="M585" s="9">
        <v>24.51</v>
      </c>
      <c r="N585" s="9">
        <v>114.09</v>
      </c>
      <c r="O585" s="9">
        <v>117.41</v>
      </c>
      <c r="P585" s="9">
        <v>126.01</v>
      </c>
      <c r="Q585" s="9">
        <v>1372.1801</v>
      </c>
      <c r="R585" s="14"/>
      <c r="S585" s="12">
        <f t="shared" si="2"/>
        <v>-0.0002533350601</v>
      </c>
      <c r="T585" s="12">
        <f t="shared" si="3"/>
        <v>0.9997466649</v>
      </c>
      <c r="U585" s="16">
        <f t="shared" si="7"/>
        <v>99.60048937</v>
      </c>
      <c r="V585" s="17"/>
      <c r="W585" s="12">
        <f t="array" ref="W585">SQRT(252/20) *  SQRT( SUMSQ( LN(U564:U583 / U563:U582) )  - (1/20) * ( SUM( LN(U564:U583 / U563:U582) ) ^ 2 ) )</f>
        <v>0.02758808358</v>
      </c>
      <c r="X585" s="9">
        <f t="shared" si="4"/>
        <v>1.5</v>
      </c>
      <c r="Y585" s="14"/>
      <c r="Z585" s="12">
        <f t="shared" si="5"/>
        <v>0.9996251363</v>
      </c>
      <c r="AA585" s="16">
        <f t="shared" si="8"/>
        <v>99.49067897</v>
      </c>
      <c r="AB585" s="14"/>
      <c r="AC585" s="9">
        <f t="shared" si="6"/>
        <v>0</v>
      </c>
    </row>
    <row r="586">
      <c r="A586" s="8">
        <v>42576.0</v>
      </c>
      <c r="B586" s="14"/>
      <c r="C586" s="9">
        <f t="array" ref="C586">IFERROR(
  INDEX(
    IR!$B$2:$E2026,                
    MATCH($A586, IR!$A$2:$A2026, 0), 
    MATCH(C$1, IR!$B$1:$E$1, 0) ), "")
</f>
        <v>-0.00371</v>
      </c>
      <c r="D586" s="9">
        <f t="array" ref="D586">IFERROR(
  INDEX(
    IR!$B$2:$E2026,                
    MATCH($A586, IR!$A$2:$A2026, 0), 
    MATCH(D$1, IR!$B$1:$E$1, 0) ), "")
</f>
        <v>-0.00297</v>
      </c>
      <c r="E586" s="9">
        <f t="array" ref="E586">IFERROR(
  INDEX(
    IR!$B$2:$E2026,                
    MATCH($A586, IR!$A$2:$A2026, 0), 
    MATCH(E$1, IR!$B$1:$E$1, 0) ), "")
</f>
        <v>-0.00188</v>
      </c>
      <c r="F586" s="9">
        <f t="array" ref="F586">IFERROR(
  INDEX(
    IR!$B$2:$E2026,                
    MATCH($A586, IR!$A$2:$A2026, 0), 
    MATCH(F$1, IR!$B$1:$E$1, 0) ), "")
</f>
        <v>-0.00049</v>
      </c>
      <c r="G586" s="14"/>
      <c r="H586" s="9">
        <f t="array" ref="H586">IFERROR(
  INDEX(
    SR!$B$2:$D2026,            
    MATCH($A586, SR!$A$2:$A2026, 0),  
    MATCH(H$1, SR!$B$1:$D$1, 0) ), "")
</f>
        <v>-0.0021</v>
      </c>
      <c r="I586" s="9">
        <f t="array" ref="I586">IFERROR(
  INDEX(
    SR!$B$2:$D2026,            
    MATCH($A586, SR!$A$2:$A2026, 0),  
    MATCH(I$1, SR!$B$1:$D$1, 0) ), "")
</f>
        <v>-0.002061</v>
      </c>
      <c r="J586" s="9">
        <f t="array" ref="J586">IFERROR(
  INDEX(
    SR!$B$2:$D2026,            
    MATCH($A586, SR!$A$2:$A2026, 0),  
    MATCH(J$1, SR!$B$1:$D$1, 0) ), "")
</f>
        <v>-0.00116</v>
      </c>
      <c r="K586" s="14"/>
      <c r="L586" s="9">
        <v>117.24</v>
      </c>
      <c r="M586" s="9">
        <v>24.51</v>
      </c>
      <c r="N586" s="9">
        <v>114.13</v>
      </c>
      <c r="O586" s="9">
        <v>117.43</v>
      </c>
      <c r="P586" s="9">
        <v>126.23</v>
      </c>
      <c r="Q586" s="9">
        <v>1373.9349</v>
      </c>
      <c r="R586" s="14"/>
      <c r="S586" s="12">
        <f t="shared" si="2"/>
        <v>0.0007615345107</v>
      </c>
      <c r="T586" s="12">
        <f t="shared" si="3"/>
        <v>1.000761535</v>
      </c>
      <c r="U586" s="16">
        <f t="shared" si="7"/>
        <v>99.67633858</v>
      </c>
      <c r="V586" s="17"/>
      <c r="W586" s="12">
        <f t="array" ref="W586">SQRT(252/20) *  SQRT( SUMSQ( LN(U565:U584 / U564:U583) )  - (1/20) * ( SUM( LN(U565:U584 / U564:U583) ) ^ 2 ) )</f>
        <v>0.0277087091</v>
      </c>
      <c r="X586" s="9">
        <f t="shared" si="4"/>
        <v>1.5</v>
      </c>
      <c r="Y586" s="14"/>
      <c r="Z586" s="12">
        <f t="shared" si="5"/>
        <v>1.00115776</v>
      </c>
      <c r="AA586" s="16">
        <f t="shared" si="8"/>
        <v>99.60586531</v>
      </c>
      <c r="AB586" s="14"/>
      <c r="AC586" s="9">
        <f t="shared" si="6"/>
        <v>0</v>
      </c>
    </row>
    <row r="587">
      <c r="A587" s="8">
        <v>42577.0</v>
      </c>
      <c r="B587" s="14"/>
      <c r="C587" s="9">
        <f t="array" ref="C587">IFERROR(
  INDEX(
    IR!$B$2:$E2026,                
    MATCH($A587, IR!$A$2:$A2026, 0), 
    MATCH(C$1, IR!$B$1:$E$1, 0) ), "")
</f>
        <v>-0.00371</v>
      </c>
      <c r="D587" s="9">
        <f t="array" ref="D587">IFERROR(
  INDEX(
    IR!$B$2:$E2026,                
    MATCH($A587, IR!$A$2:$A2026, 0), 
    MATCH(D$1, IR!$B$1:$E$1, 0) ), "")
</f>
        <v>-0.00298</v>
      </c>
      <c r="E587" s="9">
        <f t="array" ref="E587">IFERROR(
  INDEX(
    IR!$B$2:$E2026,                
    MATCH($A587, IR!$A$2:$A2026, 0), 
    MATCH(E$1, IR!$B$1:$E$1, 0) ), "")
</f>
        <v>-0.00187</v>
      </c>
      <c r="F587" s="9">
        <f t="array" ref="F587">IFERROR(
  INDEX(
    IR!$B$2:$E2026,                
    MATCH($A587, IR!$A$2:$A2026, 0), 
    MATCH(F$1, IR!$B$1:$E$1, 0) ), "")
</f>
        <v>-0.00048</v>
      </c>
      <c r="G587" s="14"/>
      <c r="H587" s="9">
        <f t="array" ref="H587">IFERROR(
  INDEX(
    SR!$B$2:$D2026,            
    MATCH($A587, SR!$A$2:$A2026, 0),  
    MATCH(H$1, SR!$B$1:$D$1, 0) ), "")
</f>
        <v>-0.0021</v>
      </c>
      <c r="I587" s="9">
        <f t="array" ref="I587">IFERROR(
  INDEX(
    SR!$B$2:$D2026,            
    MATCH($A587, SR!$A$2:$A2026, 0),  
    MATCH(I$1, SR!$B$1:$D$1, 0) ), "")
</f>
        <v>-0.00208</v>
      </c>
      <c r="J587" s="9">
        <f t="array" ref="J587">IFERROR(
  INDEX(
    SR!$B$2:$D2026,            
    MATCH($A587, SR!$A$2:$A2026, 0),  
    MATCH(J$1, SR!$B$1:$D$1, 0) ), "")
</f>
        <v>-0.0012</v>
      </c>
      <c r="K587" s="14"/>
      <c r="L587" s="9">
        <v>117.29</v>
      </c>
      <c r="M587" s="9">
        <v>24.52</v>
      </c>
      <c r="N587" s="9">
        <v>114.13</v>
      </c>
      <c r="O587" s="9">
        <v>117.34</v>
      </c>
      <c r="P587" s="9">
        <v>126.22</v>
      </c>
      <c r="Q587" s="9">
        <v>1373.7025</v>
      </c>
      <c r="R587" s="14"/>
      <c r="S587" s="12">
        <f t="shared" si="2"/>
        <v>-0.00003005678928</v>
      </c>
      <c r="T587" s="12">
        <f t="shared" si="3"/>
        <v>0.9999699432</v>
      </c>
      <c r="U587" s="16">
        <f t="shared" si="7"/>
        <v>99.67334263</v>
      </c>
      <c r="V587" s="17"/>
      <c r="W587" s="12">
        <f t="array" ref="W587">SQRT(252/20) *  SQRT( SUMSQ( LN(U566:U585 / U565:U584) )  - (1/20) * ( SUM( LN(U566:U585 / U565:U584) ) ^ 2 ) )</f>
        <v>0.02554027271</v>
      </c>
      <c r="X587" s="9">
        <f t="shared" si="4"/>
        <v>1.5</v>
      </c>
      <c r="Y587" s="14"/>
      <c r="Z587" s="12">
        <f t="shared" si="5"/>
        <v>0.9999600676</v>
      </c>
      <c r="AA587" s="16">
        <f t="shared" si="8"/>
        <v>99.60188781</v>
      </c>
      <c r="AB587" s="14"/>
      <c r="AC587" s="9">
        <f t="shared" si="6"/>
        <v>0</v>
      </c>
    </row>
    <row r="588">
      <c r="A588" s="8">
        <v>42578.0</v>
      </c>
      <c r="B588" s="14"/>
      <c r="C588" s="9">
        <f t="array" ref="C588">IFERROR(
  INDEX(
    IR!$B$2:$E2026,                
    MATCH($A588, IR!$A$2:$A2026, 0), 
    MATCH(C$1, IR!$B$1:$E$1, 0) ), "")
</f>
        <v>-0.00371</v>
      </c>
      <c r="D588" s="9">
        <f t="array" ref="D588">IFERROR(
  INDEX(
    IR!$B$2:$E2026,                
    MATCH($A588, IR!$A$2:$A2026, 0), 
    MATCH(D$1, IR!$B$1:$E$1, 0) ), "")
</f>
        <v>-0.00298</v>
      </c>
      <c r="E588" s="9">
        <f t="array" ref="E588">IFERROR(
  INDEX(
    IR!$B$2:$E2026,                
    MATCH($A588, IR!$A$2:$A2026, 0), 
    MATCH(E$1, IR!$B$1:$E$1, 0) ), "")
</f>
        <v>-0.00187</v>
      </c>
      <c r="F588" s="9">
        <f t="array" ref="F588">IFERROR(
  INDEX(
    IR!$B$2:$E2026,                
    MATCH($A588, IR!$A$2:$A2026, 0), 
    MATCH(F$1, IR!$B$1:$E$1, 0) ), "")
</f>
        <v>-0.00049</v>
      </c>
      <c r="G588" s="14"/>
      <c r="H588" s="9">
        <f t="array" ref="H588">IFERROR(
  INDEX(
    SR!$B$2:$D2026,            
    MATCH($A588, SR!$A$2:$A2026, 0),  
    MATCH(H$1, SR!$B$1:$D$1, 0) ), "")
</f>
        <v>-0.00217</v>
      </c>
      <c r="I588" s="9">
        <f t="array" ref="I588">IFERROR(
  INDEX(
    SR!$B$2:$D2026,            
    MATCH($A588, SR!$A$2:$A2026, 0),  
    MATCH(I$1, SR!$B$1:$D$1, 0) ), "")
</f>
        <v>-0.002204</v>
      </c>
      <c r="J588" s="9">
        <f t="array" ref="J588">IFERROR(
  INDEX(
    SR!$B$2:$D2026,            
    MATCH($A588, SR!$A$2:$A2026, 0),  
    MATCH(J$1, SR!$B$1:$D$1, 0) ), "")
</f>
        <v>-0.001459</v>
      </c>
      <c r="K588" s="14"/>
      <c r="L588" s="9">
        <v>117.52</v>
      </c>
      <c r="M588" s="9">
        <v>24.51</v>
      </c>
      <c r="N588" s="9">
        <v>114.12</v>
      </c>
      <c r="O588" s="9">
        <v>117.37</v>
      </c>
      <c r="P588" s="9">
        <v>126.04</v>
      </c>
      <c r="Q588" s="9">
        <v>1378.631</v>
      </c>
      <c r="R588" s="14"/>
      <c r="S588" s="12">
        <f t="shared" si="2"/>
        <v>0.000647239382</v>
      </c>
      <c r="T588" s="12">
        <f t="shared" si="3"/>
        <v>1.000647239</v>
      </c>
      <c r="U588" s="16">
        <f t="shared" si="7"/>
        <v>99.73785514</v>
      </c>
      <c r="V588" s="17"/>
      <c r="W588" s="12">
        <f t="array" ref="W588">SQRT(252/20) *  SQRT( SUMSQ( LN(U567:U586 / U566:U585) )  - (1/20) * ( SUM( LN(U567:U586 / U566:U585) ) ^ 2 ) )</f>
        <v>0.01909512471</v>
      </c>
      <c r="X588" s="9">
        <f t="shared" si="4"/>
        <v>1.5</v>
      </c>
      <c r="Y588" s="14"/>
      <c r="Z588" s="12">
        <f t="shared" si="5"/>
        <v>1.000976012</v>
      </c>
      <c r="AA588" s="16">
        <f t="shared" si="8"/>
        <v>99.69910043</v>
      </c>
      <c r="AB588" s="14"/>
      <c r="AC588" s="9">
        <f t="shared" si="6"/>
        <v>0</v>
      </c>
    </row>
    <row r="589">
      <c r="A589" s="8">
        <v>42579.0</v>
      </c>
      <c r="B589" s="14"/>
      <c r="C589" s="9">
        <f t="array" ref="C589">IFERROR(
  INDEX(
    IR!$B$2:$E2026,                
    MATCH($A589, IR!$A$2:$A2026, 0), 
    MATCH(C$1, IR!$B$1:$E$1, 0) ), "")
</f>
        <v>-0.00371</v>
      </c>
      <c r="D589" s="9">
        <f t="array" ref="D589">IFERROR(
  INDEX(
    IR!$B$2:$E2026,                
    MATCH($A589, IR!$A$2:$A2026, 0), 
    MATCH(D$1, IR!$B$1:$E$1, 0) ), "")
</f>
        <v>-0.00296</v>
      </c>
      <c r="E589" s="9">
        <f t="array" ref="E589">IFERROR(
  INDEX(
    IR!$B$2:$E2026,                
    MATCH($A589, IR!$A$2:$A2026, 0), 
    MATCH(E$1, IR!$B$1:$E$1, 0) ), "")
</f>
        <v>-0.00186</v>
      </c>
      <c r="F589" s="9">
        <f t="array" ref="F589">IFERROR(
  INDEX(
    IR!$B$2:$E2026,                
    MATCH($A589, IR!$A$2:$A2026, 0), 
    MATCH(F$1, IR!$B$1:$E$1, 0) ), "")
</f>
        <v>-0.00049</v>
      </c>
      <c r="G589" s="14"/>
      <c r="H589" s="9">
        <f t="array" ref="H589">IFERROR(
  INDEX(
    SR!$B$2:$D2026,            
    MATCH($A589, SR!$A$2:$A2026, 0),  
    MATCH(H$1, SR!$B$1:$D$1, 0) ), "")
</f>
        <v>-0.00216</v>
      </c>
      <c r="I589" s="9">
        <f t="array" ref="I589">IFERROR(
  INDEX(
    SR!$B$2:$D2026,            
    MATCH($A589, SR!$A$2:$A2026, 0),  
    MATCH(I$1, SR!$B$1:$D$1, 0) ), "")
</f>
        <v>-0.002181</v>
      </c>
      <c r="J589" s="9">
        <f t="array" ref="J589">IFERROR(
  INDEX(
    SR!$B$2:$D2026,            
    MATCH($A589, SR!$A$2:$A2026, 0),  
    MATCH(J$1, SR!$B$1:$D$1, 0) ), "")
</f>
        <v>-0.001383</v>
      </c>
      <c r="K589" s="14"/>
      <c r="L589" s="9">
        <v>117.44</v>
      </c>
      <c r="M589" s="9">
        <v>24.5</v>
      </c>
      <c r="N589" s="9">
        <v>114.13</v>
      </c>
      <c r="O589" s="9">
        <v>117.85</v>
      </c>
      <c r="P589" s="9">
        <v>126.19</v>
      </c>
      <c r="Q589" s="9">
        <v>1378.726</v>
      </c>
      <c r="R589" s="14"/>
      <c r="S589" s="12">
        <f t="shared" si="2"/>
        <v>0.0007243059772</v>
      </c>
      <c r="T589" s="12">
        <f t="shared" si="3"/>
        <v>1.000724306</v>
      </c>
      <c r="U589" s="16">
        <f t="shared" si="7"/>
        <v>99.81009587</v>
      </c>
      <c r="V589" s="17"/>
      <c r="W589" s="12">
        <f t="array" ref="W589">SQRT(252/20) *  SQRT( SUMSQ( LN(U568:U587 / U567:U586) )  - (1/20) * ( SUM( LN(U568:U587 / U567:U586) ) ^ 2 ) )</f>
        <v>0.01919717549</v>
      </c>
      <c r="X589" s="9">
        <f t="shared" si="4"/>
        <v>1.5</v>
      </c>
      <c r="Y589" s="14"/>
      <c r="Z589" s="12">
        <f t="shared" si="5"/>
        <v>1.001091612</v>
      </c>
      <c r="AA589" s="16">
        <f t="shared" si="8"/>
        <v>99.80793314</v>
      </c>
      <c r="AB589" s="14"/>
      <c r="AC589" s="9">
        <f t="shared" si="6"/>
        <v>0</v>
      </c>
    </row>
    <row r="590">
      <c r="A590" s="8">
        <v>42580.0</v>
      </c>
      <c r="B590" s="14"/>
      <c r="C590" s="9">
        <f t="array" ref="C590">IFERROR(
  INDEX(
    IR!$B$2:$E2026,                
    MATCH($A590, IR!$A$2:$A2026, 0), 
    MATCH(C$1, IR!$B$1:$E$1, 0) ), "")
</f>
        <v>-0.00371</v>
      </c>
      <c r="D590" s="9">
        <f t="array" ref="D590">IFERROR(
  INDEX(
    IR!$B$2:$E2026,                
    MATCH($A590, IR!$A$2:$A2026, 0), 
    MATCH(D$1, IR!$B$1:$E$1, 0) ), "")
</f>
        <v>-0.00297</v>
      </c>
      <c r="E590" s="9">
        <f t="array" ref="E590">IFERROR(
  INDEX(
    IR!$B$2:$E2026,                
    MATCH($A590, IR!$A$2:$A2026, 0), 
    MATCH(E$1, IR!$B$1:$E$1, 0) ), "")
</f>
        <v>-0.00186</v>
      </c>
      <c r="F590" s="9">
        <f t="array" ref="F590">IFERROR(
  INDEX(
    IR!$B$2:$E2026,                
    MATCH($A590, IR!$A$2:$A2026, 0), 
    MATCH(F$1, IR!$B$1:$E$1, 0) ), "")
</f>
        <v>-0.00049</v>
      </c>
      <c r="G590" s="14"/>
      <c r="H590" s="9">
        <f t="array" ref="H590">IFERROR(
  INDEX(
    SR!$B$2:$D2026,            
    MATCH($A590, SR!$A$2:$A2026, 0),  
    MATCH(H$1, SR!$B$1:$D$1, 0) ), "")
</f>
        <v>-0.002174</v>
      </c>
      <c r="I590" s="9">
        <f t="array" ref="I590">IFERROR(
  INDEX(
    SR!$B$2:$D2026,            
    MATCH($A590, SR!$A$2:$A2026, 0),  
    MATCH(I$1, SR!$B$1:$D$1, 0) ), "")
</f>
        <v>-0.002173</v>
      </c>
      <c r="J590" s="9">
        <f t="array" ref="J590">IFERROR(
  INDEX(
    SR!$B$2:$D2026,            
    MATCH($A590, SR!$A$2:$A2026, 0),  
    MATCH(J$1, SR!$B$1:$D$1, 0) ), "")
</f>
        <v>-0.00152</v>
      </c>
      <c r="K590" s="14"/>
      <c r="L590" s="9">
        <v>117.6</v>
      </c>
      <c r="M590" s="9">
        <v>24.5</v>
      </c>
      <c r="N590" s="9">
        <v>114.12</v>
      </c>
      <c r="O590" s="9">
        <v>117.68</v>
      </c>
      <c r="P590" s="9">
        <v>126.05</v>
      </c>
      <c r="Q590" s="9">
        <v>1379.9664</v>
      </c>
      <c r="R590" s="14"/>
      <c r="S590" s="12">
        <f t="shared" si="2"/>
        <v>-0.0000628015715</v>
      </c>
      <c r="T590" s="12">
        <f t="shared" si="3"/>
        <v>0.9999371984</v>
      </c>
      <c r="U590" s="16">
        <f t="shared" si="7"/>
        <v>99.80382764</v>
      </c>
      <c r="V590" s="17"/>
      <c r="W590" s="12">
        <f t="array" ref="W590">SQRT(252/20) *  SQRT( SUMSQ( LN(U569:U588 / U568:U587) )  - (1/20) * ( SUM( LN(U569:U588 / U568:U587) ) ^ 2 ) )</f>
        <v>0.01765634209</v>
      </c>
      <c r="X590" s="9">
        <f t="shared" si="4"/>
        <v>1.5</v>
      </c>
      <c r="Y590" s="14"/>
      <c r="Z590" s="12">
        <f t="shared" si="5"/>
        <v>0.9999109504</v>
      </c>
      <c r="AA590" s="16">
        <f t="shared" si="8"/>
        <v>99.79904528</v>
      </c>
      <c r="AB590" s="14"/>
      <c r="AC590" s="9">
        <f t="shared" si="6"/>
        <v>0</v>
      </c>
    </row>
    <row r="591">
      <c r="A591" s="8">
        <v>42583.0</v>
      </c>
      <c r="B591" s="14"/>
      <c r="C591" s="9">
        <f t="array" ref="C591">IFERROR(
  INDEX(
    IR!$B$2:$E2026,                
    MATCH($A591, IR!$A$2:$A2026, 0), 
    MATCH(C$1, IR!$B$1:$E$1, 0) ), "")
</f>
        <v>-0.00371</v>
      </c>
      <c r="D591" s="9">
        <f t="array" ref="D591">IFERROR(
  INDEX(
    IR!$B$2:$E2026,                
    MATCH($A591, IR!$A$2:$A2026, 0), 
    MATCH(D$1, IR!$B$1:$E$1, 0) ), "")
</f>
        <v>-0.00297</v>
      </c>
      <c r="E591" s="9">
        <f t="array" ref="E591">IFERROR(
  INDEX(
    IR!$B$2:$E2026,                
    MATCH($A591, IR!$A$2:$A2026, 0), 
    MATCH(E$1, IR!$B$1:$E$1, 0) ), "")
</f>
        <v>-0.00186</v>
      </c>
      <c r="F591" s="9">
        <f t="array" ref="F591">IFERROR(
  INDEX(
    IR!$B$2:$E2026,                
    MATCH($A591, IR!$A$2:$A2026, 0), 
    MATCH(F$1, IR!$B$1:$E$1, 0) ), "")
</f>
        <v>-0.00048</v>
      </c>
      <c r="G591" s="14"/>
      <c r="H591" s="9">
        <f t="array" ref="H591">IFERROR(
  INDEX(
    SR!$B$2:$D2026,            
    MATCH($A591, SR!$A$2:$A2026, 0),  
    MATCH(H$1, SR!$B$1:$D$1, 0) ), "")
</f>
        <v>-0.00215</v>
      </c>
      <c r="I591" s="9">
        <f t="array" ref="I591">IFERROR(
  INDEX(
    SR!$B$2:$D2026,            
    MATCH($A591, SR!$A$2:$A2026, 0),  
    MATCH(I$1, SR!$B$1:$D$1, 0) ), "")
</f>
        <v>-0.002126</v>
      </c>
      <c r="J591" s="9">
        <f t="array" ref="J591">IFERROR(
  INDEX(
    SR!$B$2:$D2026,            
    MATCH($A591, SR!$A$2:$A2026, 0),  
    MATCH(J$1, SR!$B$1:$D$1, 0) ), "")
</f>
        <v>-0.0014</v>
      </c>
      <c r="K591" s="14"/>
      <c r="L591" s="9">
        <v>117.72</v>
      </c>
      <c r="M591" s="9">
        <v>24.49</v>
      </c>
      <c r="N591" s="9">
        <v>114.14</v>
      </c>
      <c r="O591" s="9">
        <v>118.05</v>
      </c>
      <c r="P591" s="9">
        <v>126.04</v>
      </c>
      <c r="Q591" s="9">
        <v>1380.101</v>
      </c>
      <c r="R591" s="14"/>
      <c r="S591" s="12">
        <f t="shared" si="2"/>
        <v>0.0006580503776</v>
      </c>
      <c r="T591" s="12">
        <f t="shared" si="3"/>
        <v>1.00065805</v>
      </c>
      <c r="U591" s="16">
        <f t="shared" si="7"/>
        <v>99.86950358</v>
      </c>
      <c r="V591" s="17"/>
      <c r="W591" s="12">
        <f t="array" ref="W591">SQRT(252/20) *  SQRT( SUMSQ( LN(U570:U589 / U569:U588) )  - (1/20) * ( SUM( LN(U570:U589 / U569:U588) ) ^ 2 ) )</f>
        <v>0.01678847772</v>
      </c>
      <c r="X591" s="9">
        <f t="shared" si="4"/>
        <v>1.5</v>
      </c>
      <c r="Y591" s="14"/>
      <c r="Z591" s="12">
        <f t="shared" si="5"/>
        <v>1.001002534</v>
      </c>
      <c r="AA591" s="16">
        <f t="shared" si="8"/>
        <v>99.89909721</v>
      </c>
      <c r="AB591" s="14"/>
      <c r="AC591" s="9">
        <f t="shared" si="6"/>
        <v>0</v>
      </c>
    </row>
    <row r="592">
      <c r="A592" s="8">
        <v>42584.0</v>
      </c>
      <c r="B592" s="14"/>
      <c r="C592" s="9">
        <f t="array" ref="C592">IFERROR(
  INDEX(
    IR!$B$2:$E2026,                
    MATCH($A592, IR!$A$2:$A2026, 0), 
    MATCH(C$1, IR!$B$1:$E$1, 0) ), "")
</f>
        <v>-0.00371</v>
      </c>
      <c r="D592" s="9">
        <f t="array" ref="D592">IFERROR(
  INDEX(
    IR!$B$2:$E2026,                
    MATCH($A592, IR!$A$2:$A2026, 0), 
    MATCH(D$1, IR!$B$1:$E$1, 0) ), "")
</f>
        <v>-0.00298</v>
      </c>
      <c r="E592" s="9">
        <f t="array" ref="E592">IFERROR(
  INDEX(
    IR!$B$2:$E2026,                
    MATCH($A592, IR!$A$2:$A2026, 0), 
    MATCH(E$1, IR!$B$1:$E$1, 0) ), "")
</f>
        <v>-0.00184</v>
      </c>
      <c r="F592" s="9">
        <f t="array" ref="F592">IFERROR(
  INDEX(
    IR!$B$2:$E2026,                
    MATCH($A592, IR!$A$2:$A2026, 0), 
    MATCH(F$1, IR!$B$1:$E$1, 0) ), "")
</f>
        <v>-0.00048</v>
      </c>
      <c r="G592" s="14"/>
      <c r="H592" s="9">
        <f t="array" ref="H592">IFERROR(
  INDEX(
    SR!$B$2:$D2026,            
    MATCH($A592, SR!$A$2:$A2026, 0),  
    MATCH(H$1, SR!$B$1:$D$1, 0) ), "")
</f>
        <v>-0.00202</v>
      </c>
      <c r="I592" s="9">
        <f t="array" ref="I592">IFERROR(
  INDEX(
    SR!$B$2:$D2026,            
    MATCH($A592, SR!$A$2:$A2026, 0),  
    MATCH(I$1, SR!$B$1:$D$1, 0) ), "")
</f>
        <v>-0.00195</v>
      </c>
      <c r="J592" s="9">
        <f t="array" ref="J592">IFERROR(
  INDEX(
    SR!$B$2:$D2026,            
    MATCH($A592, SR!$A$2:$A2026, 0),  
    MATCH(J$1, SR!$B$1:$D$1, 0) ), "")
</f>
        <v>-0.001105</v>
      </c>
      <c r="K592" s="14"/>
      <c r="L592" s="9">
        <v>117.37</v>
      </c>
      <c r="M592" s="9">
        <v>24.49</v>
      </c>
      <c r="N592" s="9">
        <v>114.14</v>
      </c>
      <c r="O592" s="9">
        <v>117.87</v>
      </c>
      <c r="P592" s="9">
        <v>126.03</v>
      </c>
      <c r="Q592" s="9">
        <v>1379.3383</v>
      </c>
      <c r="R592" s="14"/>
      <c r="S592" s="12">
        <f t="shared" si="2"/>
        <v>-0.0008546990838</v>
      </c>
      <c r="T592" s="12">
        <f t="shared" si="3"/>
        <v>0.9991453009</v>
      </c>
      <c r="U592" s="16">
        <f t="shared" si="7"/>
        <v>99.78414521</v>
      </c>
      <c r="V592" s="17"/>
      <c r="W592" s="12">
        <f t="array" ref="W592">SQRT(252/20) *  SQRT( SUMSQ( LN(U571:U590 / U570:U589) )  - (1/20) * ( SUM( LN(U571:U590 / U570:U589) ) ^ 2 ) )</f>
        <v>0.01646160733</v>
      </c>
      <c r="X592" s="9">
        <f t="shared" si="4"/>
        <v>1.5</v>
      </c>
      <c r="Y592" s="14"/>
      <c r="Z592" s="12">
        <f t="shared" si="5"/>
        <v>0.9987231042</v>
      </c>
      <c r="AA592" s="16">
        <f t="shared" si="8"/>
        <v>99.77153647</v>
      </c>
      <c r="AB592" s="14"/>
      <c r="AC592" s="9">
        <f t="shared" si="6"/>
        <v>0</v>
      </c>
    </row>
    <row r="593">
      <c r="A593" s="8">
        <v>42585.0</v>
      </c>
      <c r="B593" s="14"/>
      <c r="C593" s="9">
        <f t="array" ref="C593">IFERROR(
  INDEX(
    IR!$B$2:$E2026,                
    MATCH($A593, IR!$A$2:$A2026, 0), 
    MATCH(C$1, IR!$B$1:$E$1, 0) ), "")
</f>
        <v>-0.00371</v>
      </c>
      <c r="D593" s="9">
        <f t="array" ref="D593">IFERROR(
  INDEX(
    IR!$B$2:$E2026,                
    MATCH($A593, IR!$A$2:$A2026, 0), 
    MATCH(D$1, IR!$B$1:$E$1, 0) ), "")
</f>
        <v>-0.00299</v>
      </c>
      <c r="E593" s="9">
        <f t="array" ref="E593">IFERROR(
  INDEX(
    IR!$B$2:$E2026,                
    MATCH($A593, IR!$A$2:$A2026, 0), 
    MATCH(E$1, IR!$B$1:$E$1, 0) ), "")
</f>
        <v>-0.00183</v>
      </c>
      <c r="F593" s="9">
        <f t="array" ref="F593">IFERROR(
  INDEX(
    IR!$B$2:$E2026,                
    MATCH($A593, IR!$A$2:$A2026, 0), 
    MATCH(F$1, IR!$B$1:$E$1, 0) ), "")
</f>
        <v>-0.00047</v>
      </c>
      <c r="G593" s="14"/>
      <c r="H593" s="9">
        <f t="array" ref="H593">IFERROR(
  INDEX(
    SR!$B$2:$D2026,            
    MATCH($A593, SR!$A$2:$A2026, 0),  
    MATCH(H$1, SR!$B$1:$D$1, 0) ), "")
</f>
        <v>-0.00201</v>
      </c>
      <c r="I593" s="9">
        <f t="array" ref="I593">IFERROR(
  INDEX(
    SR!$B$2:$D2026,            
    MATCH($A593, SR!$A$2:$A2026, 0),  
    MATCH(I$1, SR!$B$1:$D$1, 0) ), "")
</f>
        <v>-0.001973</v>
      </c>
      <c r="J593" s="9">
        <f t="array" ref="J593">IFERROR(
  INDEX(
    SR!$B$2:$D2026,            
    MATCH($A593, SR!$A$2:$A2026, 0),  
    MATCH(J$1, SR!$B$1:$D$1, 0) ), "")
</f>
        <v>-0.00121</v>
      </c>
      <c r="K593" s="14"/>
      <c r="L593" s="9">
        <v>117.25</v>
      </c>
      <c r="M593" s="9">
        <v>24.49</v>
      </c>
      <c r="N593" s="9">
        <v>114.11</v>
      </c>
      <c r="O593" s="9">
        <v>116.6</v>
      </c>
      <c r="P593" s="9">
        <v>125.5</v>
      </c>
      <c r="Q593" s="9">
        <v>1370.8319</v>
      </c>
      <c r="R593" s="14"/>
      <c r="S593" s="12">
        <f t="shared" si="2"/>
        <v>-0.003737819221</v>
      </c>
      <c r="T593" s="12">
        <f t="shared" si="3"/>
        <v>0.9962621808</v>
      </c>
      <c r="U593" s="16">
        <f t="shared" si="7"/>
        <v>99.41117011</v>
      </c>
      <c r="V593" s="17"/>
      <c r="W593" s="12">
        <f t="array" ref="W593">SQRT(252/20) *  SQRT( SUMSQ( LN(U572:U591 / U571:U590) )  - (1/20) * ( SUM( LN(U572:U591 / U571:U590) ) ^ 2 ) )</f>
        <v>0.01644559763</v>
      </c>
      <c r="X593" s="9">
        <f t="shared" si="4"/>
        <v>1.5</v>
      </c>
      <c r="Y593" s="14"/>
      <c r="Z593" s="12">
        <f t="shared" si="5"/>
        <v>0.9943984239</v>
      </c>
      <c r="AA593" s="16">
        <f t="shared" si="8"/>
        <v>99.21265862</v>
      </c>
      <c r="AB593" s="14"/>
      <c r="AC593" s="9">
        <f t="shared" si="6"/>
        <v>0</v>
      </c>
    </row>
    <row r="594">
      <c r="A594" s="8">
        <v>42586.0</v>
      </c>
      <c r="B594" s="14"/>
      <c r="C594" s="9">
        <f t="array" ref="C594">IFERROR(
  INDEX(
    IR!$B$2:$E2026,                
    MATCH($A594, IR!$A$2:$A2026, 0), 
    MATCH(C$1, IR!$B$1:$E$1, 0) ), "")
</f>
        <v>-0.0037</v>
      </c>
      <c r="D594" s="9">
        <f t="array" ref="D594">IFERROR(
  INDEX(
    IR!$B$2:$E2026,                
    MATCH($A594, IR!$A$2:$A2026, 0), 
    MATCH(D$1, IR!$B$1:$E$1, 0) ), "")
</f>
        <v>-0.00298</v>
      </c>
      <c r="E594" s="9">
        <f t="array" ref="E594">IFERROR(
  INDEX(
    IR!$B$2:$E2026,                
    MATCH($A594, IR!$A$2:$A2026, 0), 
    MATCH(E$1, IR!$B$1:$E$1, 0) ), "")
</f>
        <v>-0.00183</v>
      </c>
      <c r="F594" s="9">
        <f t="array" ref="F594">IFERROR(
  INDEX(
    IR!$B$2:$E2026,                
    MATCH($A594, IR!$A$2:$A2026, 0), 
    MATCH(F$1, IR!$B$1:$E$1, 0) ), "")
</f>
        <v>-0.00045</v>
      </c>
      <c r="G594" s="14"/>
      <c r="H594" s="9">
        <f t="array" ref="H594">IFERROR(
  INDEX(
    SR!$B$2:$D2026,            
    MATCH($A594, SR!$A$2:$A2026, 0),  
    MATCH(H$1, SR!$B$1:$D$1, 0) ), "")
</f>
        <v>-0.00218</v>
      </c>
      <c r="I594" s="9">
        <f t="array" ref="I594">IFERROR(
  INDEX(
    SR!$B$2:$D2026,            
    MATCH($A594, SR!$A$2:$A2026, 0),  
    MATCH(I$1, SR!$B$1:$D$1, 0) ), "")
</f>
        <v>-0.002161</v>
      </c>
      <c r="J594" s="9">
        <f t="array" ref="J594">IFERROR(
  INDEX(
    SR!$B$2:$D2026,            
    MATCH($A594, SR!$A$2:$A2026, 0),  
    MATCH(J$1, SR!$B$1:$D$1, 0) ), "")
</f>
        <v>-0.00144</v>
      </c>
      <c r="K594" s="14"/>
      <c r="L594" s="9">
        <v>117.62</v>
      </c>
      <c r="M594" s="9">
        <v>24.5</v>
      </c>
      <c r="N594" s="9">
        <v>114.12</v>
      </c>
      <c r="O594" s="9">
        <v>116.62</v>
      </c>
      <c r="P594" s="9">
        <v>125.62</v>
      </c>
      <c r="Q594" s="9">
        <v>1373.7072</v>
      </c>
      <c r="R594" s="14"/>
      <c r="S594" s="12">
        <f t="shared" si="2"/>
        <v>0.00114588502</v>
      </c>
      <c r="T594" s="12">
        <f t="shared" si="3"/>
        <v>1.001145885</v>
      </c>
      <c r="U594" s="16">
        <f t="shared" si="7"/>
        <v>99.52508389</v>
      </c>
      <c r="V594" s="17"/>
      <c r="W594" s="12">
        <f t="array" ref="W594">SQRT(252/20) *  SQRT( SUMSQ( LN(U573:U592 / U572:U591) )  - (1/20) * ( SUM( LN(U573:U592 / U572:U591) ) ^ 2 ) )</f>
        <v>0.01654243628</v>
      </c>
      <c r="X594" s="9">
        <f t="shared" si="4"/>
        <v>1.5</v>
      </c>
      <c r="Y594" s="14"/>
      <c r="Z594" s="12">
        <f t="shared" si="5"/>
        <v>1.00172398</v>
      </c>
      <c r="AA594" s="16">
        <f t="shared" si="8"/>
        <v>99.38369929</v>
      </c>
      <c r="AB594" s="14"/>
      <c r="AC594" s="9">
        <f t="shared" si="6"/>
        <v>0</v>
      </c>
    </row>
    <row r="595">
      <c r="A595" s="8">
        <v>42587.0</v>
      </c>
      <c r="B595" s="14"/>
      <c r="C595" s="9">
        <f t="array" ref="C595">IFERROR(
  INDEX(
    IR!$B$2:$E2026,                
    MATCH($A595, IR!$A$2:$A2026, 0), 
    MATCH(C$1, IR!$B$1:$E$1, 0) ), "")
</f>
        <v>-0.0037</v>
      </c>
      <c r="D595" s="9">
        <f t="array" ref="D595">IFERROR(
  INDEX(
    IR!$B$2:$E2026,                
    MATCH($A595, IR!$A$2:$A2026, 0), 
    MATCH(D$1, IR!$B$1:$E$1, 0) ), "")
</f>
        <v>-0.00298</v>
      </c>
      <c r="E595" s="9">
        <f t="array" ref="E595">IFERROR(
  INDEX(
    IR!$B$2:$E2026,                
    MATCH($A595, IR!$A$2:$A2026, 0), 
    MATCH(E$1, IR!$B$1:$E$1, 0) ), "")
</f>
        <v>-0.00185</v>
      </c>
      <c r="F595" s="9">
        <f t="array" ref="F595">IFERROR(
  INDEX(
    IR!$B$2:$E2026,                
    MATCH($A595, IR!$A$2:$A2026, 0), 
    MATCH(F$1, IR!$B$1:$E$1, 0) ), "")
</f>
        <v>-0.00047</v>
      </c>
      <c r="G595" s="14"/>
      <c r="H595" s="9">
        <f t="array" ref="H595">IFERROR(
  INDEX(
    SR!$B$2:$D2026,            
    MATCH($A595, SR!$A$2:$A2026, 0),  
    MATCH(H$1, SR!$B$1:$D$1, 0) ), "")
</f>
        <v>-0.00214</v>
      </c>
      <c r="I595" s="9">
        <f t="array" ref="I595">IFERROR(
  INDEX(
    SR!$B$2:$D2026,            
    MATCH($A595, SR!$A$2:$A2026, 0),  
    MATCH(I$1, SR!$B$1:$D$1, 0) ), "")
</f>
        <v>-0.002089</v>
      </c>
      <c r="J595" s="9">
        <f t="array" ref="J595">IFERROR(
  INDEX(
    SR!$B$2:$D2026,            
    MATCH($A595, SR!$A$2:$A2026, 0),  
    MATCH(J$1, SR!$B$1:$D$1, 0) ), "")
</f>
        <v>-0.001283</v>
      </c>
      <c r="K595" s="14"/>
      <c r="L595" s="9">
        <v>117.89</v>
      </c>
      <c r="M595" s="9">
        <v>24.51</v>
      </c>
      <c r="N595" s="9">
        <v>114.14</v>
      </c>
      <c r="O595" s="9">
        <v>117.34</v>
      </c>
      <c r="P595" s="9">
        <v>125.94</v>
      </c>
      <c r="Q595" s="9">
        <v>1377.4663</v>
      </c>
      <c r="R595" s="14"/>
      <c r="S595" s="12">
        <f t="shared" si="2"/>
        <v>0.002388763258</v>
      </c>
      <c r="T595" s="12">
        <f t="shared" si="3"/>
        <v>1.002388763</v>
      </c>
      <c r="U595" s="16">
        <f t="shared" si="7"/>
        <v>99.76282575</v>
      </c>
      <c r="V595" s="17"/>
      <c r="W595" s="12">
        <f t="array" ref="W595">SQRT(252/20) *  SQRT( SUMSQ( LN(U574:U593 / U573:U592) )  - (1/20) * ( SUM( LN(U574:U593 / U573:U592) ) ^ 2 ) )</f>
        <v>0.01957966836</v>
      </c>
      <c r="X595" s="9">
        <f t="shared" si="4"/>
        <v>1.5</v>
      </c>
      <c r="Y595" s="14"/>
      <c r="Z595" s="12">
        <f t="shared" si="5"/>
        <v>1.003588284</v>
      </c>
      <c r="AA595" s="16">
        <f t="shared" si="8"/>
        <v>99.7403162</v>
      </c>
      <c r="AB595" s="14"/>
      <c r="AC595" s="9">
        <f t="shared" si="6"/>
        <v>0</v>
      </c>
    </row>
    <row r="596">
      <c r="A596" s="8">
        <v>42590.0</v>
      </c>
      <c r="B596" s="14"/>
      <c r="C596" s="9">
        <f t="array" ref="C596">IFERROR(
  INDEX(
    IR!$B$2:$E2026,                
    MATCH($A596, IR!$A$2:$A2026, 0), 
    MATCH(C$1, IR!$B$1:$E$1, 0) ), "")
</f>
        <v>-0.00369</v>
      </c>
      <c r="D596" s="9">
        <f t="array" ref="D596">IFERROR(
  INDEX(
    IR!$B$2:$E2026,                
    MATCH($A596, IR!$A$2:$A2026, 0), 
    MATCH(D$1, IR!$B$1:$E$1, 0) ), "")
</f>
        <v>-0.00298</v>
      </c>
      <c r="E596" s="9">
        <f t="array" ref="E596">IFERROR(
  INDEX(
    IR!$B$2:$E2026,                
    MATCH($A596, IR!$A$2:$A2026, 0), 
    MATCH(E$1, IR!$B$1:$E$1, 0) ), "")
</f>
        <v>-0.00185</v>
      </c>
      <c r="F596" s="9">
        <f t="array" ref="F596">IFERROR(
  INDEX(
    IR!$B$2:$E2026,                
    MATCH($A596, IR!$A$2:$A2026, 0), 
    MATCH(F$1, IR!$B$1:$E$1, 0) ), "")
</f>
        <v>-0.00046</v>
      </c>
      <c r="G596" s="14"/>
      <c r="H596" s="9">
        <f t="array" ref="H596">IFERROR(
  INDEX(
    SR!$B$2:$D2026,            
    MATCH($A596, SR!$A$2:$A2026, 0),  
    MATCH(H$1, SR!$B$1:$D$1, 0) ), "")
</f>
        <v>-0.00215</v>
      </c>
      <c r="I596" s="9">
        <f t="array" ref="I596">IFERROR(
  INDEX(
    SR!$B$2:$D2026,            
    MATCH($A596, SR!$A$2:$A2026, 0),  
    MATCH(I$1, SR!$B$1:$D$1, 0) ), "")
</f>
        <v>-0.00214</v>
      </c>
      <c r="J596" s="9">
        <f t="array" ref="J596">IFERROR(
  INDEX(
    SR!$B$2:$D2026,            
    MATCH($A596, SR!$A$2:$A2026, 0),  
    MATCH(J$1, SR!$B$1:$D$1, 0) ), "")
</f>
        <v>-0.001343</v>
      </c>
      <c r="K596" s="14"/>
      <c r="L596" s="9">
        <v>117.97</v>
      </c>
      <c r="M596" s="9">
        <v>24.51</v>
      </c>
      <c r="N596" s="9">
        <v>114.19</v>
      </c>
      <c r="O596" s="9">
        <v>117.66</v>
      </c>
      <c r="P596" s="9">
        <v>126.12</v>
      </c>
      <c r="Q596" s="9">
        <v>1383.0214</v>
      </c>
      <c r="R596" s="14"/>
      <c r="S596" s="12">
        <f t="shared" si="2"/>
        <v>0.001550760585</v>
      </c>
      <c r="T596" s="12">
        <f t="shared" si="3"/>
        <v>1.001550761</v>
      </c>
      <c r="U596" s="16">
        <f t="shared" si="7"/>
        <v>99.91753401</v>
      </c>
      <c r="V596" s="17"/>
      <c r="W596" s="12">
        <f t="array" ref="W596">SQRT(252/20) *  SQRT( SUMSQ( LN(U575:U594 / U574:U593) )  - (1/20) * ( SUM( LN(U575:U594 / U574:U593) ) ^ 2 ) )</f>
        <v>0.01935317059</v>
      </c>
      <c r="X596" s="9">
        <f t="shared" si="4"/>
        <v>1.5</v>
      </c>
      <c r="Y596" s="14"/>
      <c r="Z596" s="12">
        <f t="shared" si="5"/>
        <v>1.002341558</v>
      </c>
      <c r="AA596" s="16">
        <f t="shared" si="8"/>
        <v>99.97386389</v>
      </c>
      <c r="AB596" s="14"/>
      <c r="AC596" s="9">
        <f t="shared" si="6"/>
        <v>0</v>
      </c>
    </row>
    <row r="597">
      <c r="A597" s="8">
        <v>42591.0</v>
      </c>
      <c r="B597" s="14"/>
      <c r="C597" s="9">
        <f t="array" ref="C597">IFERROR(
  INDEX(
    IR!$B$2:$E2026,                
    MATCH($A597, IR!$A$2:$A2026, 0), 
    MATCH(C$1, IR!$B$1:$E$1, 0) ), "")
</f>
        <v>-0.00369</v>
      </c>
      <c r="D597" s="9">
        <f t="array" ref="D597">IFERROR(
  INDEX(
    IR!$B$2:$E2026,                
    MATCH($A597, IR!$A$2:$A2026, 0), 
    MATCH(D$1, IR!$B$1:$E$1, 0) ), "")
</f>
        <v>-0.00298</v>
      </c>
      <c r="E597" s="9">
        <f t="array" ref="E597">IFERROR(
  INDEX(
    IR!$B$2:$E2026,                
    MATCH($A597, IR!$A$2:$A2026, 0), 
    MATCH(E$1, IR!$B$1:$E$1, 0) ), "")
</f>
        <v>-0.00187</v>
      </c>
      <c r="F597" s="9">
        <f t="array" ref="F597">IFERROR(
  INDEX(
    IR!$B$2:$E2026,                
    MATCH($A597, IR!$A$2:$A2026, 0), 
    MATCH(F$1, IR!$B$1:$E$1, 0) ), "")
</f>
        <v>-0.00047</v>
      </c>
      <c r="G597" s="14"/>
      <c r="H597" s="9">
        <f t="array" ref="H597">IFERROR(
  INDEX(
    SR!$B$2:$D2026,            
    MATCH($A597, SR!$A$2:$A2026, 0),  
    MATCH(H$1, SR!$B$1:$D$1, 0) ), "")
</f>
        <v>-0.00223</v>
      </c>
      <c r="I597" s="9">
        <f t="array" ref="I597">IFERROR(
  INDEX(
    SR!$B$2:$D2026,            
    MATCH($A597, SR!$A$2:$A2026, 0),  
    MATCH(I$1, SR!$B$1:$D$1, 0) ), "")
</f>
        <v>-0.002188</v>
      </c>
      <c r="J597" s="9">
        <f t="array" ref="J597">IFERROR(
  INDEX(
    SR!$B$2:$D2026,            
    MATCH($A597, SR!$A$2:$A2026, 0),  
    MATCH(J$1, SR!$B$1:$D$1, 0) ), "")
</f>
        <v>-0.001465</v>
      </c>
      <c r="K597" s="14"/>
      <c r="L597" s="9">
        <v>118.23</v>
      </c>
      <c r="M597" s="9">
        <v>24.51</v>
      </c>
      <c r="N597" s="9">
        <v>114.19</v>
      </c>
      <c r="O597" s="9">
        <v>118.0</v>
      </c>
      <c r="P597" s="9">
        <v>126.29</v>
      </c>
      <c r="Q597" s="9">
        <v>1383.7003</v>
      </c>
      <c r="R597" s="14"/>
      <c r="S597" s="12">
        <f t="shared" si="2"/>
        <v>0.001154993039</v>
      </c>
      <c r="T597" s="12">
        <f t="shared" si="3"/>
        <v>1.001154993</v>
      </c>
      <c r="U597" s="16">
        <f t="shared" si="7"/>
        <v>100.0329381</v>
      </c>
      <c r="V597" s="17"/>
      <c r="W597" s="12">
        <f t="array" ref="W597">SQRT(252/20) *  SQRT( SUMSQ( LN(U576:U595 / U575:U594) )  - (1/20) * ( SUM( LN(U576:U595 / U575:U594) ) ^ 2 ) )</f>
        <v>0.02054096415</v>
      </c>
      <c r="X597" s="9">
        <f t="shared" si="4"/>
        <v>1.5</v>
      </c>
      <c r="Y597" s="14"/>
      <c r="Z597" s="12">
        <f t="shared" si="5"/>
        <v>1.001737615</v>
      </c>
      <c r="AA597" s="16">
        <f t="shared" si="8"/>
        <v>100.1475799</v>
      </c>
      <c r="AB597" s="14"/>
      <c r="AC597" s="9">
        <f t="shared" si="6"/>
        <v>0</v>
      </c>
    </row>
    <row r="598">
      <c r="A598" s="8">
        <v>42592.0</v>
      </c>
      <c r="B598" s="14"/>
      <c r="C598" s="9">
        <f t="array" ref="C598">IFERROR(
  INDEX(
    IR!$B$2:$E2026,                
    MATCH($A598, IR!$A$2:$A2026, 0), 
    MATCH(C$1, IR!$B$1:$E$1, 0) ), "")
</f>
        <v>-0.00369</v>
      </c>
      <c r="D598" s="9">
        <f t="array" ref="D598">IFERROR(
  INDEX(
    IR!$B$2:$E2026,                
    MATCH($A598, IR!$A$2:$A2026, 0), 
    MATCH(D$1, IR!$B$1:$E$1, 0) ), "")
</f>
        <v>-0.00297</v>
      </c>
      <c r="E598" s="9">
        <f t="array" ref="E598">IFERROR(
  INDEX(
    IR!$B$2:$E2026,                
    MATCH($A598, IR!$A$2:$A2026, 0), 
    MATCH(E$1, IR!$B$1:$E$1, 0) ), "")
</f>
        <v>-0.00188</v>
      </c>
      <c r="F598" s="9">
        <f t="array" ref="F598">IFERROR(
  INDEX(
    IR!$B$2:$E2026,                
    MATCH($A598, IR!$A$2:$A2026, 0), 
    MATCH(F$1, IR!$B$1:$E$1, 0) ), "")
</f>
        <v>-0.00048</v>
      </c>
      <c r="G598" s="14"/>
      <c r="H598" s="9">
        <f t="array" ref="H598">IFERROR(
  INDEX(
    SR!$B$2:$D2026,            
    MATCH($A598, SR!$A$2:$A2026, 0),  
    MATCH(H$1, SR!$B$1:$D$1, 0) ), "")
</f>
        <v>-0.00234</v>
      </c>
      <c r="I598" s="9">
        <f t="array" ref="I598">IFERROR(
  INDEX(
    SR!$B$2:$D2026,            
    MATCH($A598, SR!$A$2:$A2026, 0),  
    MATCH(I$1, SR!$B$1:$D$1, 0) ), "")
</f>
        <v>-0.00233</v>
      </c>
      <c r="J598" s="9">
        <f t="array" ref="J598">IFERROR(
  INDEX(
    SR!$B$2:$D2026,            
    MATCH($A598, SR!$A$2:$A2026, 0),  
    MATCH(J$1, SR!$B$1:$D$1, 0) ), "")
</f>
        <v>-0.0017</v>
      </c>
      <c r="K598" s="14"/>
      <c r="L598" s="9">
        <v>118.14</v>
      </c>
      <c r="M598" s="9">
        <v>24.51</v>
      </c>
      <c r="N598" s="9">
        <v>114.22</v>
      </c>
      <c r="O598" s="9">
        <v>119.1</v>
      </c>
      <c r="P598" s="9">
        <v>126.82</v>
      </c>
      <c r="Q598" s="9">
        <v>1388.1493</v>
      </c>
      <c r="R598" s="14"/>
      <c r="S598" s="12">
        <f t="shared" si="2"/>
        <v>0.002705157096</v>
      </c>
      <c r="T598" s="12">
        <f t="shared" si="3"/>
        <v>1.002705157</v>
      </c>
      <c r="U598" s="16">
        <f t="shared" si="7"/>
        <v>100.3035429</v>
      </c>
      <c r="V598" s="17"/>
      <c r="W598" s="12">
        <f t="array" ref="W598">SQRT(252/20) *  SQRT( SUMSQ( LN(U577:U596 / U576:U595) )  - (1/20) * ( SUM( LN(U577:U596 / U576:U595) ) ^ 2 ) )</f>
        <v>0.01890139416</v>
      </c>
      <c r="X598" s="9">
        <f t="shared" si="4"/>
        <v>1.5</v>
      </c>
      <c r="Y598" s="14"/>
      <c r="Z598" s="12">
        <f t="shared" si="5"/>
        <v>1.004062861</v>
      </c>
      <c r="AA598" s="16">
        <f t="shared" si="8"/>
        <v>100.5544656</v>
      </c>
      <c r="AB598" s="14"/>
      <c r="AC598" s="9">
        <f t="shared" si="6"/>
        <v>0</v>
      </c>
    </row>
    <row r="599">
      <c r="A599" s="8">
        <v>42593.0</v>
      </c>
      <c r="B599" s="14"/>
      <c r="C599" s="9">
        <f t="array" ref="C599">IFERROR(
  INDEX(
    IR!$B$2:$E2026,                
    MATCH($A599, IR!$A$2:$A2026, 0), 
    MATCH(C$1, IR!$B$1:$E$1, 0) ), "")
</f>
        <v>-0.00369</v>
      </c>
      <c r="D599" s="9">
        <f t="array" ref="D599">IFERROR(
  INDEX(
    IR!$B$2:$E2026,                
    MATCH($A599, IR!$A$2:$A2026, 0), 
    MATCH(D$1, IR!$B$1:$E$1, 0) ), "")
</f>
        <v>-0.00299</v>
      </c>
      <c r="E599" s="9">
        <f t="array" ref="E599">IFERROR(
  INDEX(
    IR!$B$2:$E2026,                
    MATCH($A599, IR!$A$2:$A2026, 0), 
    MATCH(E$1, IR!$B$1:$E$1, 0) ), "")
</f>
        <v>-0.00189</v>
      </c>
      <c r="F599" s="9">
        <f t="array" ref="F599">IFERROR(
  INDEX(
    IR!$B$2:$E2026,                
    MATCH($A599, IR!$A$2:$A2026, 0), 
    MATCH(F$1, IR!$B$1:$E$1, 0) ), "")
</f>
        <v>-0.00049</v>
      </c>
      <c r="G599" s="14"/>
      <c r="H599" s="9">
        <f t="array" ref="H599">IFERROR(
  INDEX(
    SR!$B$2:$D2026,            
    MATCH($A599, SR!$A$2:$A2026, 0),  
    MATCH(H$1, SR!$B$1:$D$1, 0) ), "")
</f>
        <v>-0.00212</v>
      </c>
      <c r="I599" s="9">
        <f t="array" ref="I599">IFERROR(
  INDEX(
    SR!$B$2:$D2026,            
    MATCH($A599, SR!$A$2:$A2026, 0),  
    MATCH(I$1, SR!$B$1:$D$1, 0) ), "")
</f>
        <v>-0.002225</v>
      </c>
      <c r="J599" s="9">
        <f t="array" ref="J599">IFERROR(
  INDEX(
    SR!$B$2:$D2026,            
    MATCH($A599, SR!$A$2:$A2026, 0),  
    MATCH(J$1, SR!$B$1:$D$1, 0) ), "")
</f>
        <v>-0.00134</v>
      </c>
      <c r="K599" s="14"/>
      <c r="L599" s="9">
        <v>118.31</v>
      </c>
      <c r="M599" s="9">
        <v>24.5</v>
      </c>
      <c r="N599" s="9">
        <v>114.2</v>
      </c>
      <c r="O599" s="9">
        <v>119.21</v>
      </c>
      <c r="P599" s="9">
        <v>126.93</v>
      </c>
      <c r="Q599" s="9">
        <v>1387.1469</v>
      </c>
      <c r="R599" s="14"/>
      <c r="S599" s="12">
        <f t="shared" si="2"/>
        <v>0.0003205870507</v>
      </c>
      <c r="T599" s="12">
        <f t="shared" si="3"/>
        <v>1.000320587</v>
      </c>
      <c r="U599" s="16">
        <f t="shared" si="7"/>
        <v>100.3356989</v>
      </c>
      <c r="V599" s="17"/>
      <c r="W599" s="12">
        <f t="array" ref="W599">SQRT(252/20) *  SQRT( SUMSQ( LN(U578:U597 / U577:U596) )  - (1/20) * ( SUM( LN(U578:U597 / U577:U596) ) ^ 2 ) )</f>
        <v>0.01874155811</v>
      </c>
      <c r="X599" s="9">
        <f t="shared" si="4"/>
        <v>1.5</v>
      </c>
      <c r="Y599" s="14"/>
      <c r="Z599" s="12">
        <f t="shared" si="5"/>
        <v>1.000486006</v>
      </c>
      <c r="AA599" s="16">
        <f t="shared" si="8"/>
        <v>100.6033356</v>
      </c>
      <c r="AB599" s="14"/>
      <c r="AC599" s="9">
        <f t="shared" si="6"/>
        <v>0</v>
      </c>
    </row>
    <row r="600">
      <c r="A600" s="8">
        <v>42594.0</v>
      </c>
      <c r="B600" s="14"/>
      <c r="C600" s="9">
        <f t="array" ref="C600">IFERROR(
  INDEX(
    IR!$B$2:$E2026,                
    MATCH($A600, IR!$A$2:$A2026, 0), 
    MATCH(C$1, IR!$B$1:$E$1, 0) ), "")
</f>
        <v>-0.00368</v>
      </c>
      <c r="D600" s="9">
        <f t="array" ref="D600">IFERROR(
  INDEX(
    IR!$B$2:$E2026,                
    MATCH($A600, IR!$A$2:$A2026, 0), 
    MATCH(D$1, IR!$B$1:$E$1, 0) ), "")
</f>
        <v>-0.00299</v>
      </c>
      <c r="E600" s="9">
        <f t="array" ref="E600">IFERROR(
  INDEX(
    IR!$B$2:$E2026,                
    MATCH($A600, IR!$A$2:$A2026, 0), 
    MATCH(E$1, IR!$B$1:$E$1, 0) ), "")
</f>
        <v>-0.00188</v>
      </c>
      <c r="F600" s="9">
        <f t="array" ref="F600">IFERROR(
  INDEX(
    IR!$B$2:$E2026,                
    MATCH($A600, IR!$A$2:$A2026, 0), 
    MATCH(F$1, IR!$B$1:$E$1, 0) ), "")
</f>
        <v>-0.00049</v>
      </c>
      <c r="G600" s="14"/>
      <c r="H600" s="9">
        <f t="array" ref="H600">IFERROR(
  INDEX(
    SR!$B$2:$D2026,            
    MATCH($A600, SR!$A$2:$A2026, 0),  
    MATCH(H$1, SR!$B$1:$D$1, 0) ), "")
</f>
        <v>-0.0022</v>
      </c>
      <c r="I600" s="9">
        <f t="array" ref="I600">IFERROR(
  INDEX(
    SR!$B$2:$D2026,            
    MATCH($A600, SR!$A$2:$A2026, 0),  
    MATCH(I$1, SR!$B$1:$D$1, 0) ), "")
</f>
        <v>-0.002235</v>
      </c>
      <c r="J600" s="9">
        <f t="array" ref="J600">IFERROR(
  INDEX(
    SR!$B$2:$D2026,            
    MATCH($A600, SR!$A$2:$A2026, 0),  
    MATCH(J$1, SR!$B$1:$D$1, 0) ), "")
</f>
        <v>-0.00151</v>
      </c>
      <c r="K600" s="14"/>
      <c r="L600" s="9">
        <v>118.35</v>
      </c>
      <c r="M600" s="9">
        <v>24.5</v>
      </c>
      <c r="N600" s="9">
        <v>114.19</v>
      </c>
      <c r="O600" s="9">
        <v>119.4</v>
      </c>
      <c r="P600" s="9">
        <v>126.96</v>
      </c>
      <c r="Q600" s="9">
        <v>1390.6299</v>
      </c>
      <c r="R600" s="14"/>
      <c r="S600" s="12">
        <f t="shared" si="2"/>
        <v>0.0007652141816</v>
      </c>
      <c r="T600" s="12">
        <f t="shared" si="3"/>
        <v>1.000765214</v>
      </c>
      <c r="U600" s="16">
        <f t="shared" si="7"/>
        <v>100.4124772</v>
      </c>
      <c r="V600" s="17"/>
      <c r="W600" s="12">
        <f t="array" ref="W600">SQRT(252/20) *  SQRT( SUMSQ( LN(U579:U598 / U578:U597) )  - (1/20) * ( SUM( LN(U579:U598 / U578:U597) ) ^ 2 ) )</f>
        <v>0.02045876712</v>
      </c>
      <c r="X600" s="9">
        <f t="shared" si="4"/>
        <v>1.5</v>
      </c>
      <c r="Y600" s="14"/>
      <c r="Z600" s="12">
        <f t="shared" si="5"/>
        <v>1.001152946</v>
      </c>
      <c r="AA600" s="16">
        <f t="shared" si="8"/>
        <v>100.7193259</v>
      </c>
      <c r="AB600" s="14"/>
      <c r="AC600" s="9">
        <f t="shared" si="6"/>
        <v>0</v>
      </c>
    </row>
    <row r="601">
      <c r="A601" s="8">
        <v>42598.0</v>
      </c>
      <c r="B601" s="14"/>
      <c r="C601" s="9">
        <f t="array" ref="C601">IFERROR(
  INDEX(
    IR!$B$2:$E2026,                
    MATCH($A601, IR!$A$2:$A2026, 0), 
    MATCH(C$1, IR!$B$1:$E$1, 0) ), "")
</f>
        <v>-0.00369</v>
      </c>
      <c r="D601" s="9">
        <f t="array" ref="D601">IFERROR(
  INDEX(
    IR!$B$2:$E2026,                
    MATCH($A601, IR!$A$2:$A2026, 0), 
    MATCH(D$1, IR!$B$1:$E$1, 0) ), "")
</f>
        <v>-0.00299</v>
      </c>
      <c r="E601" s="9">
        <f t="array" ref="E601">IFERROR(
  INDEX(
    IR!$B$2:$E2026,                
    MATCH($A601, IR!$A$2:$A2026, 0), 
    MATCH(E$1, IR!$B$1:$E$1, 0) ), "")
</f>
        <v>-0.00189</v>
      </c>
      <c r="F601" s="9">
        <f t="array" ref="F601">IFERROR(
  INDEX(
    IR!$B$2:$E2026,                
    MATCH($A601, IR!$A$2:$A2026, 0), 
    MATCH(F$1, IR!$B$1:$E$1, 0) ), "")
</f>
        <v>-0.0005</v>
      </c>
      <c r="G601" s="14"/>
      <c r="H601" s="9">
        <f t="array" ref="H601">IFERROR(
  INDEX(
    SR!$B$2:$D2026,            
    MATCH($A601, SR!$A$2:$A2026, 0),  
    MATCH(H$1, SR!$B$1:$D$1, 0) ), "")
</f>
        <v>-0.00211</v>
      </c>
      <c r="I601" s="9">
        <f t="array" ref="I601">IFERROR(
  INDEX(
    SR!$B$2:$D2026,            
    MATCH($A601, SR!$A$2:$A2026, 0),  
    MATCH(I$1, SR!$B$1:$D$1, 0) ), "")
</f>
        <v>-0.002065</v>
      </c>
      <c r="J601" s="9">
        <f t="array" ref="J601">IFERROR(
  INDEX(
    SR!$B$2:$D2026,            
    MATCH($A601, SR!$A$2:$A2026, 0),  
    MATCH(J$1, SR!$B$1:$D$1, 0) ), "")
</f>
        <v>-0.00127</v>
      </c>
      <c r="K601" s="14"/>
      <c r="L601" s="9">
        <v>118.16</v>
      </c>
      <c r="M601" s="9">
        <v>24.49</v>
      </c>
      <c r="N601" s="9">
        <v>114.22</v>
      </c>
      <c r="O601" s="9">
        <v>119.4</v>
      </c>
      <c r="P601" s="9">
        <v>127.05</v>
      </c>
      <c r="Q601" s="9">
        <v>1394.5078</v>
      </c>
      <c r="R601" s="14"/>
      <c r="S601" s="12">
        <f t="shared" si="2"/>
        <v>0.0002912667813</v>
      </c>
      <c r="T601" s="12">
        <f t="shared" si="3"/>
        <v>1.000291267</v>
      </c>
      <c r="U601" s="16">
        <f t="shared" si="7"/>
        <v>100.441724</v>
      </c>
      <c r="V601" s="17"/>
      <c r="W601" s="12">
        <f t="array" ref="W601">SQRT(252/20) *  SQRT( SUMSQ( LN(U580:U599 / U579:U598) )  - (1/20) * ( SUM( LN(U580:U599 / U579:U598) ) ^ 2 ) )</f>
        <v>0.02046061257</v>
      </c>
      <c r="X601" s="9">
        <f t="shared" si="4"/>
        <v>1.5</v>
      </c>
      <c r="Y601" s="14"/>
      <c r="Z601" s="12">
        <f t="shared" si="5"/>
        <v>1.000457345</v>
      </c>
      <c r="AA601" s="16">
        <f t="shared" si="8"/>
        <v>100.7653893</v>
      </c>
      <c r="AB601" s="14"/>
      <c r="AC601" s="9">
        <f t="shared" si="6"/>
        <v>0</v>
      </c>
    </row>
    <row r="602">
      <c r="A602" s="8">
        <v>42599.0</v>
      </c>
      <c r="B602" s="14"/>
      <c r="C602" s="9">
        <f t="array" ref="C602">IFERROR(
  INDEX(
    IR!$B$2:$E2026,                
    MATCH($A602, IR!$A$2:$A2026, 0), 
    MATCH(C$1, IR!$B$1:$E$1, 0) ), "")
</f>
        <v>-0.00369</v>
      </c>
      <c r="D602" s="9">
        <f t="array" ref="D602">IFERROR(
  INDEX(
    IR!$B$2:$E2026,                
    MATCH($A602, IR!$A$2:$A2026, 0), 
    MATCH(D$1, IR!$B$1:$E$1, 0) ), "")
</f>
        <v>-0.00298</v>
      </c>
      <c r="E602" s="9">
        <f t="array" ref="E602">IFERROR(
  INDEX(
    IR!$B$2:$E2026,                
    MATCH($A602, IR!$A$2:$A2026, 0), 
    MATCH(E$1, IR!$B$1:$E$1, 0) ), "")
</f>
        <v>-0.0019</v>
      </c>
      <c r="F602" s="9">
        <f t="array" ref="F602">IFERROR(
  INDEX(
    IR!$B$2:$E2026,                
    MATCH($A602, IR!$A$2:$A2026, 0), 
    MATCH(F$1, IR!$B$1:$E$1, 0) ), "")
</f>
        <v>-0.00049</v>
      </c>
      <c r="G602" s="14"/>
      <c r="H602" s="9">
        <f t="array" ref="H602">IFERROR(
  INDEX(
    SR!$B$2:$D2026,            
    MATCH($A602, SR!$A$2:$A2026, 0),  
    MATCH(H$1, SR!$B$1:$D$1, 0) ), "")
</f>
        <v>-0.0021</v>
      </c>
      <c r="I602" s="9">
        <f t="array" ref="I602">IFERROR(
  INDEX(
    SR!$B$2:$D2026,            
    MATCH($A602, SR!$A$2:$A2026, 0),  
    MATCH(I$1, SR!$B$1:$D$1, 0) ), "")
</f>
        <v>-0.00207</v>
      </c>
      <c r="J602" s="9">
        <f t="array" ref="J602">IFERROR(
  INDEX(
    SR!$B$2:$D2026,            
    MATCH($A602, SR!$A$2:$A2026, 0),  
    MATCH(J$1, SR!$B$1:$D$1, 0) ), "")
</f>
        <v>-0.001295</v>
      </c>
      <c r="K602" s="14"/>
      <c r="L602" s="9">
        <v>118.01</v>
      </c>
      <c r="M602" s="9">
        <v>24.49</v>
      </c>
      <c r="N602" s="9">
        <v>114.22</v>
      </c>
      <c r="O602" s="9">
        <v>118.72</v>
      </c>
      <c r="P602" s="9">
        <v>126.56</v>
      </c>
      <c r="Q602" s="9">
        <v>1392.1726</v>
      </c>
      <c r="R602" s="14"/>
      <c r="S602" s="12">
        <f t="shared" si="2"/>
        <v>-0.002081988755</v>
      </c>
      <c r="T602" s="12">
        <f t="shared" si="3"/>
        <v>0.9979180112</v>
      </c>
      <c r="U602" s="16">
        <f t="shared" si="7"/>
        <v>100.2326055</v>
      </c>
      <c r="V602" s="17"/>
      <c r="W602" s="12">
        <f t="array" ref="W602">SQRT(252/20) *  SQRT( SUMSQ( LN(U581:U600 / U580:U599) )  - (1/20) * ( SUM( LN(U581:U600 / U580:U599) ) ^ 2 ) )</f>
        <v>0.02048899741</v>
      </c>
      <c r="X602" s="9">
        <f t="shared" si="4"/>
        <v>1.5</v>
      </c>
      <c r="Y602" s="14"/>
      <c r="Z602" s="12">
        <f t="shared" si="5"/>
        <v>0.9968821419</v>
      </c>
      <c r="AA602" s="16">
        <f t="shared" si="8"/>
        <v>100.4512171</v>
      </c>
      <c r="AB602" s="14"/>
      <c r="AC602" s="9">
        <f t="shared" si="6"/>
        <v>0</v>
      </c>
    </row>
    <row r="603">
      <c r="A603" s="8">
        <v>42600.0</v>
      </c>
      <c r="B603" s="14"/>
      <c r="C603" s="9">
        <f t="array" ref="C603">IFERROR(
  INDEX(
    IR!$B$2:$E2026,                
    MATCH($A603, IR!$A$2:$A2026, 0), 
    MATCH(C$1, IR!$B$1:$E$1, 0) ), "")
</f>
        <v>-0.00369</v>
      </c>
      <c r="D603" s="9">
        <f t="array" ref="D603">IFERROR(
  INDEX(
    IR!$B$2:$E2026,                
    MATCH($A603, IR!$A$2:$A2026, 0), 
    MATCH(D$1, IR!$B$1:$E$1, 0) ), "")
</f>
        <v>-0.00299</v>
      </c>
      <c r="E603" s="9">
        <f t="array" ref="E603">IFERROR(
  INDEX(
    IR!$B$2:$E2026,                
    MATCH($A603, IR!$A$2:$A2026, 0), 
    MATCH(E$1, IR!$B$1:$E$1, 0) ), "")
</f>
        <v>-0.00191</v>
      </c>
      <c r="F603" s="9">
        <f t="array" ref="F603">IFERROR(
  INDEX(
    IR!$B$2:$E2026,                
    MATCH($A603, IR!$A$2:$A2026, 0), 
    MATCH(F$1, IR!$B$1:$E$1, 0) ), "")
</f>
        <v>-0.00048</v>
      </c>
      <c r="G603" s="14"/>
      <c r="H603" s="9">
        <f t="array" ref="H603">IFERROR(
  INDEX(
    SR!$B$2:$D2026,            
    MATCH($A603, SR!$A$2:$A2026, 0),  
    MATCH(H$1, SR!$B$1:$D$1, 0) ), "")
</f>
        <v>-0.00215</v>
      </c>
      <c r="I603" s="9">
        <f t="array" ref="I603">IFERROR(
  INDEX(
    SR!$B$2:$D2026,            
    MATCH($A603, SR!$A$2:$A2026, 0),  
    MATCH(I$1, SR!$B$1:$D$1, 0) ), "")
</f>
        <v>-0.002144</v>
      </c>
      <c r="J603" s="9">
        <f t="array" ref="J603">IFERROR(
  INDEX(
    SR!$B$2:$D2026,            
    MATCH($A603, SR!$A$2:$A2026, 0),  
    MATCH(J$1, SR!$B$1:$D$1, 0) ), "")
</f>
        <v>-0.00139</v>
      </c>
      <c r="K603" s="14"/>
      <c r="L603" s="9">
        <v>118.31</v>
      </c>
      <c r="M603" s="9">
        <v>24.49</v>
      </c>
      <c r="N603" s="9">
        <v>114.21</v>
      </c>
      <c r="O603" s="9">
        <v>118.22</v>
      </c>
      <c r="P603" s="9">
        <v>126.4</v>
      </c>
      <c r="Q603" s="9">
        <v>1388.7847</v>
      </c>
      <c r="R603" s="14"/>
      <c r="S603" s="12">
        <f t="shared" si="2"/>
        <v>-0.000909003064</v>
      </c>
      <c r="T603" s="12">
        <f t="shared" si="3"/>
        <v>0.9990909969</v>
      </c>
      <c r="U603" s="16">
        <f t="shared" si="7"/>
        <v>100.1414937</v>
      </c>
      <c r="V603" s="17"/>
      <c r="W603" s="12">
        <f t="array" ref="W603">SQRT(252/20) *  SQRT( SUMSQ( LN(U582:U601 / U581:U600) )  - (1/20) * ( SUM( LN(U582:U601 / U581:U600) ) ^ 2 ) )</f>
        <v>0.020111045</v>
      </c>
      <c r="X603" s="9">
        <f t="shared" si="4"/>
        <v>1.5</v>
      </c>
      <c r="Y603" s="14"/>
      <c r="Z603" s="12">
        <f t="shared" si="5"/>
        <v>0.9986416204</v>
      </c>
      <c r="AA603" s="16">
        <f t="shared" si="8"/>
        <v>100.3147662</v>
      </c>
      <c r="AB603" s="14"/>
      <c r="AC603" s="9">
        <f t="shared" si="6"/>
        <v>0</v>
      </c>
    </row>
    <row r="604">
      <c r="A604" s="8">
        <v>42601.0</v>
      </c>
      <c r="B604" s="14"/>
      <c r="C604" s="9">
        <f t="array" ref="C604">IFERROR(
  INDEX(
    IR!$B$2:$E2026,                
    MATCH($A604, IR!$A$2:$A2026, 0), 
    MATCH(C$1, IR!$B$1:$E$1, 0) ), "")
</f>
        <v>-0.00369</v>
      </c>
      <c r="D604" s="9">
        <f t="array" ref="D604">IFERROR(
  INDEX(
    IR!$B$2:$E2026,                
    MATCH($A604, IR!$A$2:$A2026, 0), 
    MATCH(D$1, IR!$B$1:$E$1, 0) ), "")
</f>
        <v>-0.00298</v>
      </c>
      <c r="E604" s="9">
        <f t="array" ref="E604">IFERROR(
  INDEX(
    IR!$B$2:$E2026,                
    MATCH($A604, IR!$A$2:$A2026, 0), 
    MATCH(E$1, IR!$B$1:$E$1, 0) ), "")
</f>
        <v>-0.00189</v>
      </c>
      <c r="F604" s="9">
        <f t="array" ref="F604">IFERROR(
  INDEX(
    IR!$B$2:$E2026,                
    MATCH($A604, IR!$A$2:$A2026, 0), 
    MATCH(F$1, IR!$B$1:$E$1, 0) ), "")
</f>
        <v>-0.00047</v>
      </c>
      <c r="G604" s="14"/>
      <c r="H604" s="9">
        <f t="array" ref="H604">IFERROR(
  INDEX(
    SR!$B$2:$D2026,            
    MATCH($A604, SR!$A$2:$A2026, 0),  
    MATCH(H$1, SR!$B$1:$D$1, 0) ), "")
</f>
        <v>-0.00201</v>
      </c>
      <c r="I604" s="9">
        <f t="array" ref="I604">IFERROR(
  INDEX(
    SR!$B$2:$D2026,            
    MATCH($A604, SR!$A$2:$A2026, 0),  
    MATCH(I$1, SR!$B$1:$D$1, 0) ), "")
</f>
        <v>-0.001987</v>
      </c>
      <c r="J604" s="9">
        <f t="array" ref="J604">IFERROR(
  INDEX(
    SR!$B$2:$D2026,            
    MATCH($A604, SR!$A$2:$A2026, 0),  
    MATCH(J$1, SR!$B$1:$D$1, 0) ), "")
</f>
        <v>-0.001174</v>
      </c>
      <c r="K604" s="14"/>
      <c r="L604" s="9">
        <v>118.2</v>
      </c>
      <c r="M604" s="9">
        <v>24.48</v>
      </c>
      <c r="N604" s="9">
        <v>114.19</v>
      </c>
      <c r="O604" s="9">
        <v>118.68</v>
      </c>
      <c r="P604" s="9">
        <v>126.52</v>
      </c>
      <c r="Q604" s="9">
        <v>1391.3229</v>
      </c>
      <c r="R604" s="14"/>
      <c r="S604" s="12">
        <f t="shared" si="2"/>
        <v>0.0008589811126</v>
      </c>
      <c r="T604" s="12">
        <f t="shared" si="3"/>
        <v>1.000858981</v>
      </c>
      <c r="U604" s="16">
        <f t="shared" si="7"/>
        <v>100.2275134</v>
      </c>
      <c r="V604" s="17"/>
      <c r="W604" s="12">
        <f t="array" ref="W604">SQRT(252/20) *  SQRT( SUMSQ( LN(U583:U602 / U582:U601) )  - (1/20) * ( SUM( LN(U583:U602 / U582:U601) ) ^ 2 ) )</f>
        <v>0.02200968062</v>
      </c>
      <c r="X604" s="9">
        <f t="shared" si="4"/>
        <v>1.5</v>
      </c>
      <c r="Y604" s="14"/>
      <c r="Z604" s="12">
        <f t="shared" si="5"/>
        <v>1.001293597</v>
      </c>
      <c r="AA604" s="16">
        <f t="shared" si="8"/>
        <v>100.4445331</v>
      </c>
      <c r="AB604" s="14"/>
      <c r="AC604" s="9">
        <f t="shared" si="6"/>
        <v>0</v>
      </c>
    </row>
    <row r="605">
      <c r="A605" s="8">
        <v>42604.0</v>
      </c>
      <c r="B605" s="14"/>
      <c r="C605" s="12">
        <f t="array" ref="C605">IFERROR(
  INDEX(
    IR!$B$2:$E2026,                
    MATCH($A605, IR!$A$2:$A2026, 0), 
    MATCH(C$1, IR!$B$1:$E$1, 0) ), "")
</f>
        <v>-0.00369</v>
      </c>
      <c r="D605" s="12">
        <f t="array" ref="D605">IFERROR(
  INDEX(
    IR!$B$2:$E2026,                
    MATCH($A605, IR!$A$2:$A2026, 0), 
    MATCH(D$1, IR!$B$1:$E$1, 0) ), "")
</f>
        <v>-0.00299</v>
      </c>
      <c r="E605" s="12">
        <f t="array" ref="E605">IFERROR(
  INDEX(
    IR!$B$2:$E2026,                
    MATCH($A605, IR!$A$2:$A2026, 0), 
    MATCH(E$1, IR!$B$1:$E$1, 0) ), "")
</f>
        <v>-0.0019</v>
      </c>
      <c r="F605" s="12">
        <f t="array" ref="F605">IFERROR(
  INDEX(
    IR!$B$2:$E2026,                
    MATCH($A605, IR!$A$2:$A2026, 0), 
    MATCH(F$1, IR!$B$1:$E$1, 0) ), "")
</f>
        <v>-0.00046</v>
      </c>
      <c r="G605" s="25"/>
      <c r="H605" s="12">
        <f t="array" ref="H605">IFERROR(
  INDEX(
    SR!$B$2:$D2026,            
    MATCH($A605, SR!$A$2:$A2026, 0),  
    MATCH(H$1, SR!$B$1:$D$1, 0) ), "")
</f>
        <v>-0.002061</v>
      </c>
      <c r="I605" s="12">
        <f t="array" ref="I605">IFERROR(
  INDEX(
    SR!$B$2:$D2026,            
    MATCH($A605, SR!$A$2:$A2026, 0),  
    MATCH(I$1, SR!$B$1:$D$1, 0) ), "")
</f>
        <v>-0.00199</v>
      </c>
      <c r="J605" s="12">
        <f t="array" ref="J605">IFERROR(
  INDEX(
    SR!$B$2:$D2026,            
    MATCH($A605, SR!$A$2:$A2026, 0),  
    MATCH(J$1, SR!$B$1:$D$1, 0) ), "")
</f>
        <v>-0.001348</v>
      </c>
      <c r="K605" s="14"/>
      <c r="L605" s="9">
        <v>118.12</v>
      </c>
      <c r="M605" s="9">
        <v>24.48</v>
      </c>
      <c r="N605" s="9">
        <v>114.25</v>
      </c>
      <c r="O605" s="9">
        <v>118.09</v>
      </c>
      <c r="P605" s="9">
        <v>126.29</v>
      </c>
      <c r="Q605" s="9">
        <v>1392.22</v>
      </c>
      <c r="R605" s="14"/>
      <c r="S605" s="12">
        <f t="shared" si="2"/>
        <v>-0.001048822933</v>
      </c>
      <c r="T605" s="12">
        <f t="shared" si="3"/>
        <v>0.9989511771</v>
      </c>
      <c r="U605" s="16">
        <f t="shared" si="7"/>
        <v>100.1223925</v>
      </c>
      <c r="V605" s="17"/>
      <c r="W605" s="12">
        <f t="array" ref="W605">SQRT(252/20) *  SQRT( SUMSQ( LN(U584:U603 / U583:U602) )  - (1/20) * ( SUM( LN(U584:U603 / U583:U602) ) ^ 2 ) )</f>
        <v>0.02245160474</v>
      </c>
      <c r="X605" s="9">
        <f t="shared" si="4"/>
        <v>1.5</v>
      </c>
      <c r="Y605" s="14"/>
      <c r="Z605" s="12">
        <f t="shared" si="5"/>
        <v>0.9984421406</v>
      </c>
      <c r="AA605" s="16">
        <f t="shared" si="8"/>
        <v>100.2880546</v>
      </c>
      <c r="AB605" s="14"/>
      <c r="AC605" s="9">
        <f t="shared" si="6"/>
        <v>0</v>
      </c>
    </row>
    <row r="606">
      <c r="A606" s="8">
        <v>42605.0</v>
      </c>
      <c r="B606" s="14"/>
      <c r="C606" s="12">
        <f t="array" ref="C606">IFERROR(
  INDEX(
    IR!$B$2:$E2026,                
    MATCH($A606, IR!$A$2:$A2026, 0), 
    MATCH(C$1, IR!$B$1:$E$1, 0) ), "")
</f>
        <v>-0.00369</v>
      </c>
      <c r="D606" s="12">
        <f t="array" ref="D606">IFERROR(
  INDEX(
    IR!$B$2:$E2026,                
    MATCH($A606, IR!$A$2:$A2026, 0), 
    MATCH(D$1, IR!$B$1:$E$1, 0) ), "")
</f>
        <v>-0.00298</v>
      </c>
      <c r="E606" s="12">
        <f t="array" ref="E606">IFERROR(
  INDEX(
    IR!$B$2:$E2026,                
    MATCH($A606, IR!$A$2:$A2026, 0), 
    MATCH(E$1, IR!$B$1:$E$1, 0) ), "")
</f>
        <v>-0.00192</v>
      </c>
      <c r="F606" s="12">
        <f t="array" ref="F606">IFERROR(
  INDEX(
    IR!$B$2:$E2026,                
    MATCH($A606, IR!$A$2:$A2026, 0), 
    MATCH(F$1, IR!$B$1:$E$1, 0) ), "")
</f>
        <v>-0.00047</v>
      </c>
      <c r="G606" s="25"/>
      <c r="H606" s="12">
        <f t="array" ref="H606">IFERROR(
  INDEX(
    SR!$B$2:$D2026,            
    MATCH($A606, SR!$A$2:$A2026, 0),  
    MATCH(H$1, SR!$B$1:$D$1, 0) ), "")
</f>
        <v>-0.002075</v>
      </c>
      <c r="I606" s="12">
        <f t="array" ref="I606">IFERROR(
  INDEX(
    SR!$B$2:$D2026,            
    MATCH($A606, SR!$A$2:$A2026, 0),  
    MATCH(I$1, SR!$B$1:$D$1, 0) ), "")
</f>
        <v>-0.002023</v>
      </c>
      <c r="J606" s="12">
        <f t="array" ref="J606">IFERROR(
  INDEX(
    SR!$B$2:$D2026,            
    MATCH($A606, SR!$A$2:$A2026, 0),  
    MATCH(J$1, SR!$B$1:$D$1, 0) ), "")
</f>
        <v>-0.001311</v>
      </c>
      <c r="K606" s="14"/>
      <c r="L606" s="9">
        <v>118.36</v>
      </c>
      <c r="M606" s="9">
        <v>24.49</v>
      </c>
      <c r="N606" s="9">
        <v>114.27</v>
      </c>
      <c r="O606" s="9">
        <v>118.03</v>
      </c>
      <c r="P606" s="9">
        <v>126.42</v>
      </c>
      <c r="Q606" s="9">
        <v>1392.3583</v>
      </c>
      <c r="R606" s="14"/>
      <c r="S606" s="12">
        <f t="shared" si="2"/>
        <v>0.0005391293662</v>
      </c>
      <c r="T606" s="12">
        <f t="shared" si="3"/>
        <v>1.000539129</v>
      </c>
      <c r="U606" s="16">
        <f t="shared" si="7"/>
        <v>100.1763714</v>
      </c>
      <c r="V606" s="17"/>
      <c r="W606" s="12">
        <f t="array" ref="W606">SQRT(252/20) *  SQRT( SUMSQ( LN(U585:U604 / U584:U603) )  - (1/20) * ( SUM( LN(U585:U604 / U584:U603) ) ^ 2 ) )</f>
        <v>0.02236055653</v>
      </c>
      <c r="X606" s="9">
        <f t="shared" si="4"/>
        <v>1.5</v>
      </c>
      <c r="Y606" s="14"/>
      <c r="Z606" s="12">
        <f t="shared" si="5"/>
        <v>1.000813819</v>
      </c>
      <c r="AA606" s="16">
        <f t="shared" si="8"/>
        <v>100.369671</v>
      </c>
      <c r="AB606" s="14"/>
      <c r="AC606" s="9">
        <f t="shared" si="6"/>
        <v>0</v>
      </c>
    </row>
    <row r="607">
      <c r="A607" s="8">
        <v>42606.0</v>
      </c>
      <c r="B607" s="14"/>
      <c r="C607" s="12">
        <f t="array" ref="C607">IFERROR(
  INDEX(
    IR!$B$2:$E2026,                
    MATCH($A607, IR!$A$2:$A2026, 0), 
    MATCH(C$1, IR!$B$1:$E$1, 0) ), "")
</f>
        <v>-0.00368</v>
      </c>
      <c r="D607" s="12">
        <f t="array" ref="D607">IFERROR(
  INDEX(
    IR!$B$2:$E2026,                
    MATCH($A607, IR!$A$2:$A2026, 0), 
    MATCH(D$1, IR!$B$1:$E$1, 0) ), "")
</f>
        <v>-0.00298</v>
      </c>
      <c r="E607" s="12">
        <f t="array" ref="E607">IFERROR(
  INDEX(
    IR!$B$2:$E2026,                
    MATCH($A607, IR!$A$2:$A2026, 0), 
    MATCH(E$1, IR!$B$1:$E$1, 0) ), "")
</f>
        <v>-0.00191</v>
      </c>
      <c r="F607" s="12">
        <f t="array" ref="F607">IFERROR(
  INDEX(
    IR!$B$2:$E2026,                
    MATCH($A607, IR!$A$2:$A2026, 0), 
    MATCH(F$1, IR!$B$1:$E$1, 0) ), "")
</f>
        <v>-0.00048</v>
      </c>
      <c r="G607" s="25"/>
      <c r="H607" s="12">
        <f t="array" ref="H607">IFERROR(
  INDEX(
    SR!$B$2:$D2026,            
    MATCH($A607, SR!$A$2:$A2026, 0),  
    MATCH(H$1, SR!$B$1:$D$1, 0) ), "")
</f>
        <v>-0.002</v>
      </c>
      <c r="I607" s="12">
        <f t="array" ref="I607">IFERROR(
  INDEX(
    SR!$B$2:$D2026,            
    MATCH($A607, SR!$A$2:$A2026, 0),  
    MATCH(I$1, SR!$B$1:$D$1, 0) ), "")
</f>
        <v>-0.00191</v>
      </c>
      <c r="J607" s="12">
        <f t="array" ref="J607">IFERROR(
  INDEX(
    SR!$B$2:$D2026,            
    MATCH($A607, SR!$A$2:$A2026, 0),  
    MATCH(J$1, SR!$B$1:$D$1, 0) ), "")
</f>
        <v>-0.00125</v>
      </c>
      <c r="K607" s="14"/>
      <c r="L607" s="9">
        <v>118.37</v>
      </c>
      <c r="M607" s="9">
        <v>24.5</v>
      </c>
      <c r="N607" s="9">
        <v>114.27</v>
      </c>
      <c r="O607" s="9">
        <v>118.61</v>
      </c>
      <c r="P607" s="9">
        <v>126.67</v>
      </c>
      <c r="Q607" s="9">
        <v>1395.6821</v>
      </c>
      <c r="R607" s="14"/>
      <c r="S607" s="12">
        <f t="shared" si="2"/>
        <v>0.001628175773</v>
      </c>
      <c r="T607" s="12">
        <f t="shared" si="3"/>
        <v>1.001628176</v>
      </c>
      <c r="U607" s="16">
        <f t="shared" si="7"/>
        <v>100.3394761</v>
      </c>
      <c r="V607" s="17"/>
      <c r="W607" s="12">
        <f t="array" ref="W607">SQRT(252/20) *  SQRT( SUMSQ( LN(U586:U605 / U585:U604) )  - (1/20) * ( SUM( LN(U586:U605 / U585:U604) ) ^ 2 ) )</f>
        <v>0.02277501997</v>
      </c>
      <c r="X607" s="9">
        <f t="shared" si="4"/>
        <v>1.5</v>
      </c>
      <c r="Y607" s="14"/>
      <c r="Z607" s="12">
        <f t="shared" si="5"/>
        <v>1.002447389</v>
      </c>
      <c r="AA607" s="16">
        <f t="shared" si="8"/>
        <v>100.6153145</v>
      </c>
      <c r="AB607" s="14"/>
      <c r="AC607" s="9">
        <f t="shared" si="6"/>
        <v>0</v>
      </c>
    </row>
    <row r="608">
      <c r="A608" s="8">
        <v>42607.0</v>
      </c>
      <c r="B608" s="14"/>
      <c r="C608" s="12">
        <f t="array" ref="C608">IFERROR(
  INDEX(
    IR!$B$2:$E2026,                
    MATCH($A608, IR!$A$2:$A2026, 0), 
    MATCH(C$1, IR!$B$1:$E$1, 0) ), "")
</f>
        <v>-0.0037</v>
      </c>
      <c r="D608" s="12">
        <f t="array" ref="D608">IFERROR(
  INDEX(
    IR!$B$2:$E2026,                
    MATCH($A608, IR!$A$2:$A2026, 0), 
    MATCH(D$1, IR!$B$1:$E$1, 0) ), "")
</f>
        <v>-0.00298</v>
      </c>
      <c r="E608" s="12">
        <f t="array" ref="E608">IFERROR(
  INDEX(
    IR!$B$2:$E2026,                
    MATCH($A608, IR!$A$2:$A2026, 0), 
    MATCH(E$1, IR!$B$1:$E$1, 0) ), "")
</f>
        <v>-0.00192</v>
      </c>
      <c r="F608" s="12">
        <f t="array" ref="F608">IFERROR(
  INDEX(
    IR!$B$2:$E2026,                
    MATCH($A608, IR!$A$2:$A2026, 0), 
    MATCH(F$1, IR!$B$1:$E$1, 0) ), "")
</f>
        <v>-0.00049</v>
      </c>
      <c r="G608" s="25"/>
      <c r="H608" s="12">
        <f t="array" ref="H608">IFERROR(
  INDEX(
    SR!$B$2:$D2026,            
    MATCH($A608, SR!$A$2:$A2026, 0),  
    MATCH(H$1, SR!$B$1:$D$1, 0) ), "")
</f>
        <v>-0.00193</v>
      </c>
      <c r="I608" s="12">
        <f t="array" ref="I608">IFERROR(
  INDEX(
    SR!$B$2:$D2026,            
    MATCH($A608, SR!$A$2:$A2026, 0),  
    MATCH(I$1, SR!$B$1:$D$1, 0) ), "")
</f>
        <v>-0.00187</v>
      </c>
      <c r="J608" s="12">
        <f t="array" ref="J608">IFERROR(
  INDEX(
    SR!$B$2:$D2026,            
    MATCH($A608, SR!$A$2:$A2026, 0),  
    MATCH(J$1, SR!$B$1:$D$1, 0) ), "")
</f>
        <v>-0.00118</v>
      </c>
      <c r="K608" s="14"/>
      <c r="L608" s="9">
        <v>118.26</v>
      </c>
      <c r="M608" s="9">
        <v>24.49</v>
      </c>
      <c r="N608" s="9">
        <v>114.25</v>
      </c>
      <c r="O608" s="9">
        <v>118.76</v>
      </c>
      <c r="P608" s="9">
        <v>126.73</v>
      </c>
      <c r="Q608" s="9">
        <v>1392.1375</v>
      </c>
      <c r="R608" s="14"/>
      <c r="S608" s="12">
        <f t="shared" si="2"/>
        <v>-0.0003857407699</v>
      </c>
      <c r="T608" s="12">
        <f t="shared" si="3"/>
        <v>0.9996142592</v>
      </c>
      <c r="U608" s="16">
        <f t="shared" si="7"/>
        <v>100.3007711</v>
      </c>
      <c r="V608" s="17"/>
      <c r="W608" s="12">
        <f t="array" ref="W608">SQRT(252/20) *  SQRT( SUMSQ( LN(U587:U606 / U586:U605) )  - (1/20) * ( SUM( LN(U587:U606 / U586:U605) ) ^ 2 ) )</f>
        <v>0.02272647698</v>
      </c>
      <c r="X608" s="9">
        <f t="shared" si="4"/>
        <v>1.5</v>
      </c>
      <c r="Y608" s="14"/>
      <c r="Z608" s="12">
        <f t="shared" si="5"/>
        <v>0.9994265</v>
      </c>
      <c r="AA608" s="16">
        <f t="shared" si="8"/>
        <v>100.5576117</v>
      </c>
      <c r="AB608" s="14"/>
      <c r="AC608" s="9">
        <f t="shared" si="6"/>
        <v>0</v>
      </c>
    </row>
    <row r="609">
      <c r="A609" s="8">
        <v>42608.0</v>
      </c>
      <c r="B609" s="14"/>
      <c r="C609" s="12">
        <f t="array" ref="C609">IFERROR(
  INDEX(
    IR!$B$2:$E2026,                
    MATCH($A609, IR!$A$2:$A2026, 0), 
    MATCH(C$1, IR!$B$1:$E$1, 0) ), "")
</f>
        <v>-0.00371</v>
      </c>
      <c r="D609" s="12">
        <f t="array" ref="D609">IFERROR(
  INDEX(
    IR!$B$2:$E2026,                
    MATCH($A609, IR!$A$2:$A2026, 0), 
    MATCH(D$1, IR!$B$1:$E$1, 0) ), "")
</f>
        <v>-0.00298</v>
      </c>
      <c r="E609" s="12">
        <f t="array" ref="E609">IFERROR(
  INDEX(
    IR!$B$2:$E2026,                
    MATCH($A609, IR!$A$2:$A2026, 0), 
    MATCH(E$1, IR!$B$1:$E$1, 0) ), "")
</f>
        <v>-0.00191</v>
      </c>
      <c r="F609" s="12">
        <f t="array" ref="F609">IFERROR(
  INDEX(
    IR!$B$2:$E2026,                
    MATCH($A609, IR!$A$2:$A2026, 0), 
    MATCH(F$1, IR!$B$1:$E$1, 0) ), "")
</f>
        <v>-0.0005</v>
      </c>
      <c r="G609" s="25"/>
      <c r="H609" s="12">
        <f t="array" ref="H609">IFERROR(
  INDEX(
    SR!$B$2:$D2026,            
    MATCH($A609, SR!$A$2:$A2026, 0),  
    MATCH(H$1, SR!$B$1:$D$1, 0) ), "")
</f>
        <v>-0.00193</v>
      </c>
      <c r="I609" s="12">
        <f t="array" ref="I609">IFERROR(
  INDEX(
    SR!$B$2:$D2026,            
    MATCH($A609, SR!$A$2:$A2026, 0),  
    MATCH(I$1, SR!$B$1:$D$1, 0) ), "")
</f>
        <v>-0.00164</v>
      </c>
      <c r="J609" s="12">
        <f t="array" ref="J609">IFERROR(
  INDEX(
    SR!$B$2:$D2026,            
    MATCH($A609, SR!$A$2:$A2026, 0),  
    MATCH(J$1, SR!$B$1:$D$1, 0) ), "")
</f>
        <v>-0.001131</v>
      </c>
      <c r="K609" s="14"/>
      <c r="L609" s="9">
        <v>118.43</v>
      </c>
      <c r="M609" s="9">
        <v>24.49</v>
      </c>
      <c r="N609" s="9">
        <v>114.25</v>
      </c>
      <c r="O609" s="9">
        <v>118.33</v>
      </c>
      <c r="P609" s="9">
        <v>126.56</v>
      </c>
      <c r="Q609" s="9">
        <v>1392.1674</v>
      </c>
      <c r="R609" s="14"/>
      <c r="S609" s="12">
        <f t="shared" si="2"/>
        <v>-0.0005836299625</v>
      </c>
      <c r="T609" s="12">
        <f t="shared" si="3"/>
        <v>0.99941637</v>
      </c>
      <c r="U609" s="16">
        <f t="shared" si="7"/>
        <v>100.2422326</v>
      </c>
      <c r="V609" s="17"/>
      <c r="W609" s="12">
        <f t="array" ref="W609">SQRT(252/20) *  SQRT( SUMSQ( LN(U588:U607 / U587:U606) )  - (1/20) * ( SUM( LN(U588:U607 / U587:U606) ) ^ 2 ) )</f>
        <v>0.02318733757</v>
      </c>
      <c r="X609" s="9">
        <f t="shared" si="4"/>
        <v>1.5</v>
      </c>
      <c r="Y609" s="14"/>
      <c r="Z609" s="12">
        <f t="shared" si="5"/>
        <v>0.9991296939</v>
      </c>
      <c r="AA609" s="16">
        <f t="shared" si="8"/>
        <v>100.4700958</v>
      </c>
      <c r="AB609" s="14"/>
      <c r="AC609" s="9">
        <f t="shared" si="6"/>
        <v>0</v>
      </c>
    </row>
    <row r="610">
      <c r="A610" s="8">
        <v>42611.0</v>
      </c>
      <c r="B610" s="14"/>
      <c r="C610" s="12">
        <f t="array" ref="C610">IFERROR(
  INDEX(
    IR!$B$2:$E2026,                
    MATCH($A610, IR!$A$2:$A2026, 0), 
    MATCH(C$1, IR!$B$1:$E$1, 0) ), "")
</f>
        <v>-0.00371</v>
      </c>
      <c r="D610" s="12">
        <f t="array" ref="D610">IFERROR(
  INDEX(
    IR!$B$2:$E2026,                
    MATCH($A610, IR!$A$2:$A2026, 0), 
    MATCH(D$1, IR!$B$1:$E$1, 0) ), "")
</f>
        <v>-0.00297</v>
      </c>
      <c r="E610" s="12">
        <f t="array" ref="E610">IFERROR(
  INDEX(
    IR!$B$2:$E2026,                
    MATCH($A610, IR!$A$2:$A2026, 0), 
    MATCH(E$1, IR!$B$1:$E$1, 0) ), "")
</f>
        <v>-0.00193</v>
      </c>
      <c r="F610" s="12">
        <f t="array" ref="F610">IFERROR(
  INDEX(
    IR!$B$2:$E2026,                
    MATCH($A610, IR!$A$2:$A2026, 0), 
    MATCH(F$1, IR!$B$1:$E$1, 0) ), "")
</f>
        <v>-0.0005</v>
      </c>
      <c r="G610" s="25"/>
      <c r="H610" s="12">
        <f t="array" ref="H610">IFERROR(
  INDEX(
    SR!$B$2:$D2026,            
    MATCH($A610, SR!$A$2:$A2026, 0),  
    MATCH(H$1, SR!$B$1:$D$1, 0) ), "")
</f>
        <v>-0.00204</v>
      </c>
      <c r="I610" s="12">
        <f t="array" ref="I610">IFERROR(
  INDEX(
    SR!$B$2:$D2026,            
    MATCH($A610, SR!$A$2:$A2026, 0),  
    MATCH(I$1, SR!$B$1:$D$1, 0) ), "")
</f>
        <v>-0.0019</v>
      </c>
      <c r="J610" s="12">
        <f t="array" ref="J610">IFERROR(
  INDEX(
    SR!$B$2:$D2026,            
    MATCH($A610, SR!$A$2:$A2026, 0),  
    MATCH(J$1, SR!$B$1:$D$1, 0) ), "")
</f>
        <v>-0.00127</v>
      </c>
      <c r="K610" s="14"/>
      <c r="L610" s="9">
        <v>118.26</v>
      </c>
      <c r="M610" s="9">
        <v>24.5</v>
      </c>
      <c r="N610" s="9">
        <v>114.28</v>
      </c>
      <c r="O610" s="9">
        <v>118.7</v>
      </c>
      <c r="P610" s="9">
        <v>126.64</v>
      </c>
      <c r="Q610" s="23">
        <v>1392.1674</v>
      </c>
      <c r="R610" s="14"/>
      <c r="S610" s="12">
        <f t="shared" si="2"/>
        <v>0.0004988711689</v>
      </c>
      <c r="T610" s="12">
        <f t="shared" si="3"/>
        <v>1.000498871</v>
      </c>
      <c r="U610" s="16">
        <f t="shared" si="7"/>
        <v>100.2922405</v>
      </c>
      <c r="V610" s="17"/>
      <c r="W610" s="12">
        <f t="array" ref="W610">SQRT(252/20) *  SQRT( SUMSQ( LN(U589:U608 / U588:U607) )  - (1/20) * ( SUM( LN(U589:U608 / U588:U607) ) ^ 2 ) )</f>
        <v>0.02328625315</v>
      </c>
      <c r="X610" s="9">
        <f t="shared" si="4"/>
        <v>1.5</v>
      </c>
      <c r="Y610" s="14"/>
      <c r="Z610" s="12">
        <f t="shared" si="5"/>
        <v>1.000763765</v>
      </c>
      <c r="AA610" s="16">
        <f t="shared" si="8"/>
        <v>100.5468313</v>
      </c>
      <c r="AB610" s="14"/>
      <c r="AC610" s="9">
        <f t="shared" si="6"/>
        <v>0</v>
      </c>
    </row>
    <row r="611">
      <c r="A611" s="8">
        <v>42612.0</v>
      </c>
      <c r="B611" s="14"/>
      <c r="C611" s="12">
        <f t="array" ref="C611">IFERROR(
  INDEX(
    IR!$B$2:$E2026,                
    MATCH($A611, IR!$A$2:$A2026, 0), 
    MATCH(C$1, IR!$B$1:$E$1, 0) ), "")
</f>
        <v>-0.00371</v>
      </c>
      <c r="D611" s="12">
        <f t="array" ref="D611">IFERROR(
  INDEX(
    IR!$B$2:$E2026,                
    MATCH($A611, IR!$A$2:$A2026, 0), 
    MATCH(D$1, IR!$B$1:$E$1, 0) ), "")
</f>
        <v>-0.00299</v>
      </c>
      <c r="E611" s="12">
        <f t="array" ref="E611">IFERROR(
  INDEX(
    IR!$B$2:$E2026,                
    MATCH($A611, IR!$A$2:$A2026, 0), 
    MATCH(E$1, IR!$B$1:$E$1, 0) ), "")
</f>
        <v>-0.00192</v>
      </c>
      <c r="F611" s="12">
        <f t="array" ref="F611">IFERROR(
  INDEX(
    IR!$B$2:$E2026,                
    MATCH($A611, IR!$A$2:$A2026, 0), 
    MATCH(F$1, IR!$B$1:$E$1, 0) ), "")
</f>
        <v>-0.00051</v>
      </c>
      <c r="G611" s="25"/>
      <c r="H611" s="12">
        <f t="array" ref="H611">IFERROR(
  INDEX(
    SR!$B$2:$D2026,            
    MATCH($A611, SR!$A$2:$A2026, 0),  
    MATCH(H$1, SR!$B$1:$D$1, 0) ), "")
</f>
        <v>-0.00207</v>
      </c>
      <c r="I611" s="12">
        <f t="array" ref="I611">IFERROR(
  INDEX(
    SR!$B$2:$D2026,            
    MATCH($A611, SR!$A$2:$A2026, 0),  
    MATCH(I$1, SR!$B$1:$D$1, 0) ), "")
</f>
        <v>-0.001945</v>
      </c>
      <c r="J611" s="12">
        <f t="array" ref="J611">IFERROR(
  INDEX(
    SR!$B$2:$D2026,            
    MATCH($A611, SR!$A$2:$A2026, 0),  
    MATCH(J$1, SR!$B$1:$D$1, 0) ), "")
</f>
        <v>-0.001285</v>
      </c>
      <c r="K611" s="14"/>
      <c r="L611" s="9">
        <v>118.55</v>
      </c>
      <c r="M611" s="9">
        <v>24.5</v>
      </c>
      <c r="N611" s="9">
        <v>114.28</v>
      </c>
      <c r="O611" s="9">
        <v>118.52</v>
      </c>
      <c r="P611" s="9">
        <v>126.68</v>
      </c>
      <c r="Q611" s="9">
        <v>1394.3754</v>
      </c>
      <c r="R611" s="14"/>
      <c r="S611" s="12">
        <f t="shared" si="2"/>
        <v>0.0004729141034</v>
      </c>
      <c r="T611" s="12">
        <f t="shared" si="3"/>
        <v>1.000472914</v>
      </c>
      <c r="U611" s="16">
        <f t="shared" si="7"/>
        <v>100.3396701</v>
      </c>
      <c r="V611" s="17"/>
      <c r="W611" s="12">
        <f t="array" ref="W611">SQRT(252/20) *  SQRT( SUMSQ( LN(U590:U609 / U589:U608) )  - (1/20) * ( SUM( LN(U590:U609 / U589:U608) ) ^ 2 ) )</f>
        <v>0.02341229127</v>
      </c>
      <c r="X611" s="9">
        <f t="shared" si="4"/>
        <v>1.5</v>
      </c>
      <c r="Y611" s="14"/>
      <c r="Z611" s="12">
        <f t="shared" si="5"/>
        <v>1.000714524</v>
      </c>
      <c r="AA611" s="16">
        <f t="shared" si="8"/>
        <v>100.6186744</v>
      </c>
      <c r="AB611" s="14"/>
      <c r="AC611" s="9">
        <f t="shared" si="6"/>
        <v>0</v>
      </c>
    </row>
    <row r="612">
      <c r="A612" s="8">
        <v>42613.0</v>
      </c>
      <c r="B612" s="14"/>
      <c r="C612" s="12">
        <f t="array" ref="C612">IFERROR(
  INDEX(
    IR!$B$2:$E2026,                
    MATCH($A612, IR!$A$2:$A2026, 0), 
    MATCH(C$1, IR!$B$1:$E$1, 0) ), "")
</f>
        <v>-0.00372</v>
      </c>
      <c r="D612" s="12">
        <f t="array" ref="D612">IFERROR(
  INDEX(
    IR!$B$2:$E2026,                
    MATCH($A612, IR!$A$2:$A2026, 0), 
    MATCH(D$1, IR!$B$1:$E$1, 0) ), "")
</f>
        <v>-0.00299</v>
      </c>
      <c r="E612" s="12">
        <f t="array" ref="E612">IFERROR(
  INDEX(
    IR!$B$2:$E2026,                
    MATCH($A612, IR!$A$2:$A2026, 0), 
    MATCH(E$1, IR!$B$1:$E$1, 0) ), "")
</f>
        <v>-0.00192</v>
      </c>
      <c r="F612" s="12">
        <f t="array" ref="F612">IFERROR(
  INDEX(
    IR!$B$2:$E2026,                
    MATCH($A612, IR!$A$2:$A2026, 0), 
    MATCH(F$1, IR!$B$1:$E$1, 0) ), "")
</f>
        <v>-0.00052</v>
      </c>
      <c r="G612" s="25"/>
      <c r="H612" s="12">
        <f t="array" ref="H612">IFERROR(
  INDEX(
    SR!$B$2:$D2026,            
    MATCH($A612, SR!$A$2:$A2026, 0),  
    MATCH(H$1, SR!$B$1:$D$1, 0) ), "")
</f>
        <v>-0.0021</v>
      </c>
      <c r="I612" s="12">
        <f t="array" ref="I612">IFERROR(
  INDEX(
    SR!$B$2:$D2026,            
    MATCH($A612, SR!$A$2:$A2026, 0),  
    MATCH(I$1, SR!$B$1:$D$1, 0) ), "")
</f>
        <v>-0.00195</v>
      </c>
      <c r="J612" s="12">
        <f t="array" ref="J612">IFERROR(
  INDEX(
    SR!$B$2:$D2026,            
    MATCH($A612, SR!$A$2:$A2026, 0),  
    MATCH(J$1, SR!$B$1:$D$1, 0) ), "")
</f>
        <v>-0.00123</v>
      </c>
      <c r="K612" s="14"/>
      <c r="L612" s="9">
        <v>118.33</v>
      </c>
      <c r="M612" s="9">
        <v>24.51</v>
      </c>
      <c r="N612" s="9">
        <v>114.26</v>
      </c>
      <c r="O612" s="9">
        <v>119.05</v>
      </c>
      <c r="P612" s="9">
        <v>126.71</v>
      </c>
      <c r="Q612" s="9">
        <v>1394.6682</v>
      </c>
      <c r="R612" s="14"/>
      <c r="S612" s="12">
        <f t="shared" si="2"/>
        <v>0.0005491379677</v>
      </c>
      <c r="T612" s="12">
        <f t="shared" si="3"/>
        <v>1.000549138</v>
      </c>
      <c r="U612" s="16">
        <f t="shared" si="7"/>
        <v>100.3947705</v>
      </c>
      <c r="V612" s="17"/>
      <c r="W612" s="12">
        <f t="array" ref="W612">SQRT(252/20) *  SQRT( SUMSQ( LN(U591:U610 / U590:U609) )  - (1/20) * ( SUM( LN(U591:U610 / U590:U609) ) ^ 2 ) )</f>
        <v>0.02340864045</v>
      </c>
      <c r="X612" s="9">
        <f t="shared" si="4"/>
        <v>1.5</v>
      </c>
      <c r="Y612" s="14"/>
      <c r="Z612" s="12">
        <f t="shared" si="5"/>
        <v>1.00082886</v>
      </c>
      <c r="AA612" s="16">
        <f t="shared" si="8"/>
        <v>100.7020732</v>
      </c>
      <c r="AB612" s="14"/>
      <c r="AC612" s="9">
        <f t="shared" si="6"/>
        <v>0</v>
      </c>
    </row>
    <row r="613">
      <c r="A613" s="8">
        <v>42614.0</v>
      </c>
      <c r="B613" s="14"/>
      <c r="C613" s="12">
        <f t="array" ref="C613">IFERROR(
  INDEX(
    IR!$B$2:$E2026,                
    MATCH($A613, IR!$A$2:$A2026, 0), 
    MATCH(C$1, IR!$B$1:$E$1, 0) ), "")
</f>
        <v>-0.00372</v>
      </c>
      <c r="D613" s="12">
        <f t="array" ref="D613">IFERROR(
  INDEX(
    IR!$B$2:$E2026,                
    MATCH($A613, IR!$A$2:$A2026, 0), 
    MATCH(D$1, IR!$B$1:$E$1, 0) ), "")
</f>
        <v>-0.00299</v>
      </c>
      <c r="E613" s="12">
        <f t="array" ref="E613">IFERROR(
  INDEX(
    IR!$B$2:$E2026,                
    MATCH($A613, IR!$A$2:$A2026, 0), 
    MATCH(E$1, IR!$B$1:$E$1, 0) ), "")
</f>
        <v>-0.00193</v>
      </c>
      <c r="F613" s="12">
        <f t="array" ref="F613">IFERROR(
  INDEX(
    IR!$B$2:$E2026,                
    MATCH($A613, IR!$A$2:$A2026, 0), 
    MATCH(F$1, IR!$B$1:$E$1, 0) ), "")
</f>
        <v>-0.00051</v>
      </c>
      <c r="G613" s="25"/>
      <c r="H613" s="12">
        <f t="array" ref="H613">IFERROR(
  INDEX(
    SR!$B$2:$D2026,            
    MATCH($A613, SR!$A$2:$A2026, 0),  
    MATCH(H$1, SR!$B$1:$D$1, 0) ), "")
</f>
        <v>-0.00216</v>
      </c>
      <c r="I613" s="12">
        <f t="array" ref="I613">IFERROR(
  INDEX(
    SR!$B$2:$D2026,            
    MATCH($A613, SR!$A$2:$A2026, 0),  
    MATCH(I$1, SR!$B$1:$D$1, 0) ), "")
</f>
        <v>-0.002019</v>
      </c>
      <c r="J613" s="12">
        <f t="array" ref="J613">IFERROR(
  INDEX(
    SR!$B$2:$D2026,            
    MATCH($A613, SR!$A$2:$A2026, 0),  
    MATCH(J$1, SR!$B$1:$D$1, 0) ), "")
</f>
        <v>-0.00125</v>
      </c>
      <c r="K613" s="14"/>
      <c r="L613" s="9">
        <v>118.37</v>
      </c>
      <c r="M613" s="9">
        <v>24.5</v>
      </c>
      <c r="N613" s="9">
        <v>114.25</v>
      </c>
      <c r="O613" s="9">
        <v>118.79</v>
      </c>
      <c r="P613" s="9">
        <v>126.59</v>
      </c>
      <c r="Q613" s="9">
        <v>1391.2116</v>
      </c>
      <c r="R613" s="14"/>
      <c r="S613" s="12">
        <f t="shared" si="2"/>
        <v>-0.0009610164573</v>
      </c>
      <c r="T613" s="12">
        <f t="shared" si="3"/>
        <v>0.9990389835</v>
      </c>
      <c r="U613" s="16">
        <f t="shared" si="7"/>
        <v>100.2982894</v>
      </c>
      <c r="V613" s="17"/>
      <c r="W613" s="12">
        <f t="array" ref="W613">SQRT(252/20) *  SQRT( SUMSQ( LN(U592:U611 / U591:U610) )  - (1/20) * ( SUM( LN(U592:U611 / U591:U610) ) ^ 2 ) )</f>
        <v>0.02337616425</v>
      </c>
      <c r="X613" s="9">
        <f t="shared" si="4"/>
        <v>1.5</v>
      </c>
      <c r="Y613" s="14"/>
      <c r="Z613" s="12">
        <f t="shared" si="5"/>
        <v>0.998563642</v>
      </c>
      <c r="AA613" s="16">
        <f t="shared" si="8"/>
        <v>100.557429</v>
      </c>
      <c r="AB613" s="14"/>
      <c r="AC613" s="9">
        <f t="shared" si="6"/>
        <v>0</v>
      </c>
    </row>
    <row r="614">
      <c r="A614" s="8">
        <v>42615.0</v>
      </c>
      <c r="B614" s="14"/>
      <c r="C614" s="12">
        <f t="array" ref="C614">IFERROR(
  INDEX(
    IR!$B$2:$E2026,                
    MATCH($A614, IR!$A$2:$A2026, 0), 
    MATCH(C$1, IR!$B$1:$E$1, 0) ), "")
</f>
        <v>-0.00373</v>
      </c>
      <c r="D614" s="12">
        <f t="array" ref="D614">IFERROR(
  INDEX(
    IR!$B$2:$E2026,                
    MATCH($A614, IR!$A$2:$A2026, 0), 
    MATCH(D$1, IR!$B$1:$E$1, 0) ), "")
</f>
        <v>-0.00301</v>
      </c>
      <c r="E614" s="12">
        <f t="array" ref="E614">IFERROR(
  INDEX(
    IR!$B$2:$E2026,                
    MATCH($A614, IR!$A$2:$A2026, 0), 
    MATCH(E$1, IR!$B$1:$E$1, 0) ), "")
</f>
        <v>-0.00193</v>
      </c>
      <c r="F614" s="12">
        <f t="array" ref="F614">IFERROR(
  INDEX(
    IR!$B$2:$E2026,                
    MATCH($A614, IR!$A$2:$A2026, 0), 
    MATCH(F$1, IR!$B$1:$E$1, 0) ), "")
</f>
        <v>-0.00052</v>
      </c>
      <c r="G614" s="25"/>
      <c r="H614" s="12">
        <f t="array" ref="H614">IFERROR(
  INDEX(
    SR!$B$2:$D2026,            
    MATCH($A614, SR!$A$2:$A2026, 0),  
    MATCH(H$1, SR!$B$1:$D$1, 0) ), "")
</f>
        <v>-0.00223</v>
      </c>
      <c r="I614" s="12">
        <f t="array" ref="I614">IFERROR(
  INDEX(
    SR!$B$2:$D2026,            
    MATCH($A614, SR!$A$2:$A2026, 0),  
    MATCH(I$1, SR!$B$1:$D$1, 0) ), "")
</f>
        <v>-0.00199</v>
      </c>
      <c r="J614" s="12">
        <f t="array" ref="J614">IFERROR(
  INDEX(
    SR!$B$2:$D2026,            
    MATCH($A614, SR!$A$2:$A2026, 0),  
    MATCH(J$1, SR!$B$1:$D$1, 0) ), "")
</f>
        <v>-0.001175</v>
      </c>
      <c r="K614" s="14"/>
      <c r="L614" s="9">
        <v>118.67</v>
      </c>
      <c r="M614" s="9">
        <v>24.5</v>
      </c>
      <c r="N614" s="9">
        <v>114.24</v>
      </c>
      <c r="O614" s="9">
        <v>118.21</v>
      </c>
      <c r="P614" s="9">
        <v>126.57</v>
      </c>
      <c r="Q614" s="9">
        <v>1392.8761</v>
      </c>
      <c r="R614" s="14"/>
      <c r="S614" s="12">
        <f t="shared" si="2"/>
        <v>-0.0002326569586</v>
      </c>
      <c r="T614" s="12">
        <f t="shared" si="3"/>
        <v>0.999767343</v>
      </c>
      <c r="U614" s="16">
        <f t="shared" si="7"/>
        <v>100.2749543</v>
      </c>
      <c r="V614" s="17"/>
      <c r="W614" s="12">
        <f t="array" ref="W614">SQRT(252/20) *  SQRT( SUMSQ( LN(U593:U612 / U592:U611) )  - (1/20) * ( SUM( LN(U593:U612 / U592:U611) ) ^ 2 ) )</f>
        <v>0.02305383269</v>
      </c>
      <c r="X614" s="9">
        <f t="shared" si="4"/>
        <v>1.5</v>
      </c>
      <c r="Y614" s="14"/>
      <c r="Z614" s="12">
        <f t="shared" si="5"/>
        <v>0.9996561812</v>
      </c>
      <c r="AA614" s="16">
        <f t="shared" si="8"/>
        <v>100.5228554</v>
      </c>
      <c r="AB614" s="14"/>
      <c r="AC614" s="9">
        <f t="shared" si="6"/>
        <v>0</v>
      </c>
    </row>
    <row r="615">
      <c r="A615" s="8">
        <v>42618.0</v>
      </c>
      <c r="B615" s="14"/>
      <c r="C615" s="12">
        <f t="array" ref="C615">IFERROR(
  INDEX(
    IR!$B$2:$E2026,                
    MATCH($A615, IR!$A$2:$A2026, 0), 
    MATCH(C$1, IR!$B$1:$E$1, 0) ), "")
</f>
        <v>-0.00373</v>
      </c>
      <c r="D615" s="12">
        <f t="array" ref="D615">IFERROR(
  INDEX(
    IR!$B$2:$E2026,                
    MATCH($A615, IR!$A$2:$A2026, 0), 
    MATCH(D$1, IR!$B$1:$E$1, 0) ), "")
</f>
        <v>-0.00301</v>
      </c>
      <c r="E615" s="12">
        <f t="array" ref="E615">IFERROR(
  INDEX(
    IR!$B$2:$E2026,                
    MATCH($A615, IR!$A$2:$A2026, 0), 
    MATCH(E$1, IR!$B$1:$E$1, 0) ), "")
</f>
        <v>-0.00195</v>
      </c>
      <c r="F615" s="12">
        <f t="array" ref="F615">IFERROR(
  INDEX(
    IR!$B$2:$E2026,                
    MATCH($A615, IR!$A$2:$A2026, 0), 
    MATCH(F$1, IR!$B$1:$E$1, 0) ), "")
</f>
        <v>-0.00052</v>
      </c>
      <c r="G615" s="25"/>
      <c r="H615" s="12">
        <f t="array" ref="H615">IFERROR(
  INDEX(
    SR!$B$2:$D2026,            
    MATCH($A615, SR!$A$2:$A2026, 0),  
    MATCH(H$1, SR!$B$1:$D$1, 0) ), "")
</f>
        <v>-0.0022</v>
      </c>
      <c r="I615" s="12">
        <f t="array" ref="I615">IFERROR(
  INDEX(
    SR!$B$2:$D2026,            
    MATCH($A615, SR!$A$2:$A2026, 0),  
    MATCH(I$1, SR!$B$1:$D$1, 0) ), "")
</f>
        <v>-0.002078</v>
      </c>
      <c r="J615" s="12">
        <f t="array" ref="J615">IFERROR(
  INDEX(
    SR!$B$2:$D2026,            
    MATCH($A615, SR!$A$2:$A2026, 0),  
    MATCH(J$1, SR!$B$1:$D$1, 0) ), "")
</f>
        <v>-0.0013</v>
      </c>
      <c r="K615" s="14"/>
      <c r="L615" s="9">
        <v>118.72</v>
      </c>
      <c r="M615" s="9">
        <v>24.51</v>
      </c>
      <c r="N615" s="9">
        <v>114.22</v>
      </c>
      <c r="O615" s="9">
        <v>119.02</v>
      </c>
      <c r="P615" s="9">
        <v>126.82</v>
      </c>
      <c r="Q615" s="9">
        <v>1397.1675</v>
      </c>
      <c r="R615" s="14"/>
      <c r="S615" s="12">
        <f t="shared" si="2"/>
        <v>0.002093270022</v>
      </c>
      <c r="T615" s="12">
        <f t="shared" si="3"/>
        <v>1.00209327</v>
      </c>
      <c r="U615" s="16">
        <f t="shared" si="7"/>
        <v>100.4848569</v>
      </c>
      <c r="V615" s="17"/>
      <c r="W615" s="12">
        <f t="array" ref="W615">SQRT(252/20) *  SQRT( SUMSQ( LN(U594:U613 / U593:U612) )  - (1/20) * ( SUM( LN(U594:U613 / U593:U612) ) ^ 2 ) )</f>
        <v>0.01844322001</v>
      </c>
      <c r="X615" s="9">
        <f t="shared" si="4"/>
        <v>1.5</v>
      </c>
      <c r="Y615" s="14"/>
      <c r="Z615" s="12">
        <f t="shared" si="5"/>
        <v>1.003155447</v>
      </c>
      <c r="AA615" s="16">
        <f t="shared" si="8"/>
        <v>100.8400499</v>
      </c>
      <c r="AB615" s="14"/>
      <c r="AC615" s="9">
        <f t="shared" si="6"/>
        <v>0</v>
      </c>
    </row>
    <row r="616">
      <c r="A616" s="8">
        <v>42619.0</v>
      </c>
      <c r="B616" s="14"/>
      <c r="C616" s="12">
        <f t="array" ref="C616">IFERROR(
  INDEX(
    IR!$B$2:$E2026,                
    MATCH($A616, IR!$A$2:$A2026, 0), 
    MATCH(C$1, IR!$B$1:$E$1, 0) ), "")
</f>
        <v>-0.00372</v>
      </c>
      <c r="D616" s="12">
        <f t="array" ref="D616">IFERROR(
  INDEX(
    IR!$B$2:$E2026,                
    MATCH($A616, IR!$A$2:$A2026, 0), 
    MATCH(D$1, IR!$B$1:$E$1, 0) ), "")
</f>
        <v>-0.00303</v>
      </c>
      <c r="E616" s="12">
        <f t="array" ref="E616">IFERROR(
  INDEX(
    IR!$B$2:$E2026,                
    MATCH($A616, IR!$A$2:$A2026, 0), 
    MATCH(E$1, IR!$B$1:$E$1, 0) ), "")
</f>
        <v>-0.00197</v>
      </c>
      <c r="F616" s="12">
        <f t="array" ref="F616">IFERROR(
  INDEX(
    IR!$B$2:$E2026,                
    MATCH($A616, IR!$A$2:$A2026, 0), 
    MATCH(F$1, IR!$B$1:$E$1, 0) ), "")
</f>
        <v>-0.00054</v>
      </c>
      <c r="G616" s="25"/>
      <c r="H616" s="12">
        <f t="array" ref="H616">IFERROR(
  INDEX(
    SR!$B$2:$D2026,            
    MATCH($A616, SR!$A$2:$A2026, 0),  
    MATCH(H$1, SR!$B$1:$D$1, 0) ), "")
</f>
        <v>-0.00244</v>
      </c>
      <c r="I616" s="12">
        <f t="array" ref="I616">IFERROR(
  INDEX(
    SR!$B$2:$D2026,            
    MATCH($A616, SR!$A$2:$A2026, 0),  
    MATCH(I$1, SR!$B$1:$D$1, 0) ), "")
</f>
        <v>-0.00233</v>
      </c>
      <c r="J616" s="12">
        <f t="array" ref="J616">IFERROR(
  INDEX(
    SR!$B$2:$D2026,            
    MATCH($A616, SR!$A$2:$A2026, 0),  
    MATCH(J$1, SR!$B$1:$D$1, 0) ), "")
</f>
        <v>-0.0017</v>
      </c>
      <c r="K616" s="14"/>
      <c r="L616" s="9">
        <v>118.84</v>
      </c>
      <c r="M616" s="9">
        <v>24.51</v>
      </c>
      <c r="N616" s="9">
        <v>114.29</v>
      </c>
      <c r="O616" s="9">
        <v>119.14</v>
      </c>
      <c r="P616" s="9">
        <v>126.96</v>
      </c>
      <c r="Q616" s="9">
        <v>1398.8608</v>
      </c>
      <c r="R616" s="14"/>
      <c r="S616" s="12">
        <f t="shared" si="2"/>
        <v>0.000824415818</v>
      </c>
      <c r="T616" s="12">
        <f t="shared" si="3"/>
        <v>1.000824416</v>
      </c>
      <c r="U616" s="16">
        <f t="shared" si="7"/>
        <v>100.5676982</v>
      </c>
      <c r="V616" s="17"/>
      <c r="W616" s="12">
        <f t="array" ref="W616">SQRT(252/20) *  SQRT( SUMSQ( LN(U595:U614 / U594:U613) )  - (1/20) * ( SUM( LN(U595:U614 / U594:U613) ) ^ 2 ) )</f>
        <v>0.01839938298</v>
      </c>
      <c r="X616" s="9">
        <f t="shared" si="4"/>
        <v>1.5</v>
      </c>
      <c r="Y616" s="14"/>
      <c r="Z616" s="12">
        <f t="shared" si="5"/>
        <v>1.001241804</v>
      </c>
      <c r="AA616" s="16">
        <f t="shared" si="8"/>
        <v>100.9652736</v>
      </c>
      <c r="AB616" s="14"/>
      <c r="AC616" s="9">
        <f t="shared" si="6"/>
        <v>0</v>
      </c>
    </row>
    <row r="617">
      <c r="A617" s="8">
        <v>42620.0</v>
      </c>
      <c r="B617" s="14"/>
      <c r="C617" s="12">
        <f t="array" ref="C617">IFERROR(
  INDEX(
    IR!$B$2:$E2026,                
    MATCH($A617, IR!$A$2:$A2026, 0), 
    MATCH(C$1, IR!$B$1:$E$1, 0) ), "")
</f>
        <v>-0.00372</v>
      </c>
      <c r="D617" s="12">
        <f t="array" ref="D617">IFERROR(
  INDEX(
    IR!$B$2:$E2026,                
    MATCH($A617, IR!$A$2:$A2026, 0), 
    MATCH(D$1, IR!$B$1:$E$1, 0) ), "")
</f>
        <v>-0.00303</v>
      </c>
      <c r="E617" s="12">
        <f t="array" ref="E617">IFERROR(
  INDEX(
    IR!$B$2:$E2026,                
    MATCH($A617, IR!$A$2:$A2026, 0), 
    MATCH(E$1, IR!$B$1:$E$1, 0) ), "")
</f>
        <v>-0.00198</v>
      </c>
      <c r="F617" s="12">
        <f t="array" ref="F617">IFERROR(
  INDEX(
    IR!$B$2:$E2026,                
    MATCH($A617, IR!$A$2:$A2026, 0), 
    MATCH(F$1, IR!$B$1:$E$1, 0) ), "")
</f>
        <v>-0.00059</v>
      </c>
      <c r="G617" s="25"/>
      <c r="H617" s="12">
        <f t="array" ref="H617">IFERROR(
  INDEX(
    SR!$B$2:$D2026,            
    MATCH($A617, SR!$A$2:$A2026, 0),  
    MATCH(H$1, SR!$B$1:$D$1, 0) ), "")
</f>
        <v>-0.0024</v>
      </c>
      <c r="I617" s="12">
        <f t="array" ref="I617">IFERROR(
  INDEX(
    SR!$B$2:$D2026,            
    MATCH($A617, SR!$A$2:$A2026, 0),  
    MATCH(I$1, SR!$B$1:$D$1, 0) ), "")
</f>
        <v>-0.002357</v>
      </c>
      <c r="J617" s="12">
        <f t="array" ref="J617">IFERROR(
  INDEX(
    SR!$B$2:$D2026,            
    MATCH($A617, SR!$A$2:$A2026, 0),  
    MATCH(J$1, SR!$B$1:$D$1, 0) ), "")
</f>
        <v>-0.00172</v>
      </c>
      <c r="K617" s="14"/>
      <c r="L617" s="9">
        <v>118.84</v>
      </c>
      <c r="M617" s="9">
        <v>24.51</v>
      </c>
      <c r="N617" s="9">
        <v>114.3</v>
      </c>
      <c r="O617" s="9">
        <v>119.42</v>
      </c>
      <c r="P617" s="9">
        <v>127.23</v>
      </c>
      <c r="Q617" s="9">
        <v>1398.1429</v>
      </c>
      <c r="R617" s="14"/>
      <c r="S617" s="12">
        <f t="shared" si="2"/>
        <v>0.0006748658933</v>
      </c>
      <c r="T617" s="12">
        <f t="shared" si="3"/>
        <v>1.000674866</v>
      </c>
      <c r="U617" s="16">
        <f t="shared" si="7"/>
        <v>100.6355679</v>
      </c>
      <c r="V617" s="17"/>
      <c r="W617" s="12">
        <f t="array" ref="W617">SQRT(252/20) *  SQRT( SUMSQ( LN(U596:U615 / U595:U614) )  - (1/20) * ( SUM( LN(U596:U615 / U595:U614) ) ^ 2 ) )</f>
        <v>0.01801775425</v>
      </c>
      <c r="X617" s="9">
        <f t="shared" si="4"/>
        <v>1.5</v>
      </c>
      <c r="Y617" s="14"/>
      <c r="Z617" s="12">
        <f t="shared" si="5"/>
        <v>1.001017466</v>
      </c>
      <c r="AA617" s="16">
        <f t="shared" si="8"/>
        <v>101.0680022</v>
      </c>
      <c r="AB617" s="14"/>
      <c r="AC617" s="9">
        <f t="shared" si="6"/>
        <v>0</v>
      </c>
    </row>
    <row r="618">
      <c r="A618" s="8">
        <v>42621.0</v>
      </c>
      <c r="B618" s="14"/>
      <c r="C618" s="12">
        <f t="array" ref="C618">IFERROR(
  INDEX(
    IR!$B$2:$E2026,                
    MATCH($A618, IR!$A$2:$A2026, 0), 
    MATCH(C$1, IR!$B$1:$E$1, 0) ), "")
</f>
        <v>-0.00373</v>
      </c>
      <c r="D618" s="12">
        <f t="array" ref="D618">IFERROR(
  INDEX(
    IR!$B$2:$E2026,                
    MATCH($A618, IR!$A$2:$A2026, 0), 
    MATCH(D$1, IR!$B$1:$E$1, 0) ), "")
</f>
        <v>-0.00304</v>
      </c>
      <c r="E618" s="12">
        <f t="array" ref="E618">IFERROR(
  INDEX(
    IR!$B$2:$E2026,                
    MATCH($A618, IR!$A$2:$A2026, 0), 
    MATCH(E$1, IR!$B$1:$E$1, 0) ), "")
</f>
        <v>-0.00201</v>
      </c>
      <c r="F618" s="12">
        <f t="array" ref="F618">IFERROR(
  INDEX(
    IR!$B$2:$E2026,                
    MATCH($A618, IR!$A$2:$A2026, 0), 
    MATCH(F$1, IR!$B$1:$E$1, 0) ), "")
</f>
        <v>-0.0006</v>
      </c>
      <c r="G618" s="25"/>
      <c r="H618" s="12">
        <f t="array" ref="H618">IFERROR(
  INDEX(
    SR!$B$2:$D2026,            
    MATCH($A618, SR!$A$2:$A2026, 0),  
    MATCH(H$1, SR!$B$1:$D$1, 0) ), "")
</f>
        <v>-0.00222</v>
      </c>
      <c r="I618" s="12">
        <f t="array" ref="I618">IFERROR(
  INDEX(
    SR!$B$2:$D2026,            
    MATCH($A618, SR!$A$2:$A2026, 0),  
    MATCH(I$1, SR!$B$1:$D$1, 0) ), "")
</f>
        <v>-0.002128</v>
      </c>
      <c r="J618" s="12">
        <f t="array" ref="J618">IFERROR(
  INDEX(
    SR!$B$2:$D2026,            
    MATCH($A618, SR!$A$2:$A2026, 0),  
    MATCH(J$1, SR!$B$1:$D$1, 0) ), "")
</f>
        <v>-0.00136</v>
      </c>
      <c r="K618" s="14"/>
      <c r="L618" s="9">
        <v>118.82</v>
      </c>
      <c r="M618" s="9">
        <v>24.5</v>
      </c>
      <c r="N618" s="9">
        <v>114.28</v>
      </c>
      <c r="O618" s="9">
        <v>119.87</v>
      </c>
      <c r="P618" s="9">
        <v>127.13</v>
      </c>
      <c r="Q618" s="9">
        <v>1397.9216</v>
      </c>
      <c r="R618" s="14"/>
      <c r="S618" s="12">
        <f t="shared" si="2"/>
        <v>0.0003452935134</v>
      </c>
      <c r="T618" s="12">
        <f t="shared" si="3"/>
        <v>1.000345294</v>
      </c>
      <c r="U618" s="16">
        <f t="shared" si="7"/>
        <v>100.6703167</v>
      </c>
      <c r="V618" s="17"/>
      <c r="W618" s="12">
        <f t="array" ref="W618">SQRT(252/20) *  SQRT( SUMSQ( LN(U597:U616 / U596:U615) )  - (1/20) * ( SUM( LN(U597:U616 / U596:U615) ) ^ 2 ) )</f>
        <v>0.01758414869</v>
      </c>
      <c r="X618" s="9">
        <f t="shared" si="4"/>
        <v>1.5</v>
      </c>
      <c r="Y618" s="14"/>
      <c r="Z618" s="12">
        <f t="shared" si="5"/>
        <v>1.000523107</v>
      </c>
      <c r="AA618" s="16">
        <f t="shared" si="8"/>
        <v>101.1208716</v>
      </c>
      <c r="AB618" s="14"/>
      <c r="AC618" s="9">
        <f t="shared" si="6"/>
        <v>0</v>
      </c>
    </row>
    <row r="619">
      <c r="A619" s="8">
        <v>42622.0</v>
      </c>
      <c r="B619" s="14"/>
      <c r="C619" s="12">
        <f t="array" ref="C619">IFERROR(
  INDEX(
    IR!$B$2:$E2026,                
    MATCH($A619, IR!$A$2:$A2026, 0), 
    MATCH(C$1, IR!$B$1:$E$1, 0) ), "")
</f>
        <v>-0.00369</v>
      </c>
      <c r="D619" s="12">
        <f t="array" ref="D619">IFERROR(
  INDEX(
    IR!$B$2:$E2026,                
    MATCH($A619, IR!$A$2:$A2026, 0), 
    MATCH(D$1, IR!$B$1:$E$1, 0) ), "")
</f>
        <v>-0.00301</v>
      </c>
      <c r="E619" s="12">
        <f t="array" ref="E619">IFERROR(
  INDEX(
    IR!$B$2:$E2026,                
    MATCH($A619, IR!$A$2:$A2026, 0), 
    MATCH(E$1, IR!$B$1:$E$1, 0) ), "")
</f>
        <v>-0.00198</v>
      </c>
      <c r="F619" s="12">
        <f t="array" ref="F619">IFERROR(
  INDEX(
    IR!$B$2:$E2026,                
    MATCH($A619, IR!$A$2:$A2026, 0), 
    MATCH(F$1, IR!$B$1:$E$1, 0) ), "")
</f>
        <v>-0.00057</v>
      </c>
      <c r="G619" s="25"/>
      <c r="H619" s="12">
        <f t="array" ref="H619">IFERROR(
  INDEX(
    SR!$B$2:$D2026,            
    MATCH($A619, SR!$A$2:$A2026, 0),  
    MATCH(H$1, SR!$B$1:$D$1, 0) ), "")
</f>
        <v>-0.0021</v>
      </c>
      <c r="I619" s="12">
        <f t="array" ref="I619">IFERROR(
  INDEX(
    SR!$B$2:$D2026,            
    MATCH($A619, SR!$A$2:$A2026, 0),  
    MATCH(I$1, SR!$B$1:$D$1, 0) ), "")
</f>
        <v>-0.002035</v>
      </c>
      <c r="J619" s="12">
        <f t="array" ref="J619">IFERROR(
  INDEX(
    SR!$B$2:$D2026,            
    MATCH($A619, SR!$A$2:$A2026, 0),  
    MATCH(J$1, SR!$B$1:$D$1, 0) ), "")
</f>
        <v>-0.001113</v>
      </c>
      <c r="K619" s="14"/>
      <c r="L619" s="9">
        <v>118.49</v>
      </c>
      <c r="M619" s="9">
        <v>24.49</v>
      </c>
      <c r="N619" s="9">
        <v>114.27</v>
      </c>
      <c r="O619" s="9">
        <v>119.32</v>
      </c>
      <c r="P619" s="9">
        <v>126.73</v>
      </c>
      <c r="Q619" s="9">
        <v>1395.8076</v>
      </c>
      <c r="R619" s="14"/>
      <c r="S619" s="12">
        <f t="shared" si="2"/>
        <v>-0.002085968644</v>
      </c>
      <c r="T619" s="12">
        <f t="shared" si="3"/>
        <v>0.9979140314</v>
      </c>
      <c r="U619" s="16">
        <f t="shared" si="7"/>
        <v>100.4603216</v>
      </c>
      <c r="V619" s="17"/>
      <c r="W619" s="12">
        <f t="array" ref="W619">SQRT(252/20) *  SQRT( SUMSQ( LN(U598:U617 / U597:U616) )  - (1/20) * ( SUM( LN(U598:U617 / U597:U616) ) ^ 2 ) )</f>
        <v>0.0173759336</v>
      </c>
      <c r="X619" s="9">
        <f t="shared" si="4"/>
        <v>1.5</v>
      </c>
      <c r="Y619" s="14"/>
      <c r="Z619" s="12">
        <f t="shared" si="5"/>
        <v>0.9968762276</v>
      </c>
      <c r="AA619" s="16">
        <f t="shared" si="8"/>
        <v>100.804993</v>
      </c>
      <c r="AB619" s="14"/>
      <c r="AC619" s="9">
        <f t="shared" si="6"/>
        <v>0</v>
      </c>
    </row>
    <row r="620">
      <c r="A620" s="8">
        <v>42625.0</v>
      </c>
      <c r="B620" s="14"/>
      <c r="C620" s="12">
        <f t="array" ref="C620">IFERROR(
  INDEX(
    IR!$B$2:$E2026,                
    MATCH($A620, IR!$A$2:$A2026, 0), 
    MATCH(C$1, IR!$B$1:$E$1, 0) ), "")
</f>
        <v>-0.00371</v>
      </c>
      <c r="D620" s="12">
        <f t="array" ref="D620">IFERROR(
  INDEX(
    IR!$B$2:$E2026,                
    MATCH($A620, IR!$A$2:$A2026, 0), 
    MATCH(D$1, IR!$B$1:$E$1, 0) ), "")
</f>
        <v>-0.00303</v>
      </c>
      <c r="E620" s="12">
        <f t="array" ref="E620">IFERROR(
  INDEX(
    IR!$B$2:$E2026,                
    MATCH($A620, IR!$A$2:$A2026, 0), 
    MATCH(E$1, IR!$B$1:$E$1, 0) ), "")
</f>
        <v>-0.00198</v>
      </c>
      <c r="F620" s="12">
        <f t="array" ref="F620">IFERROR(
  INDEX(
    IR!$B$2:$E2026,                
    MATCH($A620, IR!$A$2:$A2026, 0), 
    MATCH(F$1, IR!$B$1:$E$1, 0) ), "")
</f>
        <v>-0.00057</v>
      </c>
      <c r="G620" s="25"/>
      <c r="H620" s="12">
        <f t="array" ref="H620">IFERROR(
  INDEX(
    SR!$B$2:$D2026,            
    MATCH($A620, SR!$A$2:$A2026, 0),  
    MATCH(H$1, SR!$B$1:$D$1, 0) ), "")
</f>
        <v>-0.00215</v>
      </c>
      <c r="I620" s="12">
        <f t="array" ref="I620">IFERROR(
  INDEX(
    SR!$B$2:$D2026,            
    MATCH($A620, SR!$A$2:$A2026, 0),  
    MATCH(I$1, SR!$B$1:$D$1, 0) ), "")
</f>
        <v>-0.001973</v>
      </c>
      <c r="J620" s="12">
        <f t="array" ref="J620">IFERROR(
  INDEX(
    SR!$B$2:$D2026,            
    MATCH($A620, SR!$A$2:$A2026, 0),  
    MATCH(J$1, SR!$B$1:$D$1, 0) ), "")
</f>
        <v>-0.00101</v>
      </c>
      <c r="K620" s="14"/>
      <c r="L620" s="9">
        <v>118.07</v>
      </c>
      <c r="M620" s="9">
        <v>24.49</v>
      </c>
      <c r="N620" s="9">
        <v>114.26</v>
      </c>
      <c r="O620" s="9">
        <v>118.28</v>
      </c>
      <c r="P620" s="9">
        <v>125.91</v>
      </c>
      <c r="Q620" s="9">
        <v>1381.9005</v>
      </c>
      <c r="R620" s="14"/>
      <c r="S620" s="12">
        <f t="shared" si="2"/>
        <v>-0.004796094342</v>
      </c>
      <c r="T620" s="12">
        <f t="shared" si="3"/>
        <v>0.9952039057</v>
      </c>
      <c r="U620" s="16">
        <f t="shared" si="7"/>
        <v>99.97850442</v>
      </c>
      <c r="V620" s="17"/>
      <c r="W620" s="12">
        <f t="array" ref="W620">SQRT(252/20) *  SQRT( SUMSQ( LN(U599:U618 / U598:U617) )  - (1/20) * ( SUM( LN(U599:U618 / U598:U617) ) ^ 2 ) )</f>
        <v>0.01502672865</v>
      </c>
      <c r="X620" s="9">
        <f t="shared" si="4"/>
        <v>1.5</v>
      </c>
      <c r="Y620" s="14"/>
      <c r="Z620" s="12">
        <f t="shared" si="5"/>
        <v>0.9928212335</v>
      </c>
      <c r="AA620" s="16">
        <f t="shared" si="8"/>
        <v>100.0813375</v>
      </c>
      <c r="AB620" s="14"/>
      <c r="AC620" s="9">
        <f t="shared" si="6"/>
        <v>0</v>
      </c>
    </row>
    <row r="621">
      <c r="A621" s="8">
        <v>42626.0</v>
      </c>
      <c r="B621" s="14"/>
      <c r="C621" s="12">
        <f t="array" ref="C621">IFERROR(
  INDEX(
    IR!$B$2:$E2026,                
    MATCH($A621, IR!$A$2:$A2026, 0), 
    MATCH(C$1, IR!$B$1:$E$1, 0) ), "")
</f>
        <v>-0.00372</v>
      </c>
      <c r="D621" s="12">
        <f t="array" ref="D621">IFERROR(
  INDEX(
    IR!$B$2:$E2026,                
    MATCH($A621, IR!$A$2:$A2026, 0), 
    MATCH(D$1, IR!$B$1:$E$1, 0) ), "")
</f>
        <v>-0.00302</v>
      </c>
      <c r="E621" s="12">
        <f t="array" ref="E621">IFERROR(
  INDEX(
    IR!$B$2:$E2026,                
    MATCH($A621, IR!$A$2:$A2026, 0), 
    MATCH(E$1, IR!$B$1:$E$1, 0) ), "")
</f>
        <v>-0.00199</v>
      </c>
      <c r="F621" s="12">
        <f t="array" ref="F621">IFERROR(
  INDEX(
    IR!$B$2:$E2026,                
    MATCH($A621, IR!$A$2:$A2026, 0), 
    MATCH(F$1, IR!$B$1:$E$1, 0) ), "")
</f>
        <v>-0.00055</v>
      </c>
      <c r="G621" s="25"/>
      <c r="H621" s="12">
        <f t="array" ref="H621">IFERROR(
  INDEX(
    SR!$B$2:$D2026,            
    MATCH($A621, SR!$A$2:$A2026, 0),  
    MATCH(H$1, SR!$B$1:$D$1, 0) ), "")
</f>
        <v>-0.00213</v>
      </c>
      <c r="I621" s="12">
        <f t="array" ref="I621">IFERROR(
  INDEX(
    SR!$B$2:$D2026,            
    MATCH($A621, SR!$A$2:$A2026, 0),  
    MATCH(I$1, SR!$B$1:$D$1, 0) ), "")
</f>
        <v>-0.00192</v>
      </c>
      <c r="J621" s="12">
        <f t="array" ref="J621">IFERROR(
  INDEX(
    SR!$B$2:$D2026,            
    MATCH($A621, SR!$A$2:$A2026, 0),  
    MATCH(J$1, SR!$B$1:$D$1, 0) ), "")
</f>
        <v>-0.00085</v>
      </c>
      <c r="K621" s="14"/>
      <c r="L621" s="9">
        <v>117.77</v>
      </c>
      <c r="M621" s="9">
        <v>24.48</v>
      </c>
      <c r="N621" s="9">
        <v>114.26</v>
      </c>
      <c r="O621" s="9">
        <v>117.45</v>
      </c>
      <c r="P621" s="9">
        <v>125.79</v>
      </c>
      <c r="Q621" s="9">
        <v>1384.1879</v>
      </c>
      <c r="R621" s="14"/>
      <c r="S621" s="12">
        <f t="shared" si="2"/>
        <v>-0.001543258155</v>
      </c>
      <c r="T621" s="12">
        <f t="shared" si="3"/>
        <v>0.9984567418</v>
      </c>
      <c r="U621" s="16">
        <f t="shared" si="7"/>
        <v>99.82421177</v>
      </c>
      <c r="V621" s="17"/>
      <c r="W621" s="12">
        <f t="array" ref="W621">SQRT(252/20) *  SQRT( SUMSQ( LN(U600:U619 / U599:U618) )  - (1/20) * ( SUM( LN(U600:U619 / U599:U618) ) ^ 2 ) )</f>
        <v>0.01693726284</v>
      </c>
      <c r="X621" s="9">
        <f t="shared" si="4"/>
        <v>1.5</v>
      </c>
      <c r="Y621" s="14"/>
      <c r="Z621" s="12">
        <f t="shared" si="5"/>
        <v>0.9976902655</v>
      </c>
      <c r="AA621" s="16">
        <f t="shared" si="8"/>
        <v>99.8501762</v>
      </c>
      <c r="AB621" s="14"/>
      <c r="AC621" s="9">
        <f t="shared" si="6"/>
        <v>0</v>
      </c>
    </row>
    <row r="622">
      <c r="A622" s="8">
        <v>42627.0</v>
      </c>
      <c r="B622" s="14"/>
      <c r="C622" s="12">
        <f t="array" ref="C622">IFERROR(
  INDEX(
    IR!$B$2:$E2026,                
    MATCH($A622, IR!$A$2:$A2026, 0), 
    MATCH(C$1, IR!$B$1:$E$1, 0) ), "")
</f>
        <v>-0.00372</v>
      </c>
      <c r="D622" s="12">
        <f t="array" ref="D622">IFERROR(
  INDEX(
    IR!$B$2:$E2026,                
    MATCH($A622, IR!$A$2:$A2026, 0), 
    MATCH(D$1, IR!$B$1:$E$1, 0) ), "")
</f>
        <v>-0.00303</v>
      </c>
      <c r="E622" s="12">
        <f t="array" ref="E622">IFERROR(
  INDEX(
    IR!$B$2:$E2026,                
    MATCH($A622, IR!$A$2:$A2026, 0), 
    MATCH(E$1, IR!$B$1:$E$1, 0) ), "")
</f>
        <v>-0.00199</v>
      </c>
      <c r="F622" s="12">
        <f t="array" ref="F622">IFERROR(
  INDEX(
    IR!$B$2:$E2026,                
    MATCH($A622, IR!$A$2:$A2026, 0), 
    MATCH(F$1, IR!$B$1:$E$1, 0) ), "")
</f>
        <v>-0.00054</v>
      </c>
      <c r="G622" s="25"/>
      <c r="H622" s="12">
        <f t="array" ref="H622">IFERROR(
  INDEX(
    SR!$B$2:$D2026,            
    MATCH($A622, SR!$A$2:$A2026, 0),  
    MATCH(H$1, SR!$B$1:$D$1, 0) ), "")
</f>
        <v>-0.0023</v>
      </c>
      <c r="I622" s="12">
        <f t="array" ref="I622">IFERROR(
  INDEX(
    SR!$B$2:$D2026,            
    MATCH($A622, SR!$A$2:$A2026, 0),  
    MATCH(I$1, SR!$B$1:$D$1, 0) ), "")
</f>
        <v>-0.002075</v>
      </c>
      <c r="J622" s="12">
        <f t="array" ref="J622">IFERROR(
  INDEX(
    SR!$B$2:$D2026,            
    MATCH($A622, SR!$A$2:$A2026, 0),  
    MATCH(J$1, SR!$B$1:$D$1, 0) ), "")
</f>
        <v>-0.00113</v>
      </c>
      <c r="K622" s="14"/>
      <c r="L622" s="9">
        <v>117.74</v>
      </c>
      <c r="M622" s="9">
        <v>24.48</v>
      </c>
      <c r="N622" s="9">
        <v>114.24</v>
      </c>
      <c r="O622" s="9">
        <v>117.07</v>
      </c>
      <c r="P622" s="9">
        <v>125.58</v>
      </c>
      <c r="Q622" s="9">
        <v>1377.4821</v>
      </c>
      <c r="R622" s="14"/>
      <c r="S622" s="12">
        <f t="shared" si="2"/>
        <v>-0.00169634169</v>
      </c>
      <c r="T622" s="12">
        <f t="shared" si="3"/>
        <v>0.9983036583</v>
      </c>
      <c r="U622" s="16">
        <f t="shared" si="7"/>
        <v>99.6548758</v>
      </c>
      <c r="V622" s="17"/>
      <c r="W622" s="12">
        <f t="array" ref="W622">SQRT(252/20) *  SQRT( SUMSQ( LN(U601:U620 / U600:U619) )  - (1/20) * ( SUM( LN(U601:U620 / U600:U619) ) ^ 2 ) )</f>
        <v>0.02366175161</v>
      </c>
      <c r="X622" s="9">
        <f t="shared" si="4"/>
        <v>1.5</v>
      </c>
      <c r="Y622" s="14"/>
      <c r="Z622" s="12">
        <f t="shared" si="5"/>
        <v>0.9974606541</v>
      </c>
      <c r="AA622" s="16">
        <f t="shared" si="8"/>
        <v>99.59662207</v>
      </c>
      <c r="AB622" s="14"/>
      <c r="AC622" s="9">
        <f t="shared" si="6"/>
        <v>0</v>
      </c>
    </row>
    <row r="623">
      <c r="A623" s="8">
        <v>42628.0</v>
      </c>
      <c r="B623" s="14"/>
      <c r="C623" s="12">
        <f t="array" ref="C623">IFERROR(
  INDEX(
    IR!$B$2:$E2026,                
    MATCH($A623, IR!$A$2:$A2026, 0), 
    MATCH(C$1, IR!$B$1:$E$1, 0) ), "")
</f>
        <v>-0.00371</v>
      </c>
      <c r="D623" s="12">
        <f t="array" ref="D623">IFERROR(
  INDEX(
    IR!$B$2:$E2026,                
    MATCH($A623, IR!$A$2:$A2026, 0), 
    MATCH(D$1, IR!$B$1:$E$1, 0) ), "")
</f>
        <v>-0.00301</v>
      </c>
      <c r="E623" s="12">
        <f t="array" ref="E623">IFERROR(
  INDEX(
    IR!$B$2:$E2026,                
    MATCH($A623, IR!$A$2:$A2026, 0), 
    MATCH(E$1, IR!$B$1:$E$1, 0) ), "")
</f>
        <v>-0.00199</v>
      </c>
      <c r="F623" s="12">
        <f t="array" ref="F623">IFERROR(
  INDEX(
    IR!$B$2:$E2026,                
    MATCH($A623, IR!$A$2:$A2026, 0), 
    MATCH(F$1, IR!$B$1:$E$1, 0) ), "")
</f>
        <v>-0.00053</v>
      </c>
      <c r="G623" s="25"/>
      <c r="H623" s="12">
        <f t="array" ref="H623">IFERROR(
  INDEX(
    SR!$B$2:$D2026,            
    MATCH($A623, SR!$A$2:$A2026, 0),  
    MATCH(H$1, SR!$B$1:$D$1, 0) ), "")
</f>
        <v>-0.00221</v>
      </c>
      <c r="I623" s="12">
        <f t="array" ref="I623">IFERROR(
  INDEX(
    SR!$B$2:$D2026,            
    MATCH($A623, SR!$A$2:$A2026, 0),  
    MATCH(I$1, SR!$B$1:$D$1, 0) ), "")
</f>
        <v>-0.002023</v>
      </c>
      <c r="J623" s="12">
        <f t="array" ref="J623">IFERROR(
  INDEX(
    SR!$B$2:$D2026,            
    MATCH($A623, SR!$A$2:$A2026, 0),  
    MATCH(J$1, SR!$B$1:$D$1, 0) ), "")
</f>
        <v>-0.001</v>
      </c>
      <c r="K623" s="14"/>
      <c r="L623" s="9">
        <v>117.79</v>
      </c>
      <c r="M623" s="9">
        <v>24.47</v>
      </c>
      <c r="N623" s="9">
        <v>114.22</v>
      </c>
      <c r="O623" s="9">
        <v>117.03</v>
      </c>
      <c r="P623" s="9">
        <v>125.54</v>
      </c>
      <c r="Q623" s="9">
        <v>1377.7596</v>
      </c>
      <c r="R623" s="14"/>
      <c r="S623" s="12">
        <f t="shared" si="2"/>
        <v>-0.0001028796281</v>
      </c>
      <c r="T623" s="12">
        <f t="shared" si="3"/>
        <v>0.9998971204</v>
      </c>
      <c r="U623" s="16">
        <f t="shared" si="7"/>
        <v>99.64462334</v>
      </c>
      <c r="V623" s="17"/>
      <c r="W623" s="12">
        <f t="array" ref="W623">SQRT(252/20) *  SQRT( SUMSQ( LN(U602:U621 / U601:U620) )  - (1/20) * ( SUM( LN(U602:U621 / U601:U620) ) ^ 2 ) )</f>
        <v>0.02401507983</v>
      </c>
      <c r="X623" s="9">
        <f t="shared" si="4"/>
        <v>1.5</v>
      </c>
      <c r="Y623" s="14"/>
      <c r="Z623" s="12">
        <f t="shared" si="5"/>
        <v>0.9998508472</v>
      </c>
      <c r="AA623" s="16">
        <f t="shared" si="8"/>
        <v>99.58176695</v>
      </c>
      <c r="AB623" s="14"/>
      <c r="AC623" s="9">
        <f t="shared" si="6"/>
        <v>0</v>
      </c>
    </row>
    <row r="624">
      <c r="A624" s="8">
        <v>42629.0</v>
      </c>
      <c r="B624" s="14"/>
      <c r="C624" s="12">
        <f t="array" ref="C624">IFERROR(
  INDEX(
    IR!$B$2:$E2026,                
    MATCH($A624, IR!$A$2:$A2026, 0), 
    MATCH(C$1, IR!$B$1:$E$1, 0) ), "")
</f>
        <v>-0.00371</v>
      </c>
      <c r="D624" s="12">
        <f t="array" ref="D624">IFERROR(
  INDEX(
    IR!$B$2:$E2026,                
    MATCH($A624, IR!$A$2:$A2026, 0), 
    MATCH(D$1, IR!$B$1:$E$1, 0) ), "")
</f>
        <v>-0.00301</v>
      </c>
      <c r="E624" s="12">
        <f t="array" ref="E624">IFERROR(
  INDEX(
    IR!$B$2:$E2026,                
    MATCH($A624, IR!$A$2:$A2026, 0), 
    MATCH(E$1, IR!$B$1:$E$1, 0) ), "")
</f>
        <v>-0.00201</v>
      </c>
      <c r="F624" s="12">
        <f t="array" ref="F624">IFERROR(
  INDEX(
    IR!$B$2:$E2026,                
    MATCH($A624, IR!$A$2:$A2026, 0), 
    MATCH(F$1, IR!$B$1:$E$1, 0) ), "")
</f>
        <v>-0.00054</v>
      </c>
      <c r="G624" s="25"/>
      <c r="H624" s="12">
        <f t="array" ref="H624">IFERROR(
  INDEX(
    SR!$B$2:$D2026,            
    MATCH($A624, SR!$A$2:$A2026, 0),  
    MATCH(H$1, SR!$B$1:$D$1, 0) ), "")
</f>
        <v>-0.00229</v>
      </c>
      <c r="I624" s="12">
        <f t="array" ref="I624">IFERROR(
  INDEX(
    SR!$B$2:$D2026,            
    MATCH($A624, SR!$A$2:$A2026, 0),  
    MATCH(I$1, SR!$B$1:$D$1, 0) ), "")
</f>
        <v>-0.002148</v>
      </c>
      <c r="J624" s="12">
        <f t="array" ref="J624">IFERROR(
  INDEX(
    SR!$B$2:$D2026,            
    MATCH($A624, SR!$A$2:$A2026, 0),  
    MATCH(J$1, SR!$B$1:$D$1, 0) ), "")
</f>
        <v>-0.00116</v>
      </c>
      <c r="K624" s="14"/>
      <c r="L624" s="9">
        <v>117.56</v>
      </c>
      <c r="M624" s="9">
        <v>24.49</v>
      </c>
      <c r="N624" s="9">
        <v>114.23</v>
      </c>
      <c r="O624" s="9">
        <v>117.15</v>
      </c>
      <c r="P624" s="9">
        <v>125.7</v>
      </c>
      <c r="Q624" s="9">
        <v>1383.0833</v>
      </c>
      <c r="R624" s="14"/>
      <c r="S624" s="12">
        <f t="shared" si="2"/>
        <v>0.00085273686</v>
      </c>
      <c r="T624" s="12">
        <f t="shared" si="3"/>
        <v>1.000852737</v>
      </c>
      <c r="U624" s="16">
        <f t="shared" si="7"/>
        <v>99.72959399</v>
      </c>
      <c r="V624" s="17"/>
      <c r="W624" s="12">
        <f t="array" ref="W624">SQRT(252/20) *  SQRT( SUMSQ( LN(U603:U622 / U602:U621) )  - (1/20) * ( SUM( LN(U603:U622 / U602:U621) ) ^ 2 ) )</f>
        <v>0.02369009239</v>
      </c>
      <c r="X624" s="9">
        <f t="shared" si="4"/>
        <v>1.5</v>
      </c>
      <c r="Y624" s="14"/>
      <c r="Z624" s="12">
        <f t="shared" si="5"/>
        <v>1.001284258</v>
      </c>
      <c r="AA624" s="16">
        <f t="shared" si="8"/>
        <v>99.70965564</v>
      </c>
      <c r="AB624" s="14"/>
      <c r="AC624" s="9">
        <f t="shared" si="6"/>
        <v>0</v>
      </c>
    </row>
    <row r="625">
      <c r="A625" s="8">
        <v>42632.0</v>
      </c>
      <c r="B625" s="14"/>
      <c r="C625" s="12">
        <f t="array" ref="C625">IFERROR(
  INDEX(
    IR!$B$2:$E2026,                
    MATCH($A625, IR!$A$2:$A2026, 0), 
    MATCH(C$1, IR!$B$1:$E$1, 0) ), "")
</f>
        <v>-0.00371</v>
      </c>
      <c r="D625" s="12">
        <f t="array" ref="D625">IFERROR(
  INDEX(
    IR!$B$2:$E2026,                
    MATCH($A625, IR!$A$2:$A2026, 0), 
    MATCH(D$1, IR!$B$1:$E$1, 0) ), "")
</f>
        <v>-0.00301</v>
      </c>
      <c r="E625" s="12">
        <f t="array" ref="E625">IFERROR(
  INDEX(
    IR!$B$2:$E2026,                
    MATCH($A625, IR!$A$2:$A2026, 0), 
    MATCH(E$1, IR!$B$1:$E$1, 0) ), "")
</f>
        <v>-0.00202</v>
      </c>
      <c r="F625" s="12">
        <f t="array" ref="F625">IFERROR(
  INDEX(
    IR!$B$2:$E2026,                
    MATCH($A625, IR!$A$2:$A2026, 0), 
    MATCH(F$1, IR!$B$1:$E$1, 0) ), "")
</f>
        <v>-0.00056</v>
      </c>
      <c r="G625" s="25"/>
      <c r="H625" s="12">
        <f t="array" ref="H625">IFERROR(
  INDEX(
    SR!$B$2:$D2026,            
    MATCH($A625, SR!$A$2:$A2026, 0),  
    MATCH(H$1, SR!$B$1:$D$1, 0) ), "")
</f>
        <v>-0.00225</v>
      </c>
      <c r="I625" s="12">
        <f t="array" ref="I625">IFERROR(
  INDEX(
    SR!$B$2:$D2026,            
    MATCH($A625, SR!$A$2:$A2026, 0),  
    MATCH(I$1, SR!$B$1:$D$1, 0) ), "")
</f>
        <v>-0.002058</v>
      </c>
      <c r="J625" s="12">
        <f t="array" ref="J625">IFERROR(
  INDEX(
    SR!$B$2:$D2026,            
    MATCH($A625, SR!$A$2:$A2026, 0),  
    MATCH(J$1, SR!$B$1:$D$1, 0) ), "")
</f>
        <v>-0.001035</v>
      </c>
      <c r="K625" s="14"/>
      <c r="L625" s="9">
        <v>117.75</v>
      </c>
      <c r="M625" s="9">
        <v>24.49</v>
      </c>
      <c r="N625" s="9">
        <v>114.27</v>
      </c>
      <c r="O625" s="9">
        <v>116.65</v>
      </c>
      <c r="P625" s="9">
        <v>125.76</v>
      </c>
      <c r="Q625" s="9">
        <v>1383.2518</v>
      </c>
      <c r="R625" s="14"/>
      <c r="S625" s="12">
        <f t="shared" si="2"/>
        <v>-0.000283625904</v>
      </c>
      <c r="T625" s="12">
        <f t="shared" si="3"/>
        <v>0.9997163741</v>
      </c>
      <c r="U625" s="16">
        <f t="shared" si="7"/>
        <v>99.70130809</v>
      </c>
      <c r="V625" s="17"/>
      <c r="W625" s="12">
        <f t="array" ref="W625">SQRT(252/20) *  SQRT( SUMSQ( LN(U604:U623 / U603:U622) )  - (1/20) * ( SUM( LN(U604:U623 / U603:U622) ) ^ 2 ) )</f>
        <v>0.02358808473</v>
      </c>
      <c r="X625" s="9">
        <f t="shared" si="4"/>
        <v>1.5</v>
      </c>
      <c r="Y625" s="14"/>
      <c r="Z625" s="12">
        <f t="shared" si="5"/>
        <v>0.9995900195</v>
      </c>
      <c r="AA625" s="16">
        <f t="shared" si="8"/>
        <v>99.66877663</v>
      </c>
      <c r="AB625" s="14"/>
      <c r="AC625" s="9">
        <f t="shared" si="6"/>
        <v>0</v>
      </c>
    </row>
    <row r="626">
      <c r="A626" s="8">
        <v>42633.0</v>
      </c>
      <c r="B626" s="14"/>
      <c r="C626" s="12">
        <f t="array" ref="C626">IFERROR(
  INDEX(
    IR!$B$2:$E2026,                
    MATCH($A626, IR!$A$2:$A2026, 0), 
    MATCH(C$1, IR!$B$1:$E$1, 0) ), "")
</f>
        <v>-0.00371</v>
      </c>
      <c r="D626" s="12">
        <f t="array" ref="D626">IFERROR(
  INDEX(
    IR!$B$2:$E2026,                
    MATCH($A626, IR!$A$2:$A2026, 0), 
    MATCH(D$1, IR!$B$1:$E$1, 0) ), "")
</f>
        <v>-0.00301</v>
      </c>
      <c r="E626" s="12">
        <f t="array" ref="E626">IFERROR(
  INDEX(
    IR!$B$2:$E2026,                
    MATCH($A626, IR!$A$2:$A2026, 0), 
    MATCH(E$1, IR!$B$1:$E$1, 0) ), "")
</f>
        <v>-0.002</v>
      </c>
      <c r="F626" s="12">
        <f t="array" ref="F626">IFERROR(
  INDEX(
    IR!$B$2:$E2026,                
    MATCH($A626, IR!$A$2:$A2026, 0), 
    MATCH(F$1, IR!$B$1:$E$1, 0) ), "")
</f>
        <v>-0.00057</v>
      </c>
      <c r="G626" s="25"/>
      <c r="H626" s="12">
        <f t="array" ref="H626">IFERROR(
  INDEX(
    SR!$B$2:$D2026,            
    MATCH($A626, SR!$A$2:$A2026, 0),  
    MATCH(H$1, SR!$B$1:$D$1, 0) ), "")
</f>
        <v>-0.00229</v>
      </c>
      <c r="I626" s="12">
        <f t="array" ref="I626">IFERROR(
  INDEX(
    SR!$B$2:$D2026,            
    MATCH($A626, SR!$A$2:$A2026, 0),  
    MATCH(I$1, SR!$B$1:$D$1, 0) ), "")
</f>
        <v>-0.002167</v>
      </c>
      <c r="J626" s="12">
        <f t="array" ref="J626">IFERROR(
  INDEX(
    SR!$B$2:$D2026,            
    MATCH($A626, SR!$A$2:$A2026, 0),  
    MATCH(J$1, SR!$B$1:$D$1, 0) ), "")
</f>
        <v>-0.001204</v>
      </c>
      <c r="K626" s="14"/>
      <c r="L626" s="9">
        <v>117.69</v>
      </c>
      <c r="M626" s="9">
        <v>24.49</v>
      </c>
      <c r="N626" s="9">
        <v>114.26</v>
      </c>
      <c r="O626" s="9">
        <v>116.92</v>
      </c>
      <c r="P626" s="9">
        <v>125.82</v>
      </c>
      <c r="Q626" s="9">
        <v>1384.968</v>
      </c>
      <c r="R626" s="14"/>
      <c r="S626" s="12">
        <f t="shared" si="2"/>
        <v>0.000572453225</v>
      </c>
      <c r="T626" s="12">
        <f t="shared" si="3"/>
        <v>1.000572453</v>
      </c>
      <c r="U626" s="16">
        <f t="shared" si="7"/>
        <v>99.75838243</v>
      </c>
      <c r="V626" s="17"/>
      <c r="W626" s="12">
        <f t="array" ref="W626">SQRT(252/20) *  SQRT( SUMSQ( LN(U605:U624 / U604:U623) )  - (1/20) * ( SUM( LN(U605:U624 / U604:U623) ) ^ 2 ) )</f>
        <v>0.02358440405</v>
      </c>
      <c r="X626" s="9">
        <f t="shared" si="4"/>
        <v>1.5</v>
      </c>
      <c r="Y626" s="14"/>
      <c r="Z626" s="12">
        <f t="shared" si="5"/>
        <v>1.000863833</v>
      </c>
      <c r="AA626" s="16">
        <f t="shared" si="8"/>
        <v>99.75487377</v>
      </c>
      <c r="AB626" s="14"/>
      <c r="AC626" s="9">
        <f t="shared" si="6"/>
        <v>0</v>
      </c>
    </row>
    <row r="627">
      <c r="A627" s="8">
        <v>42634.0</v>
      </c>
      <c r="B627" s="14"/>
      <c r="C627" s="12">
        <f t="array" ref="C627">IFERROR(
  INDEX(
    IR!$B$2:$E2026,                
    MATCH($A627, IR!$A$2:$A2026, 0), 
    MATCH(C$1, IR!$B$1:$E$1, 0) ), "")
</f>
        <v>-0.00371</v>
      </c>
      <c r="D627" s="12">
        <f t="array" ref="D627">IFERROR(
  INDEX(
    IR!$B$2:$E2026,                
    MATCH($A627, IR!$A$2:$A2026, 0), 
    MATCH(D$1, IR!$B$1:$E$1, 0) ), "")
</f>
        <v>-0.00301</v>
      </c>
      <c r="E627" s="12">
        <f t="array" ref="E627">IFERROR(
  INDEX(
    IR!$B$2:$E2026,                
    MATCH($A627, IR!$A$2:$A2026, 0), 
    MATCH(E$1, IR!$B$1:$E$1, 0) ), "")
</f>
        <v>-0.00201</v>
      </c>
      <c r="F627" s="12">
        <f t="array" ref="F627">IFERROR(
  INDEX(
    IR!$B$2:$E2026,                
    MATCH($A627, IR!$A$2:$A2026, 0), 
    MATCH(F$1, IR!$B$1:$E$1, 0) ), "")
</f>
        <v>-0.00058</v>
      </c>
      <c r="G627" s="25"/>
      <c r="H627" s="12">
        <f t="array" ref="H627">IFERROR(
  INDEX(
    SR!$B$2:$D2026,            
    MATCH($A627, SR!$A$2:$A2026, 0),  
    MATCH(H$1, SR!$B$1:$D$1, 0) ), "")
</f>
        <v>-0.00225</v>
      </c>
      <c r="I627" s="12">
        <f t="array" ref="I627">IFERROR(
  INDEX(
    SR!$B$2:$D2026,            
    MATCH($A627, SR!$A$2:$A2026, 0),  
    MATCH(I$1, SR!$B$1:$D$1, 0) ), "")
</f>
        <v>-0.00209</v>
      </c>
      <c r="J627" s="12">
        <f t="array" ref="J627">IFERROR(
  INDEX(
    SR!$B$2:$D2026,            
    MATCH($A627, SR!$A$2:$A2026, 0),  
    MATCH(J$1, SR!$B$1:$D$1, 0) ), "")
</f>
        <v>-0.0011</v>
      </c>
      <c r="K627" s="14"/>
      <c r="L627" s="9">
        <v>117.68</v>
      </c>
      <c r="M627" s="9">
        <v>24.5</v>
      </c>
      <c r="N627" s="9">
        <v>114.28</v>
      </c>
      <c r="O627" s="9">
        <v>117.11</v>
      </c>
      <c r="P627" s="9">
        <v>126.13</v>
      </c>
      <c r="Q627" s="9">
        <v>1386.984</v>
      </c>
      <c r="R627" s="14"/>
      <c r="S627" s="12">
        <f t="shared" si="2"/>
        <v>0.001006894306</v>
      </c>
      <c r="T627" s="12">
        <f t="shared" si="3"/>
        <v>1.001006894</v>
      </c>
      <c r="U627" s="16">
        <f t="shared" si="7"/>
        <v>99.85882857</v>
      </c>
      <c r="V627" s="17"/>
      <c r="W627" s="12">
        <f t="array" ref="W627">SQRT(252/20) *  SQRT( SUMSQ( LN(U606:U625 / U605:U624) )  - (1/20) * ( SUM( LN(U606:U625 / U605:U624) ) ^ 2 ) )</f>
        <v>0.0234050981</v>
      </c>
      <c r="X627" s="9">
        <f t="shared" si="4"/>
        <v>1.5</v>
      </c>
      <c r="Y627" s="14"/>
      <c r="Z627" s="12">
        <f t="shared" si="5"/>
        <v>1.001515494</v>
      </c>
      <c r="AA627" s="16">
        <f t="shared" si="8"/>
        <v>99.9060517</v>
      </c>
      <c r="AB627" s="14"/>
      <c r="AC627" s="9">
        <f t="shared" si="6"/>
        <v>0</v>
      </c>
    </row>
    <row r="628">
      <c r="A628" s="8">
        <v>42635.0</v>
      </c>
      <c r="B628" s="14"/>
      <c r="C628" s="12">
        <f t="array" ref="C628">IFERROR(
  INDEX(
    IR!$B$2:$E2026,                
    MATCH($A628, IR!$A$2:$A2026, 0), 
    MATCH(C$1, IR!$B$1:$E$1, 0) ), "")
</f>
        <v>-0.00371</v>
      </c>
      <c r="D628" s="12">
        <f t="array" ref="D628">IFERROR(
  INDEX(
    IR!$B$2:$E2026,                
    MATCH($A628, IR!$A$2:$A2026, 0), 
    MATCH(D$1, IR!$B$1:$E$1, 0) ), "")
</f>
        <v>-0.00301</v>
      </c>
      <c r="E628" s="12">
        <f t="array" ref="E628">IFERROR(
  INDEX(
    IR!$B$2:$E2026,                
    MATCH($A628, IR!$A$2:$A2026, 0), 
    MATCH(E$1, IR!$B$1:$E$1, 0) ), "")
</f>
        <v>-0.00201</v>
      </c>
      <c r="F628" s="12">
        <f t="array" ref="F628">IFERROR(
  INDEX(
    IR!$B$2:$E2026,                
    MATCH($A628, IR!$A$2:$A2026, 0), 
    MATCH(F$1, IR!$B$1:$E$1, 0) ), "")
</f>
        <v>-0.00059</v>
      </c>
      <c r="G628" s="25"/>
      <c r="H628" s="12">
        <f t="array" ref="H628">IFERROR(
  INDEX(
    SR!$B$2:$D2026,            
    MATCH($A628, SR!$A$2:$A2026, 0),  
    MATCH(H$1, SR!$B$1:$D$1, 0) ), "")
</f>
        <v>-0.00232</v>
      </c>
      <c r="I628" s="12">
        <f t="array" ref="I628">IFERROR(
  INDEX(
    SR!$B$2:$D2026,            
    MATCH($A628, SR!$A$2:$A2026, 0),  
    MATCH(I$1, SR!$B$1:$D$1, 0) ), "")
</f>
        <v>-0.00229</v>
      </c>
      <c r="J628" s="12">
        <f t="array" ref="J628">IFERROR(
  INDEX(
    SR!$B$2:$D2026,            
    MATCH($A628, SR!$A$2:$A2026, 0),  
    MATCH(J$1, SR!$B$1:$D$1, 0) ), "")
</f>
        <v>-0.001491</v>
      </c>
      <c r="K628" s="14"/>
      <c r="L628" s="9">
        <v>118.19</v>
      </c>
      <c r="M628" s="9">
        <v>24.49</v>
      </c>
      <c r="N628" s="9">
        <v>114.31</v>
      </c>
      <c r="O628" s="9">
        <v>117.33</v>
      </c>
      <c r="P628" s="9">
        <v>126.38</v>
      </c>
      <c r="Q628" s="9">
        <v>1391.804</v>
      </c>
      <c r="R628" s="14"/>
      <c r="S628" s="12">
        <f t="shared" si="2"/>
        <v>0.001920239309</v>
      </c>
      <c r="T628" s="12">
        <f t="shared" si="3"/>
        <v>1.001920239</v>
      </c>
      <c r="U628" s="16">
        <f t="shared" si="7"/>
        <v>100.0505814</v>
      </c>
      <c r="V628" s="17"/>
      <c r="W628" s="12">
        <f t="array" ref="W628">SQRT(252/20) *  SQRT( SUMSQ( LN(U607:U626 / U606:U625) )  - (1/20) * ( SUM( LN(U607:U626 / U606:U625) ) ^ 2 ) )</f>
        <v>0.02341881988</v>
      </c>
      <c r="X628" s="9">
        <f t="shared" si="4"/>
        <v>1.5</v>
      </c>
      <c r="Y628" s="14"/>
      <c r="Z628" s="12">
        <f t="shared" si="5"/>
        <v>1.002885512</v>
      </c>
      <c r="AA628" s="16">
        <f t="shared" si="8"/>
        <v>100.1943318</v>
      </c>
      <c r="AB628" s="14"/>
      <c r="AC628" s="9">
        <f t="shared" si="6"/>
        <v>0</v>
      </c>
    </row>
    <row r="629">
      <c r="A629" s="8">
        <v>42636.0</v>
      </c>
      <c r="B629" s="14"/>
      <c r="C629" s="12">
        <f t="array" ref="C629">IFERROR(
  INDEX(
    IR!$B$2:$E2026,                
    MATCH($A629, IR!$A$2:$A2026, 0), 
    MATCH(C$1, IR!$B$1:$E$1, 0) ), "")
</f>
        <v>-0.0037</v>
      </c>
      <c r="D629" s="12">
        <f t="array" ref="D629">IFERROR(
  INDEX(
    IR!$B$2:$E2026,                
    MATCH($A629, IR!$A$2:$A2026, 0), 
    MATCH(D$1, IR!$B$1:$E$1, 0) ), "")
</f>
        <v>-0.00302</v>
      </c>
      <c r="E629" s="12">
        <f t="array" ref="E629">IFERROR(
  INDEX(
    IR!$B$2:$E2026,                
    MATCH($A629, IR!$A$2:$A2026, 0), 
    MATCH(E$1, IR!$B$1:$E$1, 0) ), "")
</f>
        <v>-0.002</v>
      </c>
      <c r="F629" s="12">
        <f t="array" ref="F629">IFERROR(
  INDEX(
    IR!$B$2:$E2026,                
    MATCH($A629, IR!$A$2:$A2026, 0), 
    MATCH(F$1, IR!$B$1:$E$1, 0) ), "")
</f>
        <v>-0.00059</v>
      </c>
      <c r="G629" s="25"/>
      <c r="H629" s="12">
        <f t="array" ref="H629">IFERROR(
  INDEX(
    SR!$B$2:$D2026,            
    MATCH($A629, SR!$A$2:$A2026, 0),  
    MATCH(H$1, SR!$B$1:$D$1, 0) ), "")
</f>
        <v>-0.00233</v>
      </c>
      <c r="I629" s="12">
        <f t="array" ref="I629">IFERROR(
  INDEX(
    SR!$B$2:$D2026,            
    MATCH($A629, SR!$A$2:$A2026, 0),  
    MATCH(I$1, SR!$B$1:$D$1, 0) ), "")
</f>
        <v>-0.00225</v>
      </c>
      <c r="J629" s="12">
        <f t="array" ref="J629">IFERROR(
  INDEX(
    SR!$B$2:$D2026,            
    MATCH($A629, SR!$A$2:$A2026, 0),  
    MATCH(J$1, SR!$B$1:$D$1, 0) ), "")
</f>
        <v>-0.00149</v>
      </c>
      <c r="K629" s="14"/>
      <c r="L629" s="9">
        <v>118.06</v>
      </c>
      <c r="M629" s="9">
        <v>24.49</v>
      </c>
      <c r="N629" s="9">
        <v>114.31</v>
      </c>
      <c r="O629" s="9">
        <v>118.42</v>
      </c>
      <c r="P629" s="9">
        <v>126.91</v>
      </c>
      <c r="Q629" s="9">
        <v>1398.5968</v>
      </c>
      <c r="R629" s="14"/>
      <c r="S629" s="12">
        <f t="shared" si="2"/>
        <v>0.002876734864</v>
      </c>
      <c r="T629" s="12">
        <f t="shared" si="3"/>
        <v>1.002876735</v>
      </c>
      <c r="U629" s="16">
        <f t="shared" si="7"/>
        <v>100.3384004</v>
      </c>
      <c r="V629" s="17"/>
      <c r="W629" s="12">
        <f t="array" ref="W629">SQRT(252/20) *  SQRT( SUMSQ( LN(U608:U627 / U607:U626) )  - (1/20) * ( SUM( LN(U608:U627 / U607:U626) ) ^ 2 ) )</f>
        <v>0.02289854763</v>
      </c>
      <c r="X629" s="9">
        <f t="shared" si="4"/>
        <v>1.5</v>
      </c>
      <c r="Y629" s="14"/>
      <c r="Z629" s="12">
        <f t="shared" si="5"/>
        <v>1.004320255</v>
      </c>
      <c r="AA629" s="16">
        <f t="shared" si="8"/>
        <v>100.6271969</v>
      </c>
      <c r="AB629" s="14"/>
      <c r="AC629" s="9">
        <f t="shared" si="6"/>
        <v>0</v>
      </c>
    </row>
    <row r="630">
      <c r="A630" s="8">
        <v>42639.0</v>
      </c>
      <c r="B630" s="14"/>
      <c r="C630" s="12">
        <f t="array" ref="C630">IFERROR(
  INDEX(
    IR!$B$2:$E2026,                
    MATCH($A630, IR!$A$2:$A2026, 0), 
    MATCH(C$1, IR!$B$1:$E$1, 0) ), "")
</f>
        <v>-0.00371</v>
      </c>
      <c r="D630" s="12">
        <f t="array" ref="D630">IFERROR(
  INDEX(
    IR!$B$2:$E2026,                
    MATCH($A630, IR!$A$2:$A2026, 0), 
    MATCH(D$1, IR!$B$1:$E$1, 0) ), "")
</f>
        <v>-0.00303</v>
      </c>
      <c r="E630" s="12">
        <f t="array" ref="E630">IFERROR(
  INDEX(
    IR!$B$2:$E2026,                
    MATCH($A630, IR!$A$2:$A2026, 0), 
    MATCH(E$1, IR!$B$1:$E$1, 0) ), "")
</f>
        <v>-0.00199</v>
      </c>
      <c r="F630" s="12">
        <f t="array" ref="F630">IFERROR(
  INDEX(
    IR!$B$2:$E2026,                
    MATCH($A630, IR!$A$2:$A2026, 0), 
    MATCH(F$1, IR!$B$1:$E$1, 0) ), "")
</f>
        <v>-0.0006</v>
      </c>
      <c r="G630" s="25"/>
      <c r="H630" s="12">
        <f t="array" ref="H630">IFERROR(
  INDEX(
    SR!$B$2:$D2026,            
    MATCH($A630, SR!$A$2:$A2026, 0),  
    MATCH(H$1, SR!$B$1:$D$1, 0) ), "")
</f>
        <v>-0.00237</v>
      </c>
      <c r="I630" s="12">
        <f t="array" ref="I630">IFERROR(
  INDEX(
    SR!$B$2:$D2026,            
    MATCH($A630, SR!$A$2:$A2026, 0),  
    MATCH(I$1, SR!$B$1:$D$1, 0) ), "")
</f>
        <v>-0.002308</v>
      </c>
      <c r="J630" s="12">
        <f t="array" ref="J630">IFERROR(
  INDEX(
    SR!$B$2:$D2026,            
    MATCH($A630, SR!$A$2:$A2026, 0),  
    MATCH(J$1, SR!$B$1:$D$1, 0) ), "")
</f>
        <v>-0.00162</v>
      </c>
      <c r="K630" s="14"/>
      <c r="L630" s="9">
        <v>117.6</v>
      </c>
      <c r="M630" s="9">
        <v>24.48</v>
      </c>
      <c r="N630" s="9">
        <v>114.32</v>
      </c>
      <c r="O630" s="9">
        <v>118.11</v>
      </c>
      <c r="P630" s="9">
        <v>126.78</v>
      </c>
      <c r="Q630" s="9">
        <v>1395.1069</v>
      </c>
      <c r="R630" s="14"/>
      <c r="S630" s="12">
        <f t="shared" si="2"/>
        <v>-0.001725327244</v>
      </c>
      <c r="T630" s="12">
        <f t="shared" si="3"/>
        <v>0.9982746728</v>
      </c>
      <c r="U630" s="16">
        <f t="shared" si="7"/>
        <v>100.1652838</v>
      </c>
      <c r="V630" s="17"/>
      <c r="W630" s="12">
        <f t="array" ref="W630">SQRT(252/20) *  SQRT( SUMSQ( LN(U609:U628 / U608:U627) )  - (1/20) * ( SUM( LN(U609:U628 / U608:U627) ) ^ 2 ) )</f>
        <v>0.02407145732</v>
      </c>
      <c r="X630" s="9">
        <f t="shared" si="4"/>
        <v>1.5</v>
      </c>
      <c r="Y630" s="14"/>
      <c r="Z630" s="12">
        <f t="shared" si="5"/>
        <v>0.9974274258</v>
      </c>
      <c r="AA630" s="16">
        <f t="shared" si="8"/>
        <v>100.3683259</v>
      </c>
      <c r="AB630" s="14"/>
      <c r="AC630" s="9">
        <f t="shared" si="6"/>
        <v>0</v>
      </c>
    </row>
    <row r="631">
      <c r="A631" s="8">
        <v>42640.0</v>
      </c>
      <c r="B631" s="14"/>
      <c r="C631" s="12">
        <f t="array" ref="C631">IFERROR(
  INDEX(
    IR!$B$2:$E2026,                
    MATCH($A631, IR!$A$2:$A2026, 0), 
    MATCH(C$1, IR!$B$1:$E$1, 0) ), "")
</f>
        <v>-0.00371</v>
      </c>
      <c r="D631" s="12">
        <f t="array" ref="D631">IFERROR(
  INDEX(
    IR!$B$2:$E2026,                
    MATCH($A631, IR!$A$2:$A2026, 0), 
    MATCH(D$1, IR!$B$1:$E$1, 0) ), "")
</f>
        <v>-0.00301</v>
      </c>
      <c r="E631" s="12">
        <f t="array" ref="E631">IFERROR(
  INDEX(
    IR!$B$2:$E2026,                
    MATCH($A631, IR!$A$2:$A2026, 0), 
    MATCH(E$1, IR!$B$1:$E$1, 0) ), "")
</f>
        <v>-0.00201</v>
      </c>
      <c r="F631" s="12">
        <f t="array" ref="F631">IFERROR(
  INDEX(
    IR!$B$2:$E2026,                
    MATCH($A631, IR!$A$2:$A2026, 0), 
    MATCH(F$1, IR!$B$1:$E$1, 0) ), "")
</f>
        <v>-0.0006</v>
      </c>
      <c r="G631" s="25"/>
      <c r="H631" s="12">
        <f t="array" ref="H631">IFERROR(
  INDEX(
    SR!$B$2:$D2026,            
    MATCH($A631, SR!$A$2:$A2026, 0),  
    MATCH(H$1, SR!$B$1:$D$1, 0) ), "")
</f>
        <v>-0.00233</v>
      </c>
      <c r="I631" s="12">
        <f t="array" ref="I631">IFERROR(
  INDEX(
    SR!$B$2:$D2026,            
    MATCH($A631, SR!$A$2:$A2026, 0),  
    MATCH(I$1, SR!$B$1:$D$1, 0) ), "")
</f>
        <v>-0.00231</v>
      </c>
      <c r="J631" s="12">
        <f t="array" ref="J631">IFERROR(
  INDEX(
    SR!$B$2:$D2026,            
    MATCH($A631, SR!$A$2:$A2026, 0),  
    MATCH(J$1, SR!$B$1:$D$1, 0) ), "")
</f>
        <v>-0.00161</v>
      </c>
      <c r="K631" s="14"/>
      <c r="L631" s="9">
        <v>117.58</v>
      </c>
      <c r="M631" s="9">
        <v>24.5</v>
      </c>
      <c r="N631" s="9">
        <v>114.3</v>
      </c>
      <c r="O631" s="9">
        <v>117.29</v>
      </c>
      <c r="P631" s="9">
        <v>126.45</v>
      </c>
      <c r="Q631" s="9">
        <v>1391.7241</v>
      </c>
      <c r="R631" s="14"/>
      <c r="S631" s="12">
        <f t="shared" si="2"/>
        <v>-0.001915875462</v>
      </c>
      <c r="T631" s="12">
        <f t="shared" si="3"/>
        <v>0.9980841245</v>
      </c>
      <c r="U631" s="16">
        <f t="shared" si="7"/>
        <v>99.97337963</v>
      </c>
      <c r="V631" s="17"/>
      <c r="W631" s="12">
        <f t="array" ref="W631">SQRT(252/20) *  SQRT( SUMSQ( LN(U610:U629 / U609:U628) )  - (1/20) * ( SUM( LN(U610:U629 / U609:U628) ) ^ 2 ) )</f>
        <v>0.02612402167</v>
      </c>
      <c r="X631" s="9">
        <f t="shared" si="4"/>
        <v>1.5</v>
      </c>
      <c r="Y631" s="14"/>
      <c r="Z631" s="12">
        <f t="shared" si="5"/>
        <v>0.9971313396</v>
      </c>
      <c r="AA631" s="16">
        <f t="shared" si="8"/>
        <v>100.0804033</v>
      </c>
      <c r="AB631" s="14"/>
      <c r="AC631" s="9">
        <f t="shared" si="6"/>
        <v>0</v>
      </c>
    </row>
    <row r="632">
      <c r="A632" s="8">
        <v>42641.0</v>
      </c>
      <c r="B632" s="14"/>
      <c r="C632" s="12">
        <f t="array" ref="C632">IFERROR(
  INDEX(
    IR!$B$2:$E2026,                
    MATCH($A632, IR!$A$2:$A2026, 0), 
    MATCH(C$1, IR!$B$1:$E$1, 0) ), "")
</f>
        <v>-0.00371</v>
      </c>
      <c r="D632" s="12">
        <f t="array" ref="D632">IFERROR(
  INDEX(
    IR!$B$2:$E2026,                
    MATCH($A632, IR!$A$2:$A2026, 0), 
    MATCH(D$1, IR!$B$1:$E$1, 0) ), "")
</f>
        <v>-0.00302</v>
      </c>
      <c r="E632" s="12">
        <f t="array" ref="E632">IFERROR(
  INDEX(
    IR!$B$2:$E2026,                
    MATCH($A632, IR!$A$2:$A2026, 0), 
    MATCH(E$1, IR!$B$1:$E$1, 0) ), "")
</f>
        <v>-0.00202</v>
      </c>
      <c r="F632" s="12">
        <f t="array" ref="F632">IFERROR(
  INDEX(
    IR!$B$2:$E2026,                
    MATCH($A632, IR!$A$2:$A2026, 0), 
    MATCH(F$1, IR!$B$1:$E$1, 0) ), "")
</f>
        <v>-0.00061</v>
      </c>
      <c r="G632" s="25"/>
      <c r="H632" s="12">
        <f t="array" ref="H632">IFERROR(
  INDEX(
    SR!$B$2:$D2026,            
    MATCH($A632, SR!$A$2:$A2026, 0),  
    MATCH(H$1, SR!$B$1:$D$1, 0) ), "")
</f>
        <v>-0.00234</v>
      </c>
      <c r="I632" s="12">
        <f t="array" ref="I632">IFERROR(
  INDEX(
    SR!$B$2:$D2026,            
    MATCH($A632, SR!$A$2:$A2026, 0),  
    MATCH(I$1, SR!$B$1:$D$1, 0) ), "")
</f>
        <v>-0.0023</v>
      </c>
      <c r="J632" s="12">
        <f t="array" ref="J632">IFERROR(
  INDEX(
    SR!$B$2:$D2026,            
    MATCH($A632, SR!$A$2:$A2026, 0),  
    MATCH(J$1, SR!$B$1:$D$1, 0) ), "")
</f>
        <v>-0.0016</v>
      </c>
      <c r="K632" s="14"/>
      <c r="L632" s="9">
        <v>117.91</v>
      </c>
      <c r="M632" s="9">
        <v>24.5</v>
      </c>
      <c r="N632" s="9">
        <v>114.31</v>
      </c>
      <c r="O632" s="9">
        <v>117.26</v>
      </c>
      <c r="P632" s="9">
        <v>126.64</v>
      </c>
      <c r="Q632" s="9">
        <v>1393.481</v>
      </c>
      <c r="R632" s="14"/>
      <c r="S632" s="12">
        <f t="shared" si="2"/>
        <v>0.0009003116452</v>
      </c>
      <c r="T632" s="12">
        <f t="shared" si="3"/>
        <v>1.000900312</v>
      </c>
      <c r="U632" s="16">
        <f t="shared" si="7"/>
        <v>100.0633868</v>
      </c>
      <c r="V632" s="17"/>
      <c r="W632" s="12">
        <f t="array" ref="W632">SQRT(252/20) *  SQRT( SUMSQ( LN(U611:U630 / U610:U629) )  - (1/20) * ( SUM( LN(U611:U630 / U610:U629) ) ^ 2 ) )</f>
        <v>0.02676696962</v>
      </c>
      <c r="X632" s="9">
        <f t="shared" si="4"/>
        <v>1.5</v>
      </c>
      <c r="Y632" s="14"/>
      <c r="Z632" s="12">
        <f t="shared" si="5"/>
        <v>1.00135562</v>
      </c>
      <c r="AA632" s="16">
        <f t="shared" si="8"/>
        <v>100.2160743</v>
      </c>
      <c r="AB632" s="14"/>
      <c r="AC632" s="9">
        <f t="shared" si="6"/>
        <v>0</v>
      </c>
    </row>
    <row r="633">
      <c r="A633" s="8">
        <v>42642.0</v>
      </c>
      <c r="B633" s="14"/>
      <c r="C633" s="12">
        <f t="array" ref="C633">IFERROR(
  INDEX(
    IR!$B$2:$E2026,                
    MATCH($A633, IR!$A$2:$A2026, 0), 
    MATCH(C$1, IR!$B$1:$E$1, 0) ), "")
</f>
        <v>-0.00371</v>
      </c>
      <c r="D633" s="12">
        <f t="array" ref="D633">IFERROR(
  INDEX(
    IR!$B$2:$E2026,                
    MATCH($A633, IR!$A$2:$A2026, 0), 
    MATCH(D$1, IR!$B$1:$E$1, 0) ), "")
</f>
        <v>-0.00301</v>
      </c>
      <c r="E633" s="12">
        <f t="array" ref="E633">IFERROR(
  INDEX(
    IR!$B$2:$E2026,                
    MATCH($A633, IR!$A$2:$A2026, 0), 
    MATCH(E$1, IR!$B$1:$E$1, 0) ), "")
</f>
        <v>-0.00201</v>
      </c>
      <c r="F633" s="12">
        <f t="array" ref="F633">IFERROR(
  INDEX(
    IR!$B$2:$E2026,                
    MATCH($A633, IR!$A$2:$A2026, 0), 
    MATCH(F$1, IR!$B$1:$E$1, 0) ), "")
</f>
        <v>-0.00064</v>
      </c>
      <c r="G633" s="25"/>
      <c r="H633" s="12">
        <f t="array" ref="H633">IFERROR(
  INDEX(
    SR!$B$2:$D2026,            
    MATCH($A633, SR!$A$2:$A2026, 0),  
    MATCH(H$1, SR!$B$1:$D$1, 0) ), "")
</f>
        <v>-0.00234</v>
      </c>
      <c r="I633" s="12">
        <f t="array" ref="I633">IFERROR(
  INDEX(
    SR!$B$2:$D2026,            
    MATCH($A633, SR!$A$2:$A2026, 0),  
    MATCH(I$1, SR!$B$1:$D$1, 0) ), "")
</f>
        <v>-0.00228</v>
      </c>
      <c r="J633" s="12">
        <f t="array" ref="J633">IFERROR(
  INDEX(
    SR!$B$2:$D2026,            
    MATCH($A633, SR!$A$2:$A2026, 0),  
    MATCH(J$1, SR!$B$1:$D$1, 0) ), "")
</f>
        <v>-0.00165</v>
      </c>
      <c r="K633" s="14"/>
      <c r="L633" s="9">
        <v>117.95</v>
      </c>
      <c r="M633" s="9">
        <v>24.49</v>
      </c>
      <c r="N633" s="9">
        <v>114.29</v>
      </c>
      <c r="O633" s="9">
        <v>117.68</v>
      </c>
      <c r="P633" s="9">
        <v>126.81</v>
      </c>
      <c r="Q633" s="9">
        <v>1397.5486</v>
      </c>
      <c r="R633" s="14"/>
      <c r="S633" s="12">
        <f t="shared" si="2"/>
        <v>0.001266336687</v>
      </c>
      <c r="T633" s="12">
        <f t="shared" si="3"/>
        <v>1.001266337</v>
      </c>
      <c r="U633" s="16">
        <f t="shared" si="7"/>
        <v>100.1901008</v>
      </c>
      <c r="V633" s="17"/>
      <c r="W633" s="12">
        <f t="array" ref="W633">SQRT(252/20) *  SQRT( SUMSQ( LN(U612:U631 / U611:U630) )  - (1/20) * ( SUM( LN(U612:U631 / U611:U630) ) ^ 2 ) )</f>
        <v>0.02743313041</v>
      </c>
      <c r="X633" s="9">
        <f t="shared" si="4"/>
        <v>1.5</v>
      </c>
      <c r="Y633" s="14"/>
      <c r="Z633" s="12">
        <f t="shared" si="5"/>
        <v>1.001904658</v>
      </c>
      <c r="AA633" s="16">
        <f t="shared" si="8"/>
        <v>100.4069516</v>
      </c>
      <c r="AB633" s="14"/>
      <c r="AC633" s="9">
        <f t="shared" si="6"/>
        <v>0</v>
      </c>
    </row>
    <row r="634">
      <c r="A634" s="8">
        <v>42643.0</v>
      </c>
      <c r="B634" s="14"/>
      <c r="C634" s="12">
        <f t="array" ref="C634">IFERROR(
  INDEX(
    IR!$B$2:$E2026,                
    MATCH($A634, IR!$A$2:$A2026, 0), 
    MATCH(C$1, IR!$B$1:$E$1, 0) ), "")
</f>
        <v>-0.00371</v>
      </c>
      <c r="D634" s="12">
        <f t="array" ref="D634">IFERROR(
  INDEX(
    IR!$B$2:$E2026,                
    MATCH($A634, IR!$A$2:$A2026, 0), 
    MATCH(D$1, IR!$B$1:$E$1, 0) ), "")
</f>
        <v>-0.00301</v>
      </c>
      <c r="E634" s="12">
        <f t="array" ref="E634">IFERROR(
  INDEX(
    IR!$B$2:$E2026,                
    MATCH($A634, IR!$A$2:$A2026, 0), 
    MATCH(E$1, IR!$B$1:$E$1, 0) ), "")
</f>
        <v>-0.00203</v>
      </c>
      <c r="F634" s="12">
        <f t="array" ref="F634">IFERROR(
  INDEX(
    IR!$B$2:$E2026,                
    MATCH($A634, IR!$A$2:$A2026, 0), 
    MATCH(F$1, IR!$B$1:$E$1, 0) ), "")
</f>
        <v>-0.00064</v>
      </c>
      <c r="G634" s="25"/>
      <c r="H634" s="12">
        <f t="array" ref="H634">IFERROR(
  INDEX(
    SR!$B$2:$D2026,            
    MATCH($A634, SR!$A$2:$A2026, 0),  
    MATCH(H$1, SR!$B$1:$D$1, 0) ), "")
</f>
        <v>-0.00222</v>
      </c>
      <c r="I634" s="12">
        <f t="array" ref="I634">IFERROR(
  INDEX(
    SR!$B$2:$D2026,            
    MATCH($A634, SR!$A$2:$A2026, 0),  
    MATCH(I$1, SR!$B$1:$D$1, 0) ), "")
</f>
        <v>-0.00217</v>
      </c>
      <c r="J634" s="12">
        <f t="array" ref="J634">IFERROR(
  INDEX(
    SR!$B$2:$D2026,            
    MATCH($A634, SR!$A$2:$A2026, 0),  
    MATCH(J$1, SR!$B$1:$D$1, 0) ), "")
</f>
        <v>-0.0014</v>
      </c>
      <c r="K634" s="14"/>
      <c r="L634" s="9">
        <v>118.0</v>
      </c>
      <c r="M634" s="9">
        <v>24.49</v>
      </c>
      <c r="N634" s="9">
        <v>114.3</v>
      </c>
      <c r="O634" s="9">
        <v>117.5</v>
      </c>
      <c r="P634" s="9">
        <v>126.46</v>
      </c>
      <c r="Q634" s="9">
        <v>1396.8737</v>
      </c>
      <c r="R634" s="14"/>
      <c r="S634" s="12">
        <f t="shared" si="2"/>
        <v>-0.000709950597</v>
      </c>
      <c r="T634" s="12">
        <f t="shared" si="3"/>
        <v>0.9992900494</v>
      </c>
      <c r="U634" s="16">
        <f t="shared" si="7"/>
        <v>100.1189707</v>
      </c>
      <c r="V634" s="17"/>
      <c r="W634" s="12">
        <f t="array" ref="W634">SQRT(252/20) *  SQRT( SUMSQ( LN(U613:U632 / U612:U631) )  - (1/20) * ( SUM( LN(U613:U632 / U612:U631) ) ^ 2 ) )</f>
        <v>0.02757757284</v>
      </c>
      <c r="X634" s="9">
        <f t="shared" si="4"/>
        <v>1.5</v>
      </c>
      <c r="Y634" s="14"/>
      <c r="Z634" s="12">
        <f t="shared" si="5"/>
        <v>0.9989402269</v>
      </c>
      <c r="AA634" s="16">
        <f t="shared" si="8"/>
        <v>100.300543</v>
      </c>
      <c r="AB634" s="14"/>
      <c r="AC634" s="9">
        <f t="shared" si="6"/>
        <v>0</v>
      </c>
    </row>
    <row r="635">
      <c r="A635" s="8">
        <v>42646.0</v>
      </c>
      <c r="B635" s="14"/>
      <c r="C635" s="12">
        <f t="array" ref="C635">IFERROR(
  INDEX(
    IR!$B$2:$E2026,                
    MATCH($A635, IR!$A$2:$A2026, 0), 
    MATCH(C$1, IR!$B$1:$E$1, 0) ), "")
</f>
        <v>-0.00371</v>
      </c>
      <c r="D635" s="12">
        <f t="array" ref="D635">IFERROR(
  INDEX(
    IR!$B$2:$E2026,                
    MATCH($A635, IR!$A$2:$A2026, 0), 
    MATCH(D$1, IR!$B$1:$E$1, 0) ), "")
</f>
        <v>-0.00301</v>
      </c>
      <c r="E635" s="12">
        <f t="array" ref="E635">IFERROR(
  INDEX(
    IR!$B$2:$E2026,                
    MATCH($A635, IR!$A$2:$A2026, 0), 
    MATCH(E$1, IR!$B$1:$E$1, 0) ), "")
</f>
        <v>-0.00203</v>
      </c>
      <c r="F635" s="12">
        <f t="array" ref="F635">IFERROR(
  INDEX(
    IR!$B$2:$E2026,                
    MATCH($A635, IR!$A$2:$A2026, 0), 
    MATCH(F$1, IR!$B$1:$E$1, 0) ), "")
</f>
        <v>-0.00064</v>
      </c>
      <c r="G635" s="25"/>
      <c r="H635" s="12">
        <f t="array" ref="H635">IFERROR(
  INDEX(
    SR!$B$2:$D2026,            
    MATCH($A635, SR!$A$2:$A2026, 0),  
    MATCH(H$1, SR!$B$1:$D$1, 0) ), "")
</f>
        <v>-0.00216</v>
      </c>
      <c r="I635" s="12">
        <f t="array" ref="I635">IFERROR(
  INDEX(
    SR!$B$2:$D2026,            
    MATCH($A635, SR!$A$2:$A2026, 0),  
    MATCH(I$1, SR!$B$1:$D$1, 0) ), "")
</f>
        <v>-0.00211</v>
      </c>
      <c r="J635" s="12">
        <f t="array" ref="J635">IFERROR(
  INDEX(
    SR!$B$2:$D2026,            
    MATCH($A635, SR!$A$2:$A2026, 0),  
    MATCH(J$1, SR!$B$1:$D$1, 0) ), "")
</f>
        <v>-0.00135</v>
      </c>
      <c r="K635" s="14"/>
      <c r="L635" s="9">
        <v>117.99</v>
      </c>
      <c r="M635" s="9">
        <v>24.49</v>
      </c>
      <c r="N635" s="9">
        <v>114.34</v>
      </c>
      <c r="O635" s="9">
        <v>117.95</v>
      </c>
      <c r="P635" s="9">
        <v>126.52</v>
      </c>
      <c r="Q635" s="9">
        <v>1399.5753</v>
      </c>
      <c r="R635" s="14"/>
      <c r="S635" s="12">
        <f t="shared" si="2"/>
        <v>0.0010836747</v>
      </c>
      <c r="T635" s="12">
        <f t="shared" si="3"/>
        <v>1.001083675</v>
      </c>
      <c r="U635" s="16">
        <f t="shared" si="7"/>
        <v>100.2274671</v>
      </c>
      <c r="V635" s="17"/>
      <c r="W635" s="12">
        <f t="array" ref="W635">SQRT(252/20) *  SQRT( SUMSQ( LN(U614:U633 / U613:U632) )  - (1/20) * ( SUM( LN(U614:U633 / U613:U632) ) ^ 2 ) )</f>
        <v>0.02784254732</v>
      </c>
      <c r="X635" s="9">
        <f t="shared" si="4"/>
        <v>1.5</v>
      </c>
      <c r="Y635" s="14"/>
      <c r="Z635" s="12">
        <f t="shared" si="5"/>
        <v>1.00164097</v>
      </c>
      <c r="AA635" s="16">
        <f t="shared" si="8"/>
        <v>100.4651333</v>
      </c>
      <c r="AB635" s="14"/>
      <c r="AC635" s="9">
        <f t="shared" si="6"/>
        <v>0</v>
      </c>
    </row>
    <row r="636">
      <c r="A636" s="8">
        <v>42647.0</v>
      </c>
      <c r="B636" s="14"/>
      <c r="C636" s="12">
        <f t="array" ref="C636">IFERROR(
  INDEX(
    IR!$B$2:$E2026,                
    MATCH($A636, IR!$A$2:$A2026, 0), 
    MATCH(C$1, IR!$B$1:$E$1, 0) ), "")
</f>
        <v>-0.00372</v>
      </c>
      <c r="D636" s="12">
        <f t="array" ref="D636">IFERROR(
  INDEX(
    IR!$B$2:$E2026,                
    MATCH($A636, IR!$A$2:$A2026, 0), 
    MATCH(D$1, IR!$B$1:$E$1, 0) ), "")
</f>
        <v>-0.00301</v>
      </c>
      <c r="E636" s="12">
        <f t="array" ref="E636">IFERROR(
  INDEX(
    IR!$B$2:$E2026,                
    MATCH($A636, IR!$A$2:$A2026, 0), 
    MATCH(E$1, IR!$B$1:$E$1, 0) ), "")
</f>
        <v>-0.00202</v>
      </c>
      <c r="F636" s="12">
        <f t="array" ref="F636">IFERROR(
  INDEX(
    IR!$B$2:$E2026,                
    MATCH($A636, IR!$A$2:$A2026, 0), 
    MATCH(F$1, IR!$B$1:$E$1, 0) ), "")
</f>
        <v>-0.00064</v>
      </c>
      <c r="G636" s="25"/>
      <c r="H636" s="12">
        <f t="array" ref="H636">IFERROR(
  INDEX(
    SR!$B$2:$D2026,            
    MATCH($A636, SR!$A$2:$A2026, 0),  
    MATCH(H$1, SR!$B$1:$D$1, 0) ), "")
</f>
        <v>-0.00209</v>
      </c>
      <c r="I636" s="12">
        <f t="array" ref="I636">IFERROR(
  INDEX(
    SR!$B$2:$D2026,            
    MATCH($A636, SR!$A$2:$A2026, 0),  
    MATCH(I$1, SR!$B$1:$D$1, 0) ), "")
</f>
        <v>-0.00204</v>
      </c>
      <c r="J636" s="12">
        <f t="array" ref="J636">IFERROR(
  INDEX(
    SR!$B$2:$D2026,            
    MATCH($A636, SR!$A$2:$A2026, 0),  
    MATCH(J$1, SR!$B$1:$D$1, 0) ), "")
</f>
        <v>-0.00123</v>
      </c>
      <c r="K636" s="14"/>
      <c r="L636" s="9">
        <v>118.15</v>
      </c>
      <c r="M636" s="9">
        <v>24.5</v>
      </c>
      <c r="N636" s="9">
        <v>114.35</v>
      </c>
      <c r="O636" s="9">
        <v>117.6</v>
      </c>
      <c r="P636" s="9">
        <v>126.46</v>
      </c>
      <c r="Q636" s="9">
        <v>1400.1121</v>
      </c>
      <c r="R636" s="14"/>
      <c r="S636" s="12">
        <f t="shared" si="2"/>
        <v>-0.0002009165548</v>
      </c>
      <c r="T636" s="12">
        <f t="shared" si="3"/>
        <v>0.9997990834</v>
      </c>
      <c r="U636" s="16">
        <f t="shared" si="7"/>
        <v>100.2073298</v>
      </c>
      <c r="V636" s="17"/>
      <c r="W636" s="12">
        <f t="array" ref="W636">SQRT(252/20) *  SQRT( SUMSQ( LN(U615:U634 / U614:U633) )  - (1/20) * ( SUM( LN(U615:U634 / U614:U633) ) ^ 2 ) )</f>
        <v>0.02793004707</v>
      </c>
      <c r="X636" s="9">
        <f t="shared" si="4"/>
        <v>1.5</v>
      </c>
      <c r="Y636" s="14"/>
      <c r="Z636" s="12">
        <f t="shared" si="5"/>
        <v>0.9997037779</v>
      </c>
      <c r="AA636" s="16">
        <f t="shared" si="8"/>
        <v>100.4353733</v>
      </c>
      <c r="AB636" s="14"/>
      <c r="AC636" s="9">
        <f t="shared" si="6"/>
        <v>0</v>
      </c>
    </row>
    <row r="637">
      <c r="A637" s="8">
        <v>42648.0</v>
      </c>
      <c r="B637" s="14"/>
      <c r="C637" s="12">
        <f t="array" ref="C637">IFERROR(
  INDEX(
    IR!$B$2:$E2026,                
    MATCH($A637, IR!$A$2:$A2026, 0), 
    MATCH(C$1, IR!$B$1:$E$1, 0) ), "")
</f>
        <v>-0.00371</v>
      </c>
      <c r="D637" s="12">
        <f t="array" ref="D637">IFERROR(
  INDEX(
    IR!$B$2:$E2026,                
    MATCH($A637, IR!$A$2:$A2026, 0), 
    MATCH(D$1, IR!$B$1:$E$1, 0) ), "")
</f>
        <v>-0.00302</v>
      </c>
      <c r="E637" s="12">
        <f t="array" ref="E637">IFERROR(
  INDEX(
    IR!$B$2:$E2026,                
    MATCH($A637, IR!$A$2:$A2026, 0), 
    MATCH(E$1, IR!$B$1:$E$1, 0) ), "")
</f>
        <v>-0.00203</v>
      </c>
      <c r="F637" s="12">
        <f t="array" ref="F637">IFERROR(
  INDEX(
    IR!$B$2:$E2026,                
    MATCH($A637, IR!$A$2:$A2026, 0), 
    MATCH(F$1, IR!$B$1:$E$1, 0) ), "")
</f>
        <v>-0.00064</v>
      </c>
      <c r="G637" s="25"/>
      <c r="H637" s="12">
        <f t="array" ref="H637">IFERROR(
  INDEX(
    SR!$B$2:$D2026,            
    MATCH($A637, SR!$A$2:$A2026, 0),  
    MATCH(H$1, SR!$B$1:$D$1, 0) ), "")
</f>
        <v>-0.00215</v>
      </c>
      <c r="I637" s="12">
        <f t="array" ref="I637">IFERROR(
  INDEX(
    SR!$B$2:$D2026,            
    MATCH($A637, SR!$A$2:$A2026, 0),  
    MATCH(I$1, SR!$B$1:$D$1, 0) ), "")
</f>
        <v>-0.00198</v>
      </c>
      <c r="J637" s="12">
        <f t="array" ref="J637">IFERROR(
  INDEX(
    SR!$B$2:$D2026,            
    MATCH($A637, SR!$A$2:$A2026, 0),  
    MATCH(J$1, SR!$B$1:$D$1, 0) ), "")
</f>
        <v>-0.00105</v>
      </c>
      <c r="K637" s="14"/>
      <c r="L637" s="9">
        <v>117.99</v>
      </c>
      <c r="M637" s="9">
        <v>24.48</v>
      </c>
      <c r="N637" s="9">
        <v>114.35</v>
      </c>
      <c r="O637" s="9">
        <v>117.94</v>
      </c>
      <c r="P637" s="9">
        <v>126.21</v>
      </c>
      <c r="Q637" s="9">
        <v>1400.8314</v>
      </c>
      <c r="R637" s="14"/>
      <c r="S637" s="12">
        <f t="shared" si="2"/>
        <v>-0.0001236567781</v>
      </c>
      <c r="T637" s="12">
        <f t="shared" si="3"/>
        <v>0.9998763432</v>
      </c>
      <c r="U637" s="16">
        <f t="shared" si="7"/>
        <v>100.1949385</v>
      </c>
      <c r="V637" s="17"/>
      <c r="W637" s="12">
        <f t="array" ref="W637">SQRT(252/20) *  SQRT( SUMSQ( LN(U616:U635 / U615:U634) )  - (1/20) * ( SUM( LN(U616:U635 / U615:U634) ) ^ 2 ) )</f>
        <v>0.02715061576</v>
      </c>
      <c r="X637" s="9">
        <f t="shared" si="4"/>
        <v>1.5</v>
      </c>
      <c r="Y637" s="14"/>
      <c r="Z637" s="12">
        <f t="shared" si="5"/>
        <v>0.9998196815</v>
      </c>
      <c r="AA637" s="16">
        <f t="shared" si="8"/>
        <v>100.4172629</v>
      </c>
      <c r="AB637" s="14"/>
      <c r="AC637" s="9">
        <f t="shared" si="6"/>
        <v>0</v>
      </c>
    </row>
    <row r="638">
      <c r="A638" s="8">
        <v>42649.0</v>
      </c>
      <c r="B638" s="14"/>
      <c r="C638" s="12">
        <f t="array" ref="C638">IFERROR(
  INDEX(
    IR!$B$2:$E2026,                
    MATCH($A638, IR!$A$2:$A2026, 0), 
    MATCH(C$1, IR!$B$1:$E$1, 0) ), "")
</f>
        <v>-0.00371</v>
      </c>
      <c r="D638" s="12">
        <f t="array" ref="D638">IFERROR(
  INDEX(
    IR!$B$2:$E2026,                
    MATCH($A638, IR!$A$2:$A2026, 0), 
    MATCH(D$1, IR!$B$1:$E$1, 0) ), "")
</f>
        <v>-0.00304</v>
      </c>
      <c r="E638" s="12">
        <f t="array" ref="E638">IFERROR(
  INDEX(
    IR!$B$2:$E2026,                
    MATCH($A638, IR!$A$2:$A2026, 0), 
    MATCH(E$1, IR!$B$1:$E$1, 0) ), "")
</f>
        <v>-0.00202</v>
      </c>
      <c r="F638" s="12">
        <f t="array" ref="F638">IFERROR(
  INDEX(
    IR!$B$2:$E2026,                
    MATCH($A638, IR!$A$2:$A2026, 0), 
    MATCH(F$1, IR!$B$1:$E$1, 0) ), "")
</f>
        <v>-0.00064</v>
      </c>
      <c r="G638" s="25"/>
      <c r="H638" s="12">
        <f t="array" ref="H638">IFERROR(
  INDEX(
    SR!$B$2:$D2026,            
    MATCH($A638, SR!$A$2:$A2026, 0),  
    MATCH(H$1, SR!$B$1:$D$1, 0) ), "")
</f>
        <v>-0.0021</v>
      </c>
      <c r="I638" s="12">
        <f t="array" ref="I638">IFERROR(
  INDEX(
    SR!$B$2:$D2026,            
    MATCH($A638, SR!$A$2:$A2026, 0),  
    MATCH(I$1, SR!$B$1:$D$1, 0) ), "")
</f>
        <v>-0.001968</v>
      </c>
      <c r="J638" s="12">
        <f t="array" ref="J638">IFERROR(
  INDEX(
    SR!$B$2:$D2026,            
    MATCH($A638, SR!$A$2:$A2026, 0),  
    MATCH(J$1, SR!$B$1:$D$1, 0) ), "")
</f>
        <v>-0.00097</v>
      </c>
      <c r="K638" s="14"/>
      <c r="L638" s="9">
        <v>117.84</v>
      </c>
      <c r="M638" s="9">
        <v>24.48</v>
      </c>
      <c r="N638" s="9">
        <v>114.35</v>
      </c>
      <c r="O638" s="9">
        <v>117.24</v>
      </c>
      <c r="P638" s="9">
        <v>126.01</v>
      </c>
      <c r="Q638" s="9">
        <v>1402.3792</v>
      </c>
      <c r="R638" s="14"/>
      <c r="S638" s="12">
        <f t="shared" si="2"/>
        <v>-0.00128042054</v>
      </c>
      <c r="T638" s="12">
        <f t="shared" si="3"/>
        <v>0.9987195795</v>
      </c>
      <c r="U638" s="16">
        <f t="shared" si="7"/>
        <v>100.0666468</v>
      </c>
      <c r="V638" s="17"/>
      <c r="W638" s="12">
        <f t="array" ref="W638">SQRT(252/20) *  SQRT( SUMSQ( LN(U617:U636 / U616:U635) )  - (1/20) * ( SUM( LN(U617:U636 / U616:U635) ) ^ 2 ) )</f>
        <v>0.02692830562</v>
      </c>
      <c r="X638" s="9">
        <f t="shared" si="4"/>
        <v>1.5</v>
      </c>
      <c r="Y638" s="14"/>
      <c r="Z638" s="12">
        <f t="shared" si="5"/>
        <v>0.998084522</v>
      </c>
      <c r="AA638" s="16">
        <f t="shared" si="8"/>
        <v>100.2249159</v>
      </c>
      <c r="AB638" s="14"/>
      <c r="AC638" s="9">
        <f t="shared" si="6"/>
        <v>0</v>
      </c>
    </row>
    <row r="639">
      <c r="A639" s="8">
        <v>42650.0</v>
      </c>
      <c r="B639" s="14"/>
      <c r="C639" s="12">
        <f t="array" ref="C639">IFERROR(
  INDEX(
    IR!$B$2:$E2026,                
    MATCH($A639, IR!$A$2:$A2026, 0), 
    MATCH(C$1, IR!$B$1:$E$1, 0) ), "")
</f>
        <v>-0.00371</v>
      </c>
      <c r="D639" s="12">
        <f t="array" ref="D639">IFERROR(
  INDEX(
    IR!$B$2:$E2026,                
    MATCH($A639, IR!$A$2:$A2026, 0), 
    MATCH(D$1, IR!$B$1:$E$1, 0) ), "")
</f>
        <v>-0.00304</v>
      </c>
      <c r="E639" s="12">
        <f t="array" ref="E639">IFERROR(
  INDEX(
    IR!$B$2:$E2026,                
    MATCH($A639, IR!$A$2:$A2026, 0), 
    MATCH(E$1, IR!$B$1:$E$1, 0) ), "")
</f>
        <v>-0.00203</v>
      </c>
      <c r="F639" s="12">
        <f t="array" ref="F639">IFERROR(
  INDEX(
    IR!$B$2:$E2026,                
    MATCH($A639, IR!$A$2:$A2026, 0), 
    MATCH(F$1, IR!$B$1:$E$1, 0) ), "")
</f>
        <v>-0.00063</v>
      </c>
      <c r="G639" s="25"/>
      <c r="H639" s="12">
        <f t="array" ref="H639">IFERROR(
  INDEX(
    SR!$B$2:$D2026,            
    MATCH($A639, SR!$A$2:$A2026, 0),  
    MATCH(H$1, SR!$B$1:$D$1, 0) ), "")
</f>
        <v>-0.00205</v>
      </c>
      <c r="I639" s="12">
        <f t="array" ref="I639">IFERROR(
  INDEX(
    SR!$B$2:$D2026,            
    MATCH($A639, SR!$A$2:$A2026, 0),  
    MATCH(I$1, SR!$B$1:$D$1, 0) ), "")
</f>
        <v>-0.001877</v>
      </c>
      <c r="J639" s="12">
        <f t="array" ref="J639">IFERROR(
  INDEX(
    SR!$B$2:$D2026,            
    MATCH($A639, SR!$A$2:$A2026, 0),  
    MATCH(J$1, SR!$B$1:$D$1, 0) ), "")
</f>
        <v>-0.00083</v>
      </c>
      <c r="K639" s="14"/>
      <c r="L639" s="9">
        <v>117.64</v>
      </c>
      <c r="M639" s="9">
        <v>24.48</v>
      </c>
      <c r="N639" s="9">
        <v>114.36</v>
      </c>
      <c r="O639" s="9">
        <v>117.18</v>
      </c>
      <c r="P639" s="9">
        <v>125.93</v>
      </c>
      <c r="Q639" s="9">
        <v>1400.8936</v>
      </c>
      <c r="R639" s="14"/>
      <c r="S639" s="12">
        <f t="shared" si="2"/>
        <v>-0.0006358097695</v>
      </c>
      <c r="T639" s="12">
        <f t="shared" si="3"/>
        <v>0.9993641902</v>
      </c>
      <c r="U639" s="16">
        <f t="shared" si="7"/>
        <v>100.0030235</v>
      </c>
      <c r="V639" s="17"/>
      <c r="W639" s="12">
        <f t="array" ref="W639">SQRT(252/20) *  SQRT( SUMSQ( LN(U618:U637 / U617:U636) )  - (1/20) * ( SUM( LN(U618:U637 / U617:U636) ) ^ 2 ) )</f>
        <v>0.02675031404</v>
      </c>
      <c r="X639" s="9">
        <f t="shared" si="4"/>
        <v>1.5</v>
      </c>
      <c r="Y639" s="14"/>
      <c r="Z639" s="12">
        <f t="shared" si="5"/>
        <v>0.9990514381</v>
      </c>
      <c r="AA639" s="16">
        <f t="shared" si="8"/>
        <v>100.1298463</v>
      </c>
      <c r="AB639" s="14"/>
      <c r="AC639" s="9">
        <f t="shared" si="6"/>
        <v>0</v>
      </c>
    </row>
    <row r="640">
      <c r="A640" s="8">
        <v>42653.0</v>
      </c>
      <c r="B640" s="14"/>
      <c r="C640" s="12">
        <f t="array" ref="C640">IFERROR(
  INDEX(
    IR!$B$2:$E2026,                
    MATCH($A640, IR!$A$2:$A2026, 0), 
    MATCH(C$1, IR!$B$1:$E$1, 0) ), "")
</f>
        <v>-0.00371</v>
      </c>
      <c r="D640" s="12">
        <f t="array" ref="D640">IFERROR(
  INDEX(
    IR!$B$2:$E2026,                
    MATCH($A640, IR!$A$2:$A2026, 0), 
    MATCH(D$1, IR!$B$1:$E$1, 0) ), "")
</f>
        <v>-0.00305</v>
      </c>
      <c r="E640" s="12">
        <f t="array" ref="E640">IFERROR(
  INDEX(
    IR!$B$2:$E2026,                
    MATCH($A640, IR!$A$2:$A2026, 0), 
    MATCH(E$1, IR!$B$1:$E$1, 0) ), "")
</f>
        <v>-0.00203</v>
      </c>
      <c r="F640" s="12">
        <f t="array" ref="F640">IFERROR(
  INDEX(
    IR!$B$2:$E2026,                
    MATCH($A640, IR!$A$2:$A2026, 0), 
    MATCH(F$1, IR!$B$1:$E$1, 0) ), "")
</f>
        <v>-0.00064</v>
      </c>
      <c r="G640" s="25"/>
      <c r="H640" s="12">
        <f t="array" ref="H640">IFERROR(
  INDEX(
    SR!$B$2:$D2026,            
    MATCH($A640, SR!$A$2:$A2026, 0),  
    MATCH(H$1, SR!$B$1:$D$1, 0) ), "")
</f>
        <v>-0.00198</v>
      </c>
      <c r="I640" s="12">
        <f t="array" ref="I640">IFERROR(
  INDEX(
    SR!$B$2:$D2026,            
    MATCH($A640, SR!$A$2:$A2026, 0),  
    MATCH(I$1, SR!$B$1:$D$1, 0) ), "")
</f>
        <v>-0.00177</v>
      </c>
      <c r="J640" s="12">
        <f t="array" ref="J640">IFERROR(
  INDEX(
    SR!$B$2:$D2026,            
    MATCH($A640, SR!$A$2:$A2026, 0),  
    MATCH(J$1, SR!$B$1:$D$1, 0) ), "")
</f>
        <v>-0.000625</v>
      </c>
      <c r="K640" s="14"/>
      <c r="L640" s="9">
        <v>117.85</v>
      </c>
      <c r="M640" s="9">
        <v>24.48</v>
      </c>
      <c r="N640" s="9">
        <v>114.35</v>
      </c>
      <c r="O640" s="9">
        <v>116.69</v>
      </c>
      <c r="P640" s="9">
        <v>125.67</v>
      </c>
      <c r="Q640" s="9">
        <v>1397.938</v>
      </c>
      <c r="R640" s="14"/>
      <c r="S640" s="12">
        <f t="shared" si="2"/>
        <v>-0.001109495805</v>
      </c>
      <c r="T640" s="12">
        <f t="shared" si="3"/>
        <v>0.9988905042</v>
      </c>
      <c r="U640" s="16">
        <f t="shared" si="7"/>
        <v>99.89207052</v>
      </c>
      <c r="V640" s="17"/>
      <c r="W640" s="12">
        <f t="array" ref="W640">SQRT(252/20) *  SQRT( SUMSQ( LN(U619:U638 / U618:U637) )  - (1/20) * ( SUM( LN(U619:U638 / U618:U637) ) ^ 2 ) )</f>
        <v>0.02690914486</v>
      </c>
      <c r="X640" s="9">
        <f t="shared" si="4"/>
        <v>1.5</v>
      </c>
      <c r="Y640" s="14"/>
      <c r="Z640" s="12">
        <f t="shared" si="5"/>
        <v>0.9983512146</v>
      </c>
      <c r="AA640" s="16">
        <f t="shared" si="8"/>
        <v>99.9647537</v>
      </c>
      <c r="AB640" s="14"/>
      <c r="AC640" s="9">
        <f t="shared" si="6"/>
        <v>0</v>
      </c>
    </row>
    <row r="641">
      <c r="A641" s="8">
        <v>42654.0</v>
      </c>
      <c r="B641" s="14"/>
      <c r="C641" s="12">
        <f t="array" ref="C641">IFERROR(
  INDEX(
    IR!$B$2:$E2026,                
    MATCH($A641, IR!$A$2:$A2026, 0), 
    MATCH(C$1, IR!$B$1:$E$1, 0) ), "")
</f>
        <v>-0.00371</v>
      </c>
      <c r="D641" s="12">
        <f t="array" ref="D641">IFERROR(
  INDEX(
    IR!$B$2:$E2026,                
    MATCH($A641, IR!$A$2:$A2026, 0), 
    MATCH(D$1, IR!$B$1:$E$1, 0) ), "")
</f>
        <v>-0.00306</v>
      </c>
      <c r="E641" s="12">
        <f t="array" ref="E641">IFERROR(
  INDEX(
    IR!$B$2:$E2026,                
    MATCH($A641, IR!$A$2:$A2026, 0), 
    MATCH(E$1, IR!$B$1:$E$1, 0) ), "")
</f>
        <v>-0.00203</v>
      </c>
      <c r="F641" s="12">
        <f t="array" ref="F641">IFERROR(
  INDEX(
    IR!$B$2:$E2026,                
    MATCH($A641, IR!$A$2:$A2026, 0), 
    MATCH(F$1, IR!$B$1:$E$1, 0) ), "")
</f>
        <v>-0.00066</v>
      </c>
      <c r="G641" s="25"/>
      <c r="H641" s="12">
        <f t="array" ref="H641">IFERROR(
  INDEX(
    SR!$B$2:$D2026,            
    MATCH($A641, SR!$A$2:$A2026, 0),  
    MATCH(H$1, SR!$B$1:$D$1, 0) ), "")
</f>
        <v>-0.00203</v>
      </c>
      <c r="I641" s="12">
        <f t="array" ref="I641">IFERROR(
  INDEX(
    SR!$B$2:$D2026,            
    MATCH($A641, SR!$A$2:$A2026, 0),  
    MATCH(I$1, SR!$B$1:$D$1, 0) ), "")
</f>
        <v>-0.001791</v>
      </c>
      <c r="J641" s="12">
        <f t="array" ref="J641">IFERROR(
  INDEX(
    SR!$B$2:$D2026,            
    MATCH($A641, SR!$A$2:$A2026, 0),  
    MATCH(J$1, SR!$B$1:$D$1, 0) ), "")
</f>
        <v>-0.00068</v>
      </c>
      <c r="K641" s="14"/>
      <c r="L641" s="9">
        <v>117.64</v>
      </c>
      <c r="M641" s="9">
        <v>24.49</v>
      </c>
      <c r="N641" s="9">
        <v>114.39</v>
      </c>
      <c r="O641" s="9">
        <v>117.09</v>
      </c>
      <c r="P641" s="9">
        <v>125.93</v>
      </c>
      <c r="Q641" s="9">
        <v>1400.3427</v>
      </c>
      <c r="R641" s="14"/>
      <c r="S641" s="12">
        <f t="shared" si="2"/>
        <v>0.00103198358</v>
      </c>
      <c r="T641" s="12">
        <f t="shared" si="3"/>
        <v>1.001031984</v>
      </c>
      <c r="U641" s="16">
        <f t="shared" si="7"/>
        <v>99.9951575</v>
      </c>
      <c r="V641" s="17"/>
      <c r="W641" s="12">
        <f t="array" ref="W641">SQRT(252/20) *  SQRT( SUMSQ( LN(U620:U639 / U619:U638) )  - (1/20) * ( SUM( LN(U620:U639 / U619:U638) ) ^ 2 ) )</f>
        <v>0.02615214499</v>
      </c>
      <c r="X641" s="9">
        <f t="shared" si="4"/>
        <v>1.5</v>
      </c>
      <c r="Y641" s="14"/>
      <c r="Z641" s="12">
        <f t="shared" si="5"/>
        <v>1.001553128</v>
      </c>
      <c r="AA641" s="16">
        <f t="shared" si="8"/>
        <v>100.1200118</v>
      </c>
      <c r="AB641" s="14"/>
      <c r="AC641" s="9">
        <f t="shared" si="6"/>
        <v>0</v>
      </c>
    </row>
    <row r="642">
      <c r="A642" s="8">
        <v>42655.0</v>
      </c>
      <c r="B642" s="14"/>
      <c r="C642" s="12">
        <f t="array" ref="C642">IFERROR(
  INDEX(
    IR!$B$2:$E2026,                
    MATCH($A642, IR!$A$2:$A2026, 0), 
    MATCH(C$1, IR!$B$1:$E$1, 0) ), "")
</f>
        <v>-0.00371</v>
      </c>
      <c r="D642" s="12">
        <f t="array" ref="D642">IFERROR(
  INDEX(
    IR!$B$2:$E2026,                
    MATCH($A642, IR!$A$2:$A2026, 0), 
    MATCH(D$1, IR!$B$1:$E$1, 0) ), "")
</f>
        <v>-0.00309</v>
      </c>
      <c r="E642" s="12">
        <f t="array" ref="E642">IFERROR(
  INDEX(
    IR!$B$2:$E2026,                
    MATCH($A642, IR!$A$2:$A2026, 0), 
    MATCH(E$1, IR!$B$1:$E$1, 0) ), "")
</f>
        <v>-0.00204</v>
      </c>
      <c r="F642" s="12">
        <f t="array" ref="F642">IFERROR(
  INDEX(
    IR!$B$2:$E2026,                
    MATCH($A642, IR!$A$2:$A2026, 0), 
    MATCH(F$1, IR!$B$1:$E$1, 0) ), "")
</f>
        <v>-0.00069</v>
      </c>
      <c r="G642" s="25"/>
      <c r="H642" s="12">
        <f t="array" ref="H642">IFERROR(
  INDEX(
    SR!$B$2:$D2026,            
    MATCH($A642, SR!$A$2:$A2026, 0),  
    MATCH(H$1, SR!$B$1:$D$1, 0) ), "")
</f>
        <v>-0.002</v>
      </c>
      <c r="I642" s="12">
        <f t="array" ref="I642">IFERROR(
  INDEX(
    SR!$B$2:$D2026,            
    MATCH($A642, SR!$A$2:$A2026, 0),  
    MATCH(I$1, SR!$B$1:$D$1, 0) ), "")
</f>
        <v>-0.00174</v>
      </c>
      <c r="J642" s="12">
        <f t="array" ref="J642">IFERROR(
  INDEX(
    SR!$B$2:$D2026,            
    MATCH($A642, SR!$A$2:$A2026, 0),  
    MATCH(J$1, SR!$B$1:$D$1, 0) ), "")
</f>
        <v>-0.0007</v>
      </c>
      <c r="K642" s="14"/>
      <c r="L642" s="9">
        <v>117.47</v>
      </c>
      <c r="M642" s="9">
        <v>24.49</v>
      </c>
      <c r="N642" s="9">
        <v>114.38</v>
      </c>
      <c r="O642" s="9">
        <v>116.81</v>
      </c>
      <c r="P642" s="9">
        <v>125.75</v>
      </c>
      <c r="Q642" s="9">
        <v>1392.4113</v>
      </c>
      <c r="R642" s="14"/>
      <c r="S642" s="12">
        <f t="shared" si="2"/>
        <v>-0.001836014357</v>
      </c>
      <c r="T642" s="12">
        <f t="shared" si="3"/>
        <v>0.9981639856</v>
      </c>
      <c r="U642" s="16">
        <f t="shared" si="7"/>
        <v>99.81156496</v>
      </c>
      <c r="V642" s="17"/>
      <c r="W642" s="12">
        <f t="array" ref="W642">SQRT(252/20) *  SQRT( SUMSQ( LN(U621:U640 / U620:U639) )  - (1/20) * ( SUM( LN(U621:U640 / U620:U639) ) ^ 2 ) )</f>
        <v>0.02051528486</v>
      </c>
      <c r="X642" s="9">
        <f t="shared" si="4"/>
        <v>1.5</v>
      </c>
      <c r="Y642" s="14"/>
      <c r="Z642" s="12">
        <f t="shared" si="5"/>
        <v>0.9972511312</v>
      </c>
      <c r="AA642" s="16">
        <f t="shared" si="8"/>
        <v>99.844795</v>
      </c>
      <c r="AB642" s="14"/>
      <c r="AC642" s="9">
        <f t="shared" si="6"/>
        <v>0</v>
      </c>
    </row>
    <row r="643">
      <c r="A643" s="8">
        <v>42656.0</v>
      </c>
      <c r="B643" s="14"/>
      <c r="C643" s="12">
        <f t="array" ref="C643">IFERROR(
  INDEX(
    IR!$B$2:$E2026,                
    MATCH($A643, IR!$A$2:$A2026, 0), 
    MATCH(C$1, IR!$B$1:$E$1, 0) ), "")
</f>
        <v>-0.00372</v>
      </c>
      <c r="D643" s="12">
        <f t="array" ref="D643">IFERROR(
  INDEX(
    IR!$B$2:$E2026,                
    MATCH($A643, IR!$A$2:$A2026, 0), 
    MATCH(D$1, IR!$B$1:$E$1, 0) ), "")
</f>
        <v>-0.00311</v>
      </c>
      <c r="E643" s="12">
        <f t="array" ref="E643">IFERROR(
  INDEX(
    IR!$B$2:$E2026,                
    MATCH($A643, IR!$A$2:$A2026, 0), 
    MATCH(E$1, IR!$B$1:$E$1, 0) ), "")
</f>
        <v>-0.00204</v>
      </c>
      <c r="F643" s="12">
        <f t="array" ref="F643">IFERROR(
  INDEX(
    IR!$B$2:$E2026,                
    MATCH($A643, IR!$A$2:$A2026, 0), 
    MATCH(F$1, IR!$B$1:$E$1, 0) ), "")
</f>
        <v>-0.00071</v>
      </c>
      <c r="G643" s="25"/>
      <c r="H643" s="12">
        <f t="array" ref="H643">IFERROR(
  INDEX(
    SR!$B$2:$D2026,            
    MATCH($A643, SR!$A$2:$A2026, 0),  
    MATCH(H$1, SR!$B$1:$D$1, 0) ), "")
</f>
        <v>-0.00197</v>
      </c>
      <c r="I643" s="12">
        <f t="array" ref="I643">IFERROR(
  INDEX(
    SR!$B$2:$D2026,            
    MATCH($A643, SR!$A$2:$A2026, 0),  
    MATCH(I$1, SR!$B$1:$D$1, 0) ), "")
</f>
        <v>-0.00178</v>
      </c>
      <c r="J643" s="12">
        <f t="array" ref="J643">IFERROR(
  INDEX(
    SR!$B$2:$D2026,            
    MATCH($A643, SR!$A$2:$A2026, 0),  
    MATCH(J$1, SR!$B$1:$D$1, 0) ), "")
</f>
        <v>-0.00068</v>
      </c>
      <c r="K643" s="14"/>
      <c r="L643" s="9">
        <v>117.25</v>
      </c>
      <c r="M643" s="9">
        <v>24.49</v>
      </c>
      <c r="N643" s="9">
        <v>114.35</v>
      </c>
      <c r="O643" s="9">
        <v>116.46</v>
      </c>
      <c r="P643" s="9">
        <v>125.63</v>
      </c>
      <c r="Q643" s="9">
        <v>1388.8041</v>
      </c>
      <c r="R643" s="14"/>
      <c r="S643" s="12">
        <f t="shared" si="2"/>
        <v>-0.001445732178</v>
      </c>
      <c r="T643" s="12">
        <f t="shared" si="3"/>
        <v>0.9985542678</v>
      </c>
      <c r="U643" s="16">
        <f t="shared" si="7"/>
        <v>99.66726417</v>
      </c>
      <c r="V643" s="17"/>
      <c r="W643" s="12">
        <f t="array" ref="W643">SQRT(252/20) *  SQRT( SUMSQ( LN(U622:U641 / U621:U640) )  - (1/20) * ( SUM( LN(U622:U641 / U621:U640) ) ^ 2 ) )</f>
        <v>0.02007121737</v>
      </c>
      <c r="X643" s="9">
        <f t="shared" si="4"/>
        <v>1.5</v>
      </c>
      <c r="Y643" s="14"/>
      <c r="Z643" s="12">
        <f t="shared" si="5"/>
        <v>0.9978365545</v>
      </c>
      <c r="AA643" s="16">
        <f t="shared" si="8"/>
        <v>99.62878623</v>
      </c>
      <c r="AB643" s="14"/>
      <c r="AC643" s="9">
        <f t="shared" si="6"/>
        <v>0</v>
      </c>
    </row>
    <row r="644">
      <c r="A644" s="8">
        <v>42657.0</v>
      </c>
      <c r="B644" s="14"/>
      <c r="C644" s="12">
        <f t="array" ref="C644">IFERROR(
  INDEX(
    IR!$B$2:$E2026,                
    MATCH($A644, IR!$A$2:$A2026, 0), 
    MATCH(C$1, IR!$B$1:$E$1, 0) ), "")
</f>
        <v>-0.00371</v>
      </c>
      <c r="D644" s="12">
        <f t="array" ref="D644">IFERROR(
  INDEX(
    IR!$B$2:$E2026,                
    MATCH($A644, IR!$A$2:$A2026, 0), 
    MATCH(D$1, IR!$B$1:$E$1, 0) ), "")
</f>
        <v>-0.00311</v>
      </c>
      <c r="E644" s="12">
        <f t="array" ref="E644">IFERROR(
  INDEX(
    IR!$B$2:$E2026,                
    MATCH($A644, IR!$A$2:$A2026, 0), 
    MATCH(E$1, IR!$B$1:$E$1, 0) ), "")
</f>
        <v>-0.00204</v>
      </c>
      <c r="F644" s="12">
        <f t="array" ref="F644">IFERROR(
  INDEX(
    IR!$B$2:$E2026,                
    MATCH($A644, IR!$A$2:$A2026, 0), 
    MATCH(F$1, IR!$B$1:$E$1, 0) ), "")
</f>
        <v>-0.00072</v>
      </c>
      <c r="G644" s="25"/>
      <c r="H644" s="12">
        <f t="array" ref="H644">IFERROR(
  INDEX(
    SR!$B$2:$D2026,            
    MATCH($A644, SR!$A$2:$A2026, 0),  
    MATCH(H$1, SR!$B$1:$D$1, 0) ), "")
</f>
        <v>-0.00191</v>
      </c>
      <c r="I644" s="12">
        <f t="array" ref="I644">IFERROR(
  INDEX(
    SR!$B$2:$D2026,            
    MATCH($A644, SR!$A$2:$A2026, 0),  
    MATCH(I$1, SR!$B$1:$D$1, 0) ), "")
</f>
        <v>-0.001627</v>
      </c>
      <c r="J644" s="12">
        <f t="array" ref="J644">IFERROR(
  INDEX(
    SR!$B$2:$D2026,            
    MATCH($A644, SR!$A$2:$A2026, 0),  
    MATCH(J$1, SR!$B$1:$D$1, 0) ), "")
</f>
        <v>-0.00052</v>
      </c>
      <c r="K644" s="14"/>
      <c r="L644" s="9">
        <v>117.64</v>
      </c>
      <c r="M644" s="9">
        <v>24.5</v>
      </c>
      <c r="N644" s="9">
        <v>114.35</v>
      </c>
      <c r="O644" s="9">
        <v>116.08</v>
      </c>
      <c r="P644" s="9">
        <v>125.49</v>
      </c>
      <c r="Q644" s="9">
        <v>1386.9498</v>
      </c>
      <c r="R644" s="14"/>
      <c r="S644" s="12">
        <f t="shared" si="2"/>
        <v>-0.0003296563168</v>
      </c>
      <c r="T644" s="12">
        <f t="shared" si="3"/>
        <v>0.9996703437</v>
      </c>
      <c r="U644" s="16">
        <f t="shared" si="7"/>
        <v>99.63440822</v>
      </c>
      <c r="V644" s="17"/>
      <c r="W644" s="12">
        <f t="array" ref="W644">SQRT(252/20) *  SQRT( SUMSQ( LN(U623:U642 / U622:U641) )  - (1/20) * ( SUM( LN(U623:U642 / U622:U641) ) ^ 2 ) )</f>
        <v>0.02023304479</v>
      </c>
      <c r="X644" s="9">
        <f t="shared" si="4"/>
        <v>1.5</v>
      </c>
      <c r="Y644" s="14"/>
      <c r="Z644" s="12">
        <f t="shared" si="5"/>
        <v>0.9995106822</v>
      </c>
      <c r="AA644" s="16">
        <f t="shared" si="8"/>
        <v>99.58003609</v>
      </c>
      <c r="AB644" s="14"/>
      <c r="AC644" s="9">
        <f t="shared" si="6"/>
        <v>0</v>
      </c>
    </row>
    <row r="645">
      <c r="A645" s="8">
        <v>42660.0</v>
      </c>
      <c r="B645" s="14"/>
      <c r="C645" s="12">
        <f t="array" ref="C645">IFERROR(
  INDEX(
    IR!$B$2:$E2026,                
    MATCH($A645, IR!$A$2:$A2026, 0), 
    MATCH(C$1, IR!$B$1:$E$1, 0) ), "")
</f>
        <v>-0.00371</v>
      </c>
      <c r="D645" s="12">
        <f t="array" ref="D645">IFERROR(
  INDEX(
    IR!$B$2:$E2026,                
    MATCH($A645, IR!$A$2:$A2026, 0), 
    MATCH(D$1, IR!$B$1:$E$1, 0) ), "")
</f>
        <v>-0.00311</v>
      </c>
      <c r="E645" s="12">
        <f t="array" ref="E645">IFERROR(
  INDEX(
    IR!$B$2:$E2026,                
    MATCH($A645, IR!$A$2:$A2026, 0), 
    MATCH(E$1, IR!$B$1:$E$1, 0) ), "")
</f>
        <v>-0.00204</v>
      </c>
      <c r="F645" s="12">
        <f t="array" ref="F645">IFERROR(
  INDEX(
    IR!$B$2:$E2026,                
    MATCH($A645, IR!$A$2:$A2026, 0), 
    MATCH(F$1, IR!$B$1:$E$1, 0) ), "")
</f>
        <v>-0.00071</v>
      </c>
      <c r="G645" s="25"/>
      <c r="H645" s="12">
        <f t="array" ref="H645">IFERROR(
  INDEX(
    SR!$B$2:$D2026,            
    MATCH($A645, SR!$A$2:$A2026, 0),  
    MATCH(H$1, SR!$B$1:$D$1, 0) ), "")
</f>
        <v>-0.00195</v>
      </c>
      <c r="I645" s="12">
        <f t="array" ref="I645">IFERROR(
  INDEX(
    SR!$B$2:$D2026,            
    MATCH($A645, SR!$A$2:$A2026, 0),  
    MATCH(I$1, SR!$B$1:$D$1, 0) ), "")
</f>
        <v>-0.001668</v>
      </c>
      <c r="J645" s="12">
        <f t="array" ref="J645">IFERROR(
  INDEX(
    SR!$B$2:$D2026,            
    MATCH($A645, SR!$A$2:$A2026, 0),  
    MATCH(J$1, SR!$B$1:$D$1, 0) ), "")
</f>
        <v>-0.000638</v>
      </c>
      <c r="K645" s="14"/>
      <c r="L645" s="9">
        <v>117.55</v>
      </c>
      <c r="M645" s="9">
        <v>24.51</v>
      </c>
      <c r="N645" s="9">
        <v>114.36</v>
      </c>
      <c r="O645" s="9">
        <v>116.8</v>
      </c>
      <c r="P645" s="9">
        <v>125.57</v>
      </c>
      <c r="Q645" s="9">
        <v>1387.6668</v>
      </c>
      <c r="R645" s="14"/>
      <c r="S645" s="12">
        <f t="shared" si="2"/>
        <v>0.001180854154</v>
      </c>
      <c r="T645" s="12">
        <f t="shared" si="3"/>
        <v>1.001180854</v>
      </c>
      <c r="U645" s="16">
        <f t="shared" si="7"/>
        <v>99.75206193</v>
      </c>
      <c r="V645" s="17"/>
      <c r="W645" s="12">
        <f t="array" ref="W645">SQRT(252/20) *  SQRT( SUMSQ( LN(U624:U643 / U623:U642) )  - (1/20) * ( SUM( LN(U624:U643 / U623:U642) ) ^ 2 ) )</f>
        <v>0.02090787287</v>
      </c>
      <c r="X645" s="9">
        <f t="shared" si="4"/>
        <v>1.5</v>
      </c>
      <c r="Y645" s="14"/>
      <c r="Z645" s="12">
        <f t="shared" si="5"/>
        <v>1.00178674</v>
      </c>
      <c r="AA645" s="16">
        <f t="shared" si="8"/>
        <v>99.75795968</v>
      </c>
      <c r="AB645" s="14"/>
      <c r="AC645" s="9">
        <f t="shared" si="6"/>
        <v>0</v>
      </c>
    </row>
    <row r="646">
      <c r="A646" s="8">
        <v>42661.0</v>
      </c>
      <c r="B646" s="14"/>
      <c r="C646" s="12">
        <f t="array" ref="C646">IFERROR(
  INDEX(
    IR!$B$2:$E2026,                
    MATCH($A646, IR!$A$2:$A2026, 0), 
    MATCH(C$1, IR!$B$1:$E$1, 0) ), "")
</f>
        <v>-0.00371</v>
      </c>
      <c r="D646" s="12">
        <f t="array" ref="D646">IFERROR(
  INDEX(
    IR!$B$2:$E2026,                
    MATCH($A646, IR!$A$2:$A2026, 0), 
    MATCH(D$1, IR!$B$1:$E$1, 0) ), "")
</f>
        <v>-0.00312</v>
      </c>
      <c r="E646" s="12">
        <f t="array" ref="E646">IFERROR(
  INDEX(
    IR!$B$2:$E2026,                
    MATCH($A646, IR!$A$2:$A2026, 0), 
    MATCH(E$1, IR!$B$1:$E$1, 0) ), "")
</f>
        <v>-0.00209</v>
      </c>
      <c r="F646" s="12">
        <f t="array" ref="F646">IFERROR(
  INDEX(
    IR!$B$2:$E2026,                
    MATCH($A646, IR!$A$2:$A2026, 0), 
    MATCH(F$1, IR!$B$1:$E$1, 0) ), "")
</f>
        <v>-0.00073</v>
      </c>
      <c r="G646" s="25"/>
      <c r="H646" s="12">
        <f t="array" ref="H646">IFERROR(
  INDEX(
    SR!$B$2:$D2026,            
    MATCH($A646, SR!$A$2:$A2026, 0),  
    MATCH(H$1, SR!$B$1:$D$1, 0) ), "")
</f>
        <v>-0.002</v>
      </c>
      <c r="I646" s="12">
        <f t="array" ref="I646">IFERROR(
  INDEX(
    SR!$B$2:$D2026,            
    MATCH($A646, SR!$A$2:$A2026, 0),  
    MATCH(I$1, SR!$B$1:$D$1, 0) ), "")
</f>
        <v>-0.001741</v>
      </c>
      <c r="J646" s="12">
        <f t="array" ref="J646">IFERROR(
  INDEX(
    SR!$B$2:$D2026,            
    MATCH($A646, SR!$A$2:$A2026, 0),  
    MATCH(J$1, SR!$B$1:$D$1, 0) ), "")
</f>
        <v>-0.00071</v>
      </c>
      <c r="K646" s="14"/>
      <c r="L646" s="9">
        <v>117.87</v>
      </c>
      <c r="M646" s="9">
        <v>24.51</v>
      </c>
      <c r="N646" s="9">
        <v>114.36</v>
      </c>
      <c r="O646" s="9">
        <v>116.33</v>
      </c>
      <c r="P646" s="9">
        <v>125.47</v>
      </c>
      <c r="Q646" s="9">
        <v>1386.7783</v>
      </c>
      <c r="R646" s="14"/>
      <c r="S646" s="12">
        <f t="shared" si="2"/>
        <v>-0.0004562779193</v>
      </c>
      <c r="T646" s="12">
        <f t="shared" si="3"/>
        <v>0.9995437221</v>
      </c>
      <c r="U646" s="16">
        <f t="shared" si="7"/>
        <v>99.70654726</v>
      </c>
      <c r="V646" s="17"/>
      <c r="W646" s="12">
        <f t="array" ref="W646">SQRT(252/20) *  SQRT( SUMSQ( LN(U625:U644 / U624:U643) )  - (1/20) * ( SUM( LN(U625:U644 / U624:U643) ) ^ 2 ) )</f>
        <v>0.02070778938</v>
      </c>
      <c r="X646" s="9">
        <f t="shared" si="4"/>
        <v>1.5</v>
      </c>
      <c r="Y646" s="14"/>
      <c r="Z646" s="12">
        <f t="shared" si="5"/>
        <v>0.9993207359</v>
      </c>
      <c r="AA646" s="16">
        <f t="shared" si="8"/>
        <v>99.69019768</v>
      </c>
      <c r="AB646" s="14"/>
      <c r="AC646" s="9">
        <f t="shared" si="6"/>
        <v>0</v>
      </c>
    </row>
    <row r="647">
      <c r="A647" s="8">
        <v>42662.0</v>
      </c>
      <c r="B647" s="14"/>
      <c r="C647" s="12">
        <f t="array" ref="C647">IFERROR(
  INDEX(
    IR!$B$2:$E2026,                
    MATCH($A647, IR!$A$2:$A2026, 0), 
    MATCH(C$1, IR!$B$1:$E$1, 0) ), "")
</f>
        <v>-0.00371</v>
      </c>
      <c r="D647" s="12">
        <f t="array" ref="D647">IFERROR(
  INDEX(
    IR!$B$2:$E2026,                
    MATCH($A647, IR!$A$2:$A2026, 0), 
    MATCH(D$1, IR!$B$1:$E$1, 0) ), "")
</f>
        <v>-0.00313</v>
      </c>
      <c r="E647" s="12">
        <f t="array" ref="E647">IFERROR(
  INDEX(
    IR!$B$2:$E2026,                
    MATCH($A647, IR!$A$2:$A2026, 0), 
    MATCH(E$1, IR!$B$1:$E$1, 0) ), "")
</f>
        <v>-0.0021</v>
      </c>
      <c r="F647" s="12">
        <f t="array" ref="F647">IFERROR(
  INDEX(
    IR!$B$2:$E2026,                
    MATCH($A647, IR!$A$2:$A2026, 0), 
    MATCH(F$1, IR!$B$1:$E$1, 0) ), "")
</f>
        <v>-0.00073</v>
      </c>
      <c r="G647" s="25"/>
      <c r="H647" s="12">
        <f t="array" ref="H647">IFERROR(
  INDEX(
    SR!$B$2:$D2026,            
    MATCH($A647, SR!$A$2:$A2026, 0),  
    MATCH(H$1, SR!$B$1:$D$1, 0) ), "")
</f>
        <v>-0.00197</v>
      </c>
      <c r="I647" s="12">
        <f t="array" ref="I647">IFERROR(
  INDEX(
    SR!$B$2:$D2026,            
    MATCH($A647, SR!$A$2:$A2026, 0),  
    MATCH(I$1, SR!$B$1:$D$1, 0) ), "")
</f>
        <v>-0.001724</v>
      </c>
      <c r="J647" s="12">
        <f t="array" ref="J647">IFERROR(
  INDEX(
    SR!$B$2:$D2026,            
    MATCH($A647, SR!$A$2:$A2026, 0),  
    MATCH(J$1, SR!$B$1:$D$1, 0) ), "")
</f>
        <v>-0.000666</v>
      </c>
      <c r="K647" s="14"/>
      <c r="L647" s="9">
        <v>117.98</v>
      </c>
      <c r="M647" s="9">
        <v>24.52</v>
      </c>
      <c r="N647" s="9">
        <v>114.37</v>
      </c>
      <c r="O647" s="9">
        <v>117.0</v>
      </c>
      <c r="P647" s="9">
        <v>125.77</v>
      </c>
      <c r="Q647" s="9">
        <v>1391.2393</v>
      </c>
      <c r="R647" s="14"/>
      <c r="S647" s="12">
        <f t="shared" si="2"/>
        <v>0.002132129769</v>
      </c>
      <c r="T647" s="12">
        <f t="shared" si="3"/>
        <v>1.00213213</v>
      </c>
      <c r="U647" s="16">
        <f t="shared" si="7"/>
        <v>99.91913456</v>
      </c>
      <c r="V647" s="17"/>
      <c r="W647" s="12">
        <f t="array" ref="W647">SQRT(252/20) *  SQRT( SUMSQ( LN(U626:U645 / U625:U644) )  - (1/20) * ( SUM( LN(U626:U645 / U625:U644) ) ^ 2 ) )</f>
        <v>0.02111300215</v>
      </c>
      <c r="X647" s="9">
        <f t="shared" si="4"/>
        <v>1.5</v>
      </c>
      <c r="Y647" s="14"/>
      <c r="Z647" s="12">
        <f t="shared" si="5"/>
        <v>1.003203347</v>
      </c>
      <c r="AA647" s="16">
        <f t="shared" si="8"/>
        <v>100.00954</v>
      </c>
      <c r="AB647" s="14"/>
      <c r="AC647" s="9">
        <f t="shared" si="6"/>
        <v>0</v>
      </c>
    </row>
    <row r="648">
      <c r="A648" s="8">
        <v>42663.0</v>
      </c>
      <c r="B648" s="14"/>
      <c r="C648" s="12">
        <f t="array" ref="C648">IFERROR(
  INDEX(
    IR!$B$2:$E2026,                
    MATCH($A648, IR!$A$2:$A2026, 0), 
    MATCH(C$1, IR!$B$1:$E$1, 0) ), "")
</f>
        <v>-0.00372</v>
      </c>
      <c r="D648" s="12">
        <f t="array" ref="D648">IFERROR(
  INDEX(
    IR!$B$2:$E2026,                
    MATCH($A648, IR!$A$2:$A2026, 0), 
    MATCH(D$1, IR!$B$1:$E$1, 0) ), "")
</f>
        <v>-0.00313</v>
      </c>
      <c r="E648" s="12">
        <f t="array" ref="E648">IFERROR(
  INDEX(
    IR!$B$2:$E2026,                
    MATCH($A648, IR!$A$2:$A2026, 0), 
    MATCH(E$1, IR!$B$1:$E$1, 0) ), "")
</f>
        <v>-0.00211</v>
      </c>
      <c r="F648" s="12">
        <f t="array" ref="F648">IFERROR(
  INDEX(
    IR!$B$2:$E2026,                
    MATCH($A648, IR!$A$2:$A2026, 0), 
    MATCH(F$1, IR!$B$1:$E$1, 0) ), "")
</f>
        <v>-0.00073</v>
      </c>
      <c r="G648" s="25"/>
      <c r="H648" s="12">
        <f t="array" ref="H648">IFERROR(
  INDEX(
    SR!$B$2:$D2026,            
    MATCH($A648, SR!$A$2:$A2026, 0),  
    MATCH(H$1, SR!$B$1:$D$1, 0) ), "")
</f>
        <v>-0.00196</v>
      </c>
      <c r="I648" s="12">
        <f t="array" ref="I648">IFERROR(
  INDEX(
    SR!$B$2:$D2026,            
    MATCH($A648, SR!$A$2:$A2026, 0),  
    MATCH(I$1, SR!$B$1:$D$1, 0) ), "")
</f>
        <v>-0.001746</v>
      </c>
      <c r="J648" s="12">
        <f t="array" ref="J648">IFERROR(
  INDEX(
    SR!$B$2:$D2026,            
    MATCH($A648, SR!$A$2:$A2026, 0),  
    MATCH(J$1, SR!$B$1:$D$1, 0) ), "")
</f>
        <v>-0.00071</v>
      </c>
      <c r="K648" s="14"/>
      <c r="L648" s="9">
        <v>118.09</v>
      </c>
      <c r="M648" s="9">
        <v>24.52</v>
      </c>
      <c r="N648" s="9">
        <v>114.37</v>
      </c>
      <c r="O648" s="9">
        <v>117.14</v>
      </c>
      <c r="P648" s="9">
        <v>126.04</v>
      </c>
      <c r="Q648" s="9">
        <v>1392.4026</v>
      </c>
      <c r="R648" s="14"/>
      <c r="S648" s="12">
        <f t="shared" si="2"/>
        <v>0.0008517227312</v>
      </c>
      <c r="T648" s="12">
        <f t="shared" si="3"/>
        <v>1.000851723</v>
      </c>
      <c r="U648" s="16">
        <f t="shared" si="7"/>
        <v>100.004238</v>
      </c>
      <c r="V648" s="17"/>
      <c r="W648" s="12">
        <f t="array" ref="W648">SQRT(252/20) *  SQRT( SUMSQ( LN(U627:U646 / U626:U645) )  - (1/20) * ( SUM( LN(U627:U646 / U626:U645) ) ^ 2 ) )</f>
        <v>0.02107722815</v>
      </c>
      <c r="X648" s="9">
        <f t="shared" si="4"/>
        <v>1.5</v>
      </c>
      <c r="Y648" s="14"/>
      <c r="Z648" s="12">
        <f t="shared" si="5"/>
        <v>1.001282737</v>
      </c>
      <c r="AA648" s="16">
        <f t="shared" si="8"/>
        <v>100.1378259</v>
      </c>
      <c r="AB648" s="14"/>
      <c r="AC648" s="9">
        <f t="shared" si="6"/>
        <v>0</v>
      </c>
    </row>
    <row r="649">
      <c r="A649" s="8">
        <v>42664.0</v>
      </c>
      <c r="B649" s="14"/>
      <c r="C649" s="12">
        <f t="array" ref="C649">IFERROR(
  INDEX(
    IR!$B$2:$E2026,                
    MATCH($A649, IR!$A$2:$A2026, 0), 
    MATCH(C$1, IR!$B$1:$E$1, 0) ), "")
</f>
        <v>-0.00372</v>
      </c>
      <c r="D649" s="12">
        <f t="array" ref="D649">IFERROR(
  INDEX(
    IR!$B$2:$E2026,                
    MATCH($A649, IR!$A$2:$A2026, 0), 
    MATCH(D$1, IR!$B$1:$E$1, 0) ), "")
</f>
        <v>-0.00312</v>
      </c>
      <c r="E649" s="12">
        <f t="array" ref="E649">IFERROR(
  INDEX(
    IR!$B$2:$E2026,                
    MATCH($A649, IR!$A$2:$A2026, 0), 
    MATCH(E$1, IR!$B$1:$E$1, 0) ), "")
</f>
        <v>-0.00211</v>
      </c>
      <c r="F649" s="12">
        <f t="array" ref="F649">IFERROR(
  INDEX(
    IR!$B$2:$E2026,                
    MATCH($A649, IR!$A$2:$A2026, 0), 
    MATCH(F$1, IR!$B$1:$E$1, 0) ), "")
</f>
        <v>-0.00074</v>
      </c>
      <c r="G649" s="25"/>
      <c r="H649" s="12">
        <f t="array" ref="H649">IFERROR(
  INDEX(
    SR!$B$2:$D2026,            
    MATCH($A649, SR!$A$2:$A2026, 0),  
    MATCH(H$1, SR!$B$1:$D$1, 0) ), "")
</f>
        <v>-0.00193</v>
      </c>
      <c r="I649" s="12">
        <f t="array" ref="I649">IFERROR(
  INDEX(
    SR!$B$2:$D2026,            
    MATCH($A649, SR!$A$2:$A2026, 0),  
    MATCH(I$1, SR!$B$1:$D$1, 0) ), "")
</f>
        <v>-0.001664</v>
      </c>
      <c r="J649" s="12">
        <f t="array" ref="J649">IFERROR(
  INDEX(
    SR!$B$2:$D2026,            
    MATCH($A649, SR!$A$2:$A2026, 0),  
    MATCH(J$1, SR!$B$1:$D$1, 0) ), "")
</f>
        <v>-0.000643</v>
      </c>
      <c r="K649" s="14"/>
      <c r="L649" s="9">
        <v>118.06</v>
      </c>
      <c r="M649" s="9">
        <v>24.52</v>
      </c>
      <c r="N649" s="9">
        <v>114.38</v>
      </c>
      <c r="O649" s="9">
        <v>117.38</v>
      </c>
      <c r="P649" s="9">
        <v>126.0</v>
      </c>
      <c r="Q649" s="9">
        <v>1393.6447</v>
      </c>
      <c r="R649" s="14"/>
      <c r="S649" s="12">
        <f t="shared" si="2"/>
        <v>0.0004094117602</v>
      </c>
      <c r="T649" s="12">
        <f t="shared" si="3"/>
        <v>1.000409412</v>
      </c>
      <c r="U649" s="16">
        <f t="shared" si="7"/>
        <v>100.0451809</v>
      </c>
      <c r="V649" s="17"/>
      <c r="W649" s="12">
        <f t="array" ref="W649">SQRT(252/20) *  SQRT( SUMSQ( LN(U628:U647 / U627:U646) )  - (1/20) * ( SUM( LN(U628:U647 / U627:U646) ) ^ 2 ) )</f>
        <v>0.02210398249</v>
      </c>
      <c r="X649" s="9">
        <f t="shared" si="4"/>
        <v>1.5</v>
      </c>
      <c r="Y649" s="14"/>
      <c r="Z649" s="12">
        <f t="shared" si="5"/>
        <v>1.000619284</v>
      </c>
      <c r="AA649" s="16">
        <f t="shared" si="8"/>
        <v>100.1998397</v>
      </c>
      <c r="AB649" s="14"/>
      <c r="AC649" s="9">
        <f t="shared" si="6"/>
        <v>0</v>
      </c>
    </row>
    <row r="650">
      <c r="A650" s="8">
        <v>42667.0</v>
      </c>
      <c r="B650" s="14"/>
      <c r="C650" s="12">
        <f t="array" ref="C650">IFERROR(
  INDEX(
    IR!$B$2:$E2026,                
    MATCH($A650, IR!$A$2:$A2026, 0), 
    MATCH(C$1, IR!$B$1:$E$1, 0) ), "")
</f>
        <v>-0.00371</v>
      </c>
      <c r="D650" s="12">
        <f t="array" ref="D650">IFERROR(
  INDEX(
    IR!$B$2:$E2026,                
    MATCH($A650, IR!$A$2:$A2026, 0), 
    MATCH(D$1, IR!$B$1:$E$1, 0) ), "")
</f>
        <v>-0.00311</v>
      </c>
      <c r="E650" s="12">
        <f t="array" ref="E650">IFERROR(
  INDEX(
    IR!$B$2:$E2026,                
    MATCH($A650, IR!$A$2:$A2026, 0), 
    MATCH(E$1, IR!$B$1:$E$1, 0) ), "")
</f>
        <v>-0.00212</v>
      </c>
      <c r="F650" s="12">
        <f t="array" ref="F650">IFERROR(
  INDEX(
    IR!$B$2:$E2026,                
    MATCH($A650, IR!$A$2:$A2026, 0), 
    MATCH(F$1, IR!$B$1:$E$1, 0) ), "")
</f>
        <v>-0.0007</v>
      </c>
      <c r="G650" s="25"/>
      <c r="H650" s="12">
        <f t="array" ref="H650">IFERROR(
  INDEX(
    SR!$B$2:$D2026,            
    MATCH($A650, SR!$A$2:$A2026, 0),  
    MATCH(H$1, SR!$B$1:$D$1, 0) ), "")
</f>
        <v>-0.00188</v>
      </c>
      <c r="I650" s="12">
        <f t="array" ref="I650">IFERROR(
  INDEX(
    SR!$B$2:$D2026,            
    MATCH($A650, SR!$A$2:$A2026, 0),  
    MATCH(I$1, SR!$B$1:$D$1, 0) ), "")
</f>
        <v>-0.001603</v>
      </c>
      <c r="J650" s="12">
        <f t="array" ref="J650">IFERROR(
  INDEX(
    SR!$B$2:$D2026,            
    MATCH($A650, SR!$A$2:$A2026, 0),  
    MATCH(J$1, SR!$B$1:$D$1, 0) ), "")
</f>
        <v>-0.000556</v>
      </c>
      <c r="K650" s="14"/>
      <c r="L650" s="9">
        <v>118.14</v>
      </c>
      <c r="M650" s="9">
        <v>24.53</v>
      </c>
      <c r="N650" s="9">
        <v>114.4</v>
      </c>
      <c r="O650" s="9">
        <v>117.35</v>
      </c>
      <c r="P650" s="9">
        <v>126.04</v>
      </c>
      <c r="Q650" s="9">
        <v>1392.394</v>
      </c>
      <c r="R650" s="14"/>
      <c r="S650" s="12">
        <f t="shared" si="2"/>
        <v>0.00007067473218</v>
      </c>
      <c r="T650" s="12">
        <f t="shared" si="3"/>
        <v>1.000070675</v>
      </c>
      <c r="U650" s="16">
        <f t="shared" si="7"/>
        <v>100.0522515</v>
      </c>
      <c r="V650" s="17"/>
      <c r="W650" s="12">
        <f t="array" ref="W650">SQRT(252/20) *  SQRT( SUMSQ( LN(U629:U648 / U628:U647) )  - (1/20) * ( SUM( LN(U629:U648 / U628:U647) ) ^ 2 ) )</f>
        <v>0.02124716302</v>
      </c>
      <c r="X650" s="9">
        <f t="shared" si="4"/>
        <v>1.5</v>
      </c>
      <c r="Y650" s="14"/>
      <c r="Z650" s="12">
        <f t="shared" si="5"/>
        <v>1.000121512</v>
      </c>
      <c r="AA650" s="16">
        <f t="shared" si="8"/>
        <v>100.2120152</v>
      </c>
      <c r="AB650" s="14"/>
      <c r="AC650" s="9">
        <f t="shared" si="6"/>
        <v>0</v>
      </c>
    </row>
    <row r="651">
      <c r="A651" s="8">
        <v>42668.0</v>
      </c>
      <c r="B651" s="14"/>
      <c r="C651" s="12">
        <f t="array" ref="C651">IFERROR(
  INDEX(
    IR!$B$2:$E2026,                
    MATCH($A651, IR!$A$2:$A2026, 0), 
    MATCH(C$1, IR!$B$1:$E$1, 0) ), "")
</f>
        <v>-0.00371</v>
      </c>
      <c r="D651" s="12">
        <f t="array" ref="D651">IFERROR(
  INDEX(
    IR!$B$2:$E2026,                
    MATCH($A651, IR!$A$2:$A2026, 0), 
    MATCH(D$1, IR!$B$1:$E$1, 0) ), "")
</f>
        <v>-0.00312</v>
      </c>
      <c r="E651" s="12">
        <f t="array" ref="E651">IFERROR(
  INDEX(
    IR!$B$2:$E2026,                
    MATCH($A651, IR!$A$2:$A2026, 0), 
    MATCH(E$1, IR!$B$1:$E$1, 0) ), "")
</f>
        <v>-0.00212</v>
      </c>
      <c r="F651" s="12">
        <f t="array" ref="F651">IFERROR(
  INDEX(
    IR!$B$2:$E2026,                
    MATCH($A651, IR!$A$2:$A2026, 0), 
    MATCH(F$1, IR!$B$1:$E$1, 0) ), "")
</f>
        <v>-0.00071</v>
      </c>
      <c r="G651" s="25"/>
      <c r="H651" s="12">
        <f t="array" ref="H651">IFERROR(
  INDEX(
    SR!$B$2:$D2026,            
    MATCH($A651, SR!$A$2:$A2026, 0),  
    MATCH(H$1, SR!$B$1:$D$1, 0) ), "")
</f>
        <v>-0.00183</v>
      </c>
      <c r="I651" s="12">
        <f t="array" ref="I651">IFERROR(
  INDEX(
    SR!$B$2:$D2026,            
    MATCH($A651, SR!$A$2:$A2026, 0),  
    MATCH(I$1, SR!$B$1:$D$1, 0) ), "")
</f>
        <v>-0.001523</v>
      </c>
      <c r="J651" s="12">
        <f t="array" ref="J651">IFERROR(
  INDEX(
    SR!$B$2:$D2026,            
    MATCH($A651, SR!$A$2:$A2026, 0),  
    MATCH(J$1, SR!$B$1:$D$1, 0) ), "")
</f>
        <v>-0.00045</v>
      </c>
      <c r="K651" s="14"/>
      <c r="L651" s="9">
        <v>118.08</v>
      </c>
      <c r="M651" s="9">
        <v>24.53</v>
      </c>
      <c r="N651" s="9">
        <v>114.41</v>
      </c>
      <c r="O651" s="9">
        <v>117.67</v>
      </c>
      <c r="P651" s="9">
        <v>126.02</v>
      </c>
      <c r="Q651" s="9">
        <v>1396.1178</v>
      </c>
      <c r="R651" s="14"/>
      <c r="S651" s="12">
        <f t="shared" si="2"/>
        <v>0.0008036347759</v>
      </c>
      <c r="T651" s="12">
        <f t="shared" si="3"/>
        <v>1.000803635</v>
      </c>
      <c r="U651" s="16">
        <f t="shared" si="7"/>
        <v>100.132657</v>
      </c>
      <c r="V651" s="17"/>
      <c r="W651" s="12">
        <f t="array" ref="W651">SQRT(252/20) *  SQRT( SUMSQ( LN(U630:U649 / U629:U648) )  - (1/20) * ( SUM( LN(U630:U649 / U629:U648) ) ^ 2 ) )</f>
        <v>0.01855583404</v>
      </c>
      <c r="X651" s="9">
        <f t="shared" si="4"/>
        <v>1.5</v>
      </c>
      <c r="Y651" s="14"/>
      <c r="Z651" s="12">
        <f t="shared" si="5"/>
        <v>1.001210605</v>
      </c>
      <c r="AA651" s="16">
        <f t="shared" si="8"/>
        <v>100.3333324</v>
      </c>
      <c r="AB651" s="14"/>
      <c r="AC651" s="9">
        <f t="shared" si="6"/>
        <v>0</v>
      </c>
    </row>
    <row r="652">
      <c r="A652" s="8">
        <v>42669.0</v>
      </c>
      <c r="B652" s="14"/>
      <c r="C652" s="12">
        <f t="array" ref="C652">IFERROR(
  INDEX(
    IR!$B$2:$E2026,                
    MATCH($A652, IR!$A$2:$A2026, 0), 
    MATCH(C$1, IR!$B$1:$E$1, 0) ), "")
</f>
        <v>-0.00372</v>
      </c>
      <c r="D652" s="12">
        <f t="array" ref="D652">IFERROR(
  INDEX(
    IR!$B$2:$E2026,                
    MATCH($A652, IR!$A$2:$A2026, 0), 
    MATCH(D$1, IR!$B$1:$E$1, 0) ), "")
</f>
        <v>-0.00313</v>
      </c>
      <c r="E652" s="12">
        <f t="array" ref="E652">IFERROR(
  INDEX(
    IR!$B$2:$E2026,                
    MATCH($A652, IR!$A$2:$A2026, 0), 
    MATCH(E$1, IR!$B$1:$E$1, 0) ), "")
</f>
        <v>-0.00212</v>
      </c>
      <c r="F652" s="12">
        <f t="array" ref="F652">IFERROR(
  INDEX(
    IR!$B$2:$E2026,                
    MATCH($A652, IR!$A$2:$A2026, 0), 
    MATCH(F$1, IR!$B$1:$E$1, 0) ), "")
</f>
        <v>-0.0007</v>
      </c>
      <c r="G652" s="25"/>
      <c r="H652" s="12">
        <f t="array" ref="H652">IFERROR(
  INDEX(
    SR!$B$2:$D2026,            
    MATCH($A652, SR!$A$2:$A2026, 0),  
    MATCH(H$1, SR!$B$1:$D$1, 0) ), "")
</f>
        <v>-0.00178</v>
      </c>
      <c r="I652" s="12">
        <f t="array" ref="I652">IFERROR(
  INDEX(
    SR!$B$2:$D2026,            
    MATCH($A652, SR!$A$2:$A2026, 0),  
    MATCH(I$1, SR!$B$1:$D$1, 0) ), "")
</f>
        <v>-0.001398</v>
      </c>
      <c r="J652" s="12">
        <f t="array" ref="J652">IFERROR(
  INDEX(
    SR!$B$2:$D2026,            
    MATCH($A652, SR!$A$2:$A2026, 0),  
    MATCH(J$1, SR!$B$1:$D$1, 0) ), "")
</f>
        <v>-0.00019</v>
      </c>
      <c r="K652" s="14"/>
      <c r="L652" s="9">
        <v>117.96</v>
      </c>
      <c r="M652" s="9">
        <v>24.52</v>
      </c>
      <c r="N652" s="9">
        <v>114.41</v>
      </c>
      <c r="O652" s="9">
        <v>117.53</v>
      </c>
      <c r="P652" s="9">
        <v>126.01</v>
      </c>
      <c r="Q652" s="9">
        <v>1394.0698</v>
      </c>
      <c r="R652" s="14"/>
      <c r="S652" s="12">
        <f t="shared" si="2"/>
        <v>-0.0006931976365</v>
      </c>
      <c r="T652" s="12">
        <f t="shared" si="3"/>
        <v>0.9993068024</v>
      </c>
      <c r="U652" s="16">
        <f t="shared" si="7"/>
        <v>100.0632453</v>
      </c>
      <c r="V652" s="17"/>
      <c r="W652" s="12">
        <f t="array" ref="W652">SQRT(252/20) *  SQRT( SUMSQ( LN(U631:U650 / U630:U649) )  - (1/20) * ( SUM( LN(U631:U650 / U630:U649) ) ^ 2 ) )</f>
        <v>0.01764660644</v>
      </c>
      <c r="X652" s="9">
        <f t="shared" si="4"/>
        <v>1.5</v>
      </c>
      <c r="Y652" s="14"/>
      <c r="Z652" s="12">
        <f t="shared" si="5"/>
        <v>0.9989653563</v>
      </c>
      <c r="AA652" s="16">
        <f t="shared" si="8"/>
        <v>100.2295231</v>
      </c>
      <c r="AB652" s="14"/>
      <c r="AC652" s="9">
        <f t="shared" si="6"/>
        <v>0</v>
      </c>
    </row>
    <row r="653">
      <c r="A653" s="8">
        <v>42670.0</v>
      </c>
      <c r="B653" s="14"/>
      <c r="C653" s="12">
        <f t="array" ref="C653">IFERROR(
  INDEX(
    IR!$B$2:$E2026,                
    MATCH($A653, IR!$A$2:$A2026, 0), 
    MATCH(C$1, IR!$B$1:$E$1, 0) ), "")
</f>
        <v>-0.00372</v>
      </c>
      <c r="D653" s="12">
        <f t="array" ref="D653">IFERROR(
  INDEX(
    IR!$B$2:$E2026,                
    MATCH($A653, IR!$A$2:$A2026, 0), 
    MATCH(D$1, IR!$B$1:$E$1, 0) ), "")
</f>
        <v>-0.00312</v>
      </c>
      <c r="E653" s="12">
        <f t="array" ref="E653">IFERROR(
  INDEX(
    IR!$B$2:$E2026,                
    MATCH($A653, IR!$A$2:$A2026, 0), 
    MATCH(E$1, IR!$B$1:$E$1, 0) ), "")
</f>
        <v>-0.00213</v>
      </c>
      <c r="F653" s="12">
        <f t="array" ref="F653">IFERROR(
  INDEX(
    IR!$B$2:$E2026,                
    MATCH($A653, IR!$A$2:$A2026, 0), 
    MATCH(F$1, IR!$B$1:$E$1, 0) ), "")
</f>
        <v>-0.0007</v>
      </c>
      <c r="G653" s="25"/>
      <c r="H653" s="12">
        <f t="array" ref="H653">IFERROR(
  INDEX(
    SR!$B$2:$D2026,            
    MATCH($A653, SR!$A$2:$A2026, 0),  
    MATCH(H$1, SR!$B$1:$D$1, 0) ), "")
</f>
        <v>-0.00167</v>
      </c>
      <c r="I653" s="12">
        <f t="array" ref="I653">IFERROR(
  INDEX(
    SR!$B$2:$D2026,            
    MATCH($A653, SR!$A$2:$A2026, 0),  
    MATCH(I$1, SR!$B$1:$D$1, 0) ), "")
</f>
        <v>-0.001244</v>
      </c>
      <c r="J653" s="12">
        <f t="array" ref="J653">IFERROR(
  INDEX(
    SR!$B$2:$D2026,            
    MATCH($A653, SR!$A$2:$A2026, 0),  
    MATCH(J$1, SR!$B$1:$D$1, 0) ), "")
</f>
        <v>0.00011</v>
      </c>
      <c r="K653" s="14"/>
      <c r="L653" s="9">
        <v>117.86</v>
      </c>
      <c r="M653" s="9">
        <v>24.51</v>
      </c>
      <c r="N653" s="9">
        <v>114.4</v>
      </c>
      <c r="O653" s="9">
        <v>117.28</v>
      </c>
      <c r="P653" s="9">
        <v>125.78</v>
      </c>
      <c r="Q653" s="9">
        <v>1388.825</v>
      </c>
      <c r="R653" s="14"/>
      <c r="S653" s="12">
        <f t="shared" si="2"/>
        <v>-0.001509367498</v>
      </c>
      <c r="T653" s="12">
        <f t="shared" si="3"/>
        <v>0.9984906325</v>
      </c>
      <c r="U653" s="16">
        <f t="shared" si="7"/>
        <v>99.91221307</v>
      </c>
      <c r="V653" s="17"/>
      <c r="W653" s="12">
        <f t="array" ref="W653">SQRT(252/20) *  SQRT( SUMSQ( LN(U632:U651 / U631:U650) )  - (1/20) * ( SUM( LN(U632:U651 / U631:U650) ) ^ 2 ) )</f>
        <v>0.01650461021</v>
      </c>
      <c r="X653" s="9">
        <f t="shared" si="4"/>
        <v>1.5</v>
      </c>
      <c r="Y653" s="14"/>
      <c r="Z653" s="12">
        <f t="shared" si="5"/>
        <v>0.9977411154</v>
      </c>
      <c r="AA653" s="16">
        <f t="shared" si="8"/>
        <v>100.0031162</v>
      </c>
      <c r="AB653" s="14"/>
      <c r="AC653" s="9">
        <f t="shared" si="6"/>
        <v>0</v>
      </c>
    </row>
    <row r="654">
      <c r="A654" s="8">
        <v>42671.0</v>
      </c>
      <c r="B654" s="14"/>
      <c r="C654" s="12">
        <f t="array" ref="C654">IFERROR(
  INDEX(
    IR!$B$2:$E2026,                
    MATCH($A654, IR!$A$2:$A2026, 0), 
    MATCH(C$1, IR!$B$1:$E$1, 0) ), "")
</f>
        <v>-0.00373</v>
      </c>
      <c r="D654" s="12">
        <f t="array" ref="D654">IFERROR(
  INDEX(
    IR!$B$2:$E2026,                
    MATCH($A654, IR!$A$2:$A2026, 0), 
    MATCH(D$1, IR!$B$1:$E$1, 0) ), "")
</f>
        <v>-0.00313</v>
      </c>
      <c r="E654" s="12">
        <f t="array" ref="E654">IFERROR(
  INDEX(
    IR!$B$2:$E2026,                
    MATCH($A654, IR!$A$2:$A2026, 0), 
    MATCH(E$1, IR!$B$1:$E$1, 0) ), "")
</f>
        <v>-0.00212</v>
      </c>
      <c r="F654" s="12">
        <f t="array" ref="F654">IFERROR(
  INDEX(
    IR!$B$2:$E2026,                
    MATCH($A654, IR!$A$2:$A2026, 0), 
    MATCH(F$1, IR!$B$1:$E$1, 0) ), "")
</f>
        <v>-0.00069</v>
      </c>
      <c r="G654" s="25"/>
      <c r="H654" s="12">
        <f t="array" ref="H654">IFERROR(
  INDEX(
    SR!$B$2:$D2026,            
    MATCH($A654, SR!$A$2:$A2026, 0),  
    MATCH(H$1, SR!$B$1:$D$1, 0) ), "")
</f>
        <v>-0.00161</v>
      </c>
      <c r="I654" s="12">
        <f t="array" ref="I654">IFERROR(
  INDEX(
    SR!$B$2:$D2026,            
    MATCH($A654, SR!$A$2:$A2026, 0),  
    MATCH(I$1, SR!$B$1:$D$1, 0) ), "")
</f>
        <v>-0.001173</v>
      </c>
      <c r="J654" s="12">
        <f t="array" ref="J654">IFERROR(
  INDEX(
    SR!$B$2:$D2026,            
    MATCH($A654, SR!$A$2:$A2026, 0),  
    MATCH(J$1, SR!$B$1:$D$1, 0) ), "")
</f>
        <v>0.00014</v>
      </c>
      <c r="K654" s="14"/>
      <c r="L654" s="9">
        <v>117.88</v>
      </c>
      <c r="M654" s="9">
        <v>24.51</v>
      </c>
      <c r="N654" s="9">
        <v>114.39</v>
      </c>
      <c r="O654" s="9">
        <v>117.13</v>
      </c>
      <c r="P654" s="9">
        <v>125.9</v>
      </c>
      <c r="Q654" s="9">
        <v>1385.6394</v>
      </c>
      <c r="R654" s="14"/>
      <c r="S654" s="12">
        <f t="shared" si="2"/>
        <v>-0.0004227937712</v>
      </c>
      <c r="T654" s="12">
        <f t="shared" si="3"/>
        <v>0.9995772062</v>
      </c>
      <c r="U654" s="16">
        <f t="shared" si="7"/>
        <v>99.86997081</v>
      </c>
      <c r="V654" s="17"/>
      <c r="W654" s="12">
        <f t="array" ref="W654">SQRT(252/20) *  SQRT( SUMSQ( LN(U633:U652 / U632:U651) )  - (1/20) * ( SUM( LN(U633:U652 / U632:U651) ) ^ 2 ) )</f>
        <v>0.01642722241</v>
      </c>
      <c r="X654" s="9">
        <f t="shared" si="4"/>
        <v>1.5</v>
      </c>
      <c r="Y654" s="14"/>
      <c r="Z654" s="12">
        <f t="shared" si="5"/>
        <v>0.999370976</v>
      </c>
      <c r="AA654" s="16">
        <f t="shared" si="8"/>
        <v>99.94021185</v>
      </c>
      <c r="AB654" s="14"/>
      <c r="AC654" s="9">
        <f t="shared" si="6"/>
        <v>0</v>
      </c>
    </row>
    <row r="655">
      <c r="A655" s="8">
        <v>42674.0</v>
      </c>
      <c r="B655" s="14"/>
      <c r="C655" s="12">
        <f t="array" ref="C655">IFERROR(
  INDEX(
    IR!$B$2:$E2026,                
    MATCH($A655, IR!$A$2:$A2026, 0), 
    MATCH(C$1, IR!$B$1:$E$1, 0) ), "")
</f>
        <v>-0.00372</v>
      </c>
      <c r="D655" s="12">
        <f t="array" ref="D655">IFERROR(
  INDEX(
    IR!$B$2:$E2026,                
    MATCH($A655, IR!$A$2:$A2026, 0), 
    MATCH(D$1, IR!$B$1:$E$1, 0) ), "")
</f>
        <v>-0.00313</v>
      </c>
      <c r="E655" s="12">
        <f t="array" ref="E655">IFERROR(
  INDEX(
    IR!$B$2:$E2026,                
    MATCH($A655, IR!$A$2:$A2026, 0), 
    MATCH(E$1, IR!$B$1:$E$1, 0) ), "")
</f>
        <v>-0.00212</v>
      </c>
      <c r="F655" s="12">
        <f t="array" ref="F655">IFERROR(
  INDEX(
    IR!$B$2:$E2026,                
    MATCH($A655, IR!$A$2:$A2026, 0), 
    MATCH(F$1, IR!$B$1:$E$1, 0) ), "")
</f>
        <v>-0.00069</v>
      </c>
      <c r="G655" s="25"/>
      <c r="H655" s="12">
        <f t="array" ref="H655">IFERROR(
  INDEX(
    SR!$B$2:$D2026,            
    MATCH($A655, SR!$A$2:$A2026, 0),  
    MATCH(H$1, SR!$B$1:$D$1, 0) ), "")
</f>
        <v>-0.0016</v>
      </c>
      <c r="I655" s="12">
        <f t="array" ref="I655">IFERROR(
  INDEX(
    SR!$B$2:$D2026,            
    MATCH($A655, SR!$A$2:$A2026, 0),  
    MATCH(I$1, SR!$B$1:$D$1, 0) ), "")
</f>
        <v>-0.001165</v>
      </c>
      <c r="J655" s="12">
        <f t="array" ref="J655">IFERROR(
  INDEX(
    SR!$B$2:$D2026,            
    MATCH($A655, SR!$A$2:$A2026, 0),  
    MATCH(J$1, SR!$B$1:$D$1, 0) ), "")
</f>
        <v>0.000114</v>
      </c>
      <c r="K655" s="14"/>
      <c r="L655" s="9">
        <v>117.86</v>
      </c>
      <c r="M655" s="9">
        <v>24.5</v>
      </c>
      <c r="N655" s="9">
        <v>114.4</v>
      </c>
      <c r="O655" s="9">
        <v>116.97</v>
      </c>
      <c r="P655" s="9">
        <v>125.6</v>
      </c>
      <c r="Q655" s="9">
        <v>1384.1794</v>
      </c>
      <c r="R655" s="14"/>
      <c r="S655" s="12">
        <f t="shared" si="2"/>
        <v>-0.0008818779952</v>
      </c>
      <c r="T655" s="12">
        <f t="shared" si="3"/>
        <v>0.999118122</v>
      </c>
      <c r="U655" s="16">
        <f t="shared" si="7"/>
        <v>99.78189768</v>
      </c>
      <c r="V655" s="17"/>
      <c r="W655" s="12">
        <f t="array" ref="W655">SQRT(252/20) *  SQRT( SUMSQ( LN(U634:U653 / U633:U652) )  - (1/20) * ( SUM( LN(U634:U653 / U633:U652) ) ^ 2 ) )</f>
        <v>0.01653971942</v>
      </c>
      <c r="X655" s="9">
        <f t="shared" si="4"/>
        <v>1.5</v>
      </c>
      <c r="Y655" s="14"/>
      <c r="Z655" s="12">
        <f t="shared" si="5"/>
        <v>0.9986927247</v>
      </c>
      <c r="AA655" s="16">
        <f t="shared" si="8"/>
        <v>99.80956247</v>
      </c>
      <c r="AB655" s="14"/>
      <c r="AC655" s="9">
        <f t="shared" si="6"/>
        <v>0</v>
      </c>
    </row>
    <row r="656">
      <c r="A656" s="8">
        <v>42676.0</v>
      </c>
      <c r="B656" s="14"/>
      <c r="C656" s="12">
        <f t="array" ref="C656">IFERROR(
  INDEX(
    IR!$B$2:$E2026,                
    MATCH($A656, IR!$A$2:$A2026, 0), 
    MATCH(C$1, IR!$B$1:$E$1, 0) ), "")
</f>
        <v>-0.00373</v>
      </c>
      <c r="D656" s="12">
        <f t="array" ref="D656">IFERROR(
  INDEX(
    IR!$B$2:$E2026,                
    MATCH($A656, IR!$A$2:$A2026, 0), 
    MATCH(D$1, IR!$B$1:$E$1, 0) ), "")
</f>
        <v>-0.00313</v>
      </c>
      <c r="E656" s="12">
        <f t="array" ref="E656">IFERROR(
  INDEX(
    IR!$B$2:$E2026,                
    MATCH($A656, IR!$A$2:$A2026, 0), 
    MATCH(E$1, IR!$B$1:$E$1, 0) ), "")
</f>
        <v>-0.00213</v>
      </c>
      <c r="F656" s="12">
        <f t="array" ref="F656">IFERROR(
  INDEX(
    IR!$B$2:$E2026,                
    MATCH($A656, IR!$A$2:$A2026, 0), 
    MATCH(F$1, IR!$B$1:$E$1, 0) ), "")
</f>
        <v>-0.00071</v>
      </c>
      <c r="G656" s="25"/>
      <c r="H656" s="12">
        <f t="array" ref="H656">IFERROR(
  INDEX(
    SR!$B$2:$D2026,            
    MATCH($A656, SR!$A$2:$A2026, 0),  
    MATCH(H$1, SR!$B$1:$D$1, 0) ), "")
</f>
        <v>-0.00161</v>
      </c>
      <c r="I656" s="12">
        <f t="array" ref="I656">IFERROR(
  INDEX(
    SR!$B$2:$D2026,            
    MATCH($A656, SR!$A$2:$A2026, 0),  
    MATCH(I$1, SR!$B$1:$D$1, 0) ), "")
</f>
        <v>-0.001199</v>
      </c>
      <c r="J656" s="12">
        <f t="array" ref="J656">IFERROR(
  INDEX(
    SR!$B$2:$D2026,            
    MATCH($A656, SR!$A$2:$A2026, 0),  
    MATCH(J$1, SR!$B$1:$D$1, 0) ), "")
</f>
        <v>0.000085</v>
      </c>
      <c r="K656" s="14"/>
      <c r="L656" s="9">
        <v>117.18</v>
      </c>
      <c r="M656" s="9">
        <v>24.48</v>
      </c>
      <c r="N656" s="9">
        <v>114.34</v>
      </c>
      <c r="O656" s="9">
        <v>116.77</v>
      </c>
      <c r="P656" s="9">
        <v>125.25</v>
      </c>
      <c r="Q656" s="9">
        <v>1381.0148</v>
      </c>
      <c r="R656" s="14"/>
      <c r="S656" s="12">
        <f t="shared" si="2"/>
        <v>-0.002314817059</v>
      </c>
      <c r="T656" s="12">
        <f t="shared" si="3"/>
        <v>0.9976851829</v>
      </c>
      <c r="U656" s="16">
        <f t="shared" si="7"/>
        <v>99.55092084</v>
      </c>
      <c r="V656" s="17"/>
      <c r="W656" s="12">
        <f t="array" ref="W656">SQRT(252/20) *  SQRT( SUMSQ( LN(U635:U654 / U634:U653) )  - (1/20) * ( SUM( LN(U635:U654 / U634:U653) ) ^ 2 ) )</f>
        <v>0.01644426299</v>
      </c>
      <c r="X656" s="9">
        <f t="shared" si="4"/>
        <v>1.5</v>
      </c>
      <c r="Y656" s="14"/>
      <c r="Z656" s="12">
        <f t="shared" si="5"/>
        <v>0.9965381077</v>
      </c>
      <c r="AA656" s="16">
        <f t="shared" si="8"/>
        <v>99.46403252</v>
      </c>
      <c r="AB656" s="14"/>
      <c r="AC656" s="9">
        <f t="shared" si="6"/>
        <v>0</v>
      </c>
    </row>
    <row r="657">
      <c r="A657" s="8">
        <v>42677.0</v>
      </c>
      <c r="B657" s="14"/>
      <c r="C657" s="12">
        <f t="array" ref="C657">IFERROR(
  INDEX(
    IR!$B$2:$E2026,                
    MATCH($A657, IR!$A$2:$A2026, 0), 
    MATCH(C$1, IR!$B$1:$E$1, 0) ), "")
</f>
        <v>-0.00373</v>
      </c>
      <c r="D657" s="12">
        <f t="array" ref="D657">IFERROR(
  INDEX(
    IR!$B$2:$E2026,                
    MATCH($A657, IR!$A$2:$A2026, 0), 
    MATCH(D$1, IR!$B$1:$E$1, 0) ), "")
</f>
        <v>-0.00313</v>
      </c>
      <c r="E657" s="12">
        <f t="array" ref="E657">IFERROR(
  INDEX(
    IR!$B$2:$E2026,                
    MATCH($A657, IR!$A$2:$A2026, 0), 
    MATCH(E$1, IR!$B$1:$E$1, 0) ), "")
</f>
        <v>-0.00213</v>
      </c>
      <c r="F657" s="12">
        <f t="array" ref="F657">IFERROR(
  INDEX(
    IR!$B$2:$E2026,                
    MATCH($A657, IR!$A$2:$A2026, 0), 
    MATCH(F$1, IR!$B$1:$E$1, 0) ), "")
</f>
        <v>-0.00071</v>
      </c>
      <c r="G657" s="25"/>
      <c r="H657" s="12">
        <f t="array" ref="H657">IFERROR(
  INDEX(
    SR!$B$2:$D2026,            
    MATCH($A657, SR!$A$2:$A2026, 0),  
    MATCH(H$1, SR!$B$1:$D$1, 0) ), "")
</f>
        <v>-0.00151</v>
      </c>
      <c r="I657" s="12">
        <f t="array" ref="I657">IFERROR(
  INDEX(
    SR!$B$2:$D2026,            
    MATCH($A657, SR!$A$2:$A2026, 0),  
    MATCH(I$1, SR!$B$1:$D$1, 0) ), "")
</f>
        <v>-0.001055</v>
      </c>
      <c r="J657" s="12">
        <f t="array" ref="J657">IFERROR(
  INDEX(
    SR!$B$2:$D2026,            
    MATCH($A657, SR!$A$2:$A2026, 0),  
    MATCH(J$1, SR!$B$1:$D$1, 0) ), "")
</f>
        <v>0.00031</v>
      </c>
      <c r="K657" s="14"/>
      <c r="L657" s="9">
        <v>117.28</v>
      </c>
      <c r="M657" s="9">
        <v>24.49</v>
      </c>
      <c r="N657" s="9">
        <v>114.32</v>
      </c>
      <c r="O657" s="9">
        <v>115.5</v>
      </c>
      <c r="P657" s="9">
        <v>124.8</v>
      </c>
      <c r="Q657" s="9">
        <v>1375.9709</v>
      </c>
      <c r="R657" s="14"/>
      <c r="S657" s="12">
        <f t="shared" si="2"/>
        <v>-0.002838269951</v>
      </c>
      <c r="T657" s="12">
        <f t="shared" si="3"/>
        <v>0.99716173</v>
      </c>
      <c r="U657" s="16">
        <f t="shared" si="7"/>
        <v>99.26836846</v>
      </c>
      <c r="V657" s="17"/>
      <c r="W657" s="12">
        <f t="array" ref="W657">SQRT(252/20) *  SQRT( SUMSQ( LN(U636:U655 / U635:U654) )  - (1/20) * ( SUM( LN(U636:U655 / U635:U654) ) ^ 2 ) )</f>
        <v>0.01602625549</v>
      </c>
      <c r="X657" s="9">
        <f t="shared" si="4"/>
        <v>1.5</v>
      </c>
      <c r="Y657" s="14"/>
      <c r="Z657" s="12">
        <f t="shared" si="5"/>
        <v>0.9957477756</v>
      </c>
      <c r="AA657" s="16">
        <f t="shared" si="8"/>
        <v>99.04108914</v>
      </c>
      <c r="AB657" s="14"/>
      <c r="AC657" s="9">
        <f t="shared" si="6"/>
        <v>0</v>
      </c>
    </row>
    <row r="658">
      <c r="A658" s="8">
        <v>42678.0</v>
      </c>
      <c r="B658" s="14"/>
      <c r="C658" s="12">
        <f t="array" ref="C658">IFERROR(
  INDEX(
    IR!$B$2:$E2026,                
    MATCH($A658, IR!$A$2:$A2026, 0), 
    MATCH(C$1, IR!$B$1:$E$1, 0) ), "")
</f>
        <v>-0.00373</v>
      </c>
      <c r="D658" s="12">
        <f t="array" ref="D658">IFERROR(
  INDEX(
    IR!$B$2:$E2026,                
    MATCH($A658, IR!$A$2:$A2026, 0), 
    MATCH(D$1, IR!$B$1:$E$1, 0) ), "")
</f>
        <v>-0.00312</v>
      </c>
      <c r="E658" s="12">
        <f t="array" ref="E658">IFERROR(
  INDEX(
    IR!$B$2:$E2026,                
    MATCH($A658, IR!$A$2:$A2026, 0), 
    MATCH(E$1, IR!$B$1:$E$1, 0) ), "")
</f>
        <v>-0.00213</v>
      </c>
      <c r="F658" s="12">
        <f t="array" ref="F658">IFERROR(
  INDEX(
    IR!$B$2:$E2026,                
    MATCH($A658, IR!$A$2:$A2026, 0), 
    MATCH(F$1, IR!$B$1:$E$1, 0) ), "")
</f>
        <v>-0.00071</v>
      </c>
      <c r="G658" s="25"/>
      <c r="H658" s="12">
        <f t="array" ref="H658">IFERROR(
  INDEX(
    SR!$B$2:$D2026,            
    MATCH($A658, SR!$A$2:$A2026, 0),  
    MATCH(H$1, SR!$B$1:$D$1, 0) ), "")
</f>
        <v>-0.00155</v>
      </c>
      <c r="I658" s="12">
        <f t="array" ref="I658">IFERROR(
  INDEX(
    SR!$B$2:$D2026,            
    MATCH($A658, SR!$A$2:$A2026, 0),  
    MATCH(I$1, SR!$B$1:$D$1, 0) ), "")
</f>
        <v>-0.001137</v>
      </c>
      <c r="J658" s="12">
        <f t="array" ref="J658">IFERROR(
  INDEX(
    SR!$B$2:$D2026,            
    MATCH($A658, SR!$A$2:$A2026, 0),  
    MATCH(J$1, SR!$B$1:$D$1, 0) ), "")
</f>
        <v>0.000173</v>
      </c>
      <c r="K658" s="14"/>
      <c r="L658" s="9">
        <v>116.97</v>
      </c>
      <c r="M658" s="9">
        <v>24.48</v>
      </c>
      <c r="N658" s="9">
        <v>114.29</v>
      </c>
      <c r="O658" s="9">
        <v>115.36</v>
      </c>
      <c r="P658" s="9">
        <v>124.85</v>
      </c>
      <c r="Q658" s="9">
        <v>1375.0815</v>
      </c>
      <c r="R658" s="14"/>
      <c r="S658" s="12">
        <f t="shared" si="2"/>
        <v>-0.0007950562258</v>
      </c>
      <c r="T658" s="12">
        <f t="shared" si="3"/>
        <v>0.9992049438</v>
      </c>
      <c r="U658" s="16">
        <f t="shared" si="7"/>
        <v>99.18944452</v>
      </c>
      <c r="V658" s="17"/>
      <c r="W658" s="12">
        <f t="array" ref="W658">SQRT(252/20) *  SQRT( SUMSQ( LN(U637:U656 / U636:U655) )  - (1/20) * ( SUM( LN(U637:U656 / U636:U655) ) ^ 2 ) )</f>
        <v>0.01758692104</v>
      </c>
      <c r="X658" s="9">
        <f t="shared" si="4"/>
        <v>1.5</v>
      </c>
      <c r="Y658" s="14"/>
      <c r="Z658" s="12">
        <f t="shared" si="5"/>
        <v>0.9988125962</v>
      </c>
      <c r="AA658" s="16">
        <f t="shared" si="8"/>
        <v>98.92348738</v>
      </c>
      <c r="AB658" s="14"/>
      <c r="AC658" s="9">
        <f t="shared" si="6"/>
        <v>0</v>
      </c>
    </row>
    <row r="659">
      <c r="A659" s="8">
        <v>42681.0</v>
      </c>
      <c r="B659" s="14"/>
      <c r="C659" s="12">
        <f t="array" ref="C659">IFERROR(
  INDEX(
    IR!$B$2:$E2026,                
    MATCH($A659, IR!$A$2:$A2026, 0), 
    MATCH(C$1, IR!$B$1:$E$1, 0) ), "")
</f>
        <v>-0.00373</v>
      </c>
      <c r="D659" s="12">
        <f t="array" ref="D659">IFERROR(
  INDEX(
    IR!$B$2:$E2026,                
    MATCH($A659, IR!$A$2:$A2026, 0), 
    MATCH(D$1, IR!$B$1:$E$1, 0) ), "")
</f>
        <v>-0.00312</v>
      </c>
      <c r="E659" s="12">
        <f t="array" ref="E659">IFERROR(
  INDEX(
    IR!$B$2:$E2026,                
    MATCH($A659, IR!$A$2:$A2026, 0), 
    MATCH(E$1, IR!$B$1:$E$1, 0) ), "")
</f>
        <v>-0.00211</v>
      </c>
      <c r="F659" s="12">
        <f t="array" ref="F659">IFERROR(
  INDEX(
    IR!$B$2:$E2026,                
    MATCH($A659, IR!$A$2:$A2026, 0), 
    MATCH(F$1, IR!$B$1:$E$1, 0) ), "")
</f>
        <v>-0.0007</v>
      </c>
      <c r="G659" s="25"/>
      <c r="H659" s="12">
        <f t="array" ref="H659">IFERROR(
  INDEX(
    SR!$B$2:$D2026,            
    MATCH($A659, SR!$A$2:$A2026, 0),  
    MATCH(H$1, SR!$B$1:$D$1, 0) ), "")
</f>
        <v>-0.00152</v>
      </c>
      <c r="I659" s="12">
        <f t="array" ref="I659">IFERROR(
  INDEX(
    SR!$B$2:$D2026,            
    MATCH($A659, SR!$A$2:$A2026, 0),  
    MATCH(I$1, SR!$B$1:$D$1, 0) ), "")
</f>
        <v>-0.001042</v>
      </c>
      <c r="J659" s="12">
        <f t="array" ref="J659">IFERROR(
  INDEX(
    SR!$B$2:$D2026,            
    MATCH($A659, SR!$A$2:$A2026, 0),  
    MATCH(J$1, SR!$B$1:$D$1, 0) ), "")
</f>
        <v>0.000305</v>
      </c>
      <c r="K659" s="14"/>
      <c r="L659" s="9">
        <v>117.21</v>
      </c>
      <c r="M659" s="9">
        <v>24.49</v>
      </c>
      <c r="N659" s="9">
        <v>114.32</v>
      </c>
      <c r="O659" s="9">
        <v>115.02</v>
      </c>
      <c r="P659" s="9">
        <v>124.73</v>
      </c>
      <c r="Q659" s="9">
        <v>1376.4348</v>
      </c>
      <c r="R659" s="14"/>
      <c r="S659" s="12">
        <f t="shared" si="2"/>
        <v>-0.00003347047017</v>
      </c>
      <c r="T659" s="12">
        <f t="shared" si="3"/>
        <v>0.9999665295</v>
      </c>
      <c r="U659" s="16">
        <f t="shared" si="7"/>
        <v>99.18612461</v>
      </c>
      <c r="V659" s="17"/>
      <c r="W659" s="12">
        <f t="array" ref="W659">SQRT(252/20) *  SQRT( SUMSQ( LN(U638:U657 / U637:U656) )  - (1/20) * ( SUM( LN(U638:U657 / U637:U656) ) ^ 2 ) )</f>
        <v>0.01958902474</v>
      </c>
      <c r="X659" s="9">
        <f t="shared" si="4"/>
        <v>1.5</v>
      </c>
      <c r="Y659" s="14"/>
      <c r="Z659" s="12">
        <f t="shared" si="5"/>
        <v>0.999965336</v>
      </c>
      <c r="AA659" s="16">
        <f t="shared" si="8"/>
        <v>98.92005829</v>
      </c>
      <c r="AB659" s="14"/>
      <c r="AC659" s="9">
        <f t="shared" si="6"/>
        <v>0</v>
      </c>
    </row>
    <row r="660">
      <c r="A660" s="8">
        <v>42682.0</v>
      </c>
      <c r="B660" s="14"/>
      <c r="C660" s="12">
        <f t="array" ref="C660">IFERROR(
  INDEX(
    IR!$B$2:$E2026,                
    MATCH($A660, IR!$A$2:$A2026, 0), 
    MATCH(C$1, IR!$B$1:$E$1, 0) ), "")
</f>
        <v>-0.00374</v>
      </c>
      <c r="D660" s="12">
        <f t="array" ref="D660">IFERROR(
  INDEX(
    IR!$B$2:$E2026,                
    MATCH($A660, IR!$A$2:$A2026, 0), 
    MATCH(D$1, IR!$B$1:$E$1, 0) ), "")
</f>
        <v>-0.00312</v>
      </c>
      <c r="E660" s="12">
        <f t="array" ref="E660">IFERROR(
  INDEX(
    IR!$B$2:$E2026,                
    MATCH($A660, IR!$A$2:$A2026, 0), 
    MATCH(E$1, IR!$B$1:$E$1, 0) ), "")
</f>
        <v>-0.00211</v>
      </c>
      <c r="F660" s="12">
        <f t="array" ref="F660">IFERROR(
  INDEX(
    IR!$B$2:$E2026,                
    MATCH($A660, IR!$A$2:$A2026, 0), 
    MATCH(F$1, IR!$B$1:$E$1, 0) ), "")
</f>
        <v>-0.0007</v>
      </c>
      <c r="G660" s="25"/>
      <c r="H660" s="12">
        <f t="array" ref="H660">IFERROR(
  INDEX(
    SR!$B$2:$D2026,            
    MATCH($A660, SR!$A$2:$A2026, 0),  
    MATCH(H$1, SR!$B$1:$D$1, 0) ), "")
</f>
        <v>-0.00142</v>
      </c>
      <c r="I660" s="12">
        <f t="array" ref="I660">IFERROR(
  INDEX(
    SR!$B$2:$D2026,            
    MATCH($A660, SR!$A$2:$A2026, 0),  
    MATCH(I$1, SR!$B$1:$D$1, 0) ), "")
</f>
        <v>-0.001007</v>
      </c>
      <c r="J660" s="12">
        <f t="array" ref="J660">IFERROR(
  INDEX(
    SR!$B$2:$D2026,            
    MATCH($A660, SR!$A$2:$A2026, 0),  
    MATCH(J$1, SR!$B$1:$D$1, 0) ), "")
</f>
        <v>0.000415</v>
      </c>
      <c r="K660" s="14"/>
      <c r="L660" s="9">
        <v>117.3</v>
      </c>
      <c r="M660" s="9">
        <v>24.49</v>
      </c>
      <c r="N660" s="9">
        <v>114.34</v>
      </c>
      <c r="O660" s="9">
        <v>115.74</v>
      </c>
      <c r="P660" s="9">
        <v>124.74</v>
      </c>
      <c r="Q660" s="9">
        <v>1383.3213</v>
      </c>
      <c r="R660" s="14"/>
      <c r="S660" s="12">
        <f t="shared" si="2"/>
        <v>0.002047330766</v>
      </c>
      <c r="T660" s="12">
        <f t="shared" si="3"/>
        <v>1.002047331</v>
      </c>
      <c r="U660" s="16">
        <f t="shared" si="7"/>
        <v>99.38919141</v>
      </c>
      <c r="V660" s="17"/>
      <c r="W660" s="12">
        <f t="array" ref="W660">SQRT(252/20) *  SQRT( SUMSQ( LN(U639:U658 / U638:U657) )  - (1/20) * ( SUM( LN(U639:U658 / U638:U657) ) ^ 2 ) )</f>
        <v>0.01940505012</v>
      </c>
      <c r="X660" s="9">
        <f t="shared" si="4"/>
        <v>1.5</v>
      </c>
      <c r="Y660" s="14"/>
      <c r="Z660" s="12">
        <f t="shared" si="5"/>
        <v>1.003076177</v>
      </c>
      <c r="AA660" s="16">
        <f t="shared" si="8"/>
        <v>99.22435387</v>
      </c>
      <c r="AB660" s="14"/>
      <c r="AC660" s="9">
        <f t="shared" si="6"/>
        <v>0</v>
      </c>
    </row>
    <row r="661">
      <c r="A661" s="8">
        <v>42683.0</v>
      </c>
      <c r="B661" s="14"/>
      <c r="C661" s="12">
        <f t="array" ref="C661">IFERROR(
  INDEX(
    IR!$B$2:$E2026,                
    MATCH($A661, IR!$A$2:$A2026, 0), 
    MATCH(C$1, IR!$B$1:$E$1, 0) ), "")
</f>
        <v>-0.00373</v>
      </c>
      <c r="D661" s="12">
        <f t="array" ref="D661">IFERROR(
  INDEX(
    IR!$B$2:$E2026,                
    MATCH($A661, IR!$A$2:$A2026, 0), 
    MATCH(D$1, IR!$B$1:$E$1, 0) ), "")
</f>
        <v>-0.00312</v>
      </c>
      <c r="E661" s="12">
        <f t="array" ref="E661">IFERROR(
  INDEX(
    IR!$B$2:$E2026,                
    MATCH($A661, IR!$A$2:$A2026, 0), 
    MATCH(E$1, IR!$B$1:$E$1, 0) ), "")
</f>
        <v>-0.00211</v>
      </c>
      <c r="F661" s="12">
        <f t="array" ref="F661">IFERROR(
  INDEX(
    IR!$B$2:$E2026,                
    MATCH($A661, IR!$A$2:$A2026, 0), 
    MATCH(F$1, IR!$B$1:$E$1, 0) ), "")
</f>
        <v>-0.0007</v>
      </c>
      <c r="G661" s="25"/>
      <c r="H661" s="12">
        <f t="array" ref="H661">IFERROR(
  INDEX(
    SR!$B$2:$D2026,            
    MATCH($A661, SR!$A$2:$A2026, 0),  
    MATCH(H$1, SR!$B$1:$D$1, 0) ), "")
</f>
        <v>-0.00128</v>
      </c>
      <c r="I661" s="12">
        <f t="array" ref="I661">IFERROR(
  INDEX(
    SR!$B$2:$D2026,            
    MATCH($A661, SR!$A$2:$A2026, 0),  
    MATCH(I$1, SR!$B$1:$D$1, 0) ), "")
</f>
        <v>-0.000937</v>
      </c>
      <c r="J661" s="12">
        <f t="array" ref="J661">IFERROR(
  INDEX(
    SR!$B$2:$D2026,            
    MATCH($A661, SR!$A$2:$A2026, 0),  
    MATCH(J$1, SR!$B$1:$D$1, 0) ), "")
</f>
        <v>0.00082</v>
      </c>
      <c r="K661" s="14"/>
      <c r="L661" s="9">
        <v>117.29</v>
      </c>
      <c r="M661" s="9">
        <v>24.51</v>
      </c>
      <c r="N661" s="9">
        <v>114.29</v>
      </c>
      <c r="O661" s="9">
        <v>115.97</v>
      </c>
      <c r="P661" s="9">
        <v>124.59</v>
      </c>
      <c r="Q661" s="9">
        <v>1380.8668</v>
      </c>
      <c r="R661" s="14"/>
      <c r="S661" s="12">
        <f t="shared" si="2"/>
        <v>-0.0001160519312</v>
      </c>
      <c r="T661" s="12">
        <f t="shared" si="3"/>
        <v>0.9998839481</v>
      </c>
      <c r="U661" s="16">
        <f t="shared" si="7"/>
        <v>99.3776571</v>
      </c>
      <c r="V661" s="17"/>
      <c r="W661" s="12">
        <f t="array" ref="W661">SQRT(252/20) *  SQRT( SUMSQ( LN(U640:U659 / U639:U658) )  - (1/20) * ( SUM( LN(U640:U659 / U639:U658) ) ^ 2 ) )</f>
        <v>0.0194404002</v>
      </c>
      <c r="X661" s="9">
        <f t="shared" si="4"/>
        <v>1.5</v>
      </c>
      <c r="Y661" s="14"/>
      <c r="Z661" s="12">
        <f t="shared" si="5"/>
        <v>0.9998311165</v>
      </c>
      <c r="AA661" s="16">
        <f t="shared" si="8"/>
        <v>99.20759652</v>
      </c>
      <c r="AB661" s="14"/>
      <c r="AC661" s="9">
        <f t="shared" si="6"/>
        <v>0</v>
      </c>
    </row>
    <row r="662">
      <c r="A662" s="8">
        <v>42684.0</v>
      </c>
      <c r="B662" s="14"/>
      <c r="C662" s="12">
        <f t="array" ref="C662">IFERROR(
  INDEX(
    IR!$B$2:$E2026,                
    MATCH($A662, IR!$A$2:$A2026, 0), 
    MATCH(C$1, IR!$B$1:$E$1, 0) ), "")
</f>
        <v>-0.00373</v>
      </c>
      <c r="D662" s="12">
        <f t="array" ref="D662">IFERROR(
  INDEX(
    IR!$B$2:$E2026,                
    MATCH($A662, IR!$A$2:$A2026, 0), 
    MATCH(D$1, IR!$B$1:$E$1, 0) ), "")
</f>
        <v>-0.00312</v>
      </c>
      <c r="E662" s="12">
        <f t="array" ref="E662">IFERROR(
  INDEX(
    IR!$B$2:$E2026,                
    MATCH($A662, IR!$A$2:$A2026, 0), 
    MATCH(E$1, IR!$B$1:$E$1, 0) ), "")
</f>
        <v>-0.00211</v>
      </c>
      <c r="F662" s="12">
        <f t="array" ref="F662">IFERROR(
  INDEX(
    IR!$B$2:$E2026,                
    MATCH($A662, IR!$A$2:$A2026, 0), 
    MATCH(F$1, IR!$B$1:$E$1, 0) ), "")
</f>
        <v>-0.00071</v>
      </c>
      <c r="G662" s="25"/>
      <c r="H662" s="12">
        <f t="array" ref="H662">IFERROR(
  INDEX(
    SR!$B$2:$D2026,            
    MATCH($A662, SR!$A$2:$A2026, 0),  
    MATCH(H$1, SR!$B$1:$D$1, 0) ), "")
</f>
        <v>-0.00136</v>
      </c>
      <c r="I662" s="12">
        <f t="array" ref="I662">IFERROR(
  INDEX(
    SR!$B$2:$D2026,            
    MATCH($A662, SR!$A$2:$A2026, 0),  
    MATCH(I$1, SR!$B$1:$D$1, 0) ), "")
</f>
        <v>-0.00071</v>
      </c>
      <c r="J662" s="12">
        <f t="array" ref="J662">IFERROR(
  INDEX(
    SR!$B$2:$D2026,            
    MATCH($A662, SR!$A$2:$A2026, 0),  
    MATCH(J$1, SR!$B$1:$D$1, 0) ), "")
</f>
        <v>0.00103</v>
      </c>
      <c r="K662" s="14"/>
      <c r="L662" s="9">
        <v>117.11</v>
      </c>
      <c r="M662" s="9">
        <v>24.52</v>
      </c>
      <c r="N662" s="9">
        <v>114.28</v>
      </c>
      <c r="O662" s="9">
        <v>116.25</v>
      </c>
      <c r="P662" s="9">
        <v>124.03</v>
      </c>
      <c r="Q662" s="9">
        <v>1387.42</v>
      </c>
      <c r="R662" s="14"/>
      <c r="S662" s="12">
        <f t="shared" si="2"/>
        <v>0.0002422498043</v>
      </c>
      <c r="T662" s="12">
        <f t="shared" si="3"/>
        <v>1.00024225</v>
      </c>
      <c r="U662" s="16">
        <f t="shared" si="7"/>
        <v>99.40173132</v>
      </c>
      <c r="V662" s="17"/>
      <c r="W662" s="12">
        <f t="array" ref="W662">SQRT(252/20) *  SQRT( SUMSQ( LN(U641:U660 / U640:U659) )  - (1/20) * ( SUM( LN(U641:U660 / U640:U659) ) ^ 2 ) )</f>
        <v>0.02101059475</v>
      </c>
      <c r="X662" s="9">
        <f t="shared" si="4"/>
        <v>1.5</v>
      </c>
      <c r="Y662" s="14"/>
      <c r="Z662" s="12">
        <f t="shared" si="5"/>
        <v>1.000368555</v>
      </c>
      <c r="AA662" s="16">
        <f t="shared" si="8"/>
        <v>99.24416</v>
      </c>
      <c r="AB662" s="14"/>
      <c r="AC662" s="9">
        <f t="shared" si="6"/>
        <v>0</v>
      </c>
    </row>
    <row r="663">
      <c r="A663" s="8">
        <v>42685.0</v>
      </c>
      <c r="B663" s="14"/>
      <c r="C663" s="12">
        <f t="array" ref="C663">IFERROR(
  INDEX(
    IR!$B$2:$E2026,                
    MATCH($A663, IR!$A$2:$A2026, 0), 
    MATCH(C$1, IR!$B$1:$E$1, 0) ), "")
</f>
        <v>-0.00374</v>
      </c>
      <c r="D663" s="12">
        <f t="array" ref="D663">IFERROR(
  INDEX(
    IR!$B$2:$E2026,                
    MATCH($A663, IR!$A$2:$A2026, 0), 
    MATCH(D$1, IR!$B$1:$E$1, 0) ), "")
</f>
        <v>-0.00312</v>
      </c>
      <c r="E663" s="12">
        <f t="array" ref="E663">IFERROR(
  INDEX(
    IR!$B$2:$E2026,                
    MATCH($A663, IR!$A$2:$A2026, 0), 
    MATCH(E$1, IR!$B$1:$E$1, 0) ), "")
</f>
        <v>-0.0021</v>
      </c>
      <c r="F663" s="12">
        <f t="array" ref="F663">IFERROR(
  INDEX(
    IR!$B$2:$E2026,                
    MATCH($A663, IR!$A$2:$A2026, 0), 
    MATCH(F$1, IR!$B$1:$E$1, 0) ), "")
</f>
        <v>-0.00069</v>
      </c>
      <c r="G663" s="25"/>
      <c r="H663" s="12">
        <f t="array" ref="H663">IFERROR(
  INDEX(
    SR!$B$2:$D2026,            
    MATCH($A663, SR!$A$2:$A2026, 0),  
    MATCH(H$1, SR!$B$1:$D$1, 0) ), "")
</f>
        <v>-0.00122</v>
      </c>
      <c r="I663" s="12">
        <f t="array" ref="I663">IFERROR(
  INDEX(
    SR!$B$2:$D2026,            
    MATCH($A663, SR!$A$2:$A2026, 0),  
    MATCH(I$1, SR!$B$1:$D$1, 0) ), "")
</f>
        <v>-0.000493</v>
      </c>
      <c r="J663" s="12">
        <f t="array" ref="J663">IFERROR(
  INDEX(
    SR!$B$2:$D2026,            
    MATCH($A663, SR!$A$2:$A2026, 0),  
    MATCH(J$1, SR!$B$1:$D$1, 0) ), "")
</f>
        <v>0.00137</v>
      </c>
      <c r="K663" s="14"/>
      <c r="L663" s="23">
        <v>117.11</v>
      </c>
      <c r="M663" s="9">
        <v>24.52</v>
      </c>
      <c r="N663" s="9">
        <v>114.21</v>
      </c>
      <c r="O663" s="9">
        <v>116.04</v>
      </c>
      <c r="P663" s="9">
        <v>123.55</v>
      </c>
      <c r="Q663" s="9">
        <v>1383.2734</v>
      </c>
      <c r="R663" s="14"/>
      <c r="S663" s="12">
        <f t="shared" si="2"/>
        <v>-0.001545968114</v>
      </c>
      <c r="T663" s="12">
        <f t="shared" si="3"/>
        <v>0.9984540319</v>
      </c>
      <c r="U663" s="16">
        <f t="shared" si="7"/>
        <v>99.24805941</v>
      </c>
      <c r="V663" s="17"/>
      <c r="W663" s="12">
        <f t="array" ref="W663">SQRT(252/20) *  SQRT( SUMSQ( LN(U642:U661 / U641:U660) )  - (1/20) * ( SUM( LN(U642:U661 / U641:U660) ) ^ 2 ) )</f>
        <v>0.02049592682</v>
      </c>
      <c r="X663" s="9">
        <f t="shared" si="4"/>
        <v>1.5</v>
      </c>
      <c r="Y663" s="14"/>
      <c r="Z663" s="12">
        <f t="shared" si="5"/>
        <v>0.9976862284</v>
      </c>
      <c r="AA663" s="16">
        <f t="shared" si="8"/>
        <v>99.01453168</v>
      </c>
      <c r="AB663" s="14"/>
      <c r="AC663" s="9">
        <f t="shared" si="6"/>
        <v>0</v>
      </c>
    </row>
    <row r="664">
      <c r="A664" s="8">
        <v>42688.0</v>
      </c>
      <c r="B664" s="14"/>
      <c r="C664" s="12">
        <f t="array" ref="C664">IFERROR(
  INDEX(
    IR!$B$2:$E2026,                
    MATCH($A664, IR!$A$2:$A2026, 0), 
    MATCH(C$1, IR!$B$1:$E$1, 0) ), "")
</f>
        <v>-0.00373</v>
      </c>
      <c r="D664" s="12">
        <f t="array" ref="D664">IFERROR(
  INDEX(
    IR!$B$2:$E2026,                
    MATCH($A664, IR!$A$2:$A2026, 0), 
    MATCH(D$1, IR!$B$1:$E$1, 0) ), "")
</f>
        <v>-0.00312</v>
      </c>
      <c r="E664" s="12">
        <f t="array" ref="E664">IFERROR(
  INDEX(
    IR!$B$2:$E2026,                
    MATCH($A664, IR!$A$2:$A2026, 0), 
    MATCH(E$1, IR!$B$1:$E$1, 0) ), "")
</f>
        <v>-0.00211</v>
      </c>
      <c r="F664" s="12">
        <f t="array" ref="F664">IFERROR(
  INDEX(
    IR!$B$2:$E2026,                
    MATCH($A664, IR!$A$2:$A2026, 0), 
    MATCH(F$1, IR!$B$1:$E$1, 0) ), "")
</f>
        <v>-0.0007</v>
      </c>
      <c r="G664" s="25"/>
      <c r="H664" s="12">
        <f t="array" ref="H664">IFERROR(
  INDEX(
    SR!$B$2:$D2026,            
    MATCH($A664, SR!$A$2:$A2026, 0),  
    MATCH(H$1, SR!$B$1:$D$1, 0) ), "")
</f>
        <v>-0.00122</v>
      </c>
      <c r="I664" s="12">
        <f t="array" ref="I664">IFERROR(
  INDEX(
    SR!$B$2:$D2026,            
    MATCH($A664, SR!$A$2:$A2026, 0),  
    MATCH(I$1, SR!$B$1:$D$1, 0) ), "")
</f>
        <v>-0.00043</v>
      </c>
      <c r="J664" s="12">
        <f t="array" ref="J664">IFERROR(
  INDEX(
    SR!$B$2:$D2026,            
    MATCH($A664, SR!$A$2:$A2026, 0),  
    MATCH(J$1, SR!$B$1:$D$1, 0) ), "")
</f>
        <v>0.00145</v>
      </c>
      <c r="K664" s="14"/>
      <c r="L664" s="9">
        <v>116.4</v>
      </c>
      <c r="M664" s="9">
        <v>24.53</v>
      </c>
      <c r="N664" s="9">
        <v>114.17</v>
      </c>
      <c r="O664" s="9">
        <v>115.72</v>
      </c>
      <c r="P664" s="9">
        <v>123.16</v>
      </c>
      <c r="Q664" s="9">
        <v>1380.0844</v>
      </c>
      <c r="R664" s="14"/>
      <c r="S664" s="12">
        <f t="shared" si="2"/>
        <v>-0.002370076458</v>
      </c>
      <c r="T664" s="12">
        <f t="shared" si="3"/>
        <v>0.9976299235</v>
      </c>
      <c r="U664" s="16">
        <f t="shared" si="7"/>
        <v>99.01283392</v>
      </c>
      <c r="V664" s="17"/>
      <c r="W664" s="12">
        <f t="array" ref="W664">SQRT(252/20) *  SQRT( SUMSQ( LN(U643:U662 / U642:U661) )  - (1/20) * ( SUM( LN(U643:U662 / U642:U661) ) ^ 2 ) )</f>
        <v>0.01979339732</v>
      </c>
      <c r="X664" s="9">
        <f t="shared" si="4"/>
        <v>1.5</v>
      </c>
      <c r="Y664" s="14"/>
      <c r="Z664" s="12">
        <f t="shared" si="5"/>
        <v>0.9964604686</v>
      </c>
      <c r="AA664" s="16">
        <f t="shared" si="8"/>
        <v>98.66406664</v>
      </c>
      <c r="AB664" s="14"/>
      <c r="AC664" s="9">
        <f t="shared" si="6"/>
        <v>0</v>
      </c>
    </row>
    <row r="665">
      <c r="A665" s="8">
        <v>42689.0</v>
      </c>
      <c r="B665" s="14"/>
      <c r="C665" s="12">
        <f t="array" ref="C665">IFERROR(
  INDEX(
    IR!$B$2:$E2026,                
    MATCH($A665, IR!$A$2:$A2026, 0), 
    MATCH(C$1, IR!$B$1:$E$1, 0) ), "")
</f>
        <v>-0.00371</v>
      </c>
      <c r="D665" s="12">
        <f t="array" ref="D665">IFERROR(
  INDEX(
    IR!$B$2:$E2026,                
    MATCH($A665, IR!$A$2:$A2026, 0), 
    MATCH(D$1, IR!$B$1:$E$1, 0) ), "")
</f>
        <v>-0.00312</v>
      </c>
      <c r="E665" s="12">
        <f t="array" ref="E665">IFERROR(
  INDEX(
    IR!$B$2:$E2026,                
    MATCH($A665, IR!$A$2:$A2026, 0), 
    MATCH(E$1, IR!$B$1:$E$1, 0) ), "")
</f>
        <v>-0.00211</v>
      </c>
      <c r="F665" s="12">
        <f t="array" ref="F665">IFERROR(
  INDEX(
    IR!$B$2:$E2026,                
    MATCH($A665, IR!$A$2:$A2026, 0), 
    MATCH(F$1, IR!$B$1:$E$1, 0) ), "")
</f>
        <v>-0.00071</v>
      </c>
      <c r="G665" s="25"/>
      <c r="H665" s="12">
        <f t="array" ref="H665">IFERROR(
  INDEX(
    SR!$B$2:$D2026,            
    MATCH($A665, SR!$A$2:$A2026, 0),  
    MATCH(H$1, SR!$B$1:$D$1, 0) ), "")
</f>
        <v>-0.00126</v>
      </c>
      <c r="I665" s="12">
        <f t="array" ref="I665">IFERROR(
  INDEX(
    SR!$B$2:$D2026,            
    MATCH($A665, SR!$A$2:$A2026, 0),  
    MATCH(I$1, SR!$B$1:$D$1, 0) ), "")
</f>
        <v>-0.000475</v>
      </c>
      <c r="J665" s="12">
        <f t="array" ref="J665">IFERROR(
  INDEX(
    SR!$B$2:$D2026,            
    MATCH($A665, SR!$A$2:$A2026, 0),  
    MATCH(J$1, SR!$B$1:$D$1, 0) ), "")
</f>
        <v>0.00142</v>
      </c>
      <c r="K665" s="14"/>
      <c r="L665" s="9">
        <v>116.48</v>
      </c>
      <c r="M665" s="9">
        <v>24.53</v>
      </c>
      <c r="N665" s="9">
        <v>114.24</v>
      </c>
      <c r="O665" s="9">
        <v>115.67</v>
      </c>
      <c r="P665" s="9">
        <v>122.89</v>
      </c>
      <c r="Q665" s="9">
        <v>1377.7356</v>
      </c>
      <c r="R665" s="14"/>
      <c r="S665" s="12">
        <f t="shared" si="2"/>
        <v>-0.0005042795571</v>
      </c>
      <c r="T665" s="12">
        <f t="shared" si="3"/>
        <v>0.9994957204</v>
      </c>
      <c r="U665" s="16">
        <f t="shared" si="7"/>
        <v>98.96290378</v>
      </c>
      <c r="V665" s="17"/>
      <c r="W665" s="12">
        <f t="array" ref="W665">SQRT(252/20) *  SQRT( SUMSQ( LN(U644:U663 / U643:U662) )  - (1/20) * ( SUM( LN(U644:U663 / U643:U662) ) ^ 2 ) )</f>
        <v>0.01987558123</v>
      </c>
      <c r="X665" s="9">
        <f t="shared" si="4"/>
        <v>1.5</v>
      </c>
      <c r="Y665" s="14"/>
      <c r="Z665" s="12">
        <f t="shared" si="5"/>
        <v>0.9992487612</v>
      </c>
      <c r="AA665" s="16">
        <f t="shared" si="8"/>
        <v>98.58994637</v>
      </c>
      <c r="AB665" s="14"/>
      <c r="AC665" s="9">
        <f t="shared" si="6"/>
        <v>0</v>
      </c>
    </row>
    <row r="666">
      <c r="A666" s="8">
        <v>42690.0</v>
      </c>
      <c r="B666" s="14"/>
      <c r="C666" s="12">
        <f t="array" ref="C666">IFERROR(
  INDEX(
    IR!$B$2:$E2026,                
    MATCH($A666, IR!$A$2:$A2026, 0), 
    MATCH(C$1, IR!$B$1:$E$1, 0) ), "")
</f>
        <v>-0.00371</v>
      </c>
      <c r="D666" s="12">
        <f t="array" ref="D666">IFERROR(
  INDEX(
    IR!$B$2:$E2026,                
    MATCH($A666, IR!$A$2:$A2026, 0), 
    MATCH(D$1, IR!$B$1:$E$1, 0) ), "")
</f>
        <v>-0.00311</v>
      </c>
      <c r="E666" s="12">
        <f t="array" ref="E666">IFERROR(
  INDEX(
    IR!$B$2:$E2026,                
    MATCH($A666, IR!$A$2:$A2026, 0), 
    MATCH(E$1, IR!$B$1:$E$1, 0) ), "")
</f>
        <v>-0.00214</v>
      </c>
      <c r="F666" s="12">
        <f t="array" ref="F666">IFERROR(
  INDEX(
    IR!$B$2:$E2026,                
    MATCH($A666, IR!$A$2:$A2026, 0), 
    MATCH(F$1, IR!$B$1:$E$1, 0) ), "")
</f>
        <v>-0.00073</v>
      </c>
      <c r="G666" s="25"/>
      <c r="H666" s="12">
        <f t="array" ref="H666">IFERROR(
  INDEX(
    SR!$B$2:$D2026,            
    MATCH($A666, SR!$A$2:$A2026, 0),  
    MATCH(H$1, SR!$B$1:$D$1, 0) ), "")
</f>
        <v>-0.00132</v>
      </c>
      <c r="I666" s="12">
        <f t="array" ref="I666">IFERROR(
  INDEX(
    SR!$B$2:$D2026,            
    MATCH($A666, SR!$A$2:$A2026, 0),  
    MATCH(I$1, SR!$B$1:$D$1, 0) ), "")
</f>
        <v>-0.000489</v>
      </c>
      <c r="J666" s="12">
        <f t="array" ref="J666">IFERROR(
  INDEX(
    SR!$B$2:$D2026,            
    MATCH($A666, SR!$A$2:$A2026, 0),  
    MATCH(J$1, SR!$B$1:$D$1, 0) ), "")
</f>
        <v>0.00139</v>
      </c>
      <c r="K666" s="14"/>
      <c r="L666" s="9">
        <v>116.28</v>
      </c>
      <c r="M666" s="9">
        <v>24.53</v>
      </c>
      <c r="N666" s="9">
        <v>114.25</v>
      </c>
      <c r="O666" s="9">
        <v>116.0</v>
      </c>
      <c r="P666" s="9">
        <v>122.93</v>
      </c>
      <c r="Q666" s="9">
        <v>1382.1929</v>
      </c>
      <c r="R666" s="14"/>
      <c r="S666" s="12">
        <f t="shared" si="2"/>
        <v>0.0007973672864</v>
      </c>
      <c r="T666" s="12">
        <f t="shared" si="3"/>
        <v>1.000797367</v>
      </c>
      <c r="U666" s="16">
        <f t="shared" si="7"/>
        <v>99.04181356</v>
      </c>
      <c r="V666" s="17"/>
      <c r="W666" s="12">
        <f t="array" ref="W666">SQRT(252/20) *  SQRT( SUMSQ( LN(U645:U664 / U644:U663) )  - (1/20) * ( SUM( LN(U645:U664 / U644:U663) ) ^ 2 ) )</f>
        <v>0.02123990901</v>
      </c>
      <c r="X666" s="9">
        <f t="shared" si="4"/>
        <v>1.5</v>
      </c>
      <c r="Y666" s="14"/>
      <c r="Z666" s="12">
        <f t="shared" si="5"/>
        <v>1.001201204</v>
      </c>
      <c r="AA666" s="16">
        <f t="shared" si="8"/>
        <v>98.70837297</v>
      </c>
      <c r="AB666" s="14"/>
      <c r="AC666" s="9">
        <f t="shared" si="6"/>
        <v>0</v>
      </c>
    </row>
    <row r="667">
      <c r="A667" s="8">
        <v>42691.0</v>
      </c>
      <c r="B667" s="14"/>
      <c r="C667" s="12">
        <f t="array" ref="C667">IFERROR(
  INDEX(
    IR!$B$2:$E2026,                
    MATCH($A667, IR!$A$2:$A2026, 0), 
    MATCH(C$1, IR!$B$1:$E$1, 0) ), "")
</f>
        <v>-0.00372</v>
      </c>
      <c r="D667" s="12">
        <f t="array" ref="D667">IFERROR(
  INDEX(
    IR!$B$2:$E2026,                
    MATCH($A667, IR!$A$2:$A2026, 0), 
    MATCH(D$1, IR!$B$1:$E$1, 0) ), "")
</f>
        <v>-0.00312</v>
      </c>
      <c r="E667" s="12">
        <f t="array" ref="E667">IFERROR(
  INDEX(
    IR!$B$2:$E2026,                
    MATCH($A667, IR!$A$2:$A2026, 0), 
    MATCH(E$1, IR!$B$1:$E$1, 0) ), "")
</f>
        <v>-0.00215</v>
      </c>
      <c r="F667" s="12">
        <f t="array" ref="F667">IFERROR(
  INDEX(
    IR!$B$2:$E2026,                
    MATCH($A667, IR!$A$2:$A2026, 0), 
    MATCH(F$1, IR!$B$1:$E$1, 0) ), "")
</f>
        <v>-0.00075</v>
      </c>
      <c r="G667" s="25"/>
      <c r="H667" s="12">
        <f t="array" ref="H667">IFERROR(
  INDEX(
    SR!$B$2:$D2026,            
    MATCH($A667, SR!$A$2:$A2026, 0),  
    MATCH(H$1, SR!$B$1:$D$1, 0) ), "")
</f>
        <v>-0.00132</v>
      </c>
      <c r="I667" s="12">
        <f t="array" ref="I667">IFERROR(
  INDEX(
    SR!$B$2:$D2026,            
    MATCH($A667, SR!$A$2:$A2026, 0),  
    MATCH(I$1, SR!$B$1:$D$1, 0) ), "")
</f>
        <v>-0.000592</v>
      </c>
      <c r="J667" s="12">
        <f t="array" ref="J667">IFERROR(
  INDEX(
    SR!$B$2:$D2026,            
    MATCH($A667, SR!$A$2:$A2026, 0),  
    MATCH(J$1, SR!$B$1:$D$1, 0) ), "")
</f>
        <v>0.00134</v>
      </c>
      <c r="K667" s="14"/>
      <c r="L667" s="9">
        <v>116.27</v>
      </c>
      <c r="M667" s="9">
        <v>24.53</v>
      </c>
      <c r="N667" s="9">
        <v>114.25</v>
      </c>
      <c r="O667" s="9">
        <v>115.44</v>
      </c>
      <c r="P667" s="9">
        <v>123.12</v>
      </c>
      <c r="Q667" s="9">
        <v>1382.0059</v>
      </c>
      <c r="R667" s="14"/>
      <c r="S667" s="12">
        <f t="shared" si="2"/>
        <v>-0.000583660431</v>
      </c>
      <c r="T667" s="12">
        <f t="shared" si="3"/>
        <v>0.9994163396</v>
      </c>
      <c r="U667" s="16">
        <f t="shared" si="7"/>
        <v>98.98400677</v>
      </c>
      <c r="V667" s="17"/>
      <c r="W667" s="12">
        <f t="array" ref="W667">SQRT(252/20) *  SQRT( SUMSQ( LN(U646:U665 / U645:U664) )  - (1/20) * ( SUM( LN(U646:U665 / U645:U664) ) ^ 2 ) )</f>
        <v>0.02053581446</v>
      </c>
      <c r="X667" s="9">
        <f t="shared" si="4"/>
        <v>1.5</v>
      </c>
      <c r="Y667" s="14"/>
      <c r="Z667" s="12">
        <f t="shared" si="5"/>
        <v>0.9991296621</v>
      </c>
      <c r="AA667" s="16">
        <f t="shared" si="8"/>
        <v>98.62246334</v>
      </c>
      <c r="AB667" s="14"/>
      <c r="AC667" s="9">
        <f t="shared" si="6"/>
        <v>0</v>
      </c>
    </row>
    <row r="668">
      <c r="A668" s="8">
        <v>42692.0</v>
      </c>
      <c r="B668" s="14"/>
      <c r="C668" s="12">
        <f t="array" ref="C668">IFERROR(
  INDEX(
    IR!$B$2:$E2026,                
    MATCH($A668, IR!$A$2:$A2026, 0), 
    MATCH(C$1, IR!$B$1:$E$1, 0) ), "")
</f>
        <v>-0.00373</v>
      </c>
      <c r="D668" s="12">
        <f t="array" ref="D668">IFERROR(
  INDEX(
    IR!$B$2:$E2026,                
    MATCH($A668, IR!$A$2:$A2026, 0), 
    MATCH(D$1, IR!$B$1:$E$1, 0) ), "")
</f>
        <v>-0.00313</v>
      </c>
      <c r="E668" s="12">
        <f t="array" ref="E668">IFERROR(
  INDEX(
    IR!$B$2:$E2026,                
    MATCH($A668, IR!$A$2:$A2026, 0), 
    MATCH(E$1, IR!$B$1:$E$1, 0) ), "")
</f>
        <v>-0.00217</v>
      </c>
      <c r="F668" s="12">
        <f t="array" ref="F668">IFERROR(
  INDEX(
    IR!$B$2:$E2026,                
    MATCH($A668, IR!$A$2:$A2026, 0), 
    MATCH(F$1, IR!$B$1:$E$1, 0) ), "")
</f>
        <v>-0.00077</v>
      </c>
      <c r="G668" s="25"/>
      <c r="H668" s="12">
        <f t="array" ref="H668">IFERROR(
  INDEX(
    SR!$B$2:$D2026,            
    MATCH($A668, SR!$A$2:$A2026, 0),  
    MATCH(H$1, SR!$B$1:$D$1, 0) ), "")
</f>
        <v>-0.0014</v>
      </c>
      <c r="I668" s="12">
        <f t="array" ref="I668">IFERROR(
  INDEX(
    SR!$B$2:$D2026,            
    MATCH($A668, SR!$A$2:$A2026, 0),  
    MATCH(I$1, SR!$B$1:$D$1, 0) ), "")
</f>
        <v>-0.00067</v>
      </c>
      <c r="J668" s="12">
        <f t="array" ref="J668">IFERROR(
  INDEX(
    SR!$B$2:$D2026,            
    MATCH($A668, SR!$A$2:$A2026, 0),  
    MATCH(J$1, SR!$B$1:$D$1, 0) ), "")
</f>
        <v>0.00124</v>
      </c>
      <c r="K668" s="14"/>
      <c r="L668" s="9">
        <v>115.97</v>
      </c>
      <c r="M668" s="9">
        <v>24.54</v>
      </c>
      <c r="N668" s="9">
        <v>114.24</v>
      </c>
      <c r="O668" s="9">
        <v>115.41</v>
      </c>
      <c r="P668" s="9">
        <v>123.06</v>
      </c>
      <c r="Q668" s="9">
        <v>1386.8231</v>
      </c>
      <c r="R668" s="14"/>
      <c r="S668" s="12">
        <f t="shared" si="2"/>
        <v>0.0000800481464</v>
      </c>
      <c r="T668" s="12">
        <f t="shared" si="3"/>
        <v>1.000080048</v>
      </c>
      <c r="U668" s="16">
        <f t="shared" si="7"/>
        <v>98.99193026</v>
      </c>
      <c r="V668" s="17"/>
      <c r="W668" s="12">
        <f t="array" ref="W668">SQRT(252/20) *  SQRT( SUMSQ( LN(U647:U666 / U646:U665) )  - (1/20) * ( SUM( LN(U647:U666 / U646:U665) ) ^ 2 ) )</f>
        <v>0.02094407213</v>
      </c>
      <c r="X668" s="9">
        <f t="shared" si="4"/>
        <v>1.5</v>
      </c>
      <c r="Y668" s="14"/>
      <c r="Z668" s="12">
        <f t="shared" si="5"/>
        <v>1.000125239</v>
      </c>
      <c r="AA668" s="16">
        <f t="shared" si="8"/>
        <v>98.63481471</v>
      </c>
      <c r="AB668" s="14"/>
      <c r="AC668" s="9">
        <f t="shared" si="6"/>
        <v>0</v>
      </c>
    </row>
    <row r="669">
      <c r="A669" s="8">
        <v>42695.0</v>
      </c>
      <c r="B669" s="14"/>
      <c r="C669" s="12">
        <f t="array" ref="C669">IFERROR(
  INDEX(
    IR!$B$2:$E2026,                
    MATCH($A669, IR!$A$2:$A2026, 0), 
    MATCH(C$1, IR!$B$1:$E$1, 0) ), "")
</f>
        <v>-0.00371</v>
      </c>
      <c r="D669" s="12">
        <f t="array" ref="D669">IFERROR(
  INDEX(
    IR!$B$2:$E2026,                
    MATCH($A669, IR!$A$2:$A2026, 0), 
    MATCH(D$1, IR!$B$1:$E$1, 0) ), "")
</f>
        <v>-0.00312</v>
      </c>
      <c r="E669" s="12">
        <f t="array" ref="E669">IFERROR(
  INDEX(
    IR!$B$2:$E2026,                
    MATCH($A669, IR!$A$2:$A2026, 0), 
    MATCH(E$1, IR!$B$1:$E$1, 0) ), "")
</f>
        <v>-0.00219</v>
      </c>
      <c r="F669" s="12">
        <f t="array" ref="F669">IFERROR(
  INDEX(
    IR!$B$2:$E2026,                
    MATCH($A669, IR!$A$2:$A2026, 0), 
    MATCH(F$1, IR!$B$1:$E$1, 0) ), "")
</f>
        <v>-0.00078</v>
      </c>
      <c r="G669" s="25"/>
      <c r="H669" s="12">
        <f t="array" ref="H669">IFERROR(
  INDEX(
    SR!$B$2:$D2026,            
    MATCH($A669, SR!$A$2:$A2026, 0),  
    MATCH(H$1, SR!$B$1:$D$1, 0) ), "")
</f>
        <v>-0.00145</v>
      </c>
      <c r="I669" s="12">
        <f t="array" ref="I669">IFERROR(
  INDEX(
    SR!$B$2:$D2026,            
    MATCH($A669, SR!$A$2:$A2026, 0),  
    MATCH(I$1, SR!$B$1:$D$1, 0) ), "")
</f>
        <v>-0.00069</v>
      </c>
      <c r="J669" s="12">
        <f t="array" ref="J669">IFERROR(
  INDEX(
    SR!$B$2:$D2026,            
    MATCH($A669, SR!$A$2:$A2026, 0),  
    MATCH(J$1, SR!$B$1:$D$1, 0) ), "")
</f>
        <v>0.001175</v>
      </c>
      <c r="K669" s="14"/>
      <c r="L669" s="9">
        <v>115.91</v>
      </c>
      <c r="M669" s="9">
        <v>24.55</v>
      </c>
      <c r="N669" s="9">
        <v>114.27</v>
      </c>
      <c r="O669" s="9">
        <v>115.44</v>
      </c>
      <c r="P669" s="9">
        <v>122.88</v>
      </c>
      <c r="Q669" s="9">
        <v>1386.7777</v>
      </c>
      <c r="R669" s="14"/>
      <c r="S669" s="12">
        <f t="shared" si="2"/>
        <v>-0.0001803922857</v>
      </c>
      <c r="T669" s="12">
        <f t="shared" si="3"/>
        <v>0.9998196077</v>
      </c>
      <c r="U669" s="16">
        <f t="shared" si="7"/>
        <v>98.97407288</v>
      </c>
      <c r="V669" s="17"/>
      <c r="W669" s="12">
        <f t="array" ref="W669">SQRT(252/20) *  SQRT( SUMSQ( LN(U648:U667 / U647:U666) )  - (1/20) * ( SUM( LN(U648:U667 / U647:U666) ) ^ 2 ) )</f>
        <v>0.01892828624</v>
      </c>
      <c r="X669" s="9">
        <f t="shared" si="4"/>
        <v>1.5</v>
      </c>
      <c r="Y669" s="14"/>
      <c r="Z669" s="12">
        <f t="shared" si="5"/>
        <v>0.9997449532</v>
      </c>
      <c r="AA669" s="16">
        <f t="shared" si="8"/>
        <v>98.60965822</v>
      </c>
      <c r="AB669" s="14"/>
      <c r="AC669" s="9">
        <f t="shared" si="6"/>
        <v>0</v>
      </c>
    </row>
    <row r="670">
      <c r="A670" s="8">
        <v>42696.0</v>
      </c>
      <c r="B670" s="14"/>
      <c r="C670" s="12">
        <f t="array" ref="C670">IFERROR(
  INDEX(
    IR!$B$2:$E2026,                
    MATCH($A670, IR!$A$2:$A2026, 0), 
    MATCH(C$1, IR!$B$1:$E$1, 0) ), "")
</f>
        <v>-0.00373</v>
      </c>
      <c r="D670" s="12">
        <f t="array" ref="D670">IFERROR(
  INDEX(
    IR!$B$2:$E2026,                
    MATCH($A670, IR!$A$2:$A2026, 0), 
    MATCH(D$1, IR!$B$1:$E$1, 0) ), "")
</f>
        <v>-0.00313</v>
      </c>
      <c r="E670" s="12">
        <f t="array" ref="E670">IFERROR(
  INDEX(
    IR!$B$2:$E2026,                
    MATCH($A670, IR!$A$2:$A2026, 0), 
    MATCH(E$1, IR!$B$1:$E$1, 0) ), "")
</f>
        <v>-0.0022</v>
      </c>
      <c r="F670" s="12">
        <f t="array" ref="F670">IFERROR(
  INDEX(
    IR!$B$2:$E2026,                
    MATCH($A670, IR!$A$2:$A2026, 0), 
    MATCH(F$1, IR!$B$1:$E$1, 0) ), "")
</f>
        <v>-0.00079</v>
      </c>
      <c r="G670" s="25"/>
      <c r="H670" s="12">
        <f t="array" ref="H670">IFERROR(
  INDEX(
    SR!$B$2:$D2026,            
    MATCH($A670, SR!$A$2:$A2026, 0),  
    MATCH(H$1, SR!$B$1:$D$1, 0) ), "")
</f>
        <v>-0.00143</v>
      </c>
      <c r="I670" s="12">
        <f t="array" ref="I670">IFERROR(
  INDEX(
    SR!$B$2:$D2026,            
    MATCH($A670, SR!$A$2:$A2026, 0),  
    MATCH(I$1, SR!$B$1:$D$1, 0) ), "")
</f>
        <v>-0.000793</v>
      </c>
      <c r="J670" s="12">
        <f t="array" ref="J670">IFERROR(
  INDEX(
    SR!$B$2:$D2026,            
    MATCH($A670, SR!$A$2:$A2026, 0),  
    MATCH(J$1, SR!$B$1:$D$1, 0) ), "")
</f>
        <v>0.00096</v>
      </c>
      <c r="K670" s="14"/>
      <c r="L670" s="9">
        <v>116.02</v>
      </c>
      <c r="M670" s="9">
        <v>24.55</v>
      </c>
      <c r="N670" s="9">
        <v>114.32</v>
      </c>
      <c r="O670" s="9">
        <v>115.35</v>
      </c>
      <c r="P670" s="9">
        <v>122.97</v>
      </c>
      <c r="Q670" s="9">
        <v>1388.3942</v>
      </c>
      <c r="R670" s="14"/>
      <c r="S670" s="12">
        <f t="shared" si="2"/>
        <v>0.0004174529439</v>
      </c>
      <c r="T670" s="12">
        <f t="shared" si="3"/>
        <v>1.000417453</v>
      </c>
      <c r="U670" s="16">
        <f t="shared" si="7"/>
        <v>99.01538989</v>
      </c>
      <c r="V670" s="17"/>
      <c r="W670" s="12">
        <f t="array" ref="W670">SQRT(252/20) *  SQRT( SUMSQ( LN(U649:U668 / U648:U667) )  - (1/20) * ( SUM( LN(U649:U668 / U648:U667) ) ^ 2 ) )</f>
        <v>0.01843135904</v>
      </c>
      <c r="X670" s="9">
        <f t="shared" si="4"/>
        <v>1.5</v>
      </c>
      <c r="Y670" s="14"/>
      <c r="Z670" s="12">
        <f t="shared" si="5"/>
        <v>1.000631332</v>
      </c>
      <c r="AA670" s="16">
        <f t="shared" si="8"/>
        <v>98.67191367</v>
      </c>
      <c r="AB670" s="14"/>
      <c r="AC670" s="9">
        <f t="shared" si="6"/>
        <v>0</v>
      </c>
    </row>
    <row r="671">
      <c r="A671" s="8">
        <v>42697.0</v>
      </c>
      <c r="B671" s="14"/>
      <c r="C671" s="12">
        <f t="array" ref="C671">IFERROR(
  INDEX(
    IR!$B$2:$E2026,                
    MATCH($A671, IR!$A$2:$A2026, 0), 
    MATCH(C$1, IR!$B$1:$E$1, 0) ), "")
</f>
        <v>-0.00373</v>
      </c>
      <c r="D671" s="12">
        <f t="array" ref="D671">IFERROR(
  INDEX(
    IR!$B$2:$E2026,                
    MATCH($A671, IR!$A$2:$A2026, 0), 
    MATCH(D$1, IR!$B$1:$E$1, 0) ), "")
</f>
        <v>-0.00313</v>
      </c>
      <c r="E671" s="12">
        <f t="array" ref="E671">IFERROR(
  INDEX(
    IR!$B$2:$E2026,                
    MATCH($A671, IR!$A$2:$A2026, 0), 
    MATCH(E$1, IR!$B$1:$E$1, 0) ), "")
</f>
        <v>-0.0022</v>
      </c>
      <c r="F671" s="12">
        <f t="array" ref="F671">IFERROR(
  INDEX(
    IR!$B$2:$E2026,                
    MATCH($A671, IR!$A$2:$A2026, 0), 
    MATCH(F$1, IR!$B$1:$E$1, 0) ), "")
</f>
        <v>-0.00078</v>
      </c>
      <c r="G671" s="25"/>
      <c r="H671" s="12">
        <f t="array" ref="H671">IFERROR(
  INDEX(
    SR!$B$2:$D2026,            
    MATCH($A671, SR!$A$2:$A2026, 0),  
    MATCH(H$1, SR!$B$1:$D$1, 0) ), "")
</f>
        <v>-0.00146</v>
      </c>
      <c r="I671" s="12">
        <f t="array" ref="I671">IFERROR(
  INDEX(
    SR!$B$2:$D2026,            
    MATCH($A671, SR!$A$2:$A2026, 0),  
    MATCH(I$1, SR!$B$1:$D$1, 0) ), "")
</f>
        <v>-0.000824</v>
      </c>
      <c r="J671" s="12">
        <f t="array" ref="J671">IFERROR(
  INDEX(
    SR!$B$2:$D2026,            
    MATCH($A671, SR!$A$2:$A2026, 0),  
    MATCH(J$1, SR!$B$1:$D$1, 0) ), "")
</f>
        <v>0.00097</v>
      </c>
      <c r="K671" s="14"/>
      <c r="L671" s="9">
        <v>115.92</v>
      </c>
      <c r="M671" s="9">
        <v>24.56</v>
      </c>
      <c r="N671" s="9">
        <v>114.3</v>
      </c>
      <c r="O671" s="9">
        <v>115.54</v>
      </c>
      <c r="P671" s="9">
        <v>123.0</v>
      </c>
      <c r="Q671" s="9">
        <v>1386.9819</v>
      </c>
      <c r="R671" s="14"/>
      <c r="S671" s="12">
        <f t="shared" si="2"/>
        <v>0.00004061007849</v>
      </c>
      <c r="T671" s="12">
        <f t="shared" si="3"/>
        <v>1.00004061</v>
      </c>
      <c r="U671" s="16">
        <f t="shared" si="7"/>
        <v>99.01941092</v>
      </c>
      <c r="V671" s="17"/>
      <c r="W671" s="12">
        <f t="array" ref="W671">SQRT(252/20) *  SQRT( SUMSQ( LN(U650:U669 / U649:U668) )  - (1/20) * ( SUM( LN(U650:U669 / U649:U668) ) ^ 2 ) )</f>
        <v>0.01817236133</v>
      </c>
      <c r="X671" s="9">
        <f t="shared" si="4"/>
        <v>1.5</v>
      </c>
      <c r="Y671" s="14"/>
      <c r="Z671" s="12">
        <f t="shared" si="5"/>
        <v>1.000066096</v>
      </c>
      <c r="AA671" s="16">
        <f t="shared" si="8"/>
        <v>98.67843546</v>
      </c>
      <c r="AB671" s="14"/>
      <c r="AC671" s="9">
        <f t="shared" si="6"/>
        <v>0</v>
      </c>
    </row>
    <row r="672">
      <c r="A672" s="8">
        <v>42698.0</v>
      </c>
      <c r="B672" s="14"/>
      <c r="C672" s="12">
        <f t="array" ref="C672">IFERROR(
  INDEX(
    IR!$B$2:$E2026,                
    MATCH($A672, IR!$A$2:$A2026, 0), 
    MATCH(C$1, IR!$B$1:$E$1, 0) ), "")
</f>
        <v>-0.00373</v>
      </c>
      <c r="D672" s="12">
        <f t="array" ref="D672">IFERROR(
  INDEX(
    IR!$B$2:$E2026,                
    MATCH($A672, IR!$A$2:$A2026, 0), 
    MATCH(D$1, IR!$B$1:$E$1, 0) ), "")
</f>
        <v>-0.00314</v>
      </c>
      <c r="E672" s="12">
        <f t="array" ref="E672">IFERROR(
  INDEX(
    IR!$B$2:$E2026,                
    MATCH($A672, IR!$A$2:$A2026, 0), 
    MATCH(E$1, IR!$B$1:$E$1, 0) ), "")
</f>
        <v>-0.00219</v>
      </c>
      <c r="F672" s="12">
        <f t="array" ref="F672">IFERROR(
  INDEX(
    IR!$B$2:$E2026,                
    MATCH($A672, IR!$A$2:$A2026, 0), 
    MATCH(F$1, IR!$B$1:$E$1, 0) ), "")
</f>
        <v>-0.00079</v>
      </c>
      <c r="G672" s="25"/>
      <c r="H672" s="12">
        <f t="array" ref="H672">IFERROR(
  INDEX(
    SR!$B$2:$D2026,            
    MATCH($A672, SR!$A$2:$A2026, 0),  
    MATCH(H$1, SR!$B$1:$D$1, 0) ), "")
</f>
        <v>-0.00153</v>
      </c>
      <c r="I672" s="12">
        <f t="array" ref="I672">IFERROR(
  INDEX(
    SR!$B$2:$D2026,            
    MATCH($A672, SR!$A$2:$A2026, 0),  
    MATCH(I$1, SR!$B$1:$D$1, 0) ), "")
</f>
        <v>-0.00092</v>
      </c>
      <c r="J672" s="12">
        <f t="array" ref="J672">IFERROR(
  INDEX(
    SR!$B$2:$D2026,            
    MATCH($A672, SR!$A$2:$A2026, 0),  
    MATCH(J$1, SR!$B$1:$D$1, 0) ), "")
</f>
        <v>0.00083</v>
      </c>
      <c r="K672" s="14"/>
      <c r="L672" s="9">
        <v>115.96</v>
      </c>
      <c r="M672" s="9">
        <v>24.55</v>
      </c>
      <c r="N672" s="9">
        <v>114.31</v>
      </c>
      <c r="O672" s="9">
        <v>115.29</v>
      </c>
      <c r="P672" s="9">
        <v>122.76</v>
      </c>
      <c r="Q672" s="9">
        <v>1386.4835</v>
      </c>
      <c r="R672" s="14"/>
      <c r="S672" s="12">
        <f t="shared" si="2"/>
        <v>-0.0007412268741</v>
      </c>
      <c r="T672" s="12">
        <f t="shared" si="3"/>
        <v>0.9992587731</v>
      </c>
      <c r="U672" s="16">
        <f t="shared" si="7"/>
        <v>98.94601507</v>
      </c>
      <c r="V672" s="17"/>
      <c r="W672" s="12">
        <f t="array" ref="W672">SQRT(252/20) *  SQRT( SUMSQ( LN(U651:U670 / U650:U669) )  - (1/20) * ( SUM( LN(U651:U670 / U650:U669) ) ^ 2 ) )</f>
        <v>0.0183573684</v>
      </c>
      <c r="X672" s="9">
        <f t="shared" si="4"/>
        <v>1.5</v>
      </c>
      <c r="Y672" s="14"/>
      <c r="Z672" s="12">
        <f t="shared" si="5"/>
        <v>0.9988933402</v>
      </c>
      <c r="AA672" s="16">
        <f t="shared" si="8"/>
        <v>98.569232</v>
      </c>
      <c r="AB672" s="14"/>
      <c r="AC672" s="9">
        <f t="shared" si="6"/>
        <v>0</v>
      </c>
    </row>
    <row r="673">
      <c r="A673" s="8">
        <v>42699.0</v>
      </c>
      <c r="B673" s="14"/>
      <c r="C673" s="12">
        <f t="array" ref="C673">IFERROR(
  INDEX(
    IR!$B$2:$E2026,                
    MATCH($A673, IR!$A$2:$A2026, 0), 
    MATCH(C$1, IR!$B$1:$E$1, 0) ), "")
</f>
        <v>-0.00373</v>
      </c>
      <c r="D673" s="12">
        <f t="array" ref="D673">IFERROR(
  INDEX(
    IR!$B$2:$E2026,                
    MATCH($A673, IR!$A$2:$A2026, 0), 
    MATCH(D$1, IR!$B$1:$E$1, 0) ), "")
</f>
        <v>-0.00314</v>
      </c>
      <c r="E673" s="12">
        <f t="array" ref="E673">IFERROR(
  INDEX(
    IR!$B$2:$E2026,                
    MATCH($A673, IR!$A$2:$A2026, 0), 
    MATCH(E$1, IR!$B$1:$E$1, 0) ), "")
</f>
        <v>-0.00219</v>
      </c>
      <c r="F673" s="12">
        <f t="array" ref="F673">IFERROR(
  INDEX(
    IR!$B$2:$E2026,                
    MATCH($A673, IR!$A$2:$A2026, 0), 
    MATCH(F$1, IR!$B$1:$E$1, 0) ), "")
</f>
        <v>-0.00079</v>
      </c>
      <c r="G673" s="25"/>
      <c r="H673" s="12">
        <f t="array" ref="H673">IFERROR(
  INDEX(
    SR!$B$2:$D2026,            
    MATCH($A673, SR!$A$2:$A2026, 0),  
    MATCH(H$1, SR!$B$1:$D$1, 0) ), "")
</f>
        <v>-0.00154</v>
      </c>
      <c r="I673" s="12">
        <f t="array" ref="I673">IFERROR(
  INDEX(
    SR!$B$2:$D2026,            
    MATCH($A673, SR!$A$2:$A2026, 0),  
    MATCH(I$1, SR!$B$1:$D$1, 0) ), "")
</f>
        <v>-0.0009</v>
      </c>
      <c r="J673" s="12">
        <f t="array" ref="J673">IFERROR(
  INDEX(
    SR!$B$2:$D2026,            
    MATCH($A673, SR!$A$2:$A2026, 0),  
    MATCH(J$1, SR!$B$1:$D$1, 0) ), "")
</f>
        <v>0.0009</v>
      </c>
      <c r="K673" s="14"/>
      <c r="L673" s="9">
        <v>115.93</v>
      </c>
      <c r="M673" s="9">
        <v>24.54</v>
      </c>
      <c r="N673" s="9">
        <v>114.31</v>
      </c>
      <c r="O673" s="9">
        <v>115.48</v>
      </c>
      <c r="P673" s="9">
        <v>122.9</v>
      </c>
      <c r="Q673" s="9">
        <v>1386.276</v>
      </c>
      <c r="R673" s="14"/>
      <c r="S673" s="12">
        <f t="shared" si="2"/>
        <v>0.0003286457836</v>
      </c>
      <c r="T673" s="12">
        <f t="shared" si="3"/>
        <v>1.000328646</v>
      </c>
      <c r="U673" s="16">
        <f t="shared" si="7"/>
        <v>98.97853326</v>
      </c>
      <c r="V673" s="17"/>
      <c r="W673" s="12">
        <f t="array" ref="W673">SQRT(252/20) *  SQRT( SUMSQ( LN(U652:U671 / U651:U670) )  - (1/20) * ( SUM( LN(U652:U671 / U651:U670) ) ^ 2 ) )</f>
        <v>0.01784671698</v>
      </c>
      <c r="X673" s="9">
        <f t="shared" si="4"/>
        <v>1.5</v>
      </c>
      <c r="Y673" s="14"/>
      <c r="Z673" s="12">
        <f t="shared" si="5"/>
        <v>1.000498149</v>
      </c>
      <c r="AA673" s="16">
        <f t="shared" si="8"/>
        <v>98.61833419</v>
      </c>
      <c r="AB673" s="14"/>
      <c r="AC673" s="9">
        <f t="shared" si="6"/>
        <v>0</v>
      </c>
    </row>
    <row r="674">
      <c r="A674" s="8">
        <v>42702.0</v>
      </c>
      <c r="B674" s="14"/>
      <c r="C674" s="12">
        <f t="array" ref="C674">IFERROR(
  INDEX(
    IR!$B$2:$E2026,                
    MATCH($A674, IR!$A$2:$A2026, 0), 
    MATCH(C$1, IR!$B$1:$E$1, 0) ), "")
</f>
        <v>-0.00374</v>
      </c>
      <c r="D674" s="12">
        <f t="array" ref="D674">IFERROR(
  INDEX(
    IR!$B$2:$E2026,                
    MATCH($A674, IR!$A$2:$A2026, 0), 
    MATCH(D$1, IR!$B$1:$E$1, 0) ), "")
</f>
        <v>-0.00314</v>
      </c>
      <c r="E674" s="12">
        <f t="array" ref="E674">IFERROR(
  INDEX(
    IR!$B$2:$E2026,                
    MATCH($A674, IR!$A$2:$A2026, 0), 
    MATCH(E$1, IR!$B$1:$E$1, 0) ), "")
</f>
        <v>-0.00219</v>
      </c>
      <c r="F674" s="12">
        <f t="array" ref="F674">IFERROR(
  INDEX(
    IR!$B$2:$E2026,                
    MATCH($A674, IR!$A$2:$A2026, 0), 
    MATCH(F$1, IR!$B$1:$E$1, 0) ), "")
</f>
        <v>-0.00079</v>
      </c>
      <c r="G674" s="25"/>
      <c r="H674" s="12">
        <f t="array" ref="H674">IFERROR(
  INDEX(
    SR!$B$2:$D2026,            
    MATCH($A674, SR!$A$2:$A2026, 0),  
    MATCH(H$1, SR!$B$1:$D$1, 0) ), "")
</f>
        <v>-0.00162</v>
      </c>
      <c r="I674" s="12">
        <f t="array" ref="I674">IFERROR(
  INDEX(
    SR!$B$2:$D2026,            
    MATCH($A674, SR!$A$2:$A2026, 0),  
    MATCH(I$1, SR!$B$1:$D$1, 0) ), "")
</f>
        <v>-0.00106</v>
      </c>
      <c r="J674" s="12">
        <f t="array" ref="J674">IFERROR(
  INDEX(
    SR!$B$2:$D2026,            
    MATCH($A674, SR!$A$2:$A2026, 0),  
    MATCH(J$1, SR!$B$1:$D$1, 0) ), "")
</f>
        <v>0.000695</v>
      </c>
      <c r="K674" s="14"/>
      <c r="L674" s="9">
        <v>115.73</v>
      </c>
      <c r="M674" s="9">
        <v>24.55</v>
      </c>
      <c r="N674" s="9">
        <v>114.36</v>
      </c>
      <c r="O674" s="9">
        <v>115.28</v>
      </c>
      <c r="P674" s="9">
        <v>122.84</v>
      </c>
      <c r="Q674" s="9">
        <v>1389.6488</v>
      </c>
      <c r="R674" s="14"/>
      <c r="S674" s="12">
        <f t="shared" si="2"/>
        <v>-0.0001109429168</v>
      </c>
      <c r="T674" s="12">
        <f t="shared" si="3"/>
        <v>0.9998890571</v>
      </c>
      <c r="U674" s="16">
        <f t="shared" si="7"/>
        <v>98.96755229</v>
      </c>
      <c r="V674" s="17"/>
      <c r="W674" s="12">
        <f t="array" ref="W674">SQRT(252/20) *  SQRT( SUMSQ( LN(U653:U672 / U652:U671) )  - (1/20) * ( SUM( LN(U653:U672 / U652:U671) ) ^ 2 ) )</f>
        <v>0.01785205289</v>
      </c>
      <c r="X674" s="9">
        <f t="shared" si="4"/>
        <v>1.5</v>
      </c>
      <c r="Y674" s="14"/>
      <c r="Z674" s="12">
        <f t="shared" si="5"/>
        <v>0.9998491273</v>
      </c>
      <c r="AA674" s="16">
        <f t="shared" si="8"/>
        <v>98.60345537</v>
      </c>
      <c r="AB674" s="14"/>
      <c r="AC674" s="9">
        <f t="shared" si="6"/>
        <v>0</v>
      </c>
    </row>
    <row r="675">
      <c r="A675" s="8">
        <v>42703.0</v>
      </c>
      <c r="B675" s="14"/>
      <c r="C675" s="12">
        <f t="array" ref="C675">IFERROR(
  INDEX(
    IR!$B$2:$E2026,                
    MATCH($A675, IR!$A$2:$A2026, 0), 
    MATCH(C$1, IR!$B$1:$E$1, 0) ), "")
</f>
        <v>-0.00372</v>
      </c>
      <c r="D675" s="12">
        <f t="array" ref="D675">IFERROR(
  INDEX(
    IR!$B$2:$E2026,                
    MATCH($A675, IR!$A$2:$A2026, 0), 
    MATCH(D$1, IR!$B$1:$E$1, 0) ), "")
</f>
        <v>-0.00314</v>
      </c>
      <c r="E675" s="12">
        <f t="array" ref="E675">IFERROR(
  INDEX(
    IR!$B$2:$E2026,                
    MATCH($A675, IR!$A$2:$A2026, 0), 
    MATCH(E$1, IR!$B$1:$E$1, 0) ), "")
</f>
        <v>-0.00219</v>
      </c>
      <c r="F675" s="12">
        <f t="array" ref="F675">IFERROR(
  INDEX(
    IR!$B$2:$E2026,                
    MATCH($A675, IR!$A$2:$A2026, 0), 
    MATCH(F$1, IR!$B$1:$E$1, 0) ), "")
</f>
        <v>-0.00079</v>
      </c>
      <c r="G675" s="25"/>
      <c r="H675" s="12">
        <f t="array" ref="H675">IFERROR(
  INDEX(
    SR!$B$2:$D2026,            
    MATCH($A675, SR!$A$2:$A2026, 0),  
    MATCH(H$1, SR!$B$1:$D$1, 0) ), "")
</f>
        <v>-0.00173</v>
      </c>
      <c r="I675" s="12">
        <f t="array" ref="I675">IFERROR(
  INDEX(
    SR!$B$2:$D2026,            
    MATCH($A675, SR!$A$2:$A2026, 0),  
    MATCH(I$1, SR!$B$1:$D$1, 0) ), "")
</f>
        <v>-0.00109</v>
      </c>
      <c r="J675" s="12">
        <f t="array" ref="J675">IFERROR(
  INDEX(
    SR!$B$2:$D2026,            
    MATCH($A675, SR!$A$2:$A2026, 0),  
    MATCH(J$1, SR!$B$1:$D$1, 0) ), "")
</f>
        <v>0.00049</v>
      </c>
      <c r="K675" s="14"/>
      <c r="L675" s="9">
        <v>115.74</v>
      </c>
      <c r="M675" s="9">
        <v>24.55</v>
      </c>
      <c r="N675" s="9">
        <v>114.37</v>
      </c>
      <c r="O675" s="9">
        <v>114.77</v>
      </c>
      <c r="P675" s="9">
        <v>123.2</v>
      </c>
      <c r="Q675" s="9">
        <v>1387.4311</v>
      </c>
      <c r="R675" s="14"/>
      <c r="S675" s="12">
        <f t="shared" si="2"/>
        <v>-0.0004858634411</v>
      </c>
      <c r="T675" s="12">
        <f t="shared" si="3"/>
        <v>0.9995141366</v>
      </c>
      <c r="U675" s="16">
        <f t="shared" si="7"/>
        <v>98.91946758</v>
      </c>
      <c r="V675" s="17"/>
      <c r="W675" s="12">
        <f t="array" ref="W675">SQRT(252/20) *  SQRT( SUMSQ( LN(U654:U673 / U653:U672) )  - (1/20) * ( SUM( LN(U654:U673 / U653:U672) ) ^ 2 ) )</f>
        <v>0.0177537368</v>
      </c>
      <c r="X675" s="9">
        <f t="shared" si="4"/>
        <v>1.5</v>
      </c>
      <c r="Y675" s="14"/>
      <c r="Z675" s="12">
        <f t="shared" si="5"/>
        <v>0.9992763993</v>
      </c>
      <c r="AA675" s="16">
        <f t="shared" si="8"/>
        <v>98.53210584</v>
      </c>
      <c r="AB675" s="14"/>
      <c r="AC675" s="9">
        <f t="shared" si="6"/>
        <v>0</v>
      </c>
    </row>
    <row r="676">
      <c r="A676" s="8">
        <v>42704.0</v>
      </c>
      <c r="B676" s="14"/>
      <c r="C676" s="12">
        <f t="array" ref="C676">IFERROR(
  INDEX(
    IR!$B$2:$E2026,                
    MATCH($A676, IR!$A$2:$A2026, 0), 
    MATCH(C$1, IR!$B$1:$E$1, 0) ), "")
</f>
        <v>-0.00372</v>
      </c>
      <c r="D676" s="12">
        <f t="array" ref="D676">IFERROR(
  INDEX(
    IR!$B$2:$E2026,                
    MATCH($A676, IR!$A$2:$A2026, 0), 
    MATCH(D$1, IR!$B$1:$E$1, 0) ), "")
</f>
        <v>-0.00314</v>
      </c>
      <c r="E676" s="12">
        <f t="array" ref="E676">IFERROR(
  INDEX(
    IR!$B$2:$E2026,                
    MATCH($A676, IR!$A$2:$A2026, 0), 
    MATCH(E$1, IR!$B$1:$E$1, 0) ), "")
</f>
        <v>-0.00219</v>
      </c>
      <c r="F676" s="12">
        <f t="array" ref="F676">IFERROR(
  INDEX(
    IR!$B$2:$E2026,                
    MATCH($A676, IR!$A$2:$A2026, 0), 
    MATCH(F$1, IR!$B$1:$E$1, 0) ), "")
</f>
        <v>-0.0008</v>
      </c>
      <c r="G676" s="25"/>
      <c r="H676" s="12">
        <f t="array" ref="H676">IFERROR(
  INDEX(
    SR!$B$2:$D2026,            
    MATCH($A676, SR!$A$2:$A2026, 0),  
    MATCH(H$1, SR!$B$1:$D$1, 0) ), "")
</f>
        <v>-0.00158</v>
      </c>
      <c r="I676" s="12">
        <f t="array" ref="I676">IFERROR(
  INDEX(
    SR!$B$2:$D2026,            
    MATCH($A676, SR!$A$2:$A2026, 0),  
    MATCH(I$1, SR!$B$1:$D$1, 0) ), "")
</f>
        <v>-0.000998</v>
      </c>
      <c r="J676" s="12">
        <f t="array" ref="J676">IFERROR(
  INDEX(
    SR!$B$2:$D2026,            
    MATCH($A676, SR!$A$2:$A2026, 0),  
    MATCH(J$1, SR!$B$1:$D$1, 0) ), "")
</f>
        <v>0.00087</v>
      </c>
      <c r="K676" s="14"/>
      <c r="L676" s="9">
        <v>115.86</v>
      </c>
      <c r="M676" s="9">
        <v>24.55</v>
      </c>
      <c r="N676" s="9">
        <v>114.38</v>
      </c>
      <c r="O676" s="9">
        <v>115.24</v>
      </c>
      <c r="P676" s="9">
        <v>123.03</v>
      </c>
      <c r="Q676" s="9">
        <v>1388.6017</v>
      </c>
      <c r="R676" s="14"/>
      <c r="S676" s="12">
        <f t="shared" si="2"/>
        <v>0.0007803115577</v>
      </c>
      <c r="T676" s="12">
        <f t="shared" si="3"/>
        <v>1.000780312</v>
      </c>
      <c r="U676" s="16">
        <f t="shared" si="7"/>
        <v>98.99665558</v>
      </c>
      <c r="V676" s="17"/>
      <c r="W676" s="12">
        <f t="array" ref="W676">SQRT(252/20) *  SQRT( SUMSQ( LN(U655:U674 / U654:U673) )  - (1/20) * ( SUM( LN(U655:U674 / U654:U673) ) ^ 2 ) )</f>
        <v>0.017796795</v>
      </c>
      <c r="X676" s="9">
        <f t="shared" si="4"/>
        <v>1.5</v>
      </c>
      <c r="Y676" s="14"/>
      <c r="Z676" s="12">
        <f t="shared" si="5"/>
        <v>1.001175634</v>
      </c>
      <c r="AA676" s="16">
        <f t="shared" si="8"/>
        <v>98.64794354</v>
      </c>
      <c r="AB676" s="14"/>
      <c r="AC676" s="9">
        <f t="shared" si="6"/>
        <v>0</v>
      </c>
    </row>
    <row r="677">
      <c r="A677" s="8">
        <v>42705.0</v>
      </c>
      <c r="B677" s="14"/>
      <c r="C677" s="12">
        <f t="array" ref="C677">IFERROR(
  INDEX(
    IR!$B$2:$E2026,                
    MATCH($A677, IR!$A$2:$A2026, 0), 
    MATCH(C$1, IR!$B$1:$E$1, 0) ), "")
</f>
        <v>-0.00372</v>
      </c>
      <c r="D677" s="12">
        <f t="array" ref="D677">IFERROR(
  INDEX(
    IR!$B$2:$E2026,                
    MATCH($A677, IR!$A$2:$A2026, 0), 
    MATCH(D$1, IR!$B$1:$E$1, 0) ), "")
</f>
        <v>-0.00313</v>
      </c>
      <c r="E677" s="12">
        <f t="array" ref="E677">IFERROR(
  INDEX(
    IR!$B$2:$E2026,                
    MATCH($A677, IR!$A$2:$A2026, 0), 
    MATCH(E$1, IR!$B$1:$E$1, 0) ), "")
</f>
        <v>-0.00219</v>
      </c>
      <c r="F677" s="12">
        <f t="array" ref="F677">IFERROR(
  INDEX(
    IR!$B$2:$E2026,                
    MATCH($A677, IR!$A$2:$A2026, 0), 
    MATCH(F$1, IR!$B$1:$E$1, 0) ), "")
</f>
        <v>-0.00079</v>
      </c>
      <c r="G677" s="25"/>
      <c r="H677" s="12">
        <f t="array" ref="H677">IFERROR(
  INDEX(
    SR!$B$2:$D2026,            
    MATCH($A677, SR!$A$2:$A2026, 0),  
    MATCH(H$1, SR!$B$1:$D$1, 0) ), "")
</f>
        <v>-0.00144</v>
      </c>
      <c r="I677" s="12">
        <f t="array" ref="I677">IFERROR(
  INDEX(
    SR!$B$2:$D2026,            
    MATCH($A677, SR!$A$2:$A2026, 0),  
    MATCH(I$1, SR!$B$1:$D$1, 0) ), "")
</f>
        <v>-0.00076</v>
      </c>
      <c r="J677" s="12">
        <f t="array" ref="J677">IFERROR(
  INDEX(
    SR!$B$2:$D2026,            
    MATCH($A677, SR!$A$2:$A2026, 0),  
    MATCH(J$1, SR!$B$1:$D$1, 0) ), "")
</f>
        <v>0.00139</v>
      </c>
      <c r="K677" s="14"/>
      <c r="L677" s="9">
        <v>115.74</v>
      </c>
      <c r="M677" s="9">
        <v>24.55</v>
      </c>
      <c r="N677" s="9">
        <v>114.37</v>
      </c>
      <c r="O677" s="9">
        <v>115.41</v>
      </c>
      <c r="P677" s="9">
        <v>122.76</v>
      </c>
      <c r="Q677" s="9">
        <v>1386.141</v>
      </c>
      <c r="R677" s="14"/>
      <c r="S677" s="12">
        <f t="shared" si="2"/>
        <v>-0.0006023754867</v>
      </c>
      <c r="T677" s="12">
        <f t="shared" si="3"/>
        <v>0.9993976245</v>
      </c>
      <c r="U677" s="16">
        <f t="shared" si="7"/>
        <v>98.93702242</v>
      </c>
      <c r="V677" s="17"/>
      <c r="W677" s="12">
        <f t="array" ref="W677">SQRT(252/20) *  SQRT( SUMSQ( LN(U656:U675 / U655:U674) )  - (1/20) * ( SUM( LN(U656:U675 / U655:U674) ) ^ 2 ) )</f>
        <v>0.01772927997</v>
      </c>
      <c r="X677" s="9">
        <f t="shared" si="4"/>
        <v>1.5</v>
      </c>
      <c r="Y677" s="14"/>
      <c r="Z677" s="12">
        <f t="shared" si="5"/>
        <v>0.9991016034</v>
      </c>
      <c r="AA677" s="16">
        <f t="shared" si="8"/>
        <v>98.55931856</v>
      </c>
      <c r="AB677" s="14"/>
      <c r="AC677" s="9">
        <f t="shared" si="6"/>
        <v>0</v>
      </c>
    </row>
    <row r="678">
      <c r="A678" s="8">
        <v>42706.0</v>
      </c>
      <c r="B678" s="14"/>
      <c r="C678" s="12">
        <f t="array" ref="C678">IFERROR(
  INDEX(
    IR!$B$2:$E2026,                
    MATCH($A678, IR!$A$2:$A2026, 0), 
    MATCH(C$1, IR!$B$1:$E$1, 0) ), "")
</f>
        <v>-0.00371</v>
      </c>
      <c r="D678" s="12">
        <f t="array" ref="D678">IFERROR(
  INDEX(
    IR!$B$2:$E2026,                
    MATCH($A678, IR!$A$2:$A2026, 0), 
    MATCH(D$1, IR!$B$1:$E$1, 0) ), "")
</f>
        <v>-0.00313</v>
      </c>
      <c r="E678" s="12">
        <f t="array" ref="E678">IFERROR(
  INDEX(
    IR!$B$2:$E2026,                
    MATCH($A678, IR!$A$2:$A2026, 0), 
    MATCH(E$1, IR!$B$1:$E$1, 0) ), "")
</f>
        <v>-0.00218</v>
      </c>
      <c r="F678" s="12">
        <f t="array" ref="F678">IFERROR(
  INDEX(
    IR!$B$2:$E2026,                
    MATCH($A678, IR!$A$2:$A2026, 0), 
    MATCH(F$1, IR!$B$1:$E$1, 0) ), "")
</f>
        <v>-0.00076</v>
      </c>
      <c r="G678" s="25"/>
      <c r="H678" s="12">
        <f t="array" ref="H678">IFERROR(
  INDEX(
    SR!$B$2:$D2026,            
    MATCH($A678, SR!$A$2:$A2026, 0),  
    MATCH(H$1, SR!$B$1:$D$1, 0) ), "")
</f>
        <v>-0.00157</v>
      </c>
      <c r="I678" s="12">
        <f t="array" ref="I678">IFERROR(
  INDEX(
    SR!$B$2:$D2026,            
    MATCH($A678, SR!$A$2:$A2026, 0),  
    MATCH(I$1, SR!$B$1:$D$1, 0) ), "")
</f>
        <v>-0.000893</v>
      </c>
      <c r="J678" s="12">
        <f t="array" ref="J678">IFERROR(
  INDEX(
    SR!$B$2:$D2026,            
    MATCH($A678, SR!$A$2:$A2026, 0),  
    MATCH(J$1, SR!$B$1:$D$1, 0) ), "")
</f>
        <v>0.00095</v>
      </c>
      <c r="K678" s="14"/>
      <c r="L678" s="9">
        <v>115.6</v>
      </c>
      <c r="M678" s="9">
        <v>24.55</v>
      </c>
      <c r="N678" s="9">
        <v>114.37</v>
      </c>
      <c r="O678" s="9">
        <v>114.86</v>
      </c>
      <c r="P678" s="9">
        <v>122.55</v>
      </c>
      <c r="Q678" s="9">
        <v>1377.2631</v>
      </c>
      <c r="R678" s="14"/>
      <c r="S678" s="12">
        <f t="shared" si="2"/>
        <v>-0.0023481412</v>
      </c>
      <c r="T678" s="12">
        <f t="shared" si="3"/>
        <v>0.9976518588</v>
      </c>
      <c r="U678" s="16">
        <f t="shared" si="7"/>
        <v>98.70470432</v>
      </c>
      <c r="V678" s="17"/>
      <c r="W678" s="12">
        <f t="array" ref="W678">SQRT(252/20) *  SQRT( SUMSQ( LN(U657:U676 / U656:U675) )  - (1/20) * ( SUM( LN(U657:U676 / U656:U675) ) ^ 2 ) )</f>
        <v>0.01679750682</v>
      </c>
      <c r="X678" s="9">
        <f t="shared" si="4"/>
        <v>1.5</v>
      </c>
      <c r="Y678" s="14"/>
      <c r="Z678" s="12">
        <f t="shared" si="5"/>
        <v>0.9964829549</v>
      </c>
      <c r="AA678" s="16">
        <f t="shared" si="8"/>
        <v>98.21268099</v>
      </c>
      <c r="AB678" s="14"/>
      <c r="AC678" s="9">
        <f t="shared" si="6"/>
        <v>0</v>
      </c>
    </row>
    <row r="679">
      <c r="A679" s="8">
        <v>42709.0</v>
      </c>
      <c r="B679" s="14"/>
      <c r="C679" s="12">
        <f t="array" ref="C679">IFERROR(
  INDEX(
    IR!$B$2:$E2026,                
    MATCH($A679, IR!$A$2:$A2026, 0), 
    MATCH(C$1, IR!$B$1:$E$1, 0) ), "")
</f>
        <v>-0.00373</v>
      </c>
      <c r="D679" s="12">
        <f t="array" ref="D679">IFERROR(
  INDEX(
    IR!$B$2:$E2026,                
    MATCH($A679, IR!$A$2:$A2026, 0), 
    MATCH(D$1, IR!$B$1:$E$1, 0) ), "")
</f>
        <v>-0.00313</v>
      </c>
      <c r="E679" s="12">
        <f t="array" ref="E679">IFERROR(
  INDEX(
    IR!$B$2:$E2026,                
    MATCH($A679, IR!$A$2:$A2026, 0), 
    MATCH(E$1, IR!$B$1:$E$1, 0) ), "")
</f>
        <v>-0.00218</v>
      </c>
      <c r="F679" s="12">
        <f t="array" ref="F679">IFERROR(
  INDEX(
    IR!$B$2:$E2026,                
    MATCH($A679, IR!$A$2:$A2026, 0), 
    MATCH(F$1, IR!$B$1:$E$1, 0) ), "")
</f>
        <v>-0.00078</v>
      </c>
      <c r="G679" s="25"/>
      <c r="H679" s="12">
        <f t="array" ref="H679">IFERROR(
  INDEX(
    SR!$B$2:$D2026,            
    MATCH($A679, SR!$A$2:$A2026, 0),  
    MATCH(H$1, SR!$B$1:$D$1, 0) ), "")
</f>
        <v>-0.00154</v>
      </c>
      <c r="I679" s="12">
        <f t="array" ref="I679">IFERROR(
  INDEX(
    SR!$B$2:$D2026,            
    MATCH($A679, SR!$A$2:$A2026, 0),  
    MATCH(I$1, SR!$B$1:$D$1, 0) ), "")
</f>
        <v>-0.000792</v>
      </c>
      <c r="J679" s="12">
        <f t="array" ref="J679">IFERROR(
  INDEX(
    SR!$B$2:$D2026,            
    MATCH($A679, SR!$A$2:$A2026, 0),  
    MATCH(J$1, SR!$B$1:$D$1, 0) ), "")
</f>
        <v>0.00111</v>
      </c>
      <c r="K679" s="14"/>
      <c r="L679" s="9">
        <v>115.71</v>
      </c>
      <c r="M679" s="9">
        <v>24.54</v>
      </c>
      <c r="N679" s="9">
        <v>114.42</v>
      </c>
      <c r="O679" s="9">
        <v>114.76</v>
      </c>
      <c r="P679" s="9">
        <v>122.53</v>
      </c>
      <c r="Q679" s="9">
        <v>1376.1117</v>
      </c>
      <c r="R679" s="14"/>
      <c r="S679" s="12">
        <f t="shared" si="2"/>
        <v>-0.0001480955301</v>
      </c>
      <c r="T679" s="12">
        <f t="shared" si="3"/>
        <v>0.9998519045</v>
      </c>
      <c r="U679" s="16">
        <f t="shared" si="7"/>
        <v>98.6900866</v>
      </c>
      <c r="V679" s="17"/>
      <c r="W679" s="12">
        <f t="array" ref="W679">SQRT(252/20) *  SQRT( SUMSQ( LN(U658:U677 / U657:U676) )  - (1/20) * ( SUM( LN(U658:U677 / U657:U676) ) ^ 2 ) )</f>
        <v>0.01405472401</v>
      </c>
      <c r="X679" s="9">
        <f t="shared" si="4"/>
        <v>1.5</v>
      </c>
      <c r="Y679" s="14"/>
      <c r="Z679" s="12">
        <f t="shared" si="5"/>
        <v>0.999793315</v>
      </c>
      <c r="AA679" s="16">
        <f t="shared" si="8"/>
        <v>98.19238191</v>
      </c>
      <c r="AB679" s="14"/>
      <c r="AC679" s="9">
        <f t="shared" si="6"/>
        <v>0</v>
      </c>
    </row>
    <row r="680">
      <c r="A680" s="8">
        <v>42710.0</v>
      </c>
      <c r="B680" s="14"/>
      <c r="C680" s="12">
        <f t="array" ref="C680">IFERROR(
  INDEX(
    IR!$B$2:$E2026,                
    MATCH($A680, IR!$A$2:$A2026, 0), 
    MATCH(C$1, IR!$B$1:$E$1, 0) ), "")
</f>
        <v>-0.00372</v>
      </c>
      <c r="D680" s="12">
        <f t="array" ref="D680">IFERROR(
  INDEX(
    IR!$B$2:$E2026,                
    MATCH($A680, IR!$A$2:$A2026, 0), 
    MATCH(D$1, IR!$B$1:$E$1, 0) ), "")
</f>
        <v>-0.00315</v>
      </c>
      <c r="E680" s="12">
        <f t="array" ref="E680">IFERROR(
  INDEX(
    IR!$B$2:$E2026,                
    MATCH($A680, IR!$A$2:$A2026, 0), 
    MATCH(E$1, IR!$B$1:$E$1, 0) ), "")
</f>
        <v>-0.00219</v>
      </c>
      <c r="F680" s="12">
        <f t="array" ref="F680">IFERROR(
  INDEX(
    IR!$B$2:$E2026,                
    MATCH($A680, IR!$A$2:$A2026, 0), 
    MATCH(F$1, IR!$B$1:$E$1, 0) ), "")
</f>
        <v>-0.00079</v>
      </c>
      <c r="G680" s="25"/>
      <c r="H680" s="12">
        <f t="array" ref="H680">IFERROR(
  INDEX(
    SR!$B$2:$D2026,            
    MATCH($A680, SR!$A$2:$A2026, 0),  
    MATCH(H$1, SR!$B$1:$D$1, 0) ), "")
</f>
        <v>-0.001429</v>
      </c>
      <c r="I680" s="12">
        <f t="array" ref="I680">IFERROR(
  INDEX(
    SR!$B$2:$D2026,            
    MATCH($A680, SR!$A$2:$A2026, 0),  
    MATCH(I$1, SR!$B$1:$D$1, 0) ), "")
</f>
        <v>-0.0007</v>
      </c>
      <c r="J680" s="12">
        <f t="array" ref="J680">IFERROR(
  INDEX(
    SR!$B$2:$D2026,            
    MATCH($A680, SR!$A$2:$A2026, 0),  
    MATCH(J$1, SR!$B$1:$D$1, 0) ), "")
</f>
        <v>0.00155</v>
      </c>
      <c r="K680" s="14"/>
      <c r="L680" s="9">
        <v>115.9</v>
      </c>
      <c r="M680" s="9">
        <v>24.53</v>
      </c>
      <c r="N680" s="9">
        <v>114.41</v>
      </c>
      <c r="O680" s="9">
        <v>115.38</v>
      </c>
      <c r="P680" s="9">
        <v>122.44</v>
      </c>
      <c r="Q680" s="9">
        <v>1381.4707</v>
      </c>
      <c r="R680" s="14"/>
      <c r="S680" s="12">
        <f t="shared" si="2"/>
        <v>0.001617994149</v>
      </c>
      <c r="T680" s="12">
        <f t="shared" si="3"/>
        <v>1.001617994</v>
      </c>
      <c r="U680" s="16">
        <f t="shared" si="7"/>
        <v>98.84976658</v>
      </c>
      <c r="V680" s="17"/>
      <c r="W680" s="12">
        <f t="array" ref="W680">SQRT(252/20) *  SQRT( SUMSQ( LN(U659:U678 / U658:U677) )  - (1/20) * ( SUM( LN(U659:U678 / U658:U677) ) ^ 2 ) )</f>
        <v>0.01584688494</v>
      </c>
      <c r="X680" s="9">
        <f t="shared" si="4"/>
        <v>1.5</v>
      </c>
      <c r="Y680" s="14"/>
      <c r="Z680" s="12">
        <f t="shared" si="5"/>
        <v>1.002432172</v>
      </c>
      <c r="AA680" s="16">
        <f t="shared" si="8"/>
        <v>98.43120265</v>
      </c>
      <c r="AB680" s="14"/>
      <c r="AC680" s="9">
        <f t="shared" si="6"/>
        <v>0</v>
      </c>
    </row>
    <row r="681">
      <c r="A681" s="8">
        <v>42711.0</v>
      </c>
      <c r="B681" s="14"/>
      <c r="C681" s="12">
        <f t="array" ref="C681">IFERROR(
  INDEX(
    IR!$B$2:$E2026,                
    MATCH($A681, IR!$A$2:$A2026, 0), 
    MATCH(C$1, IR!$B$1:$E$1, 0) ), "")
</f>
        <v>-0.00372</v>
      </c>
      <c r="D681" s="12">
        <f t="array" ref="D681">IFERROR(
  INDEX(
    IR!$B$2:$E2026,                
    MATCH($A681, IR!$A$2:$A2026, 0), 
    MATCH(D$1, IR!$B$1:$E$1, 0) ), "")
</f>
        <v>-0.00316</v>
      </c>
      <c r="E681" s="12">
        <f t="array" ref="E681">IFERROR(
  INDEX(
    IR!$B$2:$E2026,                
    MATCH($A681, IR!$A$2:$A2026, 0), 
    MATCH(E$1, IR!$B$1:$E$1, 0) ), "")
</f>
        <v>-0.00217</v>
      </c>
      <c r="F681" s="12">
        <f t="array" ref="F681">IFERROR(
  INDEX(
    IR!$B$2:$E2026,                
    MATCH($A681, IR!$A$2:$A2026, 0), 
    MATCH(F$1, IR!$B$1:$E$1, 0) ), "")
</f>
        <v>-0.00078</v>
      </c>
      <c r="G681" s="25"/>
      <c r="H681" s="12">
        <f t="array" ref="H681">IFERROR(
  INDEX(
    SR!$B$2:$D2026,            
    MATCH($A681, SR!$A$2:$A2026, 0),  
    MATCH(H$1, SR!$B$1:$D$1, 0) ), "")
</f>
        <v>-0.001493</v>
      </c>
      <c r="I681" s="12">
        <f t="array" ref="I681">IFERROR(
  INDEX(
    SR!$B$2:$D2026,            
    MATCH($A681, SR!$A$2:$A2026, 0),  
    MATCH(I$1, SR!$B$1:$D$1, 0) ), "")
</f>
        <v>-0.00072</v>
      </c>
      <c r="J681" s="12">
        <f t="array" ref="J681">IFERROR(
  INDEX(
    SR!$B$2:$D2026,            
    MATCH($A681, SR!$A$2:$A2026, 0),  
    MATCH(J$1, SR!$B$1:$D$1, 0) ), "")
</f>
        <v>0.00146</v>
      </c>
      <c r="K681" s="14"/>
      <c r="L681" s="9">
        <v>116.47</v>
      </c>
      <c r="M681" s="9">
        <v>24.52</v>
      </c>
      <c r="N681" s="9">
        <v>114.44</v>
      </c>
      <c r="O681" s="9">
        <v>116.04</v>
      </c>
      <c r="P681" s="9">
        <v>122.63</v>
      </c>
      <c r="Q681" s="9">
        <v>1383.915</v>
      </c>
      <c r="R681" s="14"/>
      <c r="S681" s="12">
        <f t="shared" si="2"/>
        <v>0.002301579183</v>
      </c>
      <c r="T681" s="12">
        <f t="shared" si="3"/>
        <v>1.002301579</v>
      </c>
      <c r="U681" s="16">
        <f t="shared" si="7"/>
        <v>99.07727715</v>
      </c>
      <c r="V681" s="17"/>
      <c r="W681" s="12">
        <f t="array" ref="W681">SQRT(252/20) *  SQRT( SUMSQ( LN(U660:U679 / U659:U678) )  - (1/20) * ( SUM( LN(U660:U679 / U659:U678) ) ^ 2 ) )</f>
        <v>0.01583256584</v>
      </c>
      <c r="X681" s="9">
        <f t="shared" si="4"/>
        <v>1.5</v>
      </c>
      <c r="Y681" s="14"/>
      <c r="Z681" s="12">
        <f t="shared" si="5"/>
        <v>1.003457535</v>
      </c>
      <c r="AA681" s="16">
        <f t="shared" si="8"/>
        <v>98.77153202</v>
      </c>
      <c r="AB681" s="14"/>
      <c r="AC681" s="9">
        <f t="shared" si="6"/>
        <v>0</v>
      </c>
    </row>
    <row r="682">
      <c r="A682" s="8">
        <v>42712.0</v>
      </c>
      <c r="B682" s="14"/>
      <c r="C682" s="12">
        <f t="array" ref="C682">IFERROR(
  INDEX(
    IR!$B$2:$E2026,                
    MATCH($A682, IR!$A$2:$A2026, 0), 
    MATCH(C$1, IR!$B$1:$E$1, 0) ), "")
</f>
        <v>-0.00372</v>
      </c>
      <c r="D682" s="12">
        <f t="array" ref="D682">IFERROR(
  INDEX(
    IR!$B$2:$E2026,                
    MATCH($A682, IR!$A$2:$A2026, 0), 
    MATCH(D$1, IR!$B$1:$E$1, 0) ), "")
</f>
        <v>-0.00318</v>
      </c>
      <c r="E682" s="12">
        <f t="array" ref="E682">IFERROR(
  INDEX(
    IR!$B$2:$E2026,                
    MATCH($A682, IR!$A$2:$A2026, 0), 
    MATCH(E$1, IR!$B$1:$E$1, 0) ), "")
</f>
        <v>-0.00217</v>
      </c>
      <c r="F682" s="12">
        <f t="array" ref="F682">IFERROR(
  INDEX(
    IR!$B$2:$E2026,                
    MATCH($A682, IR!$A$2:$A2026, 0), 
    MATCH(F$1, IR!$B$1:$E$1, 0) ), "")
</f>
        <v>-0.00078</v>
      </c>
      <c r="G682" s="25"/>
      <c r="H682" s="12">
        <f t="array" ref="H682">IFERROR(
  INDEX(
    SR!$B$2:$D2026,            
    MATCH($A682, SR!$A$2:$A2026, 0),  
    MATCH(H$1, SR!$B$1:$D$1, 0) ), "")
</f>
        <v>-0.00161</v>
      </c>
      <c r="I682" s="12">
        <f t="array" ref="I682">IFERROR(
  INDEX(
    SR!$B$2:$D2026,            
    MATCH($A682, SR!$A$2:$A2026, 0),  
    MATCH(I$1, SR!$B$1:$D$1, 0) ), "")
</f>
        <v>-0.00087</v>
      </c>
      <c r="J682" s="12">
        <f t="array" ref="J682">IFERROR(
  INDEX(
    SR!$B$2:$D2026,            
    MATCH($A682, SR!$A$2:$A2026, 0),  
    MATCH(J$1, SR!$B$1:$D$1, 0) ), "")
</f>
        <v>0.00135</v>
      </c>
      <c r="K682" s="14"/>
      <c r="L682" s="9">
        <v>116.9</v>
      </c>
      <c r="M682" s="9">
        <v>24.55</v>
      </c>
      <c r="N682" s="9">
        <v>114.46</v>
      </c>
      <c r="O682" s="9">
        <v>116.71</v>
      </c>
      <c r="P682" s="9">
        <v>122.81</v>
      </c>
      <c r="Q682" s="9">
        <v>1389.0446</v>
      </c>
      <c r="R682" s="14"/>
      <c r="S682" s="12">
        <f t="shared" si="2"/>
        <v>0.002672381443</v>
      </c>
      <c r="T682" s="12">
        <f t="shared" si="3"/>
        <v>1.002672381</v>
      </c>
      <c r="U682" s="16">
        <f t="shared" si="7"/>
        <v>99.34204942</v>
      </c>
      <c r="V682" s="17"/>
      <c r="W682" s="12">
        <f t="array" ref="W682">SQRT(252/20) *  SQRT( SUMSQ( LN(U661:U680 / U660:U679) )  - (1/20) * ( SUM( LN(U661:U680 / U660:U679) ) ^ 2 ) )</f>
        <v>0.01510211061</v>
      </c>
      <c r="X682" s="9">
        <f t="shared" si="4"/>
        <v>1.5</v>
      </c>
      <c r="Y682" s="14"/>
      <c r="Z682" s="12">
        <f t="shared" si="5"/>
        <v>1.004013739</v>
      </c>
      <c r="AA682" s="16">
        <f t="shared" si="8"/>
        <v>99.16797515</v>
      </c>
      <c r="AB682" s="14"/>
      <c r="AC682" s="9">
        <f t="shared" si="6"/>
        <v>0</v>
      </c>
    </row>
    <row r="683">
      <c r="A683" s="8">
        <v>42713.0</v>
      </c>
      <c r="B683" s="14"/>
      <c r="C683" s="12">
        <f t="array" ref="C683">IFERROR(
  INDEX(
    IR!$B$2:$E2026,                
    MATCH($A683, IR!$A$2:$A2026, 0), 
    MATCH(C$1, IR!$B$1:$E$1, 0) ), "")
</f>
        <v>-0.00371</v>
      </c>
      <c r="D683" s="12">
        <f t="array" ref="D683">IFERROR(
  INDEX(
    IR!$B$2:$E2026,                
    MATCH($A683, IR!$A$2:$A2026, 0), 
    MATCH(D$1, IR!$B$1:$E$1, 0) ), "")
</f>
        <v>-0.00316</v>
      </c>
      <c r="E683" s="12">
        <f t="array" ref="E683">IFERROR(
  INDEX(
    IR!$B$2:$E2026,                
    MATCH($A683, IR!$A$2:$A2026, 0), 
    MATCH(E$1, IR!$B$1:$E$1, 0) ), "")
</f>
        <v>-0.00217</v>
      </c>
      <c r="F683" s="12">
        <f t="array" ref="F683">IFERROR(
  INDEX(
    IR!$B$2:$E2026,                
    MATCH($A683, IR!$A$2:$A2026, 0), 
    MATCH(F$1, IR!$B$1:$E$1, 0) ), "")
</f>
        <v>-0.00081</v>
      </c>
      <c r="G683" s="25"/>
      <c r="H683" s="12">
        <f t="array" ref="H683">IFERROR(
  INDEX(
    SR!$B$2:$D2026,            
    MATCH($A683, SR!$A$2:$A2026, 0),  
    MATCH(H$1, SR!$B$1:$D$1, 0) ), "")
</f>
        <v>-0.00165</v>
      </c>
      <c r="I683" s="12">
        <f t="array" ref="I683">IFERROR(
  INDEX(
    SR!$B$2:$D2026,            
    MATCH($A683, SR!$A$2:$A2026, 0),  
    MATCH(I$1, SR!$B$1:$D$1, 0) ), "")
</f>
        <v>-0.00099</v>
      </c>
      <c r="J683" s="12">
        <f t="array" ref="J683">IFERROR(
  INDEX(
    SR!$B$2:$D2026,            
    MATCH($A683, SR!$A$2:$A2026, 0),  
    MATCH(J$1, SR!$B$1:$D$1, 0) ), "")
</f>
        <v>0.0012</v>
      </c>
      <c r="K683" s="14"/>
      <c r="L683" s="9">
        <v>117.09</v>
      </c>
      <c r="M683" s="9">
        <v>24.57</v>
      </c>
      <c r="N683" s="9">
        <v>114.46</v>
      </c>
      <c r="O683" s="9">
        <v>117.51</v>
      </c>
      <c r="P683" s="9">
        <v>123.21</v>
      </c>
      <c r="Q683" s="9">
        <v>1393.2545</v>
      </c>
      <c r="R683" s="14"/>
      <c r="S683" s="12">
        <f t="shared" si="2"/>
        <v>0.002596336512</v>
      </c>
      <c r="T683" s="12">
        <f t="shared" si="3"/>
        <v>1.002596337</v>
      </c>
      <c r="U683" s="16">
        <f t="shared" si="7"/>
        <v>99.59997481</v>
      </c>
      <c r="V683" s="17"/>
      <c r="W683" s="12">
        <f t="array" ref="W683">SQRT(252/20) *  SQRT( SUMSQ( LN(U662:U681 / U661:U680) )  - (1/20) * ( SUM( LN(U662:U681 / U661:U680) ) ^ 2 ) )</f>
        <v>0.01753231238</v>
      </c>
      <c r="X683" s="9">
        <f t="shared" si="4"/>
        <v>1.5</v>
      </c>
      <c r="Y683" s="14"/>
      <c r="Z683" s="12">
        <f t="shared" si="5"/>
        <v>1.003899671</v>
      </c>
      <c r="AA683" s="16">
        <f t="shared" si="8"/>
        <v>99.55469767</v>
      </c>
      <c r="AB683" s="14"/>
      <c r="AC683" s="9">
        <f t="shared" si="6"/>
        <v>0</v>
      </c>
    </row>
    <row r="684">
      <c r="A684" s="8">
        <v>42716.0</v>
      </c>
      <c r="B684" s="14"/>
      <c r="C684" s="12">
        <f t="array" ref="C684">IFERROR(
  INDEX(
    IR!$B$2:$E2026,                
    MATCH($A684, IR!$A$2:$A2026, 0), 
    MATCH(C$1, IR!$B$1:$E$1, 0) ), "")
</f>
        <v>-0.00371</v>
      </c>
      <c r="D684" s="12">
        <f t="array" ref="D684">IFERROR(
  INDEX(
    IR!$B$2:$E2026,                
    MATCH($A684, IR!$A$2:$A2026, 0), 
    MATCH(D$1, IR!$B$1:$E$1, 0) ), "")
</f>
        <v>-0.00316</v>
      </c>
      <c r="E684" s="12">
        <f t="array" ref="E684">IFERROR(
  INDEX(
    IR!$B$2:$E2026,                
    MATCH($A684, IR!$A$2:$A2026, 0), 
    MATCH(E$1, IR!$B$1:$E$1, 0) ), "")
</f>
        <v>-0.00217</v>
      </c>
      <c r="F684" s="12">
        <f t="array" ref="F684">IFERROR(
  INDEX(
    IR!$B$2:$E2026,                
    MATCH($A684, IR!$A$2:$A2026, 0), 
    MATCH(F$1, IR!$B$1:$E$1, 0) ), "")
</f>
        <v>-0.00081</v>
      </c>
      <c r="G684" s="25"/>
      <c r="H684" s="12">
        <f t="array" ref="H684">IFERROR(
  INDEX(
    SR!$B$2:$D2026,            
    MATCH($A684, SR!$A$2:$A2026, 0),  
    MATCH(H$1, SR!$B$1:$D$1, 0) ), "")
</f>
        <v>-0.0016</v>
      </c>
      <c r="I684" s="12">
        <f t="array" ref="I684">IFERROR(
  INDEX(
    SR!$B$2:$D2026,            
    MATCH($A684, SR!$A$2:$A2026, 0),  
    MATCH(I$1, SR!$B$1:$D$1, 0) ), "")
</f>
        <v>-0.00081</v>
      </c>
      <c r="J684" s="12">
        <f t="array" ref="J684">IFERROR(
  INDEX(
    SR!$B$2:$D2026,            
    MATCH($A684, SR!$A$2:$A2026, 0),  
    MATCH(J$1, SR!$B$1:$D$1, 0) ), "")
</f>
        <v>0.00152</v>
      </c>
      <c r="K684" s="14"/>
      <c r="L684" s="9">
        <v>117.18</v>
      </c>
      <c r="M684" s="9">
        <v>24.56</v>
      </c>
      <c r="N684" s="9">
        <v>114.49</v>
      </c>
      <c r="O684" s="9">
        <v>117.47</v>
      </c>
      <c r="P684" s="9">
        <v>123.34</v>
      </c>
      <c r="Q684" s="9">
        <v>1394.979</v>
      </c>
      <c r="R684" s="14"/>
      <c r="S684" s="12">
        <f t="shared" si="2"/>
        <v>0.0004293189375</v>
      </c>
      <c r="T684" s="12">
        <f t="shared" si="3"/>
        <v>1.000429319</v>
      </c>
      <c r="U684" s="16">
        <f t="shared" si="7"/>
        <v>99.64273497</v>
      </c>
      <c r="V684" s="17"/>
      <c r="W684" s="12">
        <f t="array" ref="W684">SQRT(252/20) *  SQRT( SUMSQ( LN(U663:U682 / U662:U681) )  - (1/20) * ( SUM( LN(U663:U682 / U662:U681) ) ^ 2 ) )</f>
        <v>0.02004827359</v>
      </c>
      <c r="X684" s="9">
        <f t="shared" si="4"/>
        <v>1.5</v>
      </c>
      <c r="Y684" s="14"/>
      <c r="Z684" s="12">
        <f t="shared" si="5"/>
        <v>1.000659437</v>
      </c>
      <c r="AA684" s="16">
        <f t="shared" si="8"/>
        <v>99.6203477</v>
      </c>
      <c r="AB684" s="14"/>
      <c r="AC684" s="9">
        <f t="shared" si="6"/>
        <v>0</v>
      </c>
    </row>
    <row r="685">
      <c r="A685" s="8">
        <v>42717.0</v>
      </c>
      <c r="B685" s="14"/>
      <c r="C685" s="12">
        <f t="array" ref="C685">IFERROR(
  INDEX(
    IR!$B$2:$E2026,                
    MATCH($A685, IR!$A$2:$A2026, 0), 
    MATCH(C$1, IR!$B$1:$E$1, 0) ), "")
</f>
        <v>-0.00371</v>
      </c>
      <c r="D685" s="12">
        <f t="array" ref="D685">IFERROR(
  INDEX(
    IR!$B$2:$E2026,                
    MATCH($A685, IR!$A$2:$A2026, 0), 
    MATCH(D$1, IR!$B$1:$E$1, 0) ), "")
</f>
        <v>-0.00316</v>
      </c>
      <c r="E685" s="12">
        <f t="array" ref="E685">IFERROR(
  INDEX(
    IR!$B$2:$E2026,                
    MATCH($A685, IR!$A$2:$A2026, 0), 
    MATCH(E$1, IR!$B$1:$E$1, 0) ), "")
</f>
        <v>-0.00218</v>
      </c>
      <c r="F685" s="12">
        <f t="array" ref="F685">IFERROR(
  INDEX(
    IR!$B$2:$E2026,                
    MATCH($A685, IR!$A$2:$A2026, 0), 
    MATCH(F$1, IR!$B$1:$E$1, 0) ), "")
</f>
        <v>-0.00081</v>
      </c>
      <c r="G685" s="25"/>
      <c r="H685" s="12">
        <f t="array" ref="H685">IFERROR(
  INDEX(
    SR!$B$2:$D2026,            
    MATCH($A685, SR!$A$2:$A2026, 0),  
    MATCH(H$1, SR!$B$1:$D$1, 0) ), "")
</f>
        <v>-0.00162</v>
      </c>
      <c r="I685" s="12">
        <f t="array" ref="I685">IFERROR(
  INDEX(
    SR!$B$2:$D2026,            
    MATCH($A685, SR!$A$2:$A2026, 0),  
    MATCH(I$1, SR!$B$1:$D$1, 0) ), "")
</f>
        <v>-0.0009</v>
      </c>
      <c r="J685" s="12">
        <f t="array" ref="J685">IFERROR(
  INDEX(
    SR!$B$2:$D2026,            
    MATCH($A685, SR!$A$2:$A2026, 0),  
    MATCH(J$1, SR!$B$1:$D$1, 0) ), "")
</f>
        <v>0.00131</v>
      </c>
      <c r="K685" s="14"/>
      <c r="L685" s="9">
        <v>117.58</v>
      </c>
      <c r="M685" s="9">
        <v>24.56</v>
      </c>
      <c r="N685" s="9">
        <v>114.53</v>
      </c>
      <c r="O685" s="9">
        <v>117.54</v>
      </c>
      <c r="P685" s="9">
        <v>122.95</v>
      </c>
      <c r="Q685" s="9">
        <v>1393.2388</v>
      </c>
      <c r="R685" s="14"/>
      <c r="S685" s="12">
        <f t="shared" si="2"/>
        <v>-0.000008561555215</v>
      </c>
      <c r="T685" s="12">
        <f t="shared" si="3"/>
        <v>0.9999914384</v>
      </c>
      <c r="U685" s="16">
        <f t="shared" si="7"/>
        <v>99.64188187</v>
      </c>
      <c r="V685" s="17"/>
      <c r="W685" s="12">
        <f t="array" ref="W685">SQRT(252/20) *  SQRT( SUMSQ( LN(U664:U683 / U663:U682) )  - (1/20) * ( SUM( LN(U664:U683 / U663:U682) ) ^ 2 ) )</f>
        <v>0.02118544171</v>
      </c>
      <c r="X685" s="9">
        <f t="shared" si="4"/>
        <v>1.5</v>
      </c>
      <c r="Y685" s="14"/>
      <c r="Z685" s="12">
        <f t="shared" si="5"/>
        <v>0.9999923104</v>
      </c>
      <c r="AA685" s="16">
        <f t="shared" si="8"/>
        <v>99.61958166</v>
      </c>
      <c r="AB685" s="14"/>
      <c r="AC685" s="9">
        <f t="shared" si="6"/>
        <v>0</v>
      </c>
    </row>
    <row r="686">
      <c r="A686" s="8">
        <v>42718.0</v>
      </c>
      <c r="B686" s="14"/>
      <c r="C686" s="12">
        <f t="array" ref="C686">IFERROR(
  INDEX(
    IR!$B$2:$E2026,                
    MATCH($A686, IR!$A$2:$A2026, 0), 
    MATCH(C$1, IR!$B$1:$E$1, 0) ), "")
</f>
        <v>-0.00371</v>
      </c>
      <c r="D686" s="12">
        <f t="array" ref="D686">IFERROR(
  INDEX(
    IR!$B$2:$E2026,                
    MATCH($A686, IR!$A$2:$A2026, 0), 
    MATCH(D$1, IR!$B$1:$E$1, 0) ), "")
</f>
        <v>-0.00316</v>
      </c>
      <c r="E686" s="12">
        <f t="array" ref="E686">IFERROR(
  INDEX(
    IR!$B$2:$E2026,                
    MATCH($A686, IR!$A$2:$A2026, 0), 
    MATCH(E$1, IR!$B$1:$E$1, 0) ), "")
</f>
        <v>-0.00217</v>
      </c>
      <c r="F686" s="12">
        <f t="array" ref="F686">IFERROR(
  INDEX(
    IR!$B$2:$E2026,                
    MATCH($A686, IR!$A$2:$A2026, 0), 
    MATCH(F$1, IR!$B$1:$E$1, 0) ), "")
</f>
        <v>-0.00082</v>
      </c>
      <c r="G686" s="25"/>
      <c r="H686" s="12">
        <f t="array" ref="H686">IFERROR(
  INDEX(
    SR!$B$2:$D2026,            
    MATCH($A686, SR!$A$2:$A2026, 0),  
    MATCH(H$1, SR!$B$1:$D$1, 0) ), "")
</f>
        <v>-0.00167</v>
      </c>
      <c r="I686" s="12">
        <f t="array" ref="I686">IFERROR(
  INDEX(
    SR!$B$2:$D2026,            
    MATCH($A686, SR!$A$2:$A2026, 0),  
    MATCH(I$1, SR!$B$1:$D$1, 0) ), "")
</f>
        <v>-0.00102</v>
      </c>
      <c r="J686" s="12">
        <f t="array" ref="J686">IFERROR(
  INDEX(
    SR!$B$2:$D2026,            
    MATCH($A686, SR!$A$2:$A2026, 0),  
    MATCH(J$1, SR!$B$1:$D$1, 0) ), "")
</f>
        <v>0.00104</v>
      </c>
      <c r="K686" s="14"/>
      <c r="L686" s="9">
        <v>117.62</v>
      </c>
      <c r="M686" s="9">
        <v>24.55</v>
      </c>
      <c r="N686" s="9">
        <v>114.52</v>
      </c>
      <c r="O686" s="9">
        <v>118.15</v>
      </c>
      <c r="P686" s="9">
        <v>123.19</v>
      </c>
      <c r="Q686" s="9">
        <v>1397.188</v>
      </c>
      <c r="R686" s="14"/>
      <c r="S686" s="12">
        <f t="shared" si="2"/>
        <v>0.001636628065</v>
      </c>
      <c r="T686" s="12">
        <f t="shared" si="3"/>
        <v>1.001636628</v>
      </c>
      <c r="U686" s="16">
        <f t="shared" si="7"/>
        <v>99.80495857</v>
      </c>
      <c r="V686" s="17"/>
      <c r="W686" s="12">
        <f t="array" ref="W686">SQRT(252/20) *  SQRT( SUMSQ( LN(U665:U684 / U664:U683) )  - (1/20) * ( SUM( LN(U665:U684 / U664:U683) ) ^ 2 ) )</f>
        <v>0.01904613</v>
      </c>
      <c r="X686" s="9">
        <f t="shared" si="4"/>
        <v>1.5</v>
      </c>
      <c r="Y686" s="14"/>
      <c r="Z686" s="12">
        <f t="shared" si="5"/>
        <v>1.002460095</v>
      </c>
      <c r="AA686" s="16">
        <f t="shared" si="8"/>
        <v>99.86465528</v>
      </c>
      <c r="AB686" s="14"/>
      <c r="AC686" s="9">
        <f t="shared" si="6"/>
        <v>0</v>
      </c>
    </row>
    <row r="687">
      <c r="A687" s="8">
        <v>42719.0</v>
      </c>
      <c r="B687" s="14"/>
      <c r="C687" s="12">
        <f t="array" ref="C687">IFERROR(
  INDEX(
    IR!$B$2:$E2026,                
    MATCH($A687, IR!$A$2:$A2026, 0), 
    MATCH(C$1, IR!$B$1:$E$1, 0) ), "")
</f>
        <v>-0.0037</v>
      </c>
      <c r="D687" s="12">
        <f t="array" ref="D687">IFERROR(
  INDEX(
    IR!$B$2:$E2026,                
    MATCH($A687, IR!$A$2:$A2026, 0), 
    MATCH(D$1, IR!$B$1:$E$1, 0) ), "")
</f>
        <v>-0.00316</v>
      </c>
      <c r="E687" s="12">
        <f t="array" ref="E687">IFERROR(
  INDEX(
    IR!$B$2:$E2026,                
    MATCH($A687, IR!$A$2:$A2026, 0), 
    MATCH(E$1, IR!$B$1:$E$1, 0) ), "")
</f>
        <v>-0.00217</v>
      </c>
      <c r="F687" s="12">
        <f t="array" ref="F687">IFERROR(
  INDEX(
    IR!$B$2:$E2026,                
    MATCH($A687, IR!$A$2:$A2026, 0), 
    MATCH(F$1, IR!$B$1:$E$1, 0) ), "")
</f>
        <v>-0.00081</v>
      </c>
      <c r="G687" s="25"/>
      <c r="H687" s="12">
        <f t="array" ref="H687">IFERROR(
  INDEX(
    SR!$B$2:$D2026,            
    MATCH($A687, SR!$A$2:$A2026, 0),  
    MATCH(H$1, SR!$B$1:$D$1, 0) ), "")
</f>
        <v>-0.00164</v>
      </c>
      <c r="I687" s="12">
        <f t="array" ref="I687">IFERROR(
  INDEX(
    SR!$B$2:$D2026,            
    MATCH($A687, SR!$A$2:$A2026, 0),  
    MATCH(I$1, SR!$B$1:$D$1, 0) ), "")
</f>
        <v>-0.000947</v>
      </c>
      <c r="J687" s="12">
        <f t="array" ref="J687">IFERROR(
  INDEX(
    SR!$B$2:$D2026,            
    MATCH($A687, SR!$A$2:$A2026, 0),  
    MATCH(J$1, SR!$B$1:$D$1, 0) ), "")
</f>
        <v>0.00125</v>
      </c>
      <c r="K687" s="14"/>
      <c r="L687" s="9">
        <v>117.43</v>
      </c>
      <c r="M687" s="9">
        <v>24.57</v>
      </c>
      <c r="N687" s="9">
        <v>114.51</v>
      </c>
      <c r="O687" s="9">
        <v>117.95</v>
      </c>
      <c r="P687" s="9">
        <v>123.06</v>
      </c>
      <c r="Q687" s="9">
        <v>1394.6488</v>
      </c>
      <c r="R687" s="14"/>
      <c r="S687" s="12">
        <f t="shared" si="2"/>
        <v>-0.0009087243517</v>
      </c>
      <c r="T687" s="12">
        <f t="shared" si="3"/>
        <v>0.9990912756</v>
      </c>
      <c r="U687" s="16">
        <f t="shared" si="7"/>
        <v>99.71426338</v>
      </c>
      <c r="V687" s="17"/>
      <c r="W687" s="12">
        <f t="array" ref="W687">SQRT(252/20) *  SQRT( SUMSQ( LN(U666:U685 / U665:U684) )  - (1/20) * ( SUM( LN(U666:U685 / U665:U684) ) ^ 2 ) )</f>
        <v>0.01885293826</v>
      </c>
      <c r="X687" s="9">
        <f t="shared" si="4"/>
        <v>1.5</v>
      </c>
      <c r="Y687" s="14"/>
      <c r="Z687" s="12">
        <f t="shared" si="5"/>
        <v>0.9986420663</v>
      </c>
      <c r="AA687" s="16">
        <f t="shared" si="8"/>
        <v>99.7290457</v>
      </c>
      <c r="AB687" s="14"/>
      <c r="AC687" s="9">
        <f t="shared" si="6"/>
        <v>0</v>
      </c>
    </row>
    <row r="688">
      <c r="A688" s="8">
        <v>42720.0</v>
      </c>
      <c r="B688" s="14"/>
      <c r="C688" s="12">
        <f t="array" ref="C688">IFERROR(
  INDEX(
    IR!$B$2:$E2026,                
    MATCH($A688, IR!$A$2:$A2026, 0), 
    MATCH(C$1, IR!$B$1:$E$1, 0) ), "")
</f>
        <v>-0.00372</v>
      </c>
      <c r="D688" s="12">
        <f t="array" ref="D688">IFERROR(
  INDEX(
    IR!$B$2:$E2026,                
    MATCH($A688, IR!$A$2:$A2026, 0), 
    MATCH(D$1, IR!$B$1:$E$1, 0) ), "")
</f>
        <v>-0.00314</v>
      </c>
      <c r="E688" s="12">
        <f t="array" ref="E688">IFERROR(
  INDEX(
    IR!$B$2:$E2026,                
    MATCH($A688, IR!$A$2:$A2026, 0), 
    MATCH(E$1, IR!$B$1:$E$1, 0) ), "")
</f>
        <v>-0.00216</v>
      </c>
      <c r="F688" s="12">
        <f t="array" ref="F688">IFERROR(
  INDEX(
    IR!$B$2:$E2026,                
    MATCH($A688, IR!$A$2:$A2026, 0), 
    MATCH(F$1, IR!$B$1:$E$1, 0) ), "")
</f>
        <v>-0.00081</v>
      </c>
      <c r="G688" s="25"/>
      <c r="H688" s="12">
        <f t="array" ref="H688">IFERROR(
  INDEX(
    SR!$B$2:$D2026,            
    MATCH($A688, SR!$A$2:$A2026, 0),  
    MATCH(H$1, SR!$B$1:$D$1, 0) ), "")
</f>
        <v>-0.00159</v>
      </c>
      <c r="I688" s="12">
        <f t="array" ref="I688">IFERROR(
  INDEX(
    SR!$B$2:$D2026,            
    MATCH($A688, SR!$A$2:$A2026, 0),  
    MATCH(I$1, SR!$B$1:$D$1, 0) ), "")
</f>
        <v>-0.000918</v>
      </c>
      <c r="J688" s="12">
        <f t="array" ref="J688">IFERROR(
  INDEX(
    SR!$B$2:$D2026,            
    MATCH($A688, SR!$A$2:$A2026, 0),  
    MATCH(J$1, SR!$B$1:$D$1, 0) ), "")
</f>
        <v>0.00122</v>
      </c>
      <c r="K688" s="14"/>
      <c r="L688" s="9">
        <v>117.7</v>
      </c>
      <c r="M688" s="9">
        <v>24.57</v>
      </c>
      <c r="N688" s="9">
        <v>114.51</v>
      </c>
      <c r="O688" s="9">
        <v>118.42</v>
      </c>
      <c r="P688" s="9">
        <v>123.33</v>
      </c>
      <c r="Q688" s="9">
        <v>1392.3032</v>
      </c>
      <c r="R688" s="14"/>
      <c r="S688" s="12">
        <f t="shared" si="2"/>
        <v>0.001132074731</v>
      </c>
      <c r="T688" s="12">
        <f t="shared" si="3"/>
        <v>1.001132075</v>
      </c>
      <c r="U688" s="16">
        <f t="shared" si="7"/>
        <v>99.82714737</v>
      </c>
      <c r="V688" s="17"/>
      <c r="W688" s="12">
        <f t="array" ref="W688">SQRT(252/20) *  SQRT( SUMSQ( LN(U667:U686 / U666:U685) )  - (1/20) * ( SUM( LN(U667:U686 / U666:U685) ) ^ 2 ) )</f>
        <v>0.01932508524</v>
      </c>
      <c r="X688" s="9">
        <f t="shared" si="4"/>
        <v>1.5</v>
      </c>
      <c r="Y688" s="14"/>
      <c r="Z688" s="12">
        <f t="shared" si="5"/>
        <v>1.001703251</v>
      </c>
      <c r="AA688" s="16">
        <f t="shared" si="8"/>
        <v>99.89890929</v>
      </c>
      <c r="AB688" s="14"/>
      <c r="AC688" s="9">
        <f t="shared" si="6"/>
        <v>0</v>
      </c>
    </row>
    <row r="689">
      <c r="A689" s="8">
        <v>42723.0</v>
      </c>
      <c r="B689" s="14"/>
      <c r="C689" s="12">
        <f t="array" ref="C689">IFERROR(
  INDEX(
    IR!$B$2:$E2026,                
    MATCH($A689, IR!$A$2:$A2026, 0), 
    MATCH(C$1, IR!$B$1:$E$1, 0) ), "")
</f>
        <v>-0.00371</v>
      </c>
      <c r="D689" s="12">
        <f t="array" ref="D689">IFERROR(
  INDEX(
    IR!$B$2:$E2026,                
    MATCH($A689, IR!$A$2:$A2026, 0), 
    MATCH(D$1, IR!$B$1:$E$1, 0) ), "")
</f>
        <v>-0.00313</v>
      </c>
      <c r="E689" s="12">
        <f t="array" ref="E689">IFERROR(
  INDEX(
    IR!$B$2:$E2026,                
    MATCH($A689, IR!$A$2:$A2026, 0), 
    MATCH(E$1, IR!$B$1:$E$1, 0) ), "")
</f>
        <v>-0.00216</v>
      </c>
      <c r="F689" s="12">
        <f t="array" ref="F689">IFERROR(
  INDEX(
    IR!$B$2:$E2026,                
    MATCH($A689, IR!$A$2:$A2026, 0), 
    MATCH(F$1, IR!$B$1:$E$1, 0) ), "")
</f>
        <v>-0.00081</v>
      </c>
      <c r="G689" s="25"/>
      <c r="H689" s="12">
        <f t="array" ref="H689">IFERROR(
  INDEX(
    SR!$B$2:$D2026,            
    MATCH($A689, SR!$A$2:$A2026, 0),  
    MATCH(H$1, SR!$B$1:$D$1, 0) ), "")
</f>
        <v>-0.00157</v>
      </c>
      <c r="I689" s="12">
        <f t="array" ref="I689">IFERROR(
  INDEX(
    SR!$B$2:$D2026,            
    MATCH($A689, SR!$A$2:$A2026, 0),  
    MATCH(I$1, SR!$B$1:$D$1, 0) ), "")
</f>
        <v>-0.001027</v>
      </c>
      <c r="J689" s="12">
        <f t="array" ref="J689">IFERROR(
  INDEX(
    SR!$B$2:$D2026,            
    MATCH($A689, SR!$A$2:$A2026, 0),  
    MATCH(J$1, SR!$B$1:$D$1, 0) ), "")
</f>
        <v>0.00094</v>
      </c>
      <c r="K689" s="14"/>
      <c r="L689" s="9">
        <v>117.68</v>
      </c>
      <c r="M689" s="9">
        <v>24.57</v>
      </c>
      <c r="N689" s="9">
        <v>114.54</v>
      </c>
      <c r="O689" s="9">
        <v>118.33</v>
      </c>
      <c r="P689" s="9">
        <v>123.51</v>
      </c>
      <c r="Q689" s="9">
        <v>1391.3093</v>
      </c>
      <c r="R689" s="14"/>
      <c r="S689" s="12">
        <f t="shared" si="2"/>
        <v>0.00001287365729</v>
      </c>
      <c r="T689" s="12">
        <f t="shared" si="3"/>
        <v>1.000012874</v>
      </c>
      <c r="U689" s="16">
        <f t="shared" si="7"/>
        <v>99.82843251</v>
      </c>
      <c r="V689" s="17"/>
      <c r="W689" s="12">
        <f t="array" ref="W689">SQRT(252/20) *  SQRT( SUMSQ( LN(U668:U687 / U667:U686) )  - (1/20) * ( SUM( LN(U668:U687 / U667:U686) ) ^ 2 ) )</f>
        <v>0.01956164381</v>
      </c>
      <c r="X689" s="9">
        <f t="shared" si="4"/>
        <v>1.5</v>
      </c>
      <c r="Y689" s="14"/>
      <c r="Z689" s="12">
        <f t="shared" si="5"/>
        <v>1.00003481</v>
      </c>
      <c r="AA689" s="16">
        <f t="shared" si="8"/>
        <v>99.90238682</v>
      </c>
      <c r="AB689" s="14"/>
      <c r="AC689" s="9">
        <f t="shared" si="6"/>
        <v>0</v>
      </c>
    </row>
    <row r="690">
      <c r="A690" s="8">
        <v>42724.0</v>
      </c>
      <c r="B690" s="14"/>
      <c r="C690" s="12">
        <f t="array" ref="C690">IFERROR(
  INDEX(
    IR!$B$2:$E2026,                
    MATCH($A690, IR!$A$2:$A2026, 0), 
    MATCH(C$1, IR!$B$1:$E$1, 0) ), "")
</f>
        <v>-0.00371</v>
      </c>
      <c r="D690" s="12">
        <f t="array" ref="D690">IFERROR(
  INDEX(
    IR!$B$2:$E2026,                
    MATCH($A690, IR!$A$2:$A2026, 0), 
    MATCH(D$1, IR!$B$1:$E$1, 0) ), "")
</f>
        <v>-0.00313</v>
      </c>
      <c r="E690" s="12">
        <f t="array" ref="E690">IFERROR(
  INDEX(
    IR!$B$2:$E2026,                
    MATCH($A690, IR!$A$2:$A2026, 0), 
    MATCH(E$1, IR!$B$1:$E$1, 0) ), "")
</f>
        <v>-0.00218</v>
      </c>
      <c r="F690" s="12">
        <f t="array" ref="F690">IFERROR(
  INDEX(
    IR!$B$2:$E2026,                
    MATCH($A690, IR!$A$2:$A2026, 0), 
    MATCH(F$1, IR!$B$1:$E$1, 0) ), "")
</f>
        <v>-0.00081</v>
      </c>
      <c r="G690" s="25"/>
      <c r="H690" s="12">
        <f t="array" ref="H690">IFERROR(
  INDEX(
    SR!$B$2:$D2026,            
    MATCH($A690, SR!$A$2:$A2026, 0),  
    MATCH(H$1, SR!$B$1:$D$1, 0) ), "")
</f>
        <v>-0.001584</v>
      </c>
      <c r="I690" s="12">
        <f t="array" ref="I690">IFERROR(
  INDEX(
    SR!$B$2:$D2026,            
    MATCH($A690, SR!$A$2:$A2026, 0),  
    MATCH(I$1, SR!$B$1:$D$1, 0) ), "")
</f>
        <v>-0.000954</v>
      </c>
      <c r="J690" s="12">
        <f t="array" ref="J690">IFERROR(
  INDEX(
    SR!$B$2:$D2026,            
    MATCH($A690, SR!$A$2:$A2026, 0),  
    MATCH(J$1, SR!$B$1:$D$1, 0) ), "")
</f>
        <v>0.0011</v>
      </c>
      <c r="K690" s="14"/>
      <c r="L690" s="9">
        <v>117.71</v>
      </c>
      <c r="M690" s="9">
        <v>24.58</v>
      </c>
      <c r="N690" s="9">
        <v>114.56</v>
      </c>
      <c r="O690" s="9">
        <v>118.44</v>
      </c>
      <c r="P690" s="9">
        <v>123.61</v>
      </c>
      <c r="Q690" s="9">
        <v>1392.4012</v>
      </c>
      <c r="R690" s="14"/>
      <c r="S690" s="12">
        <f t="shared" si="2"/>
        <v>0.0005599536969</v>
      </c>
      <c r="T690" s="12">
        <f t="shared" si="3"/>
        <v>1.000559954</v>
      </c>
      <c r="U690" s="16">
        <f t="shared" si="7"/>
        <v>99.88433181</v>
      </c>
      <c r="V690" s="17"/>
      <c r="W690" s="12">
        <f t="array" ref="W690">SQRT(252/20) *  SQRT( SUMSQ( LN(U669:U688 / U668:U687) )  - (1/20) * ( SUM( LN(U669:U688 / U668:U687) ) ^ 2 ) )</f>
        <v>0.01970464601</v>
      </c>
      <c r="X690" s="9">
        <f t="shared" si="4"/>
        <v>1.5</v>
      </c>
      <c r="Y690" s="14"/>
      <c r="Z690" s="12">
        <f t="shared" si="5"/>
        <v>1.000845083</v>
      </c>
      <c r="AA690" s="16">
        <f t="shared" si="8"/>
        <v>99.98681266</v>
      </c>
      <c r="AB690" s="14"/>
      <c r="AC690" s="9">
        <f t="shared" si="6"/>
        <v>0</v>
      </c>
    </row>
    <row r="691">
      <c r="A691" s="8">
        <v>42725.0</v>
      </c>
      <c r="B691" s="14"/>
      <c r="C691" s="12">
        <f t="array" ref="C691">IFERROR(
  INDEX(
    IR!$B$2:$E2026,                
    MATCH($A691, IR!$A$2:$A2026, 0), 
    MATCH(C$1, IR!$B$1:$E$1, 0) ), "")
</f>
        <v>-0.00369</v>
      </c>
      <c r="D691" s="12">
        <f t="array" ref="D691">IFERROR(
  INDEX(
    IR!$B$2:$E2026,                
    MATCH($A691, IR!$A$2:$A2026, 0), 
    MATCH(D$1, IR!$B$1:$E$1, 0) ), "")
</f>
        <v>-0.00315</v>
      </c>
      <c r="E691" s="12">
        <f t="array" ref="E691">IFERROR(
  INDEX(
    IR!$B$2:$E2026,                
    MATCH($A691, IR!$A$2:$A2026, 0), 
    MATCH(E$1, IR!$B$1:$E$1, 0) ), "")
</f>
        <v>-0.00216</v>
      </c>
      <c r="F691" s="12">
        <f t="array" ref="F691">IFERROR(
  INDEX(
    IR!$B$2:$E2026,                
    MATCH($A691, IR!$A$2:$A2026, 0), 
    MATCH(F$1, IR!$B$1:$E$1, 0) ), "")
</f>
        <v>-0.00082</v>
      </c>
      <c r="G691" s="25"/>
      <c r="H691" s="12">
        <f t="array" ref="H691">IFERROR(
  INDEX(
    SR!$B$2:$D2026,            
    MATCH($A691, SR!$A$2:$A2026, 0),  
    MATCH(H$1, SR!$B$1:$D$1, 0) ), "")
</f>
        <v>-0.00153</v>
      </c>
      <c r="I691" s="12">
        <f t="array" ref="I691">IFERROR(
  INDEX(
    SR!$B$2:$D2026,            
    MATCH($A691, SR!$A$2:$A2026, 0),  
    MATCH(I$1, SR!$B$1:$D$1, 0) ), "")
</f>
        <v>-0.000922</v>
      </c>
      <c r="J691" s="12">
        <f t="array" ref="J691">IFERROR(
  INDEX(
    SR!$B$2:$D2026,            
    MATCH($A691, SR!$A$2:$A2026, 0),  
    MATCH(J$1, SR!$B$1:$D$1, 0) ), "")
</f>
        <v>0.00103</v>
      </c>
      <c r="K691" s="14"/>
      <c r="L691" s="9">
        <v>117.76</v>
      </c>
      <c r="M691" s="9">
        <v>24.57</v>
      </c>
      <c r="N691" s="9">
        <v>114.55</v>
      </c>
      <c r="O691" s="9">
        <v>118.77</v>
      </c>
      <c r="P691" s="9">
        <v>123.81</v>
      </c>
      <c r="Q691" s="9">
        <v>1392.4932</v>
      </c>
      <c r="R691" s="14"/>
      <c r="S691" s="12">
        <f t="shared" si="2"/>
        <v>0.0007332020905</v>
      </c>
      <c r="T691" s="12">
        <f t="shared" si="3"/>
        <v>1.000733202</v>
      </c>
      <c r="U691" s="16">
        <f t="shared" si="7"/>
        <v>99.95756721</v>
      </c>
      <c r="V691" s="17"/>
      <c r="W691" s="12">
        <f t="array" ref="W691">SQRT(252/20) *  SQRT( SUMSQ( LN(U670:U689 / U669:U688) )  - (1/20) * ( SUM( LN(U670:U689 / U669:U688) ) ^ 2 ) )</f>
        <v>0.01964167478</v>
      </c>
      <c r="X691" s="9">
        <f t="shared" si="4"/>
        <v>1.5</v>
      </c>
      <c r="Y691" s="14"/>
      <c r="Z691" s="12">
        <f t="shared" si="5"/>
        <v>1.001104956</v>
      </c>
      <c r="AA691" s="16">
        <f t="shared" si="8"/>
        <v>100.0972937</v>
      </c>
      <c r="AB691" s="14"/>
      <c r="AC691" s="9">
        <f t="shared" si="6"/>
        <v>0</v>
      </c>
    </row>
    <row r="692">
      <c r="A692" s="8">
        <v>42726.0</v>
      </c>
      <c r="B692" s="14"/>
      <c r="C692" s="12">
        <f t="array" ref="C692">IFERROR(
  INDEX(
    IR!$B$2:$E2026,                
    MATCH($A692, IR!$A$2:$A2026, 0), 
    MATCH(C$1, IR!$B$1:$E$1, 0) ), "")
</f>
        <v>-0.00369</v>
      </c>
      <c r="D692" s="12">
        <f t="array" ref="D692">IFERROR(
  INDEX(
    IR!$B$2:$E2026,                
    MATCH($A692, IR!$A$2:$A2026, 0), 
    MATCH(D$1, IR!$B$1:$E$1, 0) ), "")
</f>
        <v>-0.00316</v>
      </c>
      <c r="E692" s="12">
        <f t="array" ref="E692">IFERROR(
  INDEX(
    IR!$B$2:$E2026,                
    MATCH($A692, IR!$A$2:$A2026, 0), 
    MATCH(E$1, IR!$B$1:$E$1, 0) ), "")
</f>
        <v>-0.00216</v>
      </c>
      <c r="F692" s="12">
        <f t="array" ref="F692">IFERROR(
  INDEX(
    IR!$B$2:$E2026,                
    MATCH($A692, IR!$A$2:$A2026, 0), 
    MATCH(F$1, IR!$B$1:$E$1, 0) ), "")
</f>
        <v>-0.00082</v>
      </c>
      <c r="G692" s="25"/>
      <c r="H692" s="12">
        <f t="array" ref="H692">IFERROR(
  INDEX(
    SR!$B$2:$D2026,            
    MATCH($A692, SR!$A$2:$A2026, 0),  
    MATCH(H$1, SR!$B$1:$D$1, 0) ), "")
</f>
        <v>-0.00145</v>
      </c>
      <c r="I692" s="12">
        <f t="array" ref="I692">IFERROR(
  INDEX(
    SR!$B$2:$D2026,            
    MATCH($A692, SR!$A$2:$A2026, 0),  
    MATCH(I$1, SR!$B$1:$D$1, 0) ), "")
</f>
        <v>-0.0008</v>
      </c>
      <c r="J692" s="12">
        <f t="array" ref="J692">IFERROR(
  INDEX(
    SR!$B$2:$D2026,            
    MATCH($A692, SR!$A$2:$A2026, 0),  
    MATCH(J$1, SR!$B$1:$D$1, 0) ), "")
</f>
        <v>0.0012</v>
      </c>
      <c r="K692" s="14"/>
      <c r="L692" s="9">
        <v>117.76</v>
      </c>
      <c r="M692" s="9">
        <v>24.55</v>
      </c>
      <c r="N692" s="9">
        <v>114.53</v>
      </c>
      <c r="O692" s="9">
        <v>118.66</v>
      </c>
      <c r="P692" s="9">
        <v>123.68</v>
      </c>
      <c r="Q692" s="9">
        <v>1392.7393</v>
      </c>
      <c r="R692" s="14"/>
      <c r="S692" s="12">
        <f t="shared" si="2"/>
        <v>-0.00046446637</v>
      </c>
      <c r="T692" s="12">
        <f t="shared" si="3"/>
        <v>0.9995355336</v>
      </c>
      <c r="U692" s="16">
        <f t="shared" si="7"/>
        <v>99.91114029</v>
      </c>
      <c r="V692" s="17"/>
      <c r="W692" s="12">
        <f t="array" ref="W692">SQRT(252/20) *  SQRT( SUMSQ( LN(U671:U690 / U670:U689) )  - (1/20) * ( SUM( LN(U671:U690 / U670:U689) ) ^ 2 ) )</f>
        <v>0.01964672362</v>
      </c>
      <c r="X692" s="9">
        <f t="shared" si="4"/>
        <v>1.5</v>
      </c>
      <c r="Y692" s="14"/>
      <c r="Z692" s="12">
        <f t="shared" si="5"/>
        <v>0.9993084254</v>
      </c>
      <c r="AA692" s="16">
        <f t="shared" si="8"/>
        <v>100.0280689</v>
      </c>
      <c r="AB692" s="14"/>
      <c r="AC692" s="9">
        <f t="shared" si="6"/>
        <v>0</v>
      </c>
    </row>
    <row r="693">
      <c r="A693" s="8">
        <v>42727.0</v>
      </c>
      <c r="B693" s="14"/>
      <c r="C693" s="12">
        <f t="array" ref="C693">IFERROR(
  INDEX(
    IR!$B$2:$E2026,                
    MATCH($A693, IR!$A$2:$A2026, 0), 
    MATCH(C$1, IR!$B$1:$E$1, 0) ), "")
</f>
        <v>-0.00369</v>
      </c>
      <c r="D693" s="12">
        <f t="array" ref="D693">IFERROR(
  INDEX(
    IR!$B$2:$E2026,                
    MATCH($A693, IR!$A$2:$A2026, 0), 
    MATCH(D$1, IR!$B$1:$E$1, 0) ), "")
</f>
        <v>-0.00317</v>
      </c>
      <c r="E693" s="12">
        <f t="array" ref="E693">IFERROR(
  INDEX(
    IR!$B$2:$E2026,                
    MATCH($A693, IR!$A$2:$A2026, 0), 
    MATCH(E$1, IR!$B$1:$E$1, 0) ), "")
</f>
        <v>-0.00217</v>
      </c>
      <c r="F693" s="12">
        <f t="array" ref="F693">IFERROR(
  INDEX(
    IR!$B$2:$E2026,                
    MATCH($A693, IR!$A$2:$A2026, 0), 
    MATCH(F$1, IR!$B$1:$E$1, 0) ), "")
</f>
        <v>-0.00082</v>
      </c>
      <c r="G693" s="25"/>
      <c r="H693" s="12">
        <f t="array" ref="H693">IFERROR(
  INDEX(
    SR!$B$2:$D2026,            
    MATCH($A693, SR!$A$2:$A2026, 0),  
    MATCH(H$1, SR!$B$1:$D$1, 0) ), "")
</f>
        <v>-0.00143</v>
      </c>
      <c r="I693" s="12">
        <f t="array" ref="I693">IFERROR(
  INDEX(
    SR!$B$2:$D2026,            
    MATCH($A693, SR!$A$2:$A2026, 0),  
    MATCH(I$1, SR!$B$1:$D$1, 0) ), "")
</f>
        <v>-0.0008</v>
      </c>
      <c r="J693" s="12">
        <f t="array" ref="J693">IFERROR(
  INDEX(
    SR!$B$2:$D2026,            
    MATCH($A693, SR!$A$2:$A2026, 0),  
    MATCH(J$1, SR!$B$1:$D$1, 0) ), "")
</f>
        <v>0.00108</v>
      </c>
      <c r="K693" s="14"/>
      <c r="L693" s="9">
        <v>117.94</v>
      </c>
      <c r="M693" s="9">
        <v>24.54</v>
      </c>
      <c r="N693" s="9">
        <v>114.54</v>
      </c>
      <c r="O693" s="9">
        <v>118.49</v>
      </c>
      <c r="P693" s="9">
        <v>123.6</v>
      </c>
      <c r="Q693" s="9">
        <v>1391.5134</v>
      </c>
      <c r="R693" s="14"/>
      <c r="S693" s="12">
        <f t="shared" si="2"/>
        <v>-0.0002918361231</v>
      </c>
      <c r="T693" s="12">
        <f t="shared" si="3"/>
        <v>0.9997081639</v>
      </c>
      <c r="U693" s="16">
        <f t="shared" si="7"/>
        <v>99.88198261</v>
      </c>
      <c r="V693" s="17"/>
      <c r="W693" s="12">
        <f t="array" ref="W693">SQRT(252/20) *  SQRT( SUMSQ( LN(U672:U691 / U671:U690) )  - (1/20) * ( SUM( LN(U672:U691 / U671:U690) ) ^ 2 ) )</f>
        <v>0.01961676852</v>
      </c>
      <c r="X693" s="9">
        <f t="shared" si="4"/>
        <v>1.5</v>
      </c>
      <c r="Y693" s="14"/>
      <c r="Z693" s="12">
        <f t="shared" si="5"/>
        <v>0.9995673708</v>
      </c>
      <c r="AA693" s="16">
        <f t="shared" si="8"/>
        <v>99.98479388</v>
      </c>
      <c r="AB693" s="14"/>
      <c r="AC693" s="9">
        <f t="shared" si="6"/>
        <v>0</v>
      </c>
    </row>
    <row r="694">
      <c r="A694" s="8">
        <v>42731.0</v>
      </c>
      <c r="B694" s="14"/>
      <c r="C694" s="12">
        <f t="array" ref="C694">IFERROR(
  INDEX(
    IR!$B$2:$E2026,                
    MATCH($A694, IR!$A$2:$A2026, 0), 
    MATCH(C$1, IR!$B$1:$E$1, 0) ), "")
</f>
        <v>-0.00369</v>
      </c>
      <c r="D694" s="12">
        <f t="array" ref="D694">IFERROR(
  INDEX(
    IR!$B$2:$E2026,                
    MATCH($A694, IR!$A$2:$A2026, 0), 
    MATCH(D$1, IR!$B$1:$E$1, 0) ), "")
</f>
        <v>-0.00318</v>
      </c>
      <c r="E694" s="12">
        <f t="array" ref="E694">IFERROR(
  INDEX(
    IR!$B$2:$E2026,                
    MATCH($A694, IR!$A$2:$A2026, 0), 
    MATCH(E$1, IR!$B$1:$E$1, 0) ), "")
</f>
        <v>-0.0022</v>
      </c>
      <c r="F694" s="12">
        <f t="array" ref="F694">IFERROR(
  INDEX(
    IR!$B$2:$E2026,                
    MATCH($A694, IR!$A$2:$A2026, 0), 
    MATCH(F$1, IR!$B$1:$E$1, 0) ), "")
</f>
        <v>-0.00081</v>
      </c>
      <c r="G694" s="25"/>
      <c r="H694" s="12">
        <f t="array" ref="H694">IFERROR(
  INDEX(
    SR!$B$2:$D2026,            
    MATCH($A694, SR!$A$2:$A2026, 0),  
    MATCH(H$1, SR!$B$1:$D$1, 0) ), "")
</f>
        <v>-0.0015</v>
      </c>
      <c r="I694" s="12">
        <f t="array" ref="I694">IFERROR(
  INDEX(
    SR!$B$2:$D2026,            
    MATCH($A694, SR!$A$2:$A2026, 0),  
    MATCH(I$1, SR!$B$1:$D$1, 0) ), "")
</f>
        <v>-0.000922</v>
      </c>
      <c r="J694" s="12">
        <f t="array" ref="J694">IFERROR(
  INDEX(
    SR!$B$2:$D2026,            
    MATCH($A694, SR!$A$2:$A2026, 0),  
    MATCH(J$1, SR!$B$1:$D$1, 0) ), "")
</f>
        <v>0.0008</v>
      </c>
      <c r="K694" s="14"/>
      <c r="L694" s="9">
        <v>118.03</v>
      </c>
      <c r="M694" s="9">
        <v>24.55</v>
      </c>
      <c r="N694" s="9">
        <v>114.58</v>
      </c>
      <c r="O694" s="9">
        <v>118.47</v>
      </c>
      <c r="P694" s="9">
        <v>123.64</v>
      </c>
      <c r="Q694" s="23">
        <v>1391.5134</v>
      </c>
      <c r="R694" s="14"/>
      <c r="S694" s="12">
        <f t="shared" si="2"/>
        <v>0.0002789974902</v>
      </c>
      <c r="T694" s="12">
        <f t="shared" si="3"/>
        <v>1.000278997</v>
      </c>
      <c r="U694" s="16">
        <f t="shared" si="7"/>
        <v>99.90984943</v>
      </c>
      <c r="V694" s="17"/>
      <c r="W694" s="12">
        <f t="array" ref="W694">SQRT(252/20) *  SQRT( SUMSQ( LN(U673:U692 / U672:U691) )  - (1/20) * ( SUM( LN(U673:U692 / U672:U691) ) ^ 2 ) )</f>
        <v>0.01942345487</v>
      </c>
      <c r="X694" s="9">
        <f t="shared" si="4"/>
        <v>1.5</v>
      </c>
      <c r="Y694" s="14"/>
      <c r="Z694" s="12">
        <f t="shared" si="5"/>
        <v>1.000438996</v>
      </c>
      <c r="AA694" s="16">
        <f t="shared" si="8"/>
        <v>100.0286868</v>
      </c>
      <c r="AB694" s="14"/>
      <c r="AC694" s="9">
        <f t="shared" si="6"/>
        <v>0</v>
      </c>
    </row>
    <row r="695">
      <c r="A695" s="8">
        <v>42732.0</v>
      </c>
      <c r="B695" s="14"/>
      <c r="C695" s="12">
        <f t="array" ref="C695">IFERROR(
  INDEX(
    IR!$B$2:$E2026,                
    MATCH($A695, IR!$A$2:$A2026, 0), 
    MATCH(C$1, IR!$B$1:$E$1, 0) ), "")
</f>
        <v>-0.00366</v>
      </c>
      <c r="D695" s="12">
        <f t="array" ref="D695">IFERROR(
  INDEX(
    IR!$B$2:$E2026,                
    MATCH($A695, IR!$A$2:$A2026, 0), 
    MATCH(D$1, IR!$B$1:$E$1, 0) ), "")
</f>
        <v>-0.00319</v>
      </c>
      <c r="E695" s="12">
        <f t="array" ref="E695">IFERROR(
  INDEX(
    IR!$B$2:$E2026,                
    MATCH($A695, IR!$A$2:$A2026, 0), 
    MATCH(E$1, IR!$B$1:$E$1, 0) ), "")
</f>
        <v>-0.00221</v>
      </c>
      <c r="F695" s="12">
        <f t="array" ref="F695">IFERROR(
  INDEX(
    IR!$B$2:$E2026,                
    MATCH($A695, IR!$A$2:$A2026, 0), 
    MATCH(F$1, IR!$B$1:$E$1, 0) ), "")
</f>
        <v>-0.00082</v>
      </c>
      <c r="G695" s="25"/>
      <c r="H695" s="12">
        <f t="array" ref="H695">IFERROR(
  INDEX(
    SR!$B$2:$D2026,            
    MATCH($A695, SR!$A$2:$A2026, 0),  
    MATCH(H$1, SR!$B$1:$D$1, 0) ), "")
</f>
        <v>-0.00151</v>
      </c>
      <c r="I695" s="12">
        <f t="array" ref="I695">IFERROR(
  INDEX(
    SR!$B$2:$D2026,            
    MATCH($A695, SR!$A$2:$A2026, 0),  
    MATCH(I$1, SR!$B$1:$D$1, 0) ), "")
</f>
        <v>-0.00093</v>
      </c>
      <c r="J695" s="12">
        <f t="array" ref="J695">IFERROR(
  INDEX(
    SR!$B$2:$D2026,            
    MATCH($A695, SR!$A$2:$A2026, 0),  
    MATCH(J$1, SR!$B$1:$D$1, 0) ), "")
</f>
        <v>0.00095</v>
      </c>
      <c r="K695" s="14"/>
      <c r="L695" s="9">
        <v>117.98</v>
      </c>
      <c r="M695" s="9">
        <v>24.57</v>
      </c>
      <c r="N695" s="9">
        <v>114.66</v>
      </c>
      <c r="O695" s="9">
        <v>118.51</v>
      </c>
      <c r="P695" s="9">
        <v>123.78</v>
      </c>
      <c r="Q695" s="9">
        <v>1394.4962</v>
      </c>
      <c r="R695" s="14"/>
      <c r="S695" s="12">
        <f t="shared" si="2"/>
        <v>0.0007836955456</v>
      </c>
      <c r="T695" s="12">
        <f t="shared" si="3"/>
        <v>1.000783696</v>
      </c>
      <c r="U695" s="16">
        <f t="shared" si="7"/>
        <v>99.98814833</v>
      </c>
      <c r="V695" s="17"/>
      <c r="W695" s="12">
        <f t="array" ref="W695">SQRT(252/20) *  SQRT( SUMSQ( LN(U674:U693 / U673:U692) )  - (1/20) * ( SUM( LN(U674:U693 / U673:U692) ) ^ 2 ) )</f>
        <v>0.01960432967</v>
      </c>
      <c r="X695" s="9">
        <f t="shared" si="4"/>
        <v>1.5</v>
      </c>
      <c r="Y695" s="14"/>
      <c r="Z695" s="12">
        <f t="shared" si="5"/>
        <v>1.001180668</v>
      </c>
      <c r="AA695" s="16">
        <f t="shared" si="8"/>
        <v>100.1467875</v>
      </c>
      <c r="AB695" s="14"/>
      <c r="AC695" s="9">
        <f t="shared" si="6"/>
        <v>0</v>
      </c>
    </row>
    <row r="696">
      <c r="A696" s="8">
        <v>42733.0</v>
      </c>
      <c r="B696" s="14"/>
      <c r="C696" s="12">
        <f t="array" ref="C696">IFERROR(
  INDEX(
    IR!$B$2:$E2026,                
    MATCH($A696, IR!$A$2:$A2026, 0), 
    MATCH(C$1, IR!$B$1:$E$1, 0) ), "")
</f>
        <v>-0.00368</v>
      </c>
      <c r="D696" s="12">
        <f t="array" ref="D696">IFERROR(
  INDEX(
    IR!$B$2:$E2026,                
    MATCH($A696, IR!$A$2:$A2026, 0), 
    MATCH(D$1, IR!$B$1:$E$1, 0) ), "")
</f>
        <v>-0.00319</v>
      </c>
      <c r="E696" s="12">
        <f t="array" ref="E696">IFERROR(
  INDEX(
    IR!$B$2:$E2026,                
    MATCH($A696, IR!$A$2:$A2026, 0), 
    MATCH(E$1, IR!$B$1:$E$1, 0) ), "")
</f>
        <v>-0.00221</v>
      </c>
      <c r="F696" s="12">
        <f t="array" ref="F696">IFERROR(
  INDEX(
    IR!$B$2:$E2026,                
    MATCH($A696, IR!$A$2:$A2026, 0), 
    MATCH(F$1, IR!$B$1:$E$1, 0) ), "")
</f>
        <v>-0.00081</v>
      </c>
      <c r="G696" s="25"/>
      <c r="H696" s="12">
        <f t="array" ref="H696">IFERROR(
  INDEX(
    SR!$B$2:$D2026,            
    MATCH($A696, SR!$A$2:$A2026, 0),  
    MATCH(H$1, SR!$B$1:$D$1, 0) ), "")
</f>
        <v>-0.0016</v>
      </c>
      <c r="I696" s="12">
        <f t="array" ref="I696">IFERROR(
  INDEX(
    SR!$B$2:$D2026,            
    MATCH($A696, SR!$A$2:$A2026, 0),  
    MATCH(I$1, SR!$B$1:$D$1, 0) ), "")
</f>
        <v>-0.00103</v>
      </c>
      <c r="J696" s="12">
        <f t="array" ref="J696">IFERROR(
  INDEX(
    SR!$B$2:$D2026,            
    MATCH($A696, SR!$A$2:$A2026, 0),  
    MATCH(J$1, SR!$B$1:$D$1, 0) ), "")
</f>
        <v>0.00078</v>
      </c>
      <c r="K696" s="14"/>
      <c r="L696" s="9">
        <v>118.11</v>
      </c>
      <c r="M696" s="9">
        <v>24.54</v>
      </c>
      <c r="N696" s="9">
        <v>114.55</v>
      </c>
      <c r="O696" s="9">
        <v>118.6</v>
      </c>
      <c r="P696" s="9">
        <v>124.06</v>
      </c>
      <c r="Q696" s="9">
        <v>1390.5306</v>
      </c>
      <c r="R696" s="14"/>
      <c r="S696" s="12">
        <f t="shared" si="2"/>
        <v>-0.0001503445288</v>
      </c>
      <c r="T696" s="12">
        <f t="shared" si="3"/>
        <v>0.9998496555</v>
      </c>
      <c r="U696" s="16">
        <f t="shared" si="7"/>
        <v>99.97311566</v>
      </c>
      <c r="V696" s="17"/>
      <c r="W696" s="12">
        <f t="array" ref="W696">SQRT(252/20) *  SQRT( SUMSQ( LN(U675:U694 / U674:U693) )  - (1/20) * ( SUM( LN(U675:U694 / U674:U693) ) ^ 2 ) )</f>
        <v>0.01950885453</v>
      </c>
      <c r="X696" s="9">
        <f t="shared" si="4"/>
        <v>1.5</v>
      </c>
      <c r="Y696" s="14"/>
      <c r="Z696" s="12">
        <f t="shared" si="5"/>
        <v>0.9997795665</v>
      </c>
      <c r="AA696" s="16">
        <f t="shared" si="8"/>
        <v>100.1247118</v>
      </c>
      <c r="AB696" s="14"/>
      <c r="AC696" s="9">
        <f t="shared" si="6"/>
        <v>0</v>
      </c>
    </row>
    <row r="697">
      <c r="A697" s="8">
        <v>42734.0</v>
      </c>
      <c r="B697" s="14"/>
      <c r="C697" s="12">
        <f t="array" ref="C697">IFERROR(
  INDEX(
    IR!$B$2:$E2026,                
    MATCH($A697, IR!$A$2:$A2026, 0), 
    MATCH(C$1, IR!$B$1:$E$1, 0) ), "")
</f>
        <v>-0.00368</v>
      </c>
      <c r="D697" s="12">
        <f t="array" ref="D697">IFERROR(
  INDEX(
    IR!$B$2:$E2026,                
    MATCH($A697, IR!$A$2:$A2026, 0), 
    MATCH(D$1, IR!$B$1:$E$1, 0) ), "")
</f>
        <v>-0.00319</v>
      </c>
      <c r="E697" s="12">
        <f t="array" ref="E697">IFERROR(
  INDEX(
    IR!$B$2:$E2026,                
    MATCH($A697, IR!$A$2:$A2026, 0), 
    MATCH(E$1, IR!$B$1:$E$1, 0) ), "")
</f>
        <v>-0.00221</v>
      </c>
      <c r="F697" s="12">
        <f t="array" ref="F697">IFERROR(
  INDEX(
    IR!$B$2:$E2026,                
    MATCH($A697, IR!$A$2:$A2026, 0), 
    MATCH(F$1, IR!$B$1:$E$1, 0) ), "")
</f>
        <v>-0.00082</v>
      </c>
      <c r="G697" s="25"/>
      <c r="H697" s="12">
        <f t="array" ref="H697">IFERROR(
  INDEX(
    SR!$B$2:$D2026,            
    MATCH($A697, SR!$A$2:$A2026, 0),  
    MATCH(H$1, SR!$B$1:$D$1, 0) ), "")
</f>
        <v>-0.001605</v>
      </c>
      <c r="I697" s="12">
        <f t="array" ref="I697">IFERROR(
  INDEX(
    SR!$B$2:$D2026,            
    MATCH($A697, SR!$A$2:$A2026, 0),  
    MATCH(I$1, SR!$B$1:$D$1, 0) ), "")
</f>
        <v>-0.001</v>
      </c>
      <c r="J697" s="12">
        <f t="array" ref="J697">IFERROR(
  INDEX(
    SR!$B$2:$D2026,            
    MATCH($A697, SR!$A$2:$A2026, 0),  
    MATCH(J$1, SR!$B$1:$D$1, 0) ), "")
</f>
        <v>0.00077</v>
      </c>
      <c r="K697" s="14"/>
      <c r="L697" s="9">
        <v>118.2</v>
      </c>
      <c r="M697" s="9">
        <v>24.54</v>
      </c>
      <c r="N697" s="9">
        <v>114.54</v>
      </c>
      <c r="O697" s="9">
        <v>118.38</v>
      </c>
      <c r="P697" s="9">
        <v>124.02</v>
      </c>
      <c r="Q697" s="9">
        <v>1391.5247</v>
      </c>
      <c r="R697" s="14"/>
      <c r="S697" s="12">
        <f t="shared" si="2"/>
        <v>-0.0001311741534</v>
      </c>
      <c r="T697" s="12">
        <f t="shared" si="3"/>
        <v>0.9998688258</v>
      </c>
      <c r="U697" s="16">
        <f t="shared" si="7"/>
        <v>99.96000177</v>
      </c>
      <c r="V697" s="17"/>
      <c r="W697" s="12">
        <f t="array" ref="W697">SQRT(252/20) *  SQRT( SUMSQ( LN(U676:U695 / U675:U694) )  - (1/20) * ( SUM( LN(U676:U695 / U675:U694) ) ^ 2 ) )</f>
        <v>0.01921407527</v>
      </c>
      <c r="X697" s="9">
        <f t="shared" si="4"/>
        <v>1.5</v>
      </c>
      <c r="Y697" s="14"/>
      <c r="Z697" s="12">
        <f t="shared" si="5"/>
        <v>0.9998083499</v>
      </c>
      <c r="AA697" s="16">
        <f t="shared" si="8"/>
        <v>100.1055229</v>
      </c>
      <c r="AB697" s="14"/>
      <c r="AC697" s="9">
        <f t="shared" si="6"/>
        <v>0</v>
      </c>
    </row>
    <row r="698">
      <c r="A698" s="8">
        <v>42737.0</v>
      </c>
      <c r="B698" s="14"/>
      <c r="C698" s="12">
        <f t="array" ref="C698">IFERROR(
  INDEX(
    IR!$B$2:$E2026,                
    MATCH($A698, IR!$A$2:$A2026, 0), 
    MATCH(C$1, IR!$B$1:$E$1, 0) ), "")
</f>
        <v>-0.00368</v>
      </c>
      <c r="D698" s="12">
        <f t="array" ref="D698">IFERROR(
  INDEX(
    IR!$B$2:$E2026,                
    MATCH($A698, IR!$A$2:$A2026, 0), 
    MATCH(D$1, IR!$B$1:$E$1, 0) ), "")
</f>
        <v>-0.00318</v>
      </c>
      <c r="E698" s="12">
        <f t="array" ref="E698">IFERROR(
  INDEX(
    IR!$B$2:$E2026,                
    MATCH($A698, IR!$A$2:$A2026, 0), 
    MATCH(E$1, IR!$B$1:$E$1, 0) ), "")
</f>
        <v>-0.0022</v>
      </c>
      <c r="F698" s="12">
        <f t="array" ref="F698">IFERROR(
  INDEX(
    IR!$B$2:$E2026,                
    MATCH($A698, IR!$A$2:$A2026, 0), 
    MATCH(F$1, IR!$B$1:$E$1, 0) ), "")
</f>
        <v>-0.00083</v>
      </c>
      <c r="G698" s="25"/>
      <c r="H698" s="12">
        <f t="array" ref="H698">IFERROR(
  INDEX(
    SR!$B$2:$D2026,            
    MATCH($A698, SR!$A$2:$A2026, 0),  
    MATCH(H$1, SR!$B$1:$D$1, 0) ), "")
</f>
        <v>-0.0018</v>
      </c>
      <c r="I698" s="12">
        <f t="array" ref="I698">IFERROR(
  INDEX(
    SR!$B$2:$D2026,            
    MATCH($A698, SR!$A$2:$A2026, 0),  
    MATCH(I$1, SR!$B$1:$D$1, 0) ), "")
</f>
        <v>-0.001215</v>
      </c>
      <c r="J698" s="12">
        <f t="array" ref="J698">IFERROR(
  INDEX(
    SR!$B$2:$D2026,            
    MATCH($A698, SR!$A$2:$A2026, 0),  
    MATCH(J$1, SR!$B$1:$D$1, 0) ), "")
</f>
        <v>0.00066</v>
      </c>
      <c r="K698" s="14"/>
      <c r="L698" s="9">
        <v>118.31</v>
      </c>
      <c r="M698" s="9">
        <v>24.53</v>
      </c>
      <c r="N698" s="9">
        <v>114.56</v>
      </c>
      <c r="O698" s="9">
        <v>118.6</v>
      </c>
      <c r="P698" s="9">
        <v>123.8</v>
      </c>
      <c r="Q698" s="23">
        <v>1391.5247</v>
      </c>
      <c r="R698" s="14"/>
      <c r="S698" s="12">
        <f t="shared" si="2"/>
        <v>0.0001303235465</v>
      </c>
      <c r="T698" s="12">
        <f t="shared" si="3"/>
        <v>1.000130324</v>
      </c>
      <c r="U698" s="16">
        <f t="shared" si="7"/>
        <v>99.97302891</v>
      </c>
      <c r="V698" s="17"/>
      <c r="W698" s="12">
        <f t="array" ref="W698">SQRT(252/20) *  SQRT( SUMSQ( LN(U677:U696 / U676:U695) )  - (1/20) * ( SUM( LN(U677:U696 / U676:U695) ) ^ 2 ) )</f>
        <v>0.0193352231</v>
      </c>
      <c r="X698" s="9">
        <f t="shared" si="4"/>
        <v>1.5</v>
      </c>
      <c r="Y698" s="14"/>
      <c r="Z698" s="12">
        <f t="shared" si="5"/>
        <v>1.000210819</v>
      </c>
      <c r="AA698" s="16">
        <f t="shared" si="8"/>
        <v>100.126627</v>
      </c>
      <c r="AB698" s="14"/>
      <c r="AC698" s="9">
        <f t="shared" si="6"/>
        <v>0</v>
      </c>
    </row>
    <row r="699">
      <c r="A699" s="8">
        <v>42738.0</v>
      </c>
      <c r="B699" s="14"/>
      <c r="C699" s="12">
        <f t="array" ref="C699">IFERROR(
  INDEX(
    IR!$B$2:$E2026,                
    MATCH($A699, IR!$A$2:$A2026, 0), 
    MATCH(C$1, IR!$B$1:$E$1, 0) ), "")
</f>
        <v>-0.0037</v>
      </c>
      <c r="D699" s="12">
        <f t="array" ref="D699">IFERROR(
  INDEX(
    IR!$B$2:$E2026,                
    MATCH($A699, IR!$A$2:$A2026, 0), 
    MATCH(D$1, IR!$B$1:$E$1, 0) ), "")
</f>
        <v>-0.00319</v>
      </c>
      <c r="E699" s="12">
        <f t="array" ref="E699">IFERROR(
  INDEX(
    IR!$B$2:$E2026,                
    MATCH($A699, IR!$A$2:$A2026, 0), 
    MATCH(E$1, IR!$B$1:$E$1, 0) ), "")
</f>
        <v>-0.00221</v>
      </c>
      <c r="F699" s="12">
        <f t="array" ref="F699">IFERROR(
  INDEX(
    IR!$B$2:$E2026,                
    MATCH($A699, IR!$A$2:$A2026, 0), 
    MATCH(F$1, IR!$B$1:$E$1, 0) ), "")
</f>
        <v>-0.00084</v>
      </c>
      <c r="G699" s="25"/>
      <c r="H699" s="12">
        <f t="array" ref="H699">IFERROR(
  INDEX(
    SR!$B$2:$D2026,            
    MATCH($A699, SR!$A$2:$A2026, 0),  
    MATCH(H$1, SR!$B$1:$D$1, 0) ), "")
</f>
        <v>-0.001633</v>
      </c>
      <c r="I699" s="12">
        <f t="array" ref="I699">IFERROR(
  INDEX(
    SR!$B$2:$D2026,            
    MATCH($A699, SR!$A$2:$A2026, 0),  
    MATCH(I$1, SR!$B$1:$D$1, 0) ), "")
</f>
        <v>-0.001004</v>
      </c>
      <c r="J699" s="12">
        <f t="array" ref="J699">IFERROR(
  INDEX(
    SR!$B$2:$D2026,            
    MATCH($A699, SR!$A$2:$A2026, 0),  
    MATCH(J$1, SR!$B$1:$D$1, 0) ), "")
</f>
        <v>0.00086</v>
      </c>
      <c r="K699" s="14"/>
      <c r="L699" s="9">
        <v>118.23</v>
      </c>
      <c r="M699" s="9">
        <v>24.56</v>
      </c>
      <c r="N699" s="9">
        <v>114.57</v>
      </c>
      <c r="O699" s="9">
        <v>118.96</v>
      </c>
      <c r="P699" s="9">
        <v>124.09</v>
      </c>
      <c r="Q699" s="9">
        <v>1390.1954</v>
      </c>
      <c r="R699" s="14"/>
      <c r="S699" s="12">
        <f t="shared" si="2"/>
        <v>0.0008423525316</v>
      </c>
      <c r="T699" s="12">
        <f t="shared" si="3"/>
        <v>1.000842353</v>
      </c>
      <c r="U699" s="16">
        <f t="shared" si="7"/>
        <v>100.0572414</v>
      </c>
      <c r="V699" s="17"/>
      <c r="W699" s="12">
        <f t="array" ref="W699">SQRT(252/20) *  SQRT( SUMSQ( LN(U678:U697 / U677:U696) )  - (1/20) * ( SUM( LN(U678:U697 / U677:U696) ) ^ 2 ) )</f>
        <v>0.01906628906</v>
      </c>
      <c r="X699" s="9">
        <f t="shared" si="4"/>
        <v>1.5</v>
      </c>
      <c r="Y699" s="14"/>
      <c r="Z699" s="12">
        <f t="shared" si="5"/>
        <v>1.00126864</v>
      </c>
      <c r="AA699" s="16">
        <f t="shared" si="8"/>
        <v>100.2536517</v>
      </c>
      <c r="AB699" s="14"/>
      <c r="AC699" s="9">
        <f t="shared" si="6"/>
        <v>0</v>
      </c>
    </row>
    <row r="700">
      <c r="A700" s="8">
        <v>42739.0</v>
      </c>
      <c r="B700" s="14"/>
      <c r="C700" s="12">
        <f t="array" ref="C700">IFERROR(
  INDEX(
    IR!$B$2:$E2026,                
    MATCH($A700, IR!$A$2:$A2026, 0), 
    MATCH(C$1, IR!$B$1:$E$1, 0) ), "")
</f>
        <v>-0.00369</v>
      </c>
      <c r="D700" s="12">
        <f t="array" ref="D700">IFERROR(
  INDEX(
    IR!$B$2:$E2026,                
    MATCH($A700, IR!$A$2:$A2026, 0), 
    MATCH(D$1, IR!$B$1:$E$1, 0) ), "")
</f>
        <v>-0.0032</v>
      </c>
      <c r="E700" s="12">
        <f t="array" ref="E700">IFERROR(
  INDEX(
    IR!$B$2:$E2026,                
    MATCH($A700, IR!$A$2:$A2026, 0), 
    MATCH(E$1, IR!$B$1:$E$1, 0) ), "")
</f>
        <v>-0.00224</v>
      </c>
      <c r="F700" s="12">
        <f t="array" ref="F700">IFERROR(
  INDEX(
    IR!$B$2:$E2026,                
    MATCH($A700, IR!$A$2:$A2026, 0), 
    MATCH(F$1, IR!$B$1:$E$1, 0) ), "")
</f>
        <v>-0.00085</v>
      </c>
      <c r="G700" s="25"/>
      <c r="H700" s="12">
        <f t="array" ref="H700">IFERROR(
  INDEX(
    SR!$B$2:$D2026,            
    MATCH($A700, SR!$A$2:$A2026, 0),  
    MATCH(H$1, SR!$B$1:$D$1, 0) ), "")
</f>
        <v>-0.001631</v>
      </c>
      <c r="I700" s="12">
        <f t="array" ref="I700">IFERROR(
  INDEX(
    SR!$B$2:$D2026,            
    MATCH($A700, SR!$A$2:$A2026, 0),  
    MATCH(I$1, SR!$B$1:$D$1, 0) ), "")
</f>
        <v>-0.000957</v>
      </c>
      <c r="J700" s="12">
        <f t="array" ref="J700">IFERROR(
  INDEX(
    SR!$B$2:$D2026,            
    MATCH($A700, SR!$A$2:$A2026, 0),  
    MATCH(J$1, SR!$B$1:$D$1, 0) ), "")
</f>
        <v>0.00097</v>
      </c>
      <c r="K700" s="14"/>
      <c r="L700" s="9">
        <v>118.3</v>
      </c>
      <c r="M700" s="9">
        <v>24.55</v>
      </c>
      <c r="N700" s="9">
        <v>114.58</v>
      </c>
      <c r="O700" s="9">
        <v>118.59</v>
      </c>
      <c r="P700" s="9">
        <v>124.57</v>
      </c>
      <c r="Q700" s="9">
        <v>1395.9731</v>
      </c>
      <c r="R700" s="14"/>
      <c r="S700" s="12">
        <f t="shared" si="2"/>
        <v>0.0008644179597</v>
      </c>
      <c r="T700" s="12">
        <f t="shared" si="3"/>
        <v>1.000864418</v>
      </c>
      <c r="U700" s="16">
        <f t="shared" si="7"/>
        <v>100.1437327</v>
      </c>
      <c r="V700" s="17"/>
      <c r="W700" s="12">
        <f t="array" ref="W700">SQRT(252/20) *  SQRT( SUMSQ( LN(U679:U698 / U678:U697) )  - (1/20) * ( SUM( LN(U679:U698 / U678:U697) ) ^ 2 ) )</f>
        <v>0.01606432244</v>
      </c>
      <c r="X700" s="9">
        <f t="shared" si="4"/>
        <v>1.5</v>
      </c>
      <c r="Y700" s="14"/>
      <c r="Z700" s="12">
        <f t="shared" si="5"/>
        <v>1.001301766</v>
      </c>
      <c r="AA700" s="16">
        <f t="shared" si="8"/>
        <v>100.3841584</v>
      </c>
      <c r="AB700" s="14"/>
      <c r="AC700" s="9">
        <f t="shared" si="6"/>
        <v>0</v>
      </c>
    </row>
    <row r="701">
      <c r="A701" s="8">
        <v>42740.0</v>
      </c>
      <c r="B701" s="14"/>
      <c r="C701" s="12">
        <f t="array" ref="C701">IFERROR(
  INDEX(
    IR!$B$2:$E2026,                
    MATCH($A701, IR!$A$2:$A2026, 0), 
    MATCH(C$1, IR!$B$1:$E$1, 0) ), "")
</f>
        <v>-0.00369</v>
      </c>
      <c r="D701" s="12">
        <f t="array" ref="D701">IFERROR(
  INDEX(
    IR!$B$2:$E2026,                
    MATCH($A701, IR!$A$2:$A2026, 0), 
    MATCH(D$1, IR!$B$1:$E$1, 0) ), "")
</f>
        <v>-0.00321</v>
      </c>
      <c r="E701" s="12">
        <f t="array" ref="E701">IFERROR(
  INDEX(
    IR!$B$2:$E2026,                
    MATCH($A701, IR!$A$2:$A2026, 0), 
    MATCH(E$1, IR!$B$1:$E$1, 0) ), "")
</f>
        <v>-0.00226</v>
      </c>
      <c r="F701" s="12">
        <f t="array" ref="F701">IFERROR(
  INDEX(
    IR!$B$2:$E2026,                
    MATCH($A701, IR!$A$2:$A2026, 0), 
    MATCH(F$1, IR!$B$1:$E$1, 0) ), "")
</f>
        <v>-0.00085</v>
      </c>
      <c r="G701" s="25"/>
      <c r="H701" s="12">
        <f t="array" ref="H701">IFERROR(
  INDEX(
    SR!$B$2:$D2026,            
    MATCH($A701, SR!$A$2:$A2026, 0),  
    MATCH(H$1, SR!$B$1:$D$1, 0) ), "")
</f>
        <v>-0.001659</v>
      </c>
      <c r="I701" s="12">
        <f t="array" ref="I701">IFERROR(
  INDEX(
    SR!$B$2:$D2026,            
    MATCH($A701, SR!$A$2:$A2026, 0),  
    MATCH(I$1, SR!$B$1:$D$1, 0) ), "")
</f>
        <v>-0.001003</v>
      </c>
      <c r="J701" s="12">
        <f t="array" ref="J701">IFERROR(
  INDEX(
    SR!$B$2:$D2026,            
    MATCH($A701, SR!$A$2:$A2026, 0),  
    MATCH(J$1, SR!$B$1:$D$1, 0) ), "")
</f>
        <v>0.00097</v>
      </c>
      <c r="K701" s="14"/>
      <c r="L701" s="9">
        <v>118.3</v>
      </c>
      <c r="M701" s="9">
        <v>24.53</v>
      </c>
      <c r="N701" s="9">
        <v>114.59</v>
      </c>
      <c r="O701" s="9">
        <v>118.52</v>
      </c>
      <c r="P701" s="9">
        <v>124.53</v>
      </c>
      <c r="Q701" s="9">
        <v>1399.65</v>
      </c>
      <c r="R701" s="14"/>
      <c r="S701" s="12">
        <f t="shared" si="2"/>
        <v>0.0001660588814</v>
      </c>
      <c r="T701" s="12">
        <f t="shared" si="3"/>
        <v>1.000166059</v>
      </c>
      <c r="U701" s="16">
        <f t="shared" si="7"/>
        <v>100.1603625</v>
      </c>
      <c r="V701" s="17"/>
      <c r="W701" s="12">
        <f t="array" ref="W701">SQRT(252/20) *  SQRT( SUMSQ( LN(U680:U699 / U679:U698) )  - (1/20) * ( SUM( LN(U680:U699 / U679:U698) ) ^ 2 ) )</f>
        <v>0.01581686142</v>
      </c>
      <c r="X701" s="9">
        <f t="shared" si="4"/>
        <v>1.5</v>
      </c>
      <c r="Y701" s="14"/>
      <c r="Z701" s="12">
        <f t="shared" si="5"/>
        <v>1.000254213</v>
      </c>
      <c r="AA701" s="16">
        <f t="shared" si="8"/>
        <v>100.4096774</v>
      </c>
      <c r="AB701" s="14"/>
      <c r="AC701" s="9">
        <f t="shared" si="6"/>
        <v>0</v>
      </c>
    </row>
    <row r="702">
      <c r="A702" s="8">
        <v>42741.0</v>
      </c>
      <c r="B702" s="14"/>
      <c r="C702" s="12">
        <f t="array" ref="C702">IFERROR(
  INDEX(
    IR!$B$2:$E2026,                
    MATCH($A702, IR!$A$2:$A2026, 0), 
    MATCH(C$1, IR!$B$1:$E$1, 0) ), "")
</f>
        <v>-0.00369</v>
      </c>
      <c r="D702" s="12">
        <f t="array" ref="D702">IFERROR(
  INDEX(
    IR!$B$2:$E2026,                
    MATCH($A702, IR!$A$2:$A2026, 0), 
    MATCH(D$1, IR!$B$1:$E$1, 0) ), "")
</f>
        <v>-0.00321</v>
      </c>
      <c r="E702" s="12">
        <f t="array" ref="E702">IFERROR(
  INDEX(
    IR!$B$2:$E2026,                
    MATCH($A702, IR!$A$2:$A2026, 0), 
    MATCH(E$1, IR!$B$1:$E$1, 0) ), "")
</f>
        <v>-0.00229</v>
      </c>
      <c r="F702" s="12">
        <f t="array" ref="F702">IFERROR(
  INDEX(
    IR!$B$2:$E2026,                
    MATCH($A702, IR!$A$2:$A2026, 0), 
    MATCH(F$1, IR!$B$1:$E$1, 0) ), "")
</f>
        <v>-0.00087</v>
      </c>
      <c r="G702" s="25"/>
      <c r="H702" s="12">
        <f t="array" ref="H702">IFERROR(
  INDEX(
    SR!$B$2:$D2026,            
    MATCH($A702, SR!$A$2:$A2026, 0),  
    MATCH(H$1, SR!$B$1:$D$1, 0) ), "")
</f>
        <v>-0.00159</v>
      </c>
      <c r="I702" s="12">
        <f t="array" ref="I702">IFERROR(
  INDEX(
    SR!$B$2:$D2026,            
    MATCH($A702, SR!$A$2:$A2026, 0),  
    MATCH(I$1, SR!$B$1:$D$1, 0) ), "")
</f>
        <v>-0.000802</v>
      </c>
      <c r="J702" s="12">
        <f t="array" ref="J702">IFERROR(
  INDEX(
    SR!$B$2:$D2026,            
    MATCH($A702, SR!$A$2:$A2026, 0),  
    MATCH(J$1, SR!$B$1:$D$1, 0) ), "")
</f>
        <v>0.0012</v>
      </c>
      <c r="K702" s="14"/>
      <c r="L702" s="9">
        <v>118.32</v>
      </c>
      <c r="M702" s="9">
        <v>24.53</v>
      </c>
      <c r="N702" s="9">
        <v>114.61</v>
      </c>
      <c r="O702" s="9">
        <v>118.4</v>
      </c>
      <c r="P702" s="9">
        <v>124.6</v>
      </c>
      <c r="Q702" s="9">
        <v>1401.375</v>
      </c>
      <c r="R702" s="14"/>
      <c r="S702" s="12">
        <f t="shared" si="2"/>
        <v>0.0001876605635</v>
      </c>
      <c r="T702" s="12">
        <f t="shared" si="3"/>
        <v>1.000187661</v>
      </c>
      <c r="U702" s="16">
        <f t="shared" si="7"/>
        <v>100.1791586</v>
      </c>
      <c r="V702" s="17"/>
      <c r="W702" s="12">
        <f t="array" ref="W702">SQRT(252/20) *  SQRT( SUMSQ( LN(U681:U700 / U680:U699) )  - (1/20) * ( SUM( LN(U681:U700 / U680:U699) ) ^ 2 ) )</f>
        <v>0.01547054573</v>
      </c>
      <c r="X702" s="9">
        <f t="shared" si="4"/>
        <v>1.5</v>
      </c>
      <c r="Y702" s="14"/>
      <c r="Z702" s="12">
        <f t="shared" si="5"/>
        <v>1.000286616</v>
      </c>
      <c r="AA702" s="16">
        <f t="shared" si="8"/>
        <v>100.4384564</v>
      </c>
      <c r="AB702" s="14"/>
      <c r="AC702" s="9">
        <f t="shared" si="6"/>
        <v>0</v>
      </c>
    </row>
    <row r="703">
      <c r="A703" s="8">
        <v>42744.0</v>
      </c>
      <c r="B703" s="14"/>
      <c r="C703" s="12">
        <f t="array" ref="C703">IFERROR(
  INDEX(
    IR!$B$2:$E2026,                
    MATCH($A703, IR!$A$2:$A2026, 0), 
    MATCH(C$1, IR!$B$1:$E$1, 0) ), "")
</f>
        <v>-0.00371</v>
      </c>
      <c r="D703" s="12">
        <f t="array" ref="D703">IFERROR(
  INDEX(
    IR!$B$2:$E2026,                
    MATCH($A703, IR!$A$2:$A2026, 0), 
    MATCH(D$1, IR!$B$1:$E$1, 0) ), "")
</f>
        <v>-0.00322</v>
      </c>
      <c r="E703" s="12">
        <f t="array" ref="E703">IFERROR(
  INDEX(
    IR!$B$2:$E2026,                
    MATCH($A703, IR!$A$2:$A2026, 0), 
    MATCH(E$1, IR!$B$1:$E$1, 0) ), "")
</f>
        <v>-0.0023</v>
      </c>
      <c r="F703" s="12">
        <f t="array" ref="F703">IFERROR(
  INDEX(
    IR!$B$2:$E2026,                
    MATCH($A703, IR!$A$2:$A2026, 0), 
    MATCH(F$1, IR!$B$1:$E$1, 0) ), "")
</f>
        <v>-0.00088</v>
      </c>
      <c r="G703" s="25"/>
      <c r="H703" s="12">
        <f t="array" ref="H703">IFERROR(
  INDEX(
    SR!$B$2:$D2026,            
    MATCH($A703, SR!$A$2:$A2026, 0),  
    MATCH(H$1, SR!$B$1:$D$1, 0) ), "")
</f>
        <v>-0.00166</v>
      </c>
      <c r="I703" s="12">
        <f t="array" ref="I703">IFERROR(
  INDEX(
    SR!$B$2:$D2026,            
    MATCH($A703, SR!$A$2:$A2026, 0),  
    MATCH(I$1, SR!$B$1:$D$1, 0) ), "")
</f>
        <v>-0.000946</v>
      </c>
      <c r="J703" s="12">
        <f t="array" ref="J703">IFERROR(
  INDEX(
    SR!$B$2:$D2026,            
    MATCH($A703, SR!$A$2:$A2026, 0),  
    MATCH(J$1, SR!$B$1:$D$1, 0) ), "")
</f>
        <v>0.0011</v>
      </c>
      <c r="K703" s="14"/>
      <c r="L703" s="9">
        <v>118.26</v>
      </c>
      <c r="M703" s="9">
        <v>24.52</v>
      </c>
      <c r="N703" s="9">
        <v>114.65</v>
      </c>
      <c r="O703" s="9">
        <v>118.33</v>
      </c>
      <c r="P703" s="9">
        <v>124.58</v>
      </c>
      <c r="Q703" s="9">
        <v>1402.4611</v>
      </c>
      <c r="R703" s="14"/>
      <c r="S703" s="12">
        <f t="shared" si="2"/>
        <v>-0.00009029618721</v>
      </c>
      <c r="T703" s="12">
        <f t="shared" si="3"/>
        <v>0.9999097038</v>
      </c>
      <c r="U703" s="16">
        <f t="shared" si="7"/>
        <v>100.1701128</v>
      </c>
      <c r="V703" s="17"/>
      <c r="W703" s="12">
        <f t="array" ref="W703">SQRT(252/20) *  SQRT( SUMSQ( LN(U682:U701 / U681:U700) )  - (1/20) * ( SUM( LN(U682:U701 / U681:U700) ) ^ 2 ) )</f>
        <v>0.01432403096</v>
      </c>
      <c r="X703" s="9">
        <f t="shared" si="4"/>
        <v>1.5</v>
      </c>
      <c r="Y703" s="14"/>
      <c r="Z703" s="12">
        <f t="shared" si="5"/>
        <v>0.9998799307</v>
      </c>
      <c r="AA703" s="16">
        <f t="shared" si="8"/>
        <v>100.4263969</v>
      </c>
      <c r="AB703" s="14"/>
      <c r="AC703" s="9">
        <f t="shared" si="6"/>
        <v>0</v>
      </c>
    </row>
    <row r="704">
      <c r="A704" s="8">
        <v>42745.0</v>
      </c>
      <c r="B704" s="14"/>
      <c r="C704" s="12">
        <f t="array" ref="C704">IFERROR(
  INDEX(
    IR!$B$2:$E2026,                
    MATCH($A704, IR!$A$2:$A2026, 0), 
    MATCH(C$1, IR!$B$1:$E$1, 0) ), "")
</f>
        <v>-0.00372</v>
      </c>
      <c r="D704" s="12">
        <f t="array" ref="D704">IFERROR(
  INDEX(
    IR!$B$2:$E2026,                
    MATCH($A704, IR!$A$2:$A2026, 0), 
    MATCH(D$1, IR!$B$1:$E$1, 0) ), "")
</f>
        <v>-0.00324</v>
      </c>
      <c r="E704" s="12">
        <f t="array" ref="E704">IFERROR(
  INDEX(
    IR!$B$2:$E2026,                
    MATCH($A704, IR!$A$2:$A2026, 0), 
    MATCH(E$1, IR!$B$1:$E$1, 0) ), "")
</f>
        <v>-0.00232</v>
      </c>
      <c r="F704" s="12">
        <f t="array" ref="F704">IFERROR(
  INDEX(
    IR!$B$2:$E2026,                
    MATCH($A704, IR!$A$2:$A2026, 0), 
    MATCH(F$1, IR!$B$1:$E$1, 0) ), "")
</f>
        <v>-0.0009</v>
      </c>
      <c r="G704" s="25"/>
      <c r="H704" s="12">
        <f t="array" ref="H704">IFERROR(
  INDEX(
    SR!$B$2:$D2026,            
    MATCH($A704, SR!$A$2:$A2026, 0),  
    MATCH(H$1, SR!$B$1:$D$1, 0) ), "")
</f>
        <v>-0.0017</v>
      </c>
      <c r="I704" s="12">
        <f t="array" ref="I704">IFERROR(
  INDEX(
    SR!$B$2:$D2026,            
    MATCH($A704, SR!$A$2:$A2026, 0),  
    MATCH(I$1, SR!$B$1:$D$1, 0) ), "")
</f>
        <v>-0.000968</v>
      </c>
      <c r="J704" s="12">
        <f t="array" ref="J704">IFERROR(
  INDEX(
    SR!$B$2:$D2026,            
    MATCH($A704, SR!$A$2:$A2026, 0),  
    MATCH(J$1, SR!$B$1:$D$1, 0) ), "")
</f>
        <v>0.00108</v>
      </c>
      <c r="K704" s="14"/>
      <c r="L704" s="9">
        <v>118.25</v>
      </c>
      <c r="M704" s="9">
        <v>24.51</v>
      </c>
      <c r="N704" s="9">
        <v>114.64</v>
      </c>
      <c r="O704" s="9">
        <v>118.29</v>
      </c>
      <c r="P704" s="9">
        <v>124.69</v>
      </c>
      <c r="Q704" s="9">
        <v>1401.4126</v>
      </c>
      <c r="R704" s="14"/>
      <c r="S704" s="12">
        <f t="shared" si="2"/>
        <v>-0.0001304054432</v>
      </c>
      <c r="T704" s="12">
        <f t="shared" si="3"/>
        <v>0.9998695946</v>
      </c>
      <c r="U704" s="16">
        <f t="shared" si="7"/>
        <v>100.1570501</v>
      </c>
      <c r="V704" s="17"/>
      <c r="W704" s="12">
        <f t="array" ref="W704">SQRT(252/20) *  SQRT( SUMSQ( LN(U683:U702 / U682:U701) )  - (1/20) * ( SUM( LN(U683:U702 / U682:U701) ) ^ 2 ) )</f>
        <v>0.01208257821</v>
      </c>
      <c r="X704" s="9">
        <f t="shared" si="4"/>
        <v>1.5</v>
      </c>
      <c r="Y704" s="14"/>
      <c r="Z704" s="12">
        <f t="shared" si="5"/>
        <v>0.9998095446</v>
      </c>
      <c r="AA704" s="16">
        <f t="shared" si="8"/>
        <v>100.4072701</v>
      </c>
      <c r="AB704" s="14"/>
      <c r="AC704" s="9">
        <f t="shared" si="6"/>
        <v>0</v>
      </c>
    </row>
    <row r="705">
      <c r="A705" s="8">
        <v>42746.0</v>
      </c>
      <c r="B705" s="14"/>
      <c r="C705" s="12">
        <f t="array" ref="C705">IFERROR(
  INDEX(
    IR!$B$2:$E2026,                
    MATCH($A705, IR!$A$2:$A2026, 0), 
    MATCH(C$1, IR!$B$1:$E$1, 0) ), "")
</f>
        <v>-0.00372</v>
      </c>
      <c r="D705" s="12">
        <f t="array" ref="D705">IFERROR(
  INDEX(
    IR!$B$2:$E2026,                
    MATCH($A705, IR!$A$2:$A2026, 0), 
    MATCH(D$1, IR!$B$1:$E$1, 0) ), "")
</f>
        <v>-0.00326</v>
      </c>
      <c r="E705" s="12">
        <f t="array" ref="E705">IFERROR(
  INDEX(
    IR!$B$2:$E2026,                
    MATCH($A705, IR!$A$2:$A2026, 0), 
    MATCH(E$1, IR!$B$1:$E$1, 0) ), "")
</f>
        <v>-0.00233</v>
      </c>
      <c r="F705" s="12">
        <f t="array" ref="F705">IFERROR(
  INDEX(
    IR!$B$2:$E2026,                
    MATCH($A705, IR!$A$2:$A2026, 0), 
    MATCH(F$1, IR!$B$1:$E$1, 0) ), "")
</f>
        <v>-0.00091</v>
      </c>
      <c r="G705" s="25"/>
      <c r="H705" s="12">
        <f t="array" ref="H705">IFERROR(
  INDEX(
    SR!$B$2:$D2026,            
    MATCH($A705, SR!$A$2:$A2026, 0),  
    MATCH(H$1, SR!$B$1:$D$1, 0) ), "")
</f>
        <v>-0.00184</v>
      </c>
      <c r="I705" s="12">
        <f t="array" ref="I705">IFERROR(
  INDEX(
    SR!$B$2:$D2026,            
    MATCH($A705, SR!$A$2:$A2026, 0),  
    MATCH(I$1, SR!$B$1:$D$1, 0) ), "")
</f>
        <v>-0.00114</v>
      </c>
      <c r="J705" s="12">
        <f t="array" ref="J705">IFERROR(
  INDEX(
    SR!$B$2:$D2026,            
    MATCH($A705, SR!$A$2:$A2026, 0),  
    MATCH(J$1, SR!$B$1:$D$1, 0) ), "")
</f>
        <v>0.00081</v>
      </c>
      <c r="K705" s="14"/>
      <c r="L705" s="9">
        <v>118.21</v>
      </c>
      <c r="M705" s="9">
        <v>24.54</v>
      </c>
      <c r="N705" s="9">
        <v>114.62</v>
      </c>
      <c r="O705" s="9">
        <v>118.34</v>
      </c>
      <c r="P705" s="9">
        <v>124.68</v>
      </c>
      <c r="Q705" s="9">
        <v>1402.8232</v>
      </c>
      <c r="R705" s="14"/>
      <c r="S705" s="12">
        <f t="shared" si="2"/>
        <v>0.0003433485625</v>
      </c>
      <c r="T705" s="12">
        <f t="shared" si="3"/>
        <v>1.000343349</v>
      </c>
      <c r="U705" s="16">
        <f t="shared" si="7"/>
        <v>100.1914389</v>
      </c>
      <c r="V705" s="17"/>
      <c r="W705" s="12">
        <f t="array" ref="W705">SQRT(252/20) *  SQRT( SUMSQ( LN(U684:U703 / U683:U702) )  - (1/20) * ( SUM( LN(U684:U703 / U683:U702) ) ^ 2 ) )</f>
        <v>0.009230895505</v>
      </c>
      <c r="X705" s="9">
        <f t="shared" si="4"/>
        <v>1.5</v>
      </c>
      <c r="Y705" s="14"/>
      <c r="Z705" s="12">
        <f t="shared" si="5"/>
        <v>1.00052019</v>
      </c>
      <c r="AA705" s="16">
        <f t="shared" si="8"/>
        <v>100.4595009</v>
      </c>
      <c r="AB705" s="14"/>
      <c r="AC705" s="9">
        <f t="shared" si="6"/>
        <v>0</v>
      </c>
    </row>
    <row r="706">
      <c r="A706" s="8">
        <v>42747.0</v>
      </c>
      <c r="B706" s="14"/>
      <c r="C706" s="12">
        <f t="array" ref="C706">IFERROR(
  INDEX(
    IR!$B$2:$E2026,                
    MATCH($A706, IR!$A$2:$A2026, 0), 
    MATCH(C$1, IR!$B$1:$E$1, 0) ), "")
</f>
        <v>-0.00372</v>
      </c>
      <c r="D706" s="12">
        <f t="array" ref="D706">IFERROR(
  INDEX(
    IR!$B$2:$E2026,                
    MATCH($A706, IR!$A$2:$A2026, 0), 
    MATCH(D$1, IR!$B$1:$E$1, 0) ), "")
</f>
        <v>-0.00327</v>
      </c>
      <c r="E706" s="12">
        <f t="array" ref="E706">IFERROR(
  INDEX(
    IR!$B$2:$E2026,                
    MATCH($A706, IR!$A$2:$A2026, 0), 
    MATCH(E$1, IR!$B$1:$E$1, 0) ), "")
</f>
        <v>-0.00234</v>
      </c>
      <c r="F706" s="12">
        <f t="array" ref="F706">IFERROR(
  INDEX(
    IR!$B$2:$E2026,                
    MATCH($A706, IR!$A$2:$A2026, 0), 
    MATCH(F$1, IR!$B$1:$E$1, 0) ), "")
</f>
        <v>-0.00093</v>
      </c>
      <c r="G706" s="25"/>
      <c r="H706" s="12">
        <f t="array" ref="H706">IFERROR(
  INDEX(
    SR!$B$2:$D2026,            
    MATCH($A706, SR!$A$2:$A2026, 0),  
    MATCH(H$1, SR!$B$1:$D$1, 0) ), "")
</f>
        <v>-0.00181</v>
      </c>
      <c r="I706" s="12">
        <f t="array" ref="I706">IFERROR(
  INDEX(
    SR!$B$2:$D2026,            
    MATCH($A706, SR!$A$2:$A2026, 0),  
    MATCH(I$1, SR!$B$1:$D$1, 0) ), "")
</f>
        <v>-0.001138</v>
      </c>
      <c r="J706" s="12">
        <f t="array" ref="J706">IFERROR(
  INDEX(
    SR!$B$2:$D2026,            
    MATCH($A706, SR!$A$2:$A2026, 0),  
    MATCH(J$1, SR!$B$1:$D$1, 0) ), "")
</f>
        <v>0.00077</v>
      </c>
      <c r="K706" s="14"/>
      <c r="L706" s="9">
        <v>118.22</v>
      </c>
      <c r="M706" s="9">
        <v>24.51</v>
      </c>
      <c r="N706" s="9">
        <v>114.63</v>
      </c>
      <c r="O706" s="9">
        <v>118.58</v>
      </c>
      <c r="P706" s="9">
        <v>125.07</v>
      </c>
      <c r="Q706" s="9">
        <v>1403.6691</v>
      </c>
      <c r="R706" s="14"/>
      <c r="S706" s="12">
        <f t="shared" si="2"/>
        <v>0.0007844808872</v>
      </c>
      <c r="T706" s="12">
        <f t="shared" si="3"/>
        <v>1.000784481</v>
      </c>
      <c r="U706" s="16">
        <f t="shared" si="7"/>
        <v>100.2700372</v>
      </c>
      <c r="V706" s="17"/>
      <c r="W706" s="12">
        <f t="array" ref="W706">SQRT(252/20) *  SQRT( SUMSQ( LN(U685:U704 / U684:U703) )  - (1/20) * ( SUM( LN(U685:U704 / U684:U703) ) ^ 2 ) )</f>
        <v>0.009323625757</v>
      </c>
      <c r="X706" s="9">
        <f t="shared" si="4"/>
        <v>1.5</v>
      </c>
      <c r="Y706" s="14"/>
      <c r="Z706" s="12">
        <f t="shared" si="5"/>
        <v>1.001181888</v>
      </c>
      <c r="AA706" s="16">
        <f t="shared" si="8"/>
        <v>100.5782328</v>
      </c>
      <c r="AB706" s="14"/>
      <c r="AC706" s="9">
        <f t="shared" si="6"/>
        <v>0</v>
      </c>
    </row>
    <row r="707">
      <c r="A707" s="8">
        <v>42748.0</v>
      </c>
      <c r="B707" s="14"/>
      <c r="C707" s="12">
        <f t="array" ref="C707">IFERROR(
  INDEX(
    IR!$B$2:$E2026,                
    MATCH($A707, IR!$A$2:$A2026, 0), 
    MATCH(C$1, IR!$B$1:$E$1, 0) ), "")
</f>
        <v>-0.00372</v>
      </c>
      <c r="D707" s="12">
        <f t="array" ref="D707">IFERROR(
  INDEX(
    IR!$B$2:$E2026,                
    MATCH($A707, IR!$A$2:$A2026, 0), 
    MATCH(D$1, IR!$B$1:$E$1, 0) ), "")
</f>
        <v>-0.00327</v>
      </c>
      <c r="E707" s="12">
        <f t="array" ref="E707">IFERROR(
  INDEX(
    IR!$B$2:$E2026,                
    MATCH($A707, IR!$A$2:$A2026, 0), 
    MATCH(E$1, IR!$B$1:$E$1, 0) ), "")
</f>
        <v>-0.00236</v>
      </c>
      <c r="F707" s="12">
        <f t="array" ref="F707">IFERROR(
  INDEX(
    IR!$B$2:$E2026,                
    MATCH($A707, IR!$A$2:$A2026, 0), 
    MATCH(F$1, IR!$B$1:$E$1, 0) ), "")
</f>
        <v>-0.00094</v>
      </c>
      <c r="G707" s="25"/>
      <c r="H707" s="12">
        <f t="array" ref="H707">IFERROR(
  INDEX(
    SR!$B$2:$D2026,            
    MATCH($A707, SR!$A$2:$A2026, 0),  
    MATCH(H$1, SR!$B$1:$D$1, 0) ), "")
</f>
        <v>-0.00176</v>
      </c>
      <c r="I707" s="12">
        <f t="array" ref="I707">IFERROR(
  INDEX(
    SR!$B$2:$D2026,            
    MATCH($A707, SR!$A$2:$A2026, 0),  
    MATCH(I$1, SR!$B$1:$D$1, 0) ), "")
</f>
        <v>-0.001119</v>
      </c>
      <c r="J707" s="12">
        <f t="array" ref="J707">IFERROR(
  INDEX(
    SR!$B$2:$D2026,            
    MATCH($A707, SR!$A$2:$A2026, 0),  
    MATCH(J$1, SR!$B$1:$D$1, 0) ), "")
</f>
        <v>0.00086</v>
      </c>
      <c r="K707" s="14"/>
      <c r="L707" s="9">
        <v>118.43</v>
      </c>
      <c r="M707" s="9">
        <v>24.51</v>
      </c>
      <c r="N707" s="9">
        <v>114.63</v>
      </c>
      <c r="O707" s="9">
        <v>118.27</v>
      </c>
      <c r="P707" s="9">
        <v>124.51</v>
      </c>
      <c r="Q707" s="9">
        <v>1402.1918</v>
      </c>
      <c r="R707" s="14"/>
      <c r="S707" s="12">
        <f t="shared" si="2"/>
        <v>-0.001060992104</v>
      </c>
      <c r="T707" s="12">
        <f t="shared" si="3"/>
        <v>0.9989390079</v>
      </c>
      <c r="U707" s="16">
        <f t="shared" si="7"/>
        <v>100.1636514</v>
      </c>
      <c r="V707" s="17"/>
      <c r="W707" s="12">
        <f t="array" ref="W707">SQRT(252/20) *  SQRT( SUMSQ( LN(U686:U705 / U685:U704) )  - (1/20) * ( SUM( LN(U686:U705 / U685:U704) ) ^ 2 ) )</f>
        <v>0.00927650504</v>
      </c>
      <c r="X707" s="9">
        <f t="shared" si="4"/>
        <v>1.5</v>
      </c>
      <c r="Y707" s="14"/>
      <c r="Z707" s="12">
        <f t="shared" si="5"/>
        <v>0.9984136785</v>
      </c>
      <c r="AA707" s="16">
        <f t="shared" si="8"/>
        <v>100.4186834</v>
      </c>
      <c r="AB707" s="14"/>
      <c r="AC707" s="9">
        <f t="shared" si="6"/>
        <v>0</v>
      </c>
    </row>
    <row r="708">
      <c r="A708" s="8">
        <v>42751.0</v>
      </c>
      <c r="B708" s="14"/>
      <c r="C708" s="12">
        <f t="array" ref="C708">IFERROR(
  INDEX(
    IR!$B$2:$E2026,                
    MATCH($A708, IR!$A$2:$A2026, 0), 
    MATCH(C$1, IR!$B$1:$E$1, 0) ), "")
</f>
        <v>-0.00372</v>
      </c>
      <c r="D708" s="12">
        <f t="array" ref="D708">IFERROR(
  INDEX(
    IR!$B$2:$E2026,                
    MATCH($A708, IR!$A$2:$A2026, 0), 
    MATCH(D$1, IR!$B$1:$E$1, 0) ), "")
</f>
        <v>-0.00328</v>
      </c>
      <c r="E708" s="12">
        <f t="array" ref="E708">IFERROR(
  INDEX(
    IR!$B$2:$E2026,                
    MATCH($A708, IR!$A$2:$A2026, 0), 
    MATCH(E$1, IR!$B$1:$E$1, 0) ), "")
</f>
        <v>-0.00238</v>
      </c>
      <c r="F708" s="12">
        <f t="array" ref="F708">IFERROR(
  INDEX(
    IR!$B$2:$E2026,                
    MATCH($A708, IR!$A$2:$A2026, 0), 
    MATCH(F$1, IR!$B$1:$E$1, 0) ), "")
</f>
        <v>-0.00095</v>
      </c>
      <c r="G708" s="25"/>
      <c r="H708" s="12">
        <f t="array" ref="H708">IFERROR(
  INDEX(
    SR!$B$2:$D2026,            
    MATCH($A708, SR!$A$2:$A2026, 0),  
    MATCH(H$1, SR!$B$1:$D$1, 0) ), "")
</f>
        <v>-0.00185</v>
      </c>
      <c r="I708" s="12">
        <f t="array" ref="I708">IFERROR(
  INDEX(
    SR!$B$2:$D2026,            
    MATCH($A708, SR!$A$2:$A2026, 0),  
    MATCH(I$1, SR!$B$1:$D$1, 0) ), "")
</f>
        <v>-0.001172</v>
      </c>
      <c r="J708" s="12">
        <f t="array" ref="J708">IFERROR(
  INDEX(
    SR!$B$2:$D2026,            
    MATCH($A708, SR!$A$2:$A2026, 0),  
    MATCH(J$1, SR!$B$1:$D$1, 0) ), "")
</f>
        <v>0.000795</v>
      </c>
      <c r="K708" s="14"/>
      <c r="L708" s="9">
        <v>118.39</v>
      </c>
      <c r="M708" s="9">
        <v>24.51</v>
      </c>
      <c r="N708" s="9">
        <v>114.68</v>
      </c>
      <c r="O708" s="9">
        <v>118.53</v>
      </c>
      <c r="P708" s="9">
        <v>124.56</v>
      </c>
      <c r="Q708" s="9">
        <v>1402.731</v>
      </c>
      <c r="R708" s="14"/>
      <c r="S708" s="12">
        <f t="shared" si="2"/>
        <v>0.0005136509966</v>
      </c>
      <c r="T708" s="12">
        <f t="shared" si="3"/>
        <v>1.000513651</v>
      </c>
      <c r="U708" s="16">
        <f t="shared" si="7"/>
        <v>100.2151006</v>
      </c>
      <c r="V708" s="17"/>
      <c r="W708" s="12">
        <f t="array" ref="W708">SQRT(252/20) *  SQRT( SUMSQ( LN(U687:U706 / U686:U705) )  - (1/20) * ( SUM( LN(U687:U706 / U686:U705) ) ^ 2 ) )</f>
        <v>0.008096239231</v>
      </c>
      <c r="X708" s="9">
        <f t="shared" si="4"/>
        <v>1.5</v>
      </c>
      <c r="Y708" s="14"/>
      <c r="Z708" s="12">
        <f t="shared" si="5"/>
        <v>1.000785976</v>
      </c>
      <c r="AA708" s="16">
        <f t="shared" si="8"/>
        <v>100.4976101</v>
      </c>
      <c r="AB708" s="14"/>
      <c r="AC708" s="9">
        <f t="shared" si="6"/>
        <v>0</v>
      </c>
    </row>
    <row r="709">
      <c r="A709" s="8">
        <v>42752.0</v>
      </c>
      <c r="B709" s="14"/>
      <c r="C709" s="12">
        <f t="array" ref="C709">IFERROR(
  INDEX(
    IR!$B$2:$E2026,                
    MATCH($A709, IR!$A$2:$A2026, 0), 
    MATCH(C$1, IR!$B$1:$E$1, 0) ), "")
</f>
        <v>-0.00372</v>
      </c>
      <c r="D709" s="12">
        <f t="array" ref="D709">IFERROR(
  INDEX(
    IR!$B$2:$E2026,                
    MATCH($A709, IR!$A$2:$A2026, 0), 
    MATCH(D$1, IR!$B$1:$E$1, 0) ), "")
</f>
        <v>-0.00329</v>
      </c>
      <c r="E709" s="12">
        <f t="array" ref="E709">IFERROR(
  INDEX(
    IR!$B$2:$E2026,                
    MATCH($A709, IR!$A$2:$A2026, 0), 
    MATCH(E$1, IR!$B$1:$E$1, 0) ), "")
</f>
        <v>-0.00239</v>
      </c>
      <c r="F709" s="12">
        <f t="array" ref="F709">IFERROR(
  INDEX(
    IR!$B$2:$E2026,                
    MATCH($A709, IR!$A$2:$A2026, 0), 
    MATCH(F$1, IR!$B$1:$E$1, 0) ), "")
</f>
        <v>-0.00098</v>
      </c>
      <c r="G709" s="25"/>
      <c r="H709" s="12">
        <f t="array" ref="H709">IFERROR(
  INDEX(
    SR!$B$2:$D2026,            
    MATCH($A709, SR!$A$2:$A2026, 0),  
    MATCH(H$1, SR!$B$1:$D$1, 0) ), "")
</f>
        <v>-0.00181</v>
      </c>
      <c r="I709" s="12">
        <f t="array" ref="I709">IFERROR(
  INDEX(
    SR!$B$2:$D2026,            
    MATCH($A709, SR!$A$2:$A2026, 0),  
    MATCH(I$1, SR!$B$1:$D$1, 0) ), "")
</f>
        <v>-0.00114</v>
      </c>
      <c r="J709" s="12">
        <f t="array" ref="J709">IFERROR(
  INDEX(
    SR!$B$2:$D2026,            
    MATCH($A709, SR!$A$2:$A2026, 0),  
    MATCH(J$1, SR!$B$1:$D$1, 0) ), "")
</f>
        <v>0.00084</v>
      </c>
      <c r="K709" s="14"/>
      <c r="L709" s="9">
        <v>118.29</v>
      </c>
      <c r="M709" s="9">
        <v>24.51</v>
      </c>
      <c r="N709" s="9">
        <v>114.7</v>
      </c>
      <c r="O709" s="9">
        <v>118.28</v>
      </c>
      <c r="P709" s="9">
        <v>124.66</v>
      </c>
      <c r="Q709" s="9">
        <v>1400.8348</v>
      </c>
      <c r="R709" s="14"/>
      <c r="S709" s="12">
        <f t="shared" si="2"/>
        <v>-0.0005546472769</v>
      </c>
      <c r="T709" s="12">
        <f t="shared" si="3"/>
        <v>0.9994453527</v>
      </c>
      <c r="U709" s="16">
        <f t="shared" si="7"/>
        <v>100.1595166</v>
      </c>
      <c r="V709" s="17"/>
      <c r="W709" s="12">
        <f t="array" ref="W709">SQRT(252/20) *  SQRT( SUMSQ( LN(U688:U707 / U687:U706) )  - (1/20) * ( SUM( LN(U688:U707 / U687:U706) ) ^ 2 ) )</f>
        <v>0.008379256219</v>
      </c>
      <c r="X709" s="9">
        <f t="shared" si="4"/>
        <v>1.5</v>
      </c>
      <c r="Y709" s="14"/>
      <c r="Z709" s="12">
        <f t="shared" si="5"/>
        <v>0.9991731958</v>
      </c>
      <c r="AA709" s="16">
        <f t="shared" si="8"/>
        <v>100.4145183</v>
      </c>
      <c r="AB709" s="14"/>
      <c r="AC709" s="9">
        <f t="shared" si="6"/>
        <v>0</v>
      </c>
    </row>
    <row r="710">
      <c r="A710" s="8">
        <v>42753.0</v>
      </c>
      <c r="B710" s="14"/>
      <c r="C710" s="12">
        <f t="array" ref="C710">IFERROR(
  INDEX(
    IR!$B$2:$E2026,                
    MATCH($A710, IR!$A$2:$A2026, 0), 
    MATCH(C$1, IR!$B$1:$E$1, 0) ), "")
</f>
        <v>-0.00372</v>
      </c>
      <c r="D710" s="12">
        <f t="array" ref="D710">IFERROR(
  INDEX(
    IR!$B$2:$E2026,                
    MATCH($A710, IR!$A$2:$A2026, 0), 
    MATCH(D$1, IR!$B$1:$E$1, 0) ), "")
</f>
        <v>-0.00329</v>
      </c>
      <c r="E710" s="12">
        <f t="array" ref="E710">IFERROR(
  INDEX(
    IR!$B$2:$E2026,                
    MATCH($A710, IR!$A$2:$A2026, 0), 
    MATCH(E$1, IR!$B$1:$E$1, 0) ), "")
</f>
        <v>-0.0024</v>
      </c>
      <c r="F710" s="12">
        <f t="array" ref="F710">IFERROR(
  INDEX(
    IR!$B$2:$E2026,                
    MATCH($A710, IR!$A$2:$A2026, 0), 
    MATCH(F$1, IR!$B$1:$E$1, 0) ), "")
</f>
        <v>-0.00099</v>
      </c>
      <c r="G710" s="25"/>
      <c r="H710" s="12">
        <f t="array" ref="H710">IFERROR(
  INDEX(
    SR!$B$2:$D2026,            
    MATCH($A710, SR!$A$2:$A2026, 0),  
    MATCH(H$1, SR!$B$1:$D$1, 0) ), "")
</f>
        <v>-0.00176</v>
      </c>
      <c r="I710" s="12">
        <f t="array" ref="I710">IFERROR(
  INDEX(
    SR!$B$2:$D2026,            
    MATCH($A710, SR!$A$2:$A2026, 0),  
    MATCH(I$1, SR!$B$1:$D$1, 0) ), "")
</f>
        <v>-0.001</v>
      </c>
      <c r="J710" s="12">
        <f t="array" ref="J710">IFERROR(
  INDEX(
    SR!$B$2:$D2026,            
    MATCH($A710, SR!$A$2:$A2026, 0),  
    MATCH(J$1, SR!$B$1:$D$1, 0) ), "")
</f>
        <v>0.0011</v>
      </c>
      <c r="K710" s="14"/>
      <c r="L710" s="9">
        <v>118.29</v>
      </c>
      <c r="M710" s="9">
        <v>24.51</v>
      </c>
      <c r="N710" s="9">
        <v>114.71</v>
      </c>
      <c r="O710" s="9">
        <v>118.28</v>
      </c>
      <c r="P710" s="9">
        <v>124.56</v>
      </c>
      <c r="Q710" s="9">
        <v>1399.6046</v>
      </c>
      <c r="R710" s="14"/>
      <c r="S710" s="12">
        <f t="shared" si="2"/>
        <v>-0.0002655130415</v>
      </c>
      <c r="T710" s="12">
        <f t="shared" si="3"/>
        <v>0.999734487</v>
      </c>
      <c r="U710" s="16">
        <f t="shared" si="7"/>
        <v>100.1329229</v>
      </c>
      <c r="V710" s="17"/>
      <c r="W710" s="12">
        <f t="array" ref="W710">SQRT(252/20) *  SQRT( SUMSQ( LN(U689:U708 / U688:U707) )  - (1/20) * ( SUM( LN(U689:U708 / U688:U707) ) ^ 2 ) )</f>
        <v>0.007788785421</v>
      </c>
      <c r="X710" s="9">
        <f t="shared" si="4"/>
        <v>1.5</v>
      </c>
      <c r="Y710" s="14"/>
      <c r="Z710" s="12">
        <f t="shared" si="5"/>
        <v>0.9996068971</v>
      </c>
      <c r="AA710" s="16">
        <f t="shared" si="8"/>
        <v>100.375045</v>
      </c>
      <c r="AB710" s="14"/>
      <c r="AC710" s="9">
        <f t="shared" si="6"/>
        <v>0</v>
      </c>
    </row>
    <row r="711">
      <c r="A711" s="8">
        <v>42754.0</v>
      </c>
      <c r="B711" s="14"/>
      <c r="C711" s="12">
        <f t="array" ref="C711">IFERROR(
  INDEX(
    IR!$B$2:$E2026,                
    MATCH($A711, IR!$A$2:$A2026, 0), 
    MATCH(C$1, IR!$B$1:$E$1, 0) ), "")
</f>
        <v>-0.00372</v>
      </c>
      <c r="D711" s="12">
        <f t="array" ref="D711">IFERROR(
  INDEX(
    IR!$B$2:$E2026,                
    MATCH($A711, IR!$A$2:$A2026, 0), 
    MATCH(D$1, IR!$B$1:$E$1, 0) ), "")
</f>
        <v>-0.00329</v>
      </c>
      <c r="E711" s="12">
        <f t="array" ref="E711">IFERROR(
  INDEX(
    IR!$B$2:$E2026,                
    MATCH($A711, IR!$A$2:$A2026, 0), 
    MATCH(E$1, IR!$B$1:$E$1, 0) ), "")
</f>
        <v>-0.0024</v>
      </c>
      <c r="F711" s="12">
        <f t="array" ref="F711">IFERROR(
  INDEX(
    IR!$B$2:$E2026,                
    MATCH($A711, IR!$A$2:$A2026, 0), 
    MATCH(F$1, IR!$B$1:$E$1, 0) ), "")
</f>
        <v>-0.001</v>
      </c>
      <c r="G711" s="25"/>
      <c r="H711" s="12">
        <f t="array" ref="H711">IFERROR(
  INDEX(
    SR!$B$2:$D2026,            
    MATCH($A711, SR!$A$2:$A2026, 0),  
    MATCH(H$1, SR!$B$1:$D$1, 0) ), "")
</f>
        <v>-0.00169</v>
      </c>
      <c r="I711" s="12">
        <f t="array" ref="I711">IFERROR(
  INDEX(
    SR!$B$2:$D2026,            
    MATCH($A711, SR!$A$2:$A2026, 0),  
    MATCH(I$1, SR!$B$1:$D$1, 0) ), "")
</f>
        <v>-0.000898</v>
      </c>
      <c r="J711" s="12">
        <f t="array" ref="J711">IFERROR(
  INDEX(
    SR!$B$2:$D2026,            
    MATCH($A711, SR!$A$2:$A2026, 0),  
    MATCH(J$1, SR!$B$1:$D$1, 0) ), "")
</f>
        <v>0.00132</v>
      </c>
      <c r="K711" s="14"/>
      <c r="L711" s="9">
        <v>118.18</v>
      </c>
      <c r="M711" s="9">
        <v>24.52</v>
      </c>
      <c r="N711" s="9">
        <v>114.69</v>
      </c>
      <c r="O711" s="9">
        <v>118.23</v>
      </c>
      <c r="P711" s="9">
        <v>124.51</v>
      </c>
      <c r="Q711" s="9">
        <v>1402.5432</v>
      </c>
      <c r="R711" s="14"/>
      <c r="S711" s="12">
        <f t="shared" si="2"/>
        <v>0.00009670139698</v>
      </c>
      <c r="T711" s="12">
        <f t="shared" si="3"/>
        <v>1.000096701</v>
      </c>
      <c r="U711" s="16">
        <f t="shared" si="7"/>
        <v>100.1426059</v>
      </c>
      <c r="V711" s="17"/>
      <c r="W711" s="12">
        <f t="array" ref="W711">SQRT(252/20) *  SQRT( SUMSQ( LN(U690:U709 / U689:U708) )  - (1/20) * ( SUM( LN(U690:U709 / U689:U708) ) ^ 2 ) )</f>
        <v>0.008192236276</v>
      </c>
      <c r="X711" s="9">
        <f t="shared" si="4"/>
        <v>1.5</v>
      </c>
      <c r="Y711" s="14"/>
      <c r="Z711" s="12">
        <f t="shared" si="5"/>
        <v>1.000150219</v>
      </c>
      <c r="AA711" s="16">
        <f t="shared" si="8"/>
        <v>100.3901232</v>
      </c>
      <c r="AB711" s="14"/>
      <c r="AC711" s="9">
        <f t="shared" si="6"/>
        <v>0</v>
      </c>
    </row>
    <row r="712">
      <c r="A712" s="8">
        <v>42755.0</v>
      </c>
      <c r="B712" s="14"/>
      <c r="C712" s="12">
        <f t="array" ref="C712">IFERROR(
  INDEX(
    IR!$B$2:$E2026,                
    MATCH($A712, IR!$A$2:$A2026, 0), 
    MATCH(C$1, IR!$B$1:$E$1, 0) ), "")
</f>
        <v>-0.00372</v>
      </c>
      <c r="D712" s="12">
        <f t="array" ref="D712">IFERROR(
  INDEX(
    IR!$B$2:$E2026,                
    MATCH($A712, IR!$A$2:$A2026, 0), 
    MATCH(D$1, IR!$B$1:$E$1, 0) ), "")
</f>
        <v>-0.00328</v>
      </c>
      <c r="E712" s="12">
        <f t="array" ref="E712">IFERROR(
  INDEX(
    IR!$B$2:$E2026,                
    MATCH($A712, IR!$A$2:$A2026, 0), 
    MATCH(E$1, IR!$B$1:$E$1, 0) ), "")
</f>
        <v>-0.00241</v>
      </c>
      <c r="F712" s="12">
        <f t="array" ref="F712">IFERROR(
  INDEX(
    IR!$B$2:$E2026,                
    MATCH($A712, IR!$A$2:$A2026, 0), 
    MATCH(F$1, IR!$B$1:$E$1, 0) ), "")
</f>
        <v>-0.001</v>
      </c>
      <c r="G712" s="25"/>
      <c r="H712" s="12">
        <f t="array" ref="H712">IFERROR(
  INDEX(
    SR!$B$2:$D2026,            
    MATCH($A712, SR!$A$2:$A2026, 0),  
    MATCH(H$1, SR!$B$1:$D$1, 0) ), "")
</f>
        <v>-0.00158</v>
      </c>
      <c r="I712" s="12">
        <f t="array" ref="I712">IFERROR(
  INDEX(
    SR!$B$2:$D2026,            
    MATCH($A712, SR!$A$2:$A2026, 0),  
    MATCH(I$1, SR!$B$1:$D$1, 0) ), "")
</f>
        <v>-0.000702</v>
      </c>
      <c r="J712" s="12">
        <f t="array" ref="J712">IFERROR(
  INDEX(
    SR!$B$2:$D2026,            
    MATCH($A712, SR!$A$2:$A2026, 0),  
    MATCH(J$1, SR!$B$1:$D$1, 0) ), "")
</f>
        <v>0.00154</v>
      </c>
      <c r="K712" s="14"/>
      <c r="L712" s="9">
        <v>118.19</v>
      </c>
      <c r="M712" s="9">
        <v>24.51</v>
      </c>
      <c r="N712" s="9">
        <v>114.69</v>
      </c>
      <c r="O712" s="9">
        <v>118.0</v>
      </c>
      <c r="P712" s="9">
        <v>124.44</v>
      </c>
      <c r="Q712" s="9">
        <v>1399.9544</v>
      </c>
      <c r="R712" s="14"/>
      <c r="S712" s="12">
        <f t="shared" si="2"/>
        <v>-0.0007793008212</v>
      </c>
      <c r="T712" s="12">
        <f t="shared" si="3"/>
        <v>0.9992206992</v>
      </c>
      <c r="U712" s="16">
        <f t="shared" si="7"/>
        <v>100.0645647</v>
      </c>
      <c r="V712" s="17"/>
      <c r="W712" s="12">
        <f t="array" ref="W712">SQRT(252/20) *  SQRT( SUMSQ( LN(U691:U710 / U690:U709) )  - (1/20) * ( SUM( LN(U691:U710 / U690:U709) ) ^ 2 ) )</f>
        <v>0.008189435692</v>
      </c>
      <c r="X712" s="9">
        <f t="shared" si="4"/>
        <v>1.5</v>
      </c>
      <c r="Y712" s="14"/>
      <c r="Z712" s="12">
        <f t="shared" si="5"/>
        <v>0.9988362154</v>
      </c>
      <c r="AA712" s="16">
        <f t="shared" si="8"/>
        <v>100.2732908</v>
      </c>
      <c r="AB712" s="14"/>
      <c r="AC712" s="9">
        <f t="shared" si="6"/>
        <v>0</v>
      </c>
    </row>
    <row r="713">
      <c r="A713" s="8">
        <v>42758.0</v>
      </c>
      <c r="B713" s="14"/>
      <c r="C713" s="12">
        <f t="array" ref="C713">IFERROR(
  INDEX(
    IR!$B$2:$E2026,                
    MATCH($A713, IR!$A$2:$A2026, 0), 
    MATCH(C$1, IR!$B$1:$E$1, 0) ), "")
</f>
        <v>-0.00372</v>
      </c>
      <c r="D713" s="12">
        <f t="array" ref="D713">IFERROR(
  INDEX(
    IR!$B$2:$E2026,                
    MATCH($A713, IR!$A$2:$A2026, 0), 
    MATCH(D$1, IR!$B$1:$E$1, 0) ), "")
</f>
        <v>-0.00327</v>
      </c>
      <c r="E713" s="12">
        <f t="array" ref="E713">IFERROR(
  INDEX(
    IR!$B$2:$E2026,                
    MATCH($A713, IR!$A$2:$A2026, 0), 
    MATCH(E$1, IR!$B$1:$E$1, 0) ), "")
</f>
        <v>-0.00241</v>
      </c>
      <c r="F713" s="12">
        <f t="array" ref="F713">IFERROR(
  INDEX(
    IR!$B$2:$E2026,                
    MATCH($A713, IR!$A$2:$A2026, 0), 
    MATCH(F$1, IR!$B$1:$E$1, 0) ), "")
</f>
        <v>-0.00101</v>
      </c>
      <c r="G713" s="25"/>
      <c r="H713" s="12">
        <f t="array" ref="H713">IFERROR(
  INDEX(
    SR!$B$2:$D2026,            
    MATCH($A713, SR!$A$2:$A2026, 0),  
    MATCH(H$1, SR!$B$1:$D$1, 0) ), "")
</f>
        <v>-0.0017</v>
      </c>
      <c r="I713" s="12">
        <f t="array" ref="I713">IFERROR(
  INDEX(
    SR!$B$2:$D2026,            
    MATCH($A713, SR!$A$2:$A2026, 0),  
    MATCH(I$1, SR!$B$1:$D$1, 0) ), "")
</f>
        <v>-0.00092</v>
      </c>
      <c r="J713" s="12">
        <f t="array" ref="J713">IFERROR(
  INDEX(
    SR!$B$2:$D2026,            
    MATCH($A713, SR!$A$2:$A2026, 0),  
    MATCH(J$1, SR!$B$1:$D$1, 0) ), "")
</f>
        <v>0.001195</v>
      </c>
      <c r="K713" s="14"/>
      <c r="L713" s="9">
        <v>118.01</v>
      </c>
      <c r="M713" s="9">
        <v>24.51</v>
      </c>
      <c r="N713" s="9">
        <v>114.72</v>
      </c>
      <c r="O713" s="9">
        <v>117.86</v>
      </c>
      <c r="P713" s="9">
        <v>124.35</v>
      </c>
      <c r="Q713" s="9">
        <v>1399.5262</v>
      </c>
      <c r="R713" s="14"/>
      <c r="S713" s="12">
        <f t="shared" si="2"/>
        <v>-0.0005792895747</v>
      </c>
      <c r="T713" s="12">
        <f t="shared" si="3"/>
        <v>0.9994207104</v>
      </c>
      <c r="U713" s="16">
        <f t="shared" si="7"/>
        <v>100.0065983</v>
      </c>
      <c r="V713" s="17"/>
      <c r="W713" s="12">
        <f t="array" ref="W713">SQRT(252/20) *  SQRT( SUMSQ( LN(U692:U711 / U691:U710) )  - (1/20) * ( SUM( LN(U692:U711 / U691:U710) ) ^ 2 ) )</f>
        <v>0.007883762827</v>
      </c>
      <c r="X713" s="9">
        <f t="shared" si="4"/>
        <v>1.5</v>
      </c>
      <c r="Y713" s="14"/>
      <c r="Z713" s="12">
        <f t="shared" si="5"/>
        <v>0.9991465656</v>
      </c>
      <c r="AA713" s="16">
        <f t="shared" si="8"/>
        <v>100.1877141</v>
      </c>
      <c r="AB713" s="14"/>
      <c r="AC713" s="9">
        <f t="shared" si="6"/>
        <v>0</v>
      </c>
    </row>
    <row r="714">
      <c r="A714" s="8">
        <v>42759.0</v>
      </c>
      <c r="B714" s="14"/>
      <c r="C714" s="12">
        <f t="array" ref="C714">IFERROR(
  INDEX(
    IR!$B$2:$E2026,                
    MATCH($A714, IR!$A$2:$A2026, 0), 
    MATCH(C$1, IR!$B$1:$E$1, 0) ), "")
</f>
        <v>-0.00372</v>
      </c>
      <c r="D714" s="12">
        <f t="array" ref="D714">IFERROR(
  INDEX(
    IR!$B$2:$E2026,                
    MATCH($A714, IR!$A$2:$A2026, 0), 
    MATCH(D$1, IR!$B$1:$E$1, 0) ), "")
</f>
        <v>-0.00328</v>
      </c>
      <c r="E714" s="12">
        <f t="array" ref="E714">IFERROR(
  INDEX(
    IR!$B$2:$E2026,                
    MATCH($A714, IR!$A$2:$A2026, 0), 
    MATCH(E$1, IR!$B$1:$E$1, 0) ), "")
</f>
        <v>-0.00242</v>
      </c>
      <c r="F714" s="12">
        <f t="array" ref="F714">IFERROR(
  INDEX(
    IR!$B$2:$E2026,                
    MATCH($A714, IR!$A$2:$A2026, 0), 
    MATCH(F$1, IR!$B$1:$E$1, 0) ), "")
</f>
        <v>-0.00101</v>
      </c>
      <c r="G714" s="25"/>
      <c r="H714" s="12">
        <f t="array" ref="H714">IFERROR(
  INDEX(
    SR!$B$2:$D2026,            
    MATCH($A714, SR!$A$2:$A2026, 0),  
    MATCH(H$1, SR!$B$1:$D$1, 0) ), "")
</f>
        <v>-0.00165</v>
      </c>
      <c r="I714" s="12">
        <f t="array" ref="I714">IFERROR(
  INDEX(
    SR!$B$2:$D2026,            
    MATCH($A714, SR!$A$2:$A2026, 0),  
    MATCH(I$1, SR!$B$1:$D$1, 0) ), "")
</f>
        <v>-0.0008</v>
      </c>
      <c r="J714" s="12">
        <f t="array" ref="J714">IFERROR(
  INDEX(
    SR!$B$2:$D2026,            
    MATCH($A714, SR!$A$2:$A2026, 0),  
    MATCH(J$1, SR!$B$1:$D$1, 0) ), "")
</f>
        <v>0.00144</v>
      </c>
      <c r="K714" s="14"/>
      <c r="L714" s="9">
        <v>118.07</v>
      </c>
      <c r="M714" s="9">
        <v>24.51</v>
      </c>
      <c r="N714" s="9">
        <v>114.72</v>
      </c>
      <c r="O714" s="9">
        <v>117.81</v>
      </c>
      <c r="P714" s="9">
        <v>124.33</v>
      </c>
      <c r="Q714" s="9">
        <v>1398.7083</v>
      </c>
      <c r="R714" s="14"/>
      <c r="S714" s="12">
        <f t="shared" si="2"/>
        <v>-0.0001101892158</v>
      </c>
      <c r="T714" s="12">
        <f t="shared" si="3"/>
        <v>0.9998898108</v>
      </c>
      <c r="U714" s="16">
        <f t="shared" si="7"/>
        <v>99.99557868</v>
      </c>
      <c r="V714" s="17"/>
      <c r="W714" s="12">
        <f t="array" ref="W714">SQRT(252/20) *  SQRT( SUMSQ( LN(U693:U712 / U692:U711) )  - (1/20) * ( SUM( LN(U693:U712 / U692:U711) ) ^ 2 ) )</f>
        <v>0.008231885353</v>
      </c>
      <c r="X714" s="9">
        <f t="shared" si="4"/>
        <v>1.5</v>
      </c>
      <c r="Y714" s="14"/>
      <c r="Z714" s="12">
        <f t="shared" si="5"/>
        <v>0.9998398828</v>
      </c>
      <c r="AA714" s="16">
        <f t="shared" si="8"/>
        <v>100.1716723</v>
      </c>
      <c r="AB714" s="14"/>
      <c r="AC714" s="9">
        <f t="shared" si="6"/>
        <v>0</v>
      </c>
    </row>
    <row r="715">
      <c r="A715" s="8">
        <v>42760.0</v>
      </c>
      <c r="B715" s="14"/>
      <c r="C715" s="12">
        <f t="array" ref="C715">IFERROR(
  INDEX(
    IR!$B$2:$E2026,                
    MATCH($A715, IR!$A$2:$A2026, 0), 
    MATCH(C$1, IR!$B$1:$E$1, 0) ), "")
</f>
        <v>-0.00372</v>
      </c>
      <c r="D715" s="12">
        <f t="array" ref="D715">IFERROR(
  INDEX(
    IR!$B$2:$E2026,                
    MATCH($A715, IR!$A$2:$A2026, 0), 
    MATCH(D$1, IR!$B$1:$E$1, 0) ), "")
</f>
        <v>-0.00328</v>
      </c>
      <c r="E715" s="12">
        <f t="array" ref="E715">IFERROR(
  INDEX(
    IR!$B$2:$E2026,                
    MATCH($A715, IR!$A$2:$A2026, 0), 
    MATCH(E$1, IR!$B$1:$E$1, 0) ), "")
</f>
        <v>-0.00242</v>
      </c>
      <c r="F715" s="12">
        <f t="array" ref="F715">IFERROR(
  INDEX(
    IR!$B$2:$E2026,                
    MATCH($A715, IR!$A$2:$A2026, 0), 
    MATCH(F$1, IR!$B$1:$E$1, 0) ), "")
</f>
        <v>-0.00101</v>
      </c>
      <c r="G715" s="25"/>
      <c r="H715" s="12">
        <f t="array" ref="H715">IFERROR(
  INDEX(
    SR!$B$2:$D2026,            
    MATCH($A715, SR!$A$2:$A2026, 0),  
    MATCH(H$1, SR!$B$1:$D$1, 0) ), "")
</f>
        <v>-0.00152</v>
      </c>
      <c r="I715" s="12">
        <f t="array" ref="I715">IFERROR(
  INDEX(
    SR!$B$2:$D2026,            
    MATCH($A715, SR!$A$2:$A2026, 0),  
    MATCH(I$1, SR!$B$1:$D$1, 0) ), "")
</f>
        <v>-0.000586</v>
      </c>
      <c r="J715" s="12">
        <f t="array" ref="J715">IFERROR(
  INDEX(
    SR!$B$2:$D2026,            
    MATCH($A715, SR!$A$2:$A2026, 0),  
    MATCH(J$1, SR!$B$1:$D$1, 0) ), "")
</f>
        <v>0.001865</v>
      </c>
      <c r="K715" s="14"/>
      <c r="L715" s="9">
        <v>118.25</v>
      </c>
      <c r="M715" s="9">
        <v>24.51</v>
      </c>
      <c r="N715" s="9">
        <v>114.74</v>
      </c>
      <c r="O715" s="9">
        <v>117.8</v>
      </c>
      <c r="P715" s="9">
        <v>124.38</v>
      </c>
      <c r="Q715" s="9">
        <v>1403.7007</v>
      </c>
      <c r="R715" s="14"/>
      <c r="S715" s="12">
        <f t="shared" si="2"/>
        <v>0.0009308884293</v>
      </c>
      <c r="T715" s="12">
        <f t="shared" si="3"/>
        <v>1.000930888</v>
      </c>
      <c r="U715" s="16">
        <f t="shared" si="7"/>
        <v>100.0886634</v>
      </c>
      <c r="V715" s="17"/>
      <c r="W715" s="12">
        <f t="array" ref="W715">SQRT(252/20) *  SQRT( SUMSQ( LN(U694:U713 / U693:U712) )  - (1/20) * ( SUM( LN(U694:U713 / U693:U712) ) ^ 2 ) )</f>
        <v>0.008451337974</v>
      </c>
      <c r="X715" s="9">
        <f t="shared" si="4"/>
        <v>1.5</v>
      </c>
      <c r="Y715" s="14"/>
      <c r="Z715" s="12">
        <f t="shared" si="5"/>
        <v>1.001401499</v>
      </c>
      <c r="AA715" s="16">
        <f t="shared" si="8"/>
        <v>100.3120628</v>
      </c>
      <c r="AB715" s="14"/>
      <c r="AC715" s="9">
        <f t="shared" si="6"/>
        <v>0</v>
      </c>
    </row>
    <row r="716">
      <c r="A716" s="8">
        <v>42761.0</v>
      </c>
      <c r="B716" s="14"/>
      <c r="C716" s="12">
        <f t="array" ref="C716">IFERROR(
  INDEX(
    IR!$B$2:$E2026,                
    MATCH($A716, IR!$A$2:$A2026, 0), 
    MATCH(C$1, IR!$B$1:$E$1, 0) ), "")
</f>
        <v>-0.00372</v>
      </c>
      <c r="D716" s="12">
        <f t="array" ref="D716">IFERROR(
  INDEX(
    IR!$B$2:$E2026,                
    MATCH($A716, IR!$A$2:$A2026, 0), 
    MATCH(D$1, IR!$B$1:$E$1, 0) ), "")
</f>
        <v>-0.00328</v>
      </c>
      <c r="E716" s="12">
        <f t="array" ref="E716">IFERROR(
  INDEX(
    IR!$B$2:$E2026,                
    MATCH($A716, IR!$A$2:$A2026, 0), 
    MATCH(E$1, IR!$B$1:$E$1, 0) ), "")
</f>
        <v>-0.00244</v>
      </c>
      <c r="F716" s="12">
        <f t="array" ref="F716">IFERROR(
  INDEX(
    IR!$B$2:$E2026,                
    MATCH($A716, IR!$A$2:$A2026, 0), 
    MATCH(F$1, IR!$B$1:$E$1, 0) ), "")
</f>
        <v>-0.00102</v>
      </c>
      <c r="G716" s="25"/>
      <c r="H716" s="12">
        <f t="array" ref="H716">IFERROR(
  INDEX(
    SR!$B$2:$D2026,            
    MATCH($A716, SR!$A$2:$A2026, 0),  
    MATCH(H$1, SR!$B$1:$D$1, 0) ), "")
</f>
        <v>-0.00147</v>
      </c>
      <c r="I716" s="12">
        <f t="array" ref="I716">IFERROR(
  INDEX(
    SR!$B$2:$D2026,            
    MATCH($A716, SR!$A$2:$A2026, 0),  
    MATCH(I$1, SR!$B$1:$D$1, 0) ), "")
</f>
        <v>-0.000483</v>
      </c>
      <c r="J716" s="12">
        <f t="array" ref="J716">IFERROR(
  INDEX(
    SR!$B$2:$D2026,            
    MATCH($A716, SR!$A$2:$A2026, 0),  
    MATCH(J$1, SR!$B$1:$D$1, 0) ), "")
</f>
        <v>0.00201</v>
      </c>
      <c r="K716" s="14"/>
      <c r="L716" s="9">
        <v>118.41</v>
      </c>
      <c r="M716" s="9">
        <v>24.52</v>
      </c>
      <c r="N716" s="9">
        <v>114.74</v>
      </c>
      <c r="O716" s="9">
        <v>118.29</v>
      </c>
      <c r="P716" s="9">
        <v>124.7</v>
      </c>
      <c r="Q716" s="9">
        <v>1410.4449</v>
      </c>
      <c r="R716" s="14"/>
      <c r="S716" s="12">
        <f t="shared" si="2"/>
        <v>0.002215927455</v>
      </c>
      <c r="T716" s="12">
        <f t="shared" si="3"/>
        <v>1.002215927</v>
      </c>
      <c r="U716" s="16">
        <f t="shared" si="7"/>
        <v>100.3104526</v>
      </c>
      <c r="V716" s="17"/>
      <c r="W716" s="12">
        <f t="array" ref="W716">SQRT(252/20) *  SQRT( SUMSQ( LN(U695:U714 / U694:U713) )  - (1/20) * ( SUM( LN(U695:U714 / U694:U713) ) ^ 2 ) )</f>
        <v>0.00843288658</v>
      </c>
      <c r="X716" s="9">
        <f t="shared" si="4"/>
        <v>1.5</v>
      </c>
      <c r="Y716" s="14"/>
      <c r="Z716" s="12">
        <f t="shared" si="5"/>
        <v>1.003329058</v>
      </c>
      <c r="AA716" s="16">
        <f t="shared" si="8"/>
        <v>100.6460075</v>
      </c>
      <c r="AB716" s="14"/>
      <c r="AC716" s="9">
        <f t="shared" si="6"/>
        <v>0</v>
      </c>
    </row>
    <row r="717">
      <c r="A717" s="8">
        <v>42762.0</v>
      </c>
      <c r="B717" s="14"/>
      <c r="C717" s="12">
        <f t="array" ref="C717">IFERROR(
  INDEX(
    IR!$B$2:$E2026,                
    MATCH($A717, IR!$A$2:$A2026, 0), 
    MATCH(C$1, IR!$B$1:$E$1, 0) ), "")
</f>
        <v>-0.00372</v>
      </c>
      <c r="D717" s="12">
        <f t="array" ref="D717">IFERROR(
  INDEX(
    IR!$B$2:$E2026,                
    MATCH($A717, IR!$A$2:$A2026, 0), 
    MATCH(D$1, IR!$B$1:$E$1, 0) ), "")
</f>
        <v>-0.00328</v>
      </c>
      <c r="E717" s="12">
        <f t="array" ref="E717">IFERROR(
  INDEX(
    IR!$B$2:$E2026,                
    MATCH($A717, IR!$A$2:$A2026, 0), 
    MATCH(E$1, IR!$B$1:$E$1, 0) ), "")
</f>
        <v>-0.00243</v>
      </c>
      <c r="F717" s="12">
        <f t="array" ref="F717">IFERROR(
  INDEX(
    IR!$B$2:$E2026,                
    MATCH($A717, IR!$A$2:$A2026, 0), 
    MATCH(F$1, IR!$B$1:$E$1, 0) ), "")
</f>
        <v>-0.00101</v>
      </c>
      <c r="G717" s="25"/>
      <c r="H717" s="12">
        <f t="array" ref="H717">IFERROR(
  INDEX(
    SR!$B$2:$D2026,            
    MATCH($A717, SR!$A$2:$A2026, 0),  
    MATCH(H$1, SR!$B$1:$D$1, 0) ), "")
</f>
        <v>-0.00143</v>
      </c>
      <c r="I717" s="12">
        <f t="array" ref="I717">IFERROR(
  INDEX(
    SR!$B$2:$D2026,            
    MATCH($A717, SR!$A$2:$A2026, 0),  
    MATCH(I$1, SR!$B$1:$D$1, 0) ), "")
</f>
        <v>-0.000467</v>
      </c>
      <c r="J717" s="12">
        <f t="array" ref="J717">IFERROR(
  INDEX(
    SR!$B$2:$D2026,            
    MATCH($A717, SR!$A$2:$A2026, 0),  
    MATCH(J$1, SR!$B$1:$D$1, 0) ), "")
</f>
        <v>0.00198</v>
      </c>
      <c r="K717" s="14"/>
      <c r="L717" s="9">
        <v>118.31</v>
      </c>
      <c r="M717" s="9">
        <v>24.51</v>
      </c>
      <c r="N717" s="9">
        <v>114.77</v>
      </c>
      <c r="O717" s="9">
        <v>117.95</v>
      </c>
      <c r="P717" s="9">
        <v>124.86</v>
      </c>
      <c r="Q717" s="9">
        <v>1407.0016</v>
      </c>
      <c r="R717" s="14"/>
      <c r="S717" s="12">
        <f t="shared" si="2"/>
        <v>-0.000837141228</v>
      </c>
      <c r="T717" s="12">
        <f t="shared" si="3"/>
        <v>0.9991628588</v>
      </c>
      <c r="U717" s="16">
        <f t="shared" si="7"/>
        <v>100.2264786</v>
      </c>
      <c r="V717" s="17"/>
      <c r="W717" s="12">
        <f t="array" ref="W717">SQRT(252/20) *  SQRT( SUMSQ( LN(U696:U715 / U695:U714) )  - (1/20) * ( SUM( LN(U696:U715 / U695:U714) ) ^ 2 ) )</f>
        <v>0.008609113748</v>
      </c>
      <c r="X717" s="9">
        <f t="shared" si="4"/>
        <v>1.5</v>
      </c>
      <c r="Y717" s="14"/>
      <c r="Z717" s="12">
        <f t="shared" si="5"/>
        <v>0.9987494548</v>
      </c>
      <c r="AA717" s="16">
        <f t="shared" si="8"/>
        <v>100.5201451</v>
      </c>
      <c r="AB717" s="14"/>
      <c r="AC717" s="9">
        <f t="shared" si="6"/>
        <v>0</v>
      </c>
    </row>
    <row r="718">
      <c r="A718" s="8">
        <v>42765.0</v>
      </c>
      <c r="B718" s="14"/>
      <c r="C718" s="12">
        <f t="array" ref="C718">IFERROR(
  INDEX(
    IR!$B$2:$E2026,                
    MATCH($A718, IR!$A$2:$A2026, 0), 
    MATCH(C$1, IR!$B$1:$E$1, 0) ), "")
</f>
        <v>-0.00372</v>
      </c>
      <c r="D718" s="12">
        <f t="array" ref="D718">IFERROR(
  INDEX(
    IR!$B$2:$E2026,                
    MATCH($A718, IR!$A$2:$A2026, 0), 
    MATCH(D$1, IR!$B$1:$E$1, 0) ), "")
</f>
        <v>-0.00328</v>
      </c>
      <c r="E718" s="12">
        <f t="array" ref="E718">IFERROR(
  INDEX(
    IR!$B$2:$E2026,                
    MATCH($A718, IR!$A$2:$A2026, 0), 
    MATCH(E$1, IR!$B$1:$E$1, 0) ), "")
</f>
        <v>-0.00244</v>
      </c>
      <c r="F718" s="12">
        <f t="array" ref="F718">IFERROR(
  INDEX(
    IR!$B$2:$E2026,                
    MATCH($A718, IR!$A$2:$A2026, 0), 
    MATCH(F$1, IR!$B$1:$E$1, 0) ), "")
</f>
        <v>-0.001</v>
      </c>
      <c r="G718" s="25"/>
      <c r="H718" s="12">
        <f t="array" ref="H718">IFERROR(
  INDEX(
    SR!$B$2:$D2026,            
    MATCH($A718, SR!$A$2:$A2026, 0),  
    MATCH(H$1, SR!$B$1:$D$1, 0) ), "")
</f>
        <v>-0.0015</v>
      </c>
      <c r="I718" s="12">
        <f t="array" ref="I718">IFERROR(
  INDEX(
    SR!$B$2:$D2026,            
    MATCH($A718, SR!$A$2:$A2026, 0),  
    MATCH(I$1, SR!$B$1:$D$1, 0) ), "")
</f>
        <v>-0.000508</v>
      </c>
      <c r="J718" s="12">
        <f t="array" ref="J718">IFERROR(
  INDEX(
    SR!$B$2:$D2026,            
    MATCH($A718, SR!$A$2:$A2026, 0),  
    MATCH(J$1, SR!$B$1:$D$1, 0) ), "")
</f>
        <v>0.001938</v>
      </c>
      <c r="K718" s="14"/>
      <c r="L718" s="9">
        <v>117.85</v>
      </c>
      <c r="M718" s="9">
        <v>24.52</v>
      </c>
      <c r="N718" s="9">
        <v>114.78</v>
      </c>
      <c r="O718" s="9">
        <v>117.78</v>
      </c>
      <c r="P718" s="9">
        <v>124.77</v>
      </c>
      <c r="Q718" s="9">
        <v>1406.6268</v>
      </c>
      <c r="R718" s="14"/>
      <c r="S718" s="12">
        <f t="shared" si="2"/>
        <v>-0.0009698787333</v>
      </c>
      <c r="T718" s="12">
        <f t="shared" si="3"/>
        <v>0.9990301213</v>
      </c>
      <c r="U718" s="16">
        <f t="shared" si="7"/>
        <v>100.1292711</v>
      </c>
      <c r="V718" s="17"/>
      <c r="W718" s="12">
        <f t="array" ref="W718">SQRT(252/20) *  SQRT( SUMSQ( LN(U697:U716 / U696:U715) )  - (1/20) * ( SUM( LN(U697:U716 / U696:U715) ) ^ 2 ) )</f>
        <v>0.01136012826</v>
      </c>
      <c r="X718" s="9">
        <f t="shared" si="4"/>
        <v>1.5</v>
      </c>
      <c r="Y718" s="14"/>
      <c r="Z718" s="12">
        <f t="shared" si="5"/>
        <v>0.9985606819</v>
      </c>
      <c r="AA718" s="16">
        <f t="shared" si="8"/>
        <v>100.3754647</v>
      </c>
      <c r="AB718" s="14"/>
      <c r="AC718" s="9">
        <f t="shared" si="6"/>
        <v>0</v>
      </c>
    </row>
    <row r="719">
      <c r="A719" s="8">
        <v>42766.0</v>
      </c>
      <c r="B719" s="14"/>
      <c r="C719" s="12">
        <f t="array" ref="C719">IFERROR(
  INDEX(
    IR!$B$2:$E2026,                
    MATCH($A719, IR!$A$2:$A2026, 0), 
    MATCH(C$1, IR!$B$1:$E$1, 0) ), "")
</f>
        <v>-0.00372</v>
      </c>
      <c r="D719" s="12">
        <f t="array" ref="D719">IFERROR(
  INDEX(
    IR!$B$2:$E2026,                
    MATCH($A719, IR!$A$2:$A2026, 0), 
    MATCH(D$1, IR!$B$1:$E$1, 0) ), "")
</f>
        <v>-0.00327</v>
      </c>
      <c r="E719" s="12">
        <f t="array" ref="E719">IFERROR(
  INDEX(
    IR!$B$2:$E2026,                
    MATCH($A719, IR!$A$2:$A2026, 0), 
    MATCH(E$1, IR!$B$1:$E$1, 0) ), "")
</f>
        <v>-0.00243</v>
      </c>
      <c r="F719" s="12">
        <f t="array" ref="F719">IFERROR(
  INDEX(
    IR!$B$2:$E2026,                
    MATCH($A719, IR!$A$2:$A2026, 0), 
    MATCH(F$1, IR!$B$1:$E$1, 0) ), "")
</f>
        <v>-0.00101</v>
      </c>
      <c r="G719" s="25"/>
      <c r="H719" s="12">
        <f t="array" ref="H719">IFERROR(
  INDEX(
    SR!$B$2:$D2026,            
    MATCH($A719, SR!$A$2:$A2026, 0),  
    MATCH(H$1, SR!$B$1:$D$1, 0) ), "")
</f>
        <v>-0.00155</v>
      </c>
      <c r="I719" s="12">
        <f t="array" ref="I719">IFERROR(
  INDEX(
    SR!$B$2:$D2026,            
    MATCH($A719, SR!$A$2:$A2026, 0),  
    MATCH(I$1, SR!$B$1:$D$1, 0) ), "")
</f>
        <v>-0.00055</v>
      </c>
      <c r="J719" s="12">
        <f t="array" ref="J719">IFERROR(
  INDEX(
    SR!$B$2:$D2026,            
    MATCH($A719, SR!$A$2:$A2026, 0),  
    MATCH(J$1, SR!$B$1:$D$1, 0) ), "")
</f>
        <v>0.00188</v>
      </c>
      <c r="K719" s="14"/>
      <c r="L719" s="9">
        <v>117.72</v>
      </c>
      <c r="M719" s="9">
        <v>24.49</v>
      </c>
      <c r="N719" s="9">
        <v>114.77</v>
      </c>
      <c r="O719" s="9">
        <v>117.01</v>
      </c>
      <c r="P719" s="9">
        <v>124.55</v>
      </c>
      <c r="Q719" s="9">
        <v>1401.4017</v>
      </c>
      <c r="R719" s="14"/>
      <c r="S719" s="12">
        <f t="shared" si="2"/>
        <v>-0.002404276115</v>
      </c>
      <c r="T719" s="12">
        <f t="shared" si="3"/>
        <v>0.9975957239</v>
      </c>
      <c r="U719" s="16">
        <f t="shared" si="7"/>
        <v>99.88853266</v>
      </c>
      <c r="V719" s="17"/>
      <c r="W719" s="12">
        <f t="array" ref="W719">SQRT(252/20) *  SQRT( SUMSQ( LN(U698:U717 / U697:U716) )  - (1/20) * ( SUM( LN(U698:U717 / U697:U716) ) ^ 2 ) )</f>
        <v>0.01184722833</v>
      </c>
      <c r="X719" s="9">
        <f t="shared" si="4"/>
        <v>1.5</v>
      </c>
      <c r="Y719" s="14"/>
      <c r="Z719" s="12">
        <f t="shared" si="5"/>
        <v>0.9963987525</v>
      </c>
      <c r="AA719" s="16">
        <f t="shared" si="8"/>
        <v>100.0139878</v>
      </c>
      <c r="AB719" s="14"/>
      <c r="AC719" s="9">
        <f t="shared" si="6"/>
        <v>0</v>
      </c>
    </row>
    <row r="720">
      <c r="A720" s="8">
        <v>42767.0</v>
      </c>
      <c r="B720" s="14"/>
      <c r="C720" s="12">
        <f t="array" ref="C720">IFERROR(
  INDEX(
    IR!$B$2:$E2026,                
    MATCH($A720, IR!$A$2:$A2026, 0), 
    MATCH(C$1, IR!$B$1:$E$1, 0) ), "")
</f>
        <v>-0.00372</v>
      </c>
      <c r="D720" s="12">
        <f t="array" ref="D720">IFERROR(
  INDEX(
    IR!$B$2:$E2026,                
    MATCH($A720, IR!$A$2:$A2026, 0), 
    MATCH(D$1, IR!$B$1:$E$1, 0) ), "")
</f>
        <v>-0.00328</v>
      </c>
      <c r="E720" s="12">
        <f t="array" ref="E720">IFERROR(
  INDEX(
    IR!$B$2:$E2026,                
    MATCH($A720, IR!$A$2:$A2026, 0), 
    MATCH(E$1, IR!$B$1:$E$1, 0) ), "")
</f>
        <v>-0.00244</v>
      </c>
      <c r="F720" s="12">
        <f t="array" ref="F720">IFERROR(
  INDEX(
    IR!$B$2:$E2026,                
    MATCH($A720, IR!$A$2:$A2026, 0), 
    MATCH(F$1, IR!$B$1:$E$1, 0) ), "")
</f>
        <v>-0.00103</v>
      </c>
      <c r="G720" s="25"/>
      <c r="H720" s="12">
        <f t="array" ref="H720">IFERROR(
  INDEX(
    SR!$B$2:$D2026,            
    MATCH($A720, SR!$A$2:$A2026, 0),  
    MATCH(H$1, SR!$B$1:$D$1, 0) ), "")
</f>
        <v>-0.001447</v>
      </c>
      <c r="I720" s="12">
        <f t="array" ref="I720">IFERROR(
  INDEX(
    SR!$B$2:$D2026,            
    MATCH($A720, SR!$A$2:$A2026, 0),  
    MATCH(I$1, SR!$B$1:$D$1, 0) ), "")
</f>
        <v>-0.00046</v>
      </c>
      <c r="J720" s="12">
        <f t="array" ref="J720">IFERROR(
  INDEX(
    SR!$B$2:$D2026,            
    MATCH($A720, SR!$A$2:$A2026, 0),  
    MATCH(J$1, SR!$B$1:$D$1, 0) ), "")
</f>
        <v>0.002</v>
      </c>
      <c r="K720" s="14"/>
      <c r="L720" s="9">
        <v>117.95</v>
      </c>
      <c r="M720" s="9">
        <v>24.5</v>
      </c>
      <c r="N720" s="9">
        <v>114.78</v>
      </c>
      <c r="O720" s="9">
        <v>116.76</v>
      </c>
      <c r="P720" s="9">
        <v>124.14</v>
      </c>
      <c r="Q720" s="9">
        <v>1393.7701</v>
      </c>
      <c r="R720" s="14"/>
      <c r="S720" s="12">
        <f t="shared" si="2"/>
        <v>-0.001404126474</v>
      </c>
      <c r="T720" s="12">
        <f t="shared" si="3"/>
        <v>0.9985958735</v>
      </c>
      <c r="U720" s="16">
        <f t="shared" si="7"/>
        <v>99.74827653</v>
      </c>
      <c r="V720" s="17"/>
      <c r="W720" s="12">
        <f t="array" ref="W720">SQRT(252/20) *  SQRT( SUMSQ( LN(U699:U718 / U698:U717) )  - (1/20) * ( SUM( LN(U699:U718 / U698:U717) ) ^ 2 ) )</f>
        <v>0.01244731559</v>
      </c>
      <c r="X720" s="9">
        <f t="shared" si="4"/>
        <v>1.5</v>
      </c>
      <c r="Y720" s="14"/>
      <c r="Z720" s="12">
        <f t="shared" si="5"/>
        <v>0.997898977</v>
      </c>
      <c r="AA720" s="16">
        <f t="shared" si="8"/>
        <v>99.80385608</v>
      </c>
      <c r="AB720" s="14"/>
      <c r="AC720" s="9">
        <f t="shared" si="6"/>
        <v>0</v>
      </c>
    </row>
    <row r="721">
      <c r="A721" s="8">
        <v>42768.0</v>
      </c>
      <c r="B721" s="14"/>
      <c r="C721" s="12">
        <f t="array" ref="C721">IFERROR(
  INDEX(
    IR!$B$2:$E2026,                
    MATCH($A721, IR!$A$2:$A2026, 0), 
    MATCH(C$1, IR!$B$1:$E$1, 0) ), "")
</f>
        <v>-0.00373</v>
      </c>
      <c r="D721" s="12">
        <f t="array" ref="D721">IFERROR(
  INDEX(
    IR!$B$2:$E2026,                
    MATCH($A721, IR!$A$2:$A2026, 0), 
    MATCH(D$1, IR!$B$1:$E$1, 0) ), "")
</f>
        <v>-0.00328</v>
      </c>
      <c r="E721" s="12">
        <f t="array" ref="E721">IFERROR(
  INDEX(
    IR!$B$2:$E2026,                
    MATCH($A721, IR!$A$2:$A2026, 0), 
    MATCH(E$1, IR!$B$1:$E$1, 0) ), "")
</f>
        <v>-0.00244</v>
      </c>
      <c r="F721" s="12">
        <f t="array" ref="F721">IFERROR(
  INDEX(
    IR!$B$2:$E2026,                
    MATCH($A721, IR!$A$2:$A2026, 0), 
    MATCH(F$1, IR!$B$1:$E$1, 0) ), "")
</f>
        <v>-0.00102</v>
      </c>
      <c r="G721" s="25"/>
      <c r="H721" s="12">
        <f t="array" ref="H721">IFERROR(
  INDEX(
    SR!$B$2:$D2026,            
    MATCH($A721, SR!$A$2:$A2026, 0),  
    MATCH(H$1, SR!$B$1:$D$1, 0) ), "")
</f>
        <v>-0.001501</v>
      </c>
      <c r="I721" s="12">
        <f t="array" ref="I721">IFERROR(
  INDEX(
    SR!$B$2:$D2026,            
    MATCH($A721, SR!$A$2:$A2026, 0),  
    MATCH(I$1, SR!$B$1:$D$1, 0) ), "")
</f>
        <v>-0.000586</v>
      </c>
      <c r="J721" s="12">
        <f t="array" ref="J721">IFERROR(
  INDEX(
    SR!$B$2:$D2026,            
    MATCH($A721, SR!$A$2:$A2026, 0),  
    MATCH(J$1, SR!$B$1:$D$1, 0) ), "")
</f>
        <v>0.00177</v>
      </c>
      <c r="K721" s="14"/>
      <c r="L721" s="9">
        <v>118.13</v>
      </c>
      <c r="M721" s="9">
        <v>24.49</v>
      </c>
      <c r="N721" s="9">
        <v>114.8</v>
      </c>
      <c r="O721" s="9">
        <v>116.89</v>
      </c>
      <c r="P721" s="9">
        <v>124.3</v>
      </c>
      <c r="Q721" s="9">
        <v>1403.3688</v>
      </c>
      <c r="R721" s="14"/>
      <c r="S721" s="12">
        <f t="shared" si="2"/>
        <v>0.001763529304</v>
      </c>
      <c r="T721" s="12">
        <f t="shared" si="3"/>
        <v>1.001763529</v>
      </c>
      <c r="U721" s="16">
        <f t="shared" si="7"/>
        <v>99.92418554</v>
      </c>
      <c r="V721" s="17"/>
      <c r="W721" s="12">
        <f t="array" ref="W721">SQRT(252/20) *  SQRT( SUMSQ( LN(U700:U719 / U699:U718) )  - (1/20) * ( SUM( LN(U700:U719 / U699:U718) ) ^ 2 ) )</f>
        <v>0.01479038044</v>
      </c>
      <c r="X721" s="9">
        <f t="shared" si="4"/>
        <v>1.5</v>
      </c>
      <c r="Y721" s="14"/>
      <c r="Z721" s="12">
        <f t="shared" si="5"/>
        <v>1.002650461</v>
      </c>
      <c r="AA721" s="16">
        <f t="shared" si="8"/>
        <v>100.0683823</v>
      </c>
      <c r="AB721" s="14"/>
      <c r="AC721" s="9">
        <f t="shared" si="6"/>
        <v>0</v>
      </c>
    </row>
    <row r="722">
      <c r="A722" s="8">
        <v>42769.0</v>
      </c>
      <c r="B722" s="14"/>
      <c r="C722" s="12">
        <f t="array" ref="C722">IFERROR(
  INDEX(
    IR!$B$2:$E2026,                
    MATCH($A722, IR!$A$2:$A2026, 0), 
    MATCH(C$1, IR!$B$1:$E$1, 0) ), "")
</f>
        <v>-0.00373</v>
      </c>
      <c r="D722" s="12">
        <f t="array" ref="D722">IFERROR(
  INDEX(
    IR!$B$2:$E2026,                
    MATCH($A722, IR!$A$2:$A2026, 0), 
    MATCH(D$1, IR!$B$1:$E$1, 0) ), "")
</f>
        <v>-0.00328</v>
      </c>
      <c r="E722" s="12">
        <f t="array" ref="E722">IFERROR(
  INDEX(
    IR!$B$2:$E2026,                
    MATCH($A722, IR!$A$2:$A2026, 0), 
    MATCH(E$1, IR!$B$1:$E$1, 0) ), "")
</f>
        <v>-0.00244</v>
      </c>
      <c r="F722" s="12">
        <f t="array" ref="F722">IFERROR(
  INDEX(
    IR!$B$2:$E2026,                
    MATCH($A722, IR!$A$2:$A2026, 0), 
    MATCH(F$1, IR!$B$1:$E$1, 0) ), "")
</f>
        <v>-0.00101</v>
      </c>
      <c r="G722" s="25"/>
      <c r="H722" s="12">
        <f t="array" ref="H722">IFERROR(
  INDEX(
    SR!$B$2:$D2026,            
    MATCH($A722, SR!$A$2:$A2026, 0),  
    MATCH(H$1, SR!$B$1:$D$1, 0) ), "")
</f>
        <v>-0.00153</v>
      </c>
      <c r="I722" s="12">
        <f t="array" ref="I722">IFERROR(
  INDEX(
    SR!$B$2:$D2026,            
    MATCH($A722, SR!$A$2:$A2026, 0),  
    MATCH(I$1, SR!$B$1:$D$1, 0) ), "")
</f>
        <v>-0.000651</v>
      </c>
      <c r="J722" s="12">
        <f t="array" ref="J722">IFERROR(
  INDEX(
    SR!$B$2:$D2026,            
    MATCH($A722, SR!$A$2:$A2026, 0),  
    MATCH(J$1, SR!$B$1:$D$1, 0) ), "")
</f>
        <v>0.00171</v>
      </c>
      <c r="K722" s="14"/>
      <c r="L722" s="9">
        <v>118.31</v>
      </c>
      <c r="M722" s="9">
        <v>24.5</v>
      </c>
      <c r="N722" s="9">
        <v>114.8</v>
      </c>
      <c r="O722" s="9">
        <v>116.97</v>
      </c>
      <c r="P722" s="9">
        <v>124.42</v>
      </c>
      <c r="Q722" s="9">
        <v>1405.528</v>
      </c>
      <c r="R722" s="14"/>
      <c r="S722" s="12">
        <f t="shared" si="2"/>
        <v>0.0008532239631</v>
      </c>
      <c r="T722" s="12">
        <f t="shared" si="3"/>
        <v>1.000853224</v>
      </c>
      <c r="U722" s="16">
        <f t="shared" si="7"/>
        <v>100.0094432</v>
      </c>
      <c r="V722" s="17"/>
      <c r="W722" s="12">
        <f t="array" ref="W722">SQRT(252/20) *  SQRT( SUMSQ( LN(U701:U720 / U700:U719) )  - (1/20) * ( SUM( LN(U701:U720 / U700:U719) ) ^ 2 ) )</f>
        <v>0.0150384976</v>
      </c>
      <c r="X722" s="9">
        <f t="shared" si="4"/>
        <v>1.5</v>
      </c>
      <c r="Y722" s="14"/>
      <c r="Z722" s="12">
        <f t="shared" si="5"/>
        <v>1.001285017</v>
      </c>
      <c r="AA722" s="16">
        <f t="shared" si="8"/>
        <v>100.1969718</v>
      </c>
      <c r="AB722" s="14"/>
      <c r="AC722" s="9">
        <f t="shared" si="6"/>
        <v>0</v>
      </c>
    </row>
    <row r="723">
      <c r="A723" s="8">
        <v>42772.0</v>
      </c>
      <c r="B723" s="14"/>
      <c r="C723" s="12">
        <f t="array" ref="C723">IFERROR(
  INDEX(
    IR!$B$2:$E2026,                
    MATCH($A723, IR!$A$2:$A2026, 0), 
    MATCH(C$1, IR!$B$1:$E$1, 0) ), "")
</f>
        <v>-0.00373</v>
      </c>
      <c r="D723" s="12">
        <f t="array" ref="D723">IFERROR(
  INDEX(
    IR!$B$2:$E2026,                
    MATCH($A723, IR!$A$2:$A2026, 0), 
    MATCH(D$1, IR!$B$1:$E$1, 0) ), "")
</f>
        <v>-0.00328</v>
      </c>
      <c r="E723" s="12">
        <f t="array" ref="E723">IFERROR(
  INDEX(
    IR!$B$2:$E2026,                
    MATCH($A723, IR!$A$2:$A2026, 0), 
    MATCH(E$1, IR!$B$1:$E$1, 0) ), "")
</f>
        <v>-0.00244</v>
      </c>
      <c r="F723" s="12">
        <f t="array" ref="F723">IFERROR(
  INDEX(
    IR!$B$2:$E2026,                
    MATCH($A723, IR!$A$2:$A2026, 0), 
    MATCH(F$1, IR!$B$1:$E$1, 0) ), "")
</f>
        <v>-0.00101</v>
      </c>
      <c r="G723" s="25"/>
      <c r="H723" s="12">
        <f t="array" ref="H723">IFERROR(
  INDEX(
    SR!$B$2:$D2026,            
    MATCH($A723, SR!$A$2:$A2026, 0),  
    MATCH(H$1, SR!$B$1:$D$1, 0) ), "")
</f>
        <v>-0.00153</v>
      </c>
      <c r="I723" s="12">
        <f t="array" ref="I723">IFERROR(
  INDEX(
    SR!$B$2:$D2026,            
    MATCH($A723, SR!$A$2:$A2026, 0),  
    MATCH(I$1, SR!$B$1:$D$1, 0) ), "")
</f>
        <v>-0.000736</v>
      </c>
      <c r="J723" s="12">
        <f t="array" ref="J723">IFERROR(
  INDEX(
    SR!$B$2:$D2026,            
    MATCH($A723, SR!$A$2:$A2026, 0),  
    MATCH(J$1, SR!$B$1:$D$1, 0) ), "")
</f>
        <v>0.00145</v>
      </c>
      <c r="K723" s="14"/>
      <c r="L723" s="9">
        <v>118.04</v>
      </c>
      <c r="M723" s="9">
        <v>24.51</v>
      </c>
      <c r="N723" s="9">
        <v>114.85</v>
      </c>
      <c r="O723" s="9">
        <v>117.05</v>
      </c>
      <c r="P723" s="9">
        <v>124.78</v>
      </c>
      <c r="Q723" s="9">
        <v>1408.8444</v>
      </c>
      <c r="R723" s="14"/>
      <c r="S723" s="12">
        <f t="shared" si="2"/>
        <v>0.0007496802347</v>
      </c>
      <c r="T723" s="12">
        <f t="shared" si="3"/>
        <v>1.00074968</v>
      </c>
      <c r="U723" s="16">
        <f t="shared" si="7"/>
        <v>100.0844183</v>
      </c>
      <c r="V723" s="17"/>
      <c r="W723" s="12">
        <f t="array" ref="W723">SQRT(252/20) *  SQRT( SUMSQ( LN(U702:U721 / U701:U720) )  - (1/20) * ( SUM( LN(U702:U721 / U701:U720) ) ^ 2 ) )</f>
        <v>0.01647052794</v>
      </c>
      <c r="X723" s="9">
        <f t="shared" si="4"/>
        <v>1.5</v>
      </c>
      <c r="Y723" s="14"/>
      <c r="Z723" s="12">
        <f t="shared" si="5"/>
        <v>1.001140062</v>
      </c>
      <c r="AA723" s="16">
        <f t="shared" si="8"/>
        <v>100.3112026</v>
      </c>
      <c r="AB723" s="14"/>
      <c r="AC723" s="9">
        <f t="shared" si="6"/>
        <v>0</v>
      </c>
    </row>
    <row r="724">
      <c r="A724" s="8">
        <v>42773.0</v>
      </c>
      <c r="B724" s="14"/>
      <c r="C724" s="12">
        <f t="array" ref="C724">IFERROR(
  INDEX(
    IR!$B$2:$E2026,                
    MATCH($A724, IR!$A$2:$A2026, 0), 
    MATCH(C$1, IR!$B$1:$E$1, 0) ), "")
</f>
        <v>-0.00373</v>
      </c>
      <c r="D724" s="12">
        <f t="array" ref="D724">IFERROR(
  INDEX(
    IR!$B$2:$E2026,                
    MATCH($A724, IR!$A$2:$A2026, 0), 
    MATCH(D$1, IR!$B$1:$E$1, 0) ), "")
</f>
        <v>-0.00328</v>
      </c>
      <c r="E724" s="12">
        <f t="array" ref="E724">IFERROR(
  INDEX(
    IR!$B$2:$E2026,                
    MATCH($A724, IR!$A$2:$A2026, 0), 
    MATCH(E$1, IR!$B$1:$E$1, 0) ), "")
</f>
        <v>-0.00244</v>
      </c>
      <c r="F724" s="12">
        <f t="array" ref="F724">IFERROR(
  INDEX(
    IR!$B$2:$E2026,                
    MATCH($A724, IR!$A$2:$A2026, 0), 
    MATCH(F$1, IR!$B$1:$E$1, 0) ), "")
</f>
        <v>-0.00101</v>
      </c>
      <c r="G724" s="25"/>
      <c r="H724" s="12">
        <f t="array" ref="H724">IFERROR(
  INDEX(
    SR!$B$2:$D2026,            
    MATCH($A724, SR!$A$2:$A2026, 0),  
    MATCH(H$1, SR!$B$1:$D$1, 0) ), "")
</f>
        <v>-0.00144</v>
      </c>
      <c r="I724" s="12">
        <f t="array" ref="I724">IFERROR(
  INDEX(
    SR!$B$2:$D2026,            
    MATCH($A724, SR!$A$2:$A2026, 0),  
    MATCH(I$1, SR!$B$1:$D$1, 0) ), "")
</f>
        <v>-0.000641</v>
      </c>
      <c r="J724" s="12">
        <f t="array" ref="J724">IFERROR(
  INDEX(
    SR!$B$2:$D2026,            
    MATCH($A724, SR!$A$2:$A2026, 0),  
    MATCH(J$1, SR!$B$1:$D$1, 0) ), "")
</f>
        <v>0.00155</v>
      </c>
      <c r="K724" s="14"/>
      <c r="L724" s="9">
        <v>118.07</v>
      </c>
      <c r="M724" s="9">
        <v>24.52</v>
      </c>
      <c r="N724" s="9">
        <v>114.86</v>
      </c>
      <c r="O724" s="9">
        <v>116.09</v>
      </c>
      <c r="P724" s="9">
        <v>124.89</v>
      </c>
      <c r="Q724" s="9">
        <v>1406.1732</v>
      </c>
      <c r="R724" s="14"/>
      <c r="S724" s="12">
        <f t="shared" si="2"/>
        <v>-0.001410771104</v>
      </c>
      <c r="T724" s="12">
        <f t="shared" si="3"/>
        <v>0.9985892289</v>
      </c>
      <c r="U724" s="16">
        <f t="shared" si="7"/>
        <v>99.94322214</v>
      </c>
      <c r="V724" s="17"/>
      <c r="W724" s="12">
        <f t="array" ref="W724">SQRT(252/20) *  SQRT( SUMSQ( LN(U703:U722 / U702:U721) )  - (1/20) * ( SUM( LN(U703:U722 / U702:U721) ) ^ 2 ) )</f>
        <v>0.01678390503</v>
      </c>
      <c r="X724" s="9">
        <f t="shared" si="4"/>
        <v>1.5</v>
      </c>
      <c r="Y724" s="14"/>
      <c r="Z724" s="12">
        <f t="shared" si="5"/>
        <v>0.9978890239</v>
      </c>
      <c r="AA724" s="16">
        <f t="shared" si="8"/>
        <v>100.099448</v>
      </c>
      <c r="AB724" s="14"/>
      <c r="AC724" s="9">
        <f t="shared" si="6"/>
        <v>0</v>
      </c>
    </row>
    <row r="725">
      <c r="A725" s="8">
        <v>42774.0</v>
      </c>
      <c r="B725" s="14"/>
      <c r="C725" s="12">
        <f t="array" ref="C725">IFERROR(
  INDEX(
    IR!$B$2:$E2026,                
    MATCH($A725, IR!$A$2:$A2026, 0), 
    MATCH(C$1, IR!$B$1:$E$1, 0) ), "")
</f>
        <v>-0.00373</v>
      </c>
      <c r="D725" s="12">
        <f t="array" ref="D725">IFERROR(
  INDEX(
    IR!$B$2:$E2026,                
    MATCH($A725, IR!$A$2:$A2026, 0), 
    MATCH(D$1, IR!$B$1:$E$1, 0) ), "")
</f>
        <v>-0.00328</v>
      </c>
      <c r="E725" s="12">
        <f t="array" ref="E725">IFERROR(
  INDEX(
    IR!$B$2:$E2026,                
    MATCH($A725, IR!$A$2:$A2026, 0), 
    MATCH(E$1, IR!$B$1:$E$1, 0) ), "")
</f>
        <v>-0.00242</v>
      </c>
      <c r="F725" s="12">
        <f t="array" ref="F725">IFERROR(
  INDEX(
    IR!$B$2:$E2026,                
    MATCH($A725, IR!$A$2:$A2026, 0), 
    MATCH(F$1, IR!$B$1:$E$1, 0) ), "")
</f>
        <v>-0.00101</v>
      </c>
      <c r="G725" s="25"/>
      <c r="H725" s="12">
        <f t="array" ref="H725">IFERROR(
  INDEX(
    SR!$B$2:$D2026,            
    MATCH($A725, SR!$A$2:$A2026, 0),  
    MATCH(H$1, SR!$B$1:$D$1, 0) ), "")
</f>
        <v>-0.001537</v>
      </c>
      <c r="I725" s="12">
        <f t="array" ref="I725">IFERROR(
  INDEX(
    SR!$B$2:$D2026,            
    MATCH($A725, SR!$A$2:$A2026, 0),  
    MATCH(I$1, SR!$B$1:$D$1, 0) ), "")
</f>
        <v>-0.000832</v>
      </c>
      <c r="J725" s="12">
        <f t="array" ref="J725">IFERROR(
  INDEX(
    SR!$B$2:$D2026,            
    MATCH($A725, SR!$A$2:$A2026, 0),  
    MATCH(J$1, SR!$B$1:$D$1, 0) ), "")
</f>
        <v>0.0012</v>
      </c>
      <c r="K725" s="14"/>
      <c r="L725" s="9">
        <v>118.08</v>
      </c>
      <c r="M725" s="9">
        <v>24.52</v>
      </c>
      <c r="N725" s="9">
        <v>114.86</v>
      </c>
      <c r="O725" s="9">
        <v>116.15</v>
      </c>
      <c r="P725" s="9">
        <v>125.18</v>
      </c>
      <c r="Q725" s="9">
        <v>1407.5981</v>
      </c>
      <c r="R725" s="14"/>
      <c r="S725" s="12">
        <f t="shared" si="2"/>
        <v>0.0006559883492</v>
      </c>
      <c r="T725" s="12">
        <f t="shared" si="3"/>
        <v>1.000655988</v>
      </c>
      <c r="U725" s="16">
        <f t="shared" si="7"/>
        <v>100.0087837</v>
      </c>
      <c r="V725" s="17"/>
      <c r="W725" s="12">
        <f t="array" ref="W725">SQRT(252/20) *  SQRT( SUMSQ( LN(U704:U723 / U703:U722) )  - (1/20) * ( SUM( LN(U704:U723 / U703:U722) ) ^ 2 ) )</f>
        <v>0.01703004998</v>
      </c>
      <c r="X725" s="9">
        <f t="shared" si="4"/>
        <v>1.5</v>
      </c>
      <c r="Y725" s="14"/>
      <c r="Z725" s="12">
        <f t="shared" si="5"/>
        <v>1.000989163</v>
      </c>
      <c r="AA725" s="16">
        <f t="shared" si="8"/>
        <v>100.1984627</v>
      </c>
      <c r="AB725" s="14"/>
      <c r="AC725" s="9">
        <f t="shared" si="6"/>
        <v>0</v>
      </c>
    </row>
    <row r="726">
      <c r="A726" s="8">
        <v>42775.0</v>
      </c>
      <c r="B726" s="14"/>
      <c r="C726" s="12">
        <f t="array" ref="C726">IFERROR(
  INDEX(
    IR!$B$2:$E2026,                
    MATCH($A726, IR!$A$2:$A2026, 0), 
    MATCH(C$1, IR!$B$1:$E$1, 0) ), "")
</f>
        <v>-0.00371</v>
      </c>
      <c r="D726" s="12">
        <f t="array" ref="D726">IFERROR(
  INDEX(
    IR!$B$2:$E2026,                
    MATCH($A726, IR!$A$2:$A2026, 0), 
    MATCH(D$1, IR!$B$1:$E$1, 0) ), "")
</f>
        <v>-0.00328</v>
      </c>
      <c r="E726" s="12">
        <f t="array" ref="E726">IFERROR(
  INDEX(
    IR!$B$2:$E2026,                
    MATCH($A726, IR!$A$2:$A2026, 0), 
    MATCH(E$1, IR!$B$1:$E$1, 0) ), "")
</f>
        <v>-0.00241</v>
      </c>
      <c r="F726" s="12">
        <f t="array" ref="F726">IFERROR(
  INDEX(
    IR!$B$2:$E2026,                
    MATCH($A726, IR!$A$2:$A2026, 0), 
    MATCH(F$1, IR!$B$1:$E$1, 0) ), "")
</f>
        <v>-0.00101</v>
      </c>
      <c r="G726" s="25"/>
      <c r="H726" s="12">
        <f t="array" ref="H726">IFERROR(
  INDEX(
    SR!$B$2:$D2026,            
    MATCH($A726, SR!$A$2:$A2026, 0),  
    MATCH(H$1, SR!$B$1:$D$1, 0) ), "")
</f>
        <v>-0.00144</v>
      </c>
      <c r="I726" s="12">
        <f t="array" ref="I726">IFERROR(
  INDEX(
    SR!$B$2:$D2026,            
    MATCH($A726, SR!$A$2:$A2026, 0),  
    MATCH(I$1, SR!$B$1:$D$1, 0) ), "")
</f>
        <v>-0.000675</v>
      </c>
      <c r="J726" s="12">
        <f t="array" ref="J726">IFERROR(
  INDEX(
    SR!$B$2:$D2026,            
    MATCH($A726, SR!$A$2:$A2026, 0),  
    MATCH(J$1, SR!$B$1:$D$1, 0) ), "")
</f>
        <v>0.00138</v>
      </c>
      <c r="K726" s="14"/>
      <c r="L726" s="9">
        <v>118.22</v>
      </c>
      <c r="M726" s="9">
        <v>24.52</v>
      </c>
      <c r="N726" s="9">
        <v>114.85</v>
      </c>
      <c r="O726" s="9">
        <v>116.34</v>
      </c>
      <c r="P726" s="9">
        <v>125.27</v>
      </c>
      <c r="Q726" s="9">
        <v>1402.6215</v>
      </c>
      <c r="R726" s="14"/>
      <c r="S726" s="12">
        <f t="shared" si="2"/>
        <v>-0.00001404331377</v>
      </c>
      <c r="T726" s="12">
        <f t="shared" si="3"/>
        <v>0.9999859567</v>
      </c>
      <c r="U726" s="16">
        <f t="shared" si="7"/>
        <v>100.0073793</v>
      </c>
      <c r="V726" s="17"/>
      <c r="W726" s="12">
        <f t="array" ref="W726">SQRT(252/20) *  SQRT( SUMSQ( LN(U705:U724 / U704:U723) )  - (1/20) * ( SUM( LN(U705:U724 / U704:U723) ) ^ 2 ) )</f>
        <v>0.01767781196</v>
      </c>
      <c r="X726" s="9">
        <f t="shared" si="4"/>
        <v>1.5</v>
      </c>
      <c r="Y726" s="14"/>
      <c r="Z726" s="12">
        <f t="shared" si="5"/>
        <v>0.9999841156</v>
      </c>
      <c r="AA726" s="16">
        <f t="shared" si="8"/>
        <v>100.1968711</v>
      </c>
      <c r="AB726" s="14"/>
      <c r="AC726" s="9">
        <f t="shared" si="6"/>
        <v>0</v>
      </c>
    </row>
    <row r="727">
      <c r="A727" s="8">
        <v>42776.0</v>
      </c>
      <c r="B727" s="14"/>
      <c r="C727" s="12">
        <f t="array" ref="C727">IFERROR(
  INDEX(
    IR!$B$2:$E2026,                
    MATCH($A727, IR!$A$2:$A2026, 0), 
    MATCH(C$1, IR!$B$1:$E$1, 0) ), "")
</f>
        <v>-0.00371</v>
      </c>
      <c r="D727" s="12">
        <f t="array" ref="D727">IFERROR(
  INDEX(
    IR!$B$2:$E2026,                
    MATCH($A727, IR!$A$2:$A2026, 0), 
    MATCH(D$1, IR!$B$1:$E$1, 0) ), "")
</f>
        <v>-0.00329</v>
      </c>
      <c r="E727" s="12">
        <f t="array" ref="E727">IFERROR(
  INDEX(
    IR!$B$2:$E2026,                
    MATCH($A727, IR!$A$2:$A2026, 0), 
    MATCH(E$1, IR!$B$1:$E$1, 0) ), "")
</f>
        <v>-0.0024</v>
      </c>
      <c r="F727" s="12">
        <f t="array" ref="F727">IFERROR(
  INDEX(
    IR!$B$2:$E2026,                
    MATCH($A727, IR!$A$2:$A2026, 0), 
    MATCH(F$1, IR!$B$1:$E$1, 0) ), "")
</f>
        <v>-0.00101</v>
      </c>
      <c r="G727" s="25"/>
      <c r="H727" s="12">
        <f t="array" ref="H727">IFERROR(
  INDEX(
    SR!$B$2:$D2026,            
    MATCH($A727, SR!$A$2:$A2026, 0),  
    MATCH(H$1, SR!$B$1:$D$1, 0) ), "")
</f>
        <v>-0.00143</v>
      </c>
      <c r="I727" s="12">
        <f t="array" ref="I727">IFERROR(
  INDEX(
    SR!$B$2:$D2026,            
    MATCH($A727, SR!$A$2:$A2026, 0),  
    MATCH(I$1, SR!$B$1:$D$1, 0) ), "")
</f>
        <v>-0.000635</v>
      </c>
      <c r="J727" s="12">
        <f t="array" ref="J727">IFERROR(
  INDEX(
    SR!$B$2:$D2026,            
    MATCH($A727, SR!$A$2:$A2026, 0),  
    MATCH(J$1, SR!$B$1:$D$1, 0) ), "")
</f>
        <v>0.00142</v>
      </c>
      <c r="K727" s="14"/>
      <c r="L727" s="9">
        <v>118.29</v>
      </c>
      <c r="M727" s="9">
        <v>24.53</v>
      </c>
      <c r="N727" s="9">
        <v>114.87</v>
      </c>
      <c r="O727" s="9">
        <v>117.0</v>
      </c>
      <c r="P727" s="9">
        <v>125.27</v>
      </c>
      <c r="Q727" s="9">
        <v>1413.2152</v>
      </c>
      <c r="R727" s="14"/>
      <c r="S727" s="12">
        <f t="shared" si="2"/>
        <v>0.002399778657</v>
      </c>
      <c r="T727" s="12">
        <f t="shared" si="3"/>
        <v>1.002399779</v>
      </c>
      <c r="U727" s="16">
        <f t="shared" si="7"/>
        <v>100.2473749</v>
      </c>
      <c r="V727" s="17"/>
      <c r="W727" s="12">
        <f t="array" ref="W727">SQRT(252/20) *  SQRT( SUMSQ( LN(U706:U725 / U705:U724) )  - (1/20) * ( SUM( LN(U706:U725 / U705:U724) ) ^ 2 ) )</f>
        <v>0.0178106318</v>
      </c>
      <c r="X727" s="9">
        <f t="shared" si="4"/>
        <v>1.5</v>
      </c>
      <c r="Y727" s="14"/>
      <c r="Z727" s="12">
        <f t="shared" si="5"/>
        <v>1.003604821</v>
      </c>
      <c r="AA727" s="16">
        <f t="shared" si="8"/>
        <v>100.5580628</v>
      </c>
      <c r="AB727" s="14"/>
      <c r="AC727" s="9">
        <f t="shared" si="6"/>
        <v>0</v>
      </c>
    </row>
    <row r="728">
      <c r="A728" s="8">
        <v>42779.0</v>
      </c>
      <c r="B728" s="14"/>
      <c r="C728" s="12">
        <f t="array" ref="C728">IFERROR(
  INDEX(
    IR!$B$2:$E2026,                
    MATCH($A728, IR!$A$2:$A2026, 0), 
    MATCH(C$1, IR!$B$1:$E$1, 0) ), "")
</f>
        <v>-0.00373</v>
      </c>
      <c r="D728" s="12">
        <f t="array" ref="D728">IFERROR(
  INDEX(
    IR!$B$2:$E2026,                
    MATCH($A728, IR!$A$2:$A2026, 0), 
    MATCH(D$1, IR!$B$1:$E$1, 0) ), "")
</f>
        <v>-0.00329</v>
      </c>
      <c r="E728" s="12">
        <f t="array" ref="E728">IFERROR(
  INDEX(
    IR!$B$2:$E2026,                
    MATCH($A728, IR!$A$2:$A2026, 0), 
    MATCH(E$1, IR!$B$1:$E$1, 0) ), "")
</f>
        <v>-0.0024</v>
      </c>
      <c r="F728" s="12">
        <f t="array" ref="F728">IFERROR(
  INDEX(
    IR!$B$2:$E2026,                
    MATCH($A728, IR!$A$2:$A2026, 0), 
    MATCH(F$1, IR!$B$1:$E$1, 0) ), "")
</f>
        <v>-0.00102</v>
      </c>
      <c r="G728" s="25"/>
      <c r="H728" s="12">
        <f t="array" ref="H728">IFERROR(
  INDEX(
    SR!$B$2:$D2026,            
    MATCH($A728, SR!$A$2:$A2026, 0),  
    MATCH(H$1, SR!$B$1:$D$1, 0) ), "")
</f>
        <v>-0.00138</v>
      </c>
      <c r="I728" s="12">
        <f t="array" ref="I728">IFERROR(
  INDEX(
    SR!$B$2:$D2026,            
    MATCH($A728, SR!$A$2:$A2026, 0),  
    MATCH(I$1, SR!$B$1:$D$1, 0) ), "")
</f>
        <v>-0.000583</v>
      </c>
      <c r="J728" s="12">
        <f t="array" ref="J728">IFERROR(
  INDEX(
    SR!$B$2:$D2026,            
    MATCH($A728, SR!$A$2:$A2026, 0),  
    MATCH(J$1, SR!$B$1:$D$1, 0) ), "")
</f>
        <v>0.00157</v>
      </c>
      <c r="K728" s="14"/>
      <c r="L728" s="9">
        <v>118.5</v>
      </c>
      <c r="M728" s="9">
        <v>24.54</v>
      </c>
      <c r="N728" s="9">
        <v>114.9</v>
      </c>
      <c r="O728" s="9">
        <v>116.71</v>
      </c>
      <c r="P728" s="9">
        <v>125.37</v>
      </c>
      <c r="Q728" s="9">
        <v>1414.9799</v>
      </c>
      <c r="R728" s="14"/>
      <c r="S728" s="12">
        <f t="shared" si="2"/>
        <v>0.0003354045368</v>
      </c>
      <c r="T728" s="12">
        <f t="shared" si="3"/>
        <v>1.000335405</v>
      </c>
      <c r="U728" s="16">
        <f t="shared" si="7"/>
        <v>100.2809983</v>
      </c>
      <c r="V728" s="17"/>
      <c r="W728" s="12">
        <f t="array" ref="W728">SQRT(252/20) *  SQRT( SUMSQ( LN(U707:U726 / U706:U725) )  - (1/20) * ( SUM( LN(U707:U726 / U706:U725) ) ^ 2 ) )</f>
        <v>0.01752815939</v>
      </c>
      <c r="X728" s="9">
        <f t="shared" si="4"/>
        <v>1.5</v>
      </c>
      <c r="Y728" s="14"/>
      <c r="Z728" s="12">
        <f t="shared" si="5"/>
        <v>1.000518565</v>
      </c>
      <c r="AA728" s="16">
        <f t="shared" si="8"/>
        <v>100.6102088</v>
      </c>
      <c r="AB728" s="14"/>
      <c r="AC728" s="9">
        <f t="shared" si="6"/>
        <v>0</v>
      </c>
    </row>
    <row r="729">
      <c r="A729" s="8">
        <v>42780.0</v>
      </c>
      <c r="B729" s="14"/>
      <c r="C729" s="12">
        <f t="array" ref="C729">IFERROR(
  INDEX(
    IR!$B$2:$E2026,                
    MATCH($A729, IR!$A$2:$A2026, 0), 
    MATCH(C$1, IR!$B$1:$E$1, 0) ), "")
</f>
        <v>-0.00374</v>
      </c>
      <c r="D729" s="12">
        <f t="array" ref="D729">IFERROR(
  INDEX(
    IR!$B$2:$E2026,                
    MATCH($A729, IR!$A$2:$A2026, 0), 
    MATCH(D$1, IR!$B$1:$E$1, 0) ), "")
</f>
        <v>-0.00328</v>
      </c>
      <c r="E729" s="12">
        <f t="array" ref="E729">IFERROR(
  INDEX(
    IR!$B$2:$E2026,                
    MATCH($A729, IR!$A$2:$A2026, 0), 
    MATCH(E$1, IR!$B$1:$E$1, 0) ), "")
</f>
        <v>-0.00241</v>
      </c>
      <c r="F729" s="12">
        <f t="array" ref="F729">IFERROR(
  INDEX(
    IR!$B$2:$E2026,                
    MATCH($A729, IR!$A$2:$A2026, 0), 
    MATCH(F$1, IR!$B$1:$E$1, 0) ), "")
</f>
        <v>-0.00104</v>
      </c>
      <c r="G729" s="25"/>
      <c r="H729" s="12">
        <f t="array" ref="H729">IFERROR(
  INDEX(
    SR!$B$2:$D2026,            
    MATCH($A729, SR!$A$2:$A2026, 0),  
    MATCH(H$1, SR!$B$1:$D$1, 0) ), "")
</f>
        <v>-0.00134</v>
      </c>
      <c r="I729" s="12">
        <f t="array" ref="I729">IFERROR(
  INDEX(
    SR!$B$2:$D2026,            
    MATCH($A729, SR!$A$2:$A2026, 0),  
    MATCH(I$1, SR!$B$1:$D$1, 0) ), "")
</f>
        <v>-0.000495</v>
      </c>
      <c r="J729" s="12">
        <f t="array" ref="J729">IFERROR(
  INDEX(
    SR!$B$2:$D2026,            
    MATCH($A729, SR!$A$2:$A2026, 0),  
    MATCH(J$1, SR!$B$1:$D$1, 0) ), "")
</f>
        <v>0.00172</v>
      </c>
      <c r="K729" s="14"/>
      <c r="L729" s="9">
        <v>118.49</v>
      </c>
      <c r="M729" s="9">
        <v>24.54</v>
      </c>
      <c r="N729" s="9">
        <v>114.91</v>
      </c>
      <c r="O729" s="9">
        <v>117.26</v>
      </c>
      <c r="P729" s="9">
        <v>125.59</v>
      </c>
      <c r="Q729" s="9">
        <v>1416.4838</v>
      </c>
      <c r="R729" s="14"/>
      <c r="S729" s="12">
        <f t="shared" si="2"/>
        <v>0.001255075277</v>
      </c>
      <c r="T729" s="12">
        <f t="shared" si="3"/>
        <v>1.001255075</v>
      </c>
      <c r="U729" s="16">
        <f t="shared" si="7"/>
        <v>100.4068585</v>
      </c>
      <c r="V729" s="17"/>
      <c r="W729" s="12">
        <f t="array" ref="W729">SQRT(252/20) *  SQRT( SUMSQ( LN(U708:U727 / U707:U726) )  - (1/20) * ( SUM( LN(U708:U727 / U707:U726) ) ^ 2 ) )</f>
        <v>0.01921772073</v>
      </c>
      <c r="X729" s="9">
        <f t="shared" si="4"/>
        <v>1.5</v>
      </c>
      <c r="Y729" s="14"/>
      <c r="Z729" s="12">
        <f t="shared" si="5"/>
        <v>1.001887793</v>
      </c>
      <c r="AA729" s="16">
        <f t="shared" si="8"/>
        <v>100.8001401</v>
      </c>
      <c r="AB729" s="14"/>
      <c r="AC729" s="9">
        <f t="shared" si="6"/>
        <v>0</v>
      </c>
    </row>
    <row r="730">
      <c r="A730" s="8">
        <v>42781.0</v>
      </c>
      <c r="B730" s="14"/>
      <c r="C730" s="12">
        <f t="array" ref="C730">IFERROR(
  INDEX(
    IR!$B$2:$E2026,                
    MATCH($A730, IR!$A$2:$A2026, 0), 
    MATCH(C$1, IR!$B$1:$E$1, 0) ), "")
</f>
        <v>-0.00373</v>
      </c>
      <c r="D730" s="12">
        <f t="array" ref="D730">IFERROR(
  INDEX(
    IR!$B$2:$E2026,                
    MATCH($A730, IR!$A$2:$A2026, 0), 
    MATCH(D$1, IR!$B$1:$E$1, 0) ), "")
</f>
        <v>-0.00328</v>
      </c>
      <c r="E730" s="12">
        <f t="array" ref="E730">IFERROR(
  INDEX(
    IR!$B$2:$E2026,                
    MATCH($A730, IR!$A$2:$A2026, 0), 
    MATCH(E$1, IR!$B$1:$E$1, 0) ), "")
</f>
        <v>-0.00241</v>
      </c>
      <c r="F730" s="12">
        <f t="array" ref="F730">IFERROR(
  INDEX(
    IR!$B$2:$E2026,                
    MATCH($A730, IR!$A$2:$A2026, 0), 
    MATCH(F$1, IR!$B$1:$E$1, 0) ), "")
</f>
        <v>-0.00104</v>
      </c>
      <c r="G730" s="25"/>
      <c r="H730" s="12">
        <f t="array" ref="H730">IFERROR(
  INDEX(
    SR!$B$2:$D2026,            
    MATCH($A730, SR!$A$2:$A2026, 0),  
    MATCH(H$1, SR!$B$1:$D$1, 0) ), "")
</f>
        <v>-0.00135</v>
      </c>
      <c r="I730" s="12">
        <f t="array" ref="I730">IFERROR(
  INDEX(
    SR!$B$2:$D2026,            
    MATCH($A730, SR!$A$2:$A2026, 0),  
    MATCH(I$1, SR!$B$1:$D$1, 0) ), "")
</f>
        <v>-0.000511</v>
      </c>
      <c r="J730" s="12">
        <f t="array" ref="J730">IFERROR(
  INDEX(
    SR!$B$2:$D2026,            
    MATCH($A730, SR!$A$2:$A2026, 0),  
    MATCH(J$1, SR!$B$1:$D$1, 0) ), "")
</f>
        <v>0.00165</v>
      </c>
      <c r="K730" s="14"/>
      <c r="L730" s="9">
        <v>118.58</v>
      </c>
      <c r="M730" s="9">
        <v>24.54</v>
      </c>
      <c r="N730" s="9">
        <v>114.9</v>
      </c>
      <c r="O730" s="9">
        <v>117.16</v>
      </c>
      <c r="P730" s="9">
        <v>125.77</v>
      </c>
      <c r="Q730" s="9">
        <v>1417.4561</v>
      </c>
      <c r="R730" s="14"/>
      <c r="S730" s="12">
        <f t="shared" si="2"/>
        <v>0.0003231694425</v>
      </c>
      <c r="T730" s="12">
        <f t="shared" si="3"/>
        <v>1.000323169</v>
      </c>
      <c r="U730" s="16">
        <f t="shared" si="7"/>
        <v>100.4393069</v>
      </c>
      <c r="V730" s="17"/>
      <c r="W730" s="12">
        <f t="array" ref="W730">SQRT(252/20) *  SQRT( SUMSQ( LN(U709:U728 / U708:U727) )  - (1/20) * ( SUM( LN(U709:U728 / U708:U727) ) ^ 2 ) )</f>
        <v>0.01917244621</v>
      </c>
      <c r="X730" s="9">
        <f t="shared" si="4"/>
        <v>1.5</v>
      </c>
      <c r="Y730" s="14"/>
      <c r="Z730" s="12">
        <f t="shared" si="5"/>
        <v>1.000489949</v>
      </c>
      <c r="AA730" s="16">
        <f t="shared" si="8"/>
        <v>100.8495269</v>
      </c>
      <c r="AB730" s="14"/>
      <c r="AC730" s="9">
        <f t="shared" si="6"/>
        <v>0</v>
      </c>
    </row>
    <row r="731">
      <c r="A731" s="8">
        <v>42782.0</v>
      </c>
      <c r="B731" s="14"/>
      <c r="C731" s="12">
        <f t="array" ref="C731">IFERROR(
  INDEX(
    IR!$B$2:$E2026,                
    MATCH($A731, IR!$A$2:$A2026, 0), 
    MATCH(C$1, IR!$B$1:$E$1, 0) ), "")
</f>
        <v>-0.00372</v>
      </c>
      <c r="D731" s="12">
        <f t="array" ref="D731">IFERROR(
  INDEX(
    IR!$B$2:$E2026,                
    MATCH($A731, IR!$A$2:$A2026, 0), 
    MATCH(D$1, IR!$B$1:$E$1, 0) ), "")
</f>
        <v>-0.00328</v>
      </c>
      <c r="E731" s="12">
        <f t="array" ref="E731">IFERROR(
  INDEX(
    IR!$B$2:$E2026,                
    MATCH($A731, IR!$A$2:$A2026, 0), 
    MATCH(E$1, IR!$B$1:$E$1, 0) ), "")
</f>
        <v>-0.00239</v>
      </c>
      <c r="F731" s="12">
        <f t="array" ref="F731">IFERROR(
  INDEX(
    IR!$B$2:$E2026,                
    MATCH($A731, IR!$A$2:$A2026, 0), 
    MATCH(F$1, IR!$B$1:$E$1, 0) ), "")
</f>
        <v>-0.00106</v>
      </c>
      <c r="G731" s="25"/>
      <c r="H731" s="12">
        <f t="array" ref="H731">IFERROR(
  INDEX(
    SR!$B$2:$D2026,            
    MATCH($A731, SR!$A$2:$A2026, 0),  
    MATCH(H$1, SR!$B$1:$D$1, 0) ), "")
</f>
        <v>-0.00139</v>
      </c>
      <c r="I731" s="12">
        <f t="array" ref="I731">IFERROR(
  INDEX(
    SR!$B$2:$D2026,            
    MATCH($A731, SR!$A$2:$A2026, 0),  
    MATCH(I$1, SR!$B$1:$D$1, 0) ), "")
</f>
        <v>-0.00057</v>
      </c>
      <c r="J731" s="12">
        <f t="array" ref="J731">IFERROR(
  INDEX(
    SR!$B$2:$D2026,            
    MATCH($A731, SR!$A$2:$A2026, 0),  
    MATCH(J$1, SR!$B$1:$D$1, 0) ), "")
</f>
        <v>0.00149</v>
      </c>
      <c r="K731" s="14"/>
      <c r="L731" s="9">
        <v>118.63</v>
      </c>
      <c r="M731" s="9">
        <v>24.52</v>
      </c>
      <c r="N731" s="9">
        <v>114.88</v>
      </c>
      <c r="O731" s="9">
        <v>117.26</v>
      </c>
      <c r="P731" s="9">
        <v>126.07</v>
      </c>
      <c r="Q731" s="9">
        <v>1419.2052</v>
      </c>
      <c r="R731" s="14"/>
      <c r="S731" s="12">
        <f t="shared" si="2"/>
        <v>0.0006507642491</v>
      </c>
      <c r="T731" s="12">
        <f t="shared" si="3"/>
        <v>1.000650764</v>
      </c>
      <c r="U731" s="16">
        <f t="shared" si="7"/>
        <v>100.5046692</v>
      </c>
      <c r="V731" s="17"/>
      <c r="W731" s="12">
        <f t="array" ref="W731">SQRT(252/20) *  SQRT( SUMSQ( LN(U710:U729 / U709:U728) )  - (1/20) * ( SUM( LN(U710:U729 / U709:U728) ) ^ 2 ) )</f>
        <v>0.0194927401</v>
      </c>
      <c r="X731" s="9">
        <f t="shared" si="4"/>
        <v>1.5</v>
      </c>
      <c r="Y731" s="14"/>
      <c r="Z731" s="12">
        <f t="shared" si="5"/>
        <v>1.000981327</v>
      </c>
      <c r="AA731" s="16">
        <f t="shared" si="8"/>
        <v>100.9484933</v>
      </c>
      <c r="AB731" s="14"/>
      <c r="AC731" s="9">
        <f t="shared" si="6"/>
        <v>0</v>
      </c>
    </row>
    <row r="732">
      <c r="A732" s="8">
        <v>42783.0</v>
      </c>
      <c r="B732" s="14"/>
      <c r="C732" s="12">
        <f t="array" ref="C732">IFERROR(
  INDEX(
    IR!$B$2:$E2026,                
    MATCH($A732, IR!$A$2:$A2026, 0), 
    MATCH(C$1, IR!$B$1:$E$1, 0) ), "")
</f>
        <v>-0.00371</v>
      </c>
      <c r="D732" s="12">
        <f t="array" ref="D732">IFERROR(
  INDEX(
    IR!$B$2:$E2026,                
    MATCH($A732, IR!$A$2:$A2026, 0), 
    MATCH(D$1, IR!$B$1:$E$1, 0) ), "")
</f>
        <v>-0.00329</v>
      </c>
      <c r="E732" s="12">
        <f t="array" ref="E732">IFERROR(
  INDEX(
    IR!$B$2:$E2026,                
    MATCH($A732, IR!$A$2:$A2026, 0), 
    MATCH(E$1, IR!$B$1:$E$1, 0) ), "")
</f>
        <v>-0.00239</v>
      </c>
      <c r="F732" s="12">
        <f t="array" ref="F732">IFERROR(
  INDEX(
    IR!$B$2:$E2026,                
    MATCH($A732, IR!$A$2:$A2026, 0), 
    MATCH(F$1, IR!$B$1:$E$1, 0) ), "")
</f>
        <v>-0.00109</v>
      </c>
      <c r="G732" s="25"/>
      <c r="H732" s="12">
        <f t="array" ref="H732">IFERROR(
  INDEX(
    SR!$B$2:$D2026,            
    MATCH($A732, SR!$A$2:$A2026, 0),  
    MATCH(H$1, SR!$B$1:$D$1, 0) ), "")
</f>
        <v>-0.00149</v>
      </c>
      <c r="I732" s="12">
        <f t="array" ref="I732">IFERROR(
  INDEX(
    SR!$B$2:$D2026,            
    MATCH($A732, SR!$A$2:$A2026, 0),  
    MATCH(I$1, SR!$B$1:$D$1, 0) ), "")
</f>
        <v>-0.000752</v>
      </c>
      <c r="J732" s="12">
        <f t="array" ref="J732">IFERROR(
  INDEX(
    SR!$B$2:$D2026,            
    MATCH($A732, SR!$A$2:$A2026, 0),  
    MATCH(J$1, SR!$B$1:$D$1, 0) ), "")
</f>
        <v>0.00134</v>
      </c>
      <c r="K732" s="14"/>
      <c r="L732" s="9">
        <v>118.43</v>
      </c>
      <c r="M732" s="9">
        <v>24.53</v>
      </c>
      <c r="N732" s="9">
        <v>114.87</v>
      </c>
      <c r="O732" s="9">
        <v>117.29</v>
      </c>
      <c r="P732" s="9">
        <v>125.89</v>
      </c>
      <c r="Q732" s="9">
        <v>1416.9504</v>
      </c>
      <c r="R732" s="14"/>
      <c r="S732" s="12">
        <f t="shared" si="2"/>
        <v>-0.0006875245361</v>
      </c>
      <c r="T732" s="12">
        <f t="shared" si="3"/>
        <v>0.9993124755</v>
      </c>
      <c r="U732" s="16">
        <f t="shared" si="7"/>
        <v>100.4355698</v>
      </c>
      <c r="V732" s="17"/>
      <c r="W732" s="12">
        <f t="array" ref="W732">SQRT(252/20) *  SQRT( SUMSQ( LN(U711:U730 / U710:U729) )  - (1/20) * ( SUM( LN(U711:U730 / U710:U729) ) ^ 2 ) )</f>
        <v>0.01945112343</v>
      </c>
      <c r="X732" s="9">
        <f t="shared" si="4"/>
        <v>1.5</v>
      </c>
      <c r="Y732" s="14"/>
      <c r="Z732" s="12">
        <f t="shared" si="5"/>
        <v>0.9989738799</v>
      </c>
      <c r="AA732" s="16">
        <f t="shared" si="8"/>
        <v>100.844908</v>
      </c>
      <c r="AB732" s="14"/>
      <c r="AC732" s="9">
        <f t="shared" si="6"/>
        <v>0</v>
      </c>
    </row>
    <row r="733">
      <c r="A733" s="8">
        <v>42786.0</v>
      </c>
      <c r="B733" s="14"/>
      <c r="C733" s="12">
        <f t="array" ref="C733">IFERROR(
  INDEX(
    IR!$B$2:$E2026,                
    MATCH($A733, IR!$A$2:$A2026, 0), 
    MATCH(C$1, IR!$B$1:$E$1, 0) ), "")
</f>
        <v>-0.00369</v>
      </c>
      <c r="D733" s="12">
        <f t="array" ref="D733">IFERROR(
  INDEX(
    IR!$B$2:$E2026,                
    MATCH($A733, IR!$A$2:$A2026, 0), 
    MATCH(D$1, IR!$B$1:$E$1, 0) ), "")
</f>
        <v>-0.00329</v>
      </c>
      <c r="E733" s="12">
        <f t="array" ref="E733">IFERROR(
  INDEX(
    IR!$B$2:$E2026,                
    MATCH($A733, IR!$A$2:$A2026, 0), 
    MATCH(E$1, IR!$B$1:$E$1, 0) ), "")
</f>
        <v>-0.00238</v>
      </c>
      <c r="F733" s="12">
        <f t="array" ref="F733">IFERROR(
  INDEX(
    IR!$B$2:$E2026,                
    MATCH($A733, IR!$A$2:$A2026, 0), 
    MATCH(F$1, IR!$B$1:$E$1, 0) ), "")
</f>
        <v>-0.00109</v>
      </c>
      <c r="G733" s="25"/>
      <c r="H733" s="12">
        <f t="array" ref="H733">IFERROR(
  INDEX(
    SR!$B$2:$D2026,            
    MATCH($A733, SR!$A$2:$A2026, 0),  
    MATCH(H$1, SR!$B$1:$D$1, 0) ), "")
</f>
        <v>-0.001465</v>
      </c>
      <c r="I733" s="12">
        <f t="array" ref="I733">IFERROR(
  INDEX(
    SR!$B$2:$D2026,            
    MATCH($A733, SR!$A$2:$A2026, 0),  
    MATCH(I$1, SR!$B$1:$D$1, 0) ), "")
</f>
        <v>-0.00072</v>
      </c>
      <c r="J733" s="12">
        <f t="array" ref="J733">IFERROR(
  INDEX(
    SR!$B$2:$D2026,            
    MATCH($A733, SR!$A$2:$A2026, 0),  
    MATCH(J$1, SR!$B$1:$D$1, 0) ), "")
</f>
        <v>0.00134</v>
      </c>
      <c r="K733" s="14"/>
      <c r="L733" s="9">
        <v>118.65</v>
      </c>
      <c r="M733" s="9">
        <v>24.53</v>
      </c>
      <c r="N733" s="9">
        <v>114.92</v>
      </c>
      <c r="O733" s="9">
        <v>117.19</v>
      </c>
      <c r="P733" s="9">
        <v>126.19</v>
      </c>
      <c r="Q733" s="9">
        <v>1416.3499</v>
      </c>
      <c r="R733" s="14"/>
      <c r="S733" s="12">
        <f t="shared" si="2"/>
        <v>0.0005663242847</v>
      </c>
      <c r="T733" s="12">
        <f t="shared" si="3"/>
        <v>1.000566324</v>
      </c>
      <c r="U733" s="16">
        <f t="shared" si="7"/>
        <v>100.4924489</v>
      </c>
      <c r="V733" s="17"/>
      <c r="W733" s="12">
        <f t="array" ref="W733">SQRT(252/20) *  SQRT( SUMSQ( LN(U712:U731 / U711:U730) )  - (1/20) * ( SUM( LN(U712:U731 / U711:U730) ) ^ 2 ) )</f>
        <v>0.01952525698</v>
      </c>
      <c r="X733" s="9">
        <f t="shared" si="4"/>
        <v>1.5</v>
      </c>
      <c r="Y733" s="14"/>
      <c r="Z733" s="12">
        <f t="shared" si="5"/>
        <v>1.000864945</v>
      </c>
      <c r="AA733" s="16">
        <f t="shared" si="8"/>
        <v>100.9321333</v>
      </c>
      <c r="AB733" s="14"/>
      <c r="AC733" s="9">
        <f t="shared" si="6"/>
        <v>0</v>
      </c>
    </row>
    <row r="734">
      <c r="A734" s="8">
        <v>42787.0</v>
      </c>
      <c r="B734" s="14"/>
      <c r="C734" s="12">
        <f t="array" ref="C734">IFERROR(
  INDEX(
    IR!$B$2:$E2026,                
    MATCH($A734, IR!$A$2:$A2026, 0), 
    MATCH(C$1, IR!$B$1:$E$1, 0) ), "")
</f>
        <v>-0.0037</v>
      </c>
      <c r="D734" s="12">
        <f t="array" ref="D734">IFERROR(
  INDEX(
    IR!$B$2:$E2026,                
    MATCH($A734, IR!$A$2:$A2026, 0), 
    MATCH(D$1, IR!$B$1:$E$1, 0) ), "")
</f>
        <v>-0.00329</v>
      </c>
      <c r="E734" s="12">
        <f t="array" ref="E734">IFERROR(
  INDEX(
    IR!$B$2:$E2026,                
    MATCH($A734, IR!$A$2:$A2026, 0), 
    MATCH(E$1, IR!$B$1:$E$1, 0) ), "")
</f>
        <v>-0.00238</v>
      </c>
      <c r="F734" s="12">
        <f t="array" ref="F734">IFERROR(
  INDEX(
    IR!$B$2:$E2026,                
    MATCH($A734, IR!$A$2:$A2026, 0), 
    MATCH(F$1, IR!$B$1:$E$1, 0) ), "")
</f>
        <v>-0.00111</v>
      </c>
      <c r="G734" s="25"/>
      <c r="H734" s="12">
        <f t="array" ref="H734">IFERROR(
  INDEX(
    SR!$B$2:$D2026,            
    MATCH($A734, SR!$A$2:$A2026, 0),  
    MATCH(H$1, SR!$B$1:$D$1, 0) ), "")
</f>
        <v>-0.00149</v>
      </c>
      <c r="I734" s="12">
        <f t="array" ref="I734">IFERROR(
  INDEX(
    SR!$B$2:$D2026,            
    MATCH($A734, SR!$A$2:$A2026, 0),  
    MATCH(I$1, SR!$B$1:$D$1, 0) ), "")
</f>
        <v>-0.000737</v>
      </c>
      <c r="J734" s="12">
        <f t="array" ref="J734">IFERROR(
  INDEX(
    SR!$B$2:$D2026,            
    MATCH($A734, SR!$A$2:$A2026, 0),  
    MATCH(J$1, SR!$B$1:$D$1, 0) ), "")
</f>
        <v>0.00135</v>
      </c>
      <c r="K734" s="14"/>
      <c r="L734" s="9">
        <v>118.98</v>
      </c>
      <c r="M734" s="9">
        <v>24.55</v>
      </c>
      <c r="N734" s="9">
        <v>114.93</v>
      </c>
      <c r="O734" s="9">
        <v>117.44</v>
      </c>
      <c r="P734" s="9">
        <v>126.32</v>
      </c>
      <c r="Q734" s="9">
        <v>1418.7625</v>
      </c>
      <c r="R734" s="14"/>
      <c r="S734" s="12">
        <f t="shared" si="2"/>
        <v>0.001424684933</v>
      </c>
      <c r="T734" s="12">
        <f t="shared" si="3"/>
        <v>1.001424685</v>
      </c>
      <c r="U734" s="16">
        <f t="shared" si="7"/>
        <v>100.635619</v>
      </c>
      <c r="V734" s="17"/>
      <c r="W734" s="12">
        <f t="array" ref="W734">SQRT(252/20) *  SQRT( SUMSQ( LN(U713:U732 / U712:U731) )  - (1/20) * ( SUM( LN(U713:U732 / U712:U731) ) ^ 2 ) )</f>
        <v>0.01947086612</v>
      </c>
      <c r="X734" s="9">
        <f t="shared" si="4"/>
        <v>1.5</v>
      </c>
      <c r="Y734" s="14"/>
      <c r="Z734" s="12">
        <f t="shared" si="5"/>
        <v>1.002142152</v>
      </c>
      <c r="AA734" s="16">
        <f t="shared" si="8"/>
        <v>101.1483453</v>
      </c>
      <c r="AB734" s="14"/>
      <c r="AC734" s="9">
        <f t="shared" si="6"/>
        <v>0</v>
      </c>
    </row>
    <row r="735">
      <c r="A735" s="8">
        <v>42788.0</v>
      </c>
      <c r="B735" s="14"/>
      <c r="C735" s="12">
        <f t="array" ref="C735">IFERROR(
  INDEX(
    IR!$B$2:$E2026,                
    MATCH($A735, IR!$A$2:$A2026, 0), 
    MATCH(C$1, IR!$B$1:$E$1, 0) ), "")
</f>
        <v>-0.00371</v>
      </c>
      <c r="D735" s="12">
        <f t="array" ref="D735">IFERROR(
  INDEX(
    IR!$B$2:$E2026,                
    MATCH($A735, IR!$A$2:$A2026, 0), 
    MATCH(D$1, IR!$B$1:$E$1, 0) ), "")
</f>
        <v>-0.0033</v>
      </c>
      <c r="E735" s="12">
        <f t="array" ref="E735">IFERROR(
  INDEX(
    IR!$B$2:$E2026,                
    MATCH($A735, IR!$A$2:$A2026, 0), 
    MATCH(E$1, IR!$B$1:$E$1, 0) ), "")
</f>
        <v>-0.00239</v>
      </c>
      <c r="F735" s="12">
        <f t="array" ref="F735">IFERROR(
  INDEX(
    IR!$B$2:$E2026,                
    MATCH($A735, IR!$A$2:$A2026, 0), 
    MATCH(F$1, IR!$B$1:$E$1, 0) ), "")
</f>
        <v>-0.00111</v>
      </c>
      <c r="G735" s="25"/>
      <c r="H735" s="12">
        <f t="array" ref="H735">IFERROR(
  INDEX(
    SR!$B$2:$D2026,            
    MATCH($A735, SR!$A$2:$A2026, 0),  
    MATCH(H$1, SR!$B$1:$D$1, 0) ), "")
</f>
        <v>-0.00146</v>
      </c>
      <c r="I735" s="12">
        <f t="array" ref="I735">IFERROR(
  INDEX(
    SR!$B$2:$D2026,            
    MATCH($A735, SR!$A$2:$A2026, 0),  
    MATCH(I$1, SR!$B$1:$D$1, 0) ), "")
</f>
        <v>-0.00068</v>
      </c>
      <c r="J735" s="12">
        <f t="array" ref="J735">IFERROR(
  INDEX(
    SR!$B$2:$D2026,            
    MATCH($A735, SR!$A$2:$A2026, 0),  
    MATCH(J$1, SR!$B$1:$D$1, 0) ), "")
</f>
        <v>0.0013</v>
      </c>
      <c r="K735" s="14"/>
      <c r="L735" s="9">
        <v>119.01</v>
      </c>
      <c r="M735" s="9">
        <v>24.55</v>
      </c>
      <c r="N735" s="9">
        <v>114.94</v>
      </c>
      <c r="O735" s="9">
        <v>117.66</v>
      </c>
      <c r="P735" s="9">
        <v>126.83</v>
      </c>
      <c r="Q735" s="9">
        <v>1423.1246</v>
      </c>
      <c r="R735" s="14"/>
      <c r="S735" s="12">
        <f t="shared" si="2"/>
        <v>0.001553751826</v>
      </c>
      <c r="T735" s="12">
        <f t="shared" si="3"/>
        <v>1.001553752</v>
      </c>
      <c r="U735" s="16">
        <f t="shared" si="7"/>
        <v>100.7919817</v>
      </c>
      <c r="V735" s="17"/>
      <c r="W735" s="12">
        <f t="array" ref="W735">SQRT(252/20) *  SQRT( SUMSQ( LN(U714:U733 / U713:U732) )  - (1/20) * ( SUM( LN(U714:U733 / U713:U732) ) ^ 2 ) )</f>
        <v>0.01930683437</v>
      </c>
      <c r="X735" s="9">
        <f t="shared" si="4"/>
        <v>1.5</v>
      </c>
      <c r="Y735" s="14"/>
      <c r="Z735" s="12">
        <f t="shared" si="5"/>
        <v>1.002335767</v>
      </c>
      <c r="AA735" s="16">
        <f t="shared" si="8"/>
        <v>101.3846042</v>
      </c>
      <c r="AB735" s="14"/>
      <c r="AC735" s="9">
        <f t="shared" si="6"/>
        <v>0</v>
      </c>
    </row>
    <row r="736">
      <c r="A736" s="8">
        <v>42789.0</v>
      </c>
      <c r="B736" s="14"/>
      <c r="C736" s="12">
        <f t="array" ref="C736">IFERROR(
  INDEX(
    IR!$B$2:$E2026,                
    MATCH($A736, IR!$A$2:$A2026, 0), 
    MATCH(C$1, IR!$B$1:$E$1, 0) ), "")
</f>
        <v>-0.00371</v>
      </c>
      <c r="D736" s="12">
        <f t="array" ref="D736">IFERROR(
  INDEX(
    IR!$B$2:$E2026,                
    MATCH($A736, IR!$A$2:$A2026, 0), 
    MATCH(D$1, IR!$B$1:$E$1, 0) ), "")
</f>
        <v>-0.00329</v>
      </c>
      <c r="E736" s="12">
        <f t="array" ref="E736">IFERROR(
  INDEX(
    IR!$B$2:$E2026,                
    MATCH($A736, IR!$A$2:$A2026, 0), 
    MATCH(E$1, IR!$B$1:$E$1, 0) ), "")
</f>
        <v>-0.00238</v>
      </c>
      <c r="F736" s="12">
        <f t="array" ref="F736">IFERROR(
  INDEX(
    IR!$B$2:$E2026,                
    MATCH($A736, IR!$A$2:$A2026, 0), 
    MATCH(F$1, IR!$B$1:$E$1, 0) ), "")
</f>
        <v>-0.00111</v>
      </c>
      <c r="G736" s="25"/>
      <c r="H736" s="12">
        <f t="array" ref="H736">IFERROR(
  INDEX(
    SR!$B$2:$D2026,            
    MATCH($A736, SR!$A$2:$A2026, 0),  
    MATCH(H$1, SR!$B$1:$D$1, 0) ), "")
</f>
        <v>-0.00157</v>
      </c>
      <c r="I736" s="12">
        <f t="array" ref="I736">IFERROR(
  INDEX(
    SR!$B$2:$D2026,            
    MATCH($A736, SR!$A$2:$A2026, 0),  
    MATCH(I$1, SR!$B$1:$D$1, 0) ), "")
</f>
        <v>-0.000919</v>
      </c>
      <c r="J736" s="12">
        <f t="array" ref="J736">IFERROR(
  INDEX(
    SR!$B$2:$D2026,            
    MATCH($A736, SR!$A$2:$A2026, 0),  
    MATCH(J$1, SR!$B$1:$D$1, 0) ), "")
</f>
        <v>0.00106</v>
      </c>
      <c r="K736" s="14"/>
      <c r="L736" s="9">
        <v>119.12</v>
      </c>
      <c r="M736" s="9">
        <v>24.54</v>
      </c>
      <c r="N736" s="9">
        <v>114.94</v>
      </c>
      <c r="O736" s="9">
        <v>117.82</v>
      </c>
      <c r="P736" s="9">
        <v>126.93</v>
      </c>
      <c r="Q736" s="9">
        <v>1422.2814</v>
      </c>
      <c r="R736" s="14"/>
      <c r="S736" s="12">
        <f t="shared" si="2"/>
        <v>0.0003452639719</v>
      </c>
      <c r="T736" s="12">
        <f t="shared" si="3"/>
        <v>1.000345264</v>
      </c>
      <c r="U736" s="16">
        <f t="shared" si="7"/>
        <v>100.8267816</v>
      </c>
      <c r="V736" s="17"/>
      <c r="W736" s="12">
        <f t="array" ref="W736">SQRT(252/20) *  SQRT( SUMSQ( LN(U715:U734 / U714:U733) )  - (1/20) * ( SUM( LN(U715:U734 / U714:U733) ) ^ 2 ) )</f>
        <v>0.01967969139</v>
      </c>
      <c r="X736" s="9">
        <f t="shared" si="4"/>
        <v>1.5</v>
      </c>
      <c r="Y736" s="14"/>
      <c r="Z736" s="12">
        <f t="shared" si="5"/>
        <v>1.000523049</v>
      </c>
      <c r="AA736" s="16">
        <f t="shared" si="8"/>
        <v>101.4376333</v>
      </c>
      <c r="AB736" s="14"/>
      <c r="AC736" s="9">
        <f t="shared" si="6"/>
        <v>0</v>
      </c>
    </row>
    <row r="737">
      <c r="A737" s="8">
        <v>42790.0</v>
      </c>
      <c r="B737" s="14"/>
      <c r="C737" s="12">
        <f t="array" ref="C737">IFERROR(
  INDEX(
    IR!$B$2:$E2026,                
    MATCH($A737, IR!$A$2:$A2026, 0), 
    MATCH(C$1, IR!$B$1:$E$1, 0) ), "")
</f>
        <v>-0.00371</v>
      </c>
      <c r="D737" s="12">
        <f t="array" ref="D737">IFERROR(
  INDEX(
    IR!$B$2:$E2026,                
    MATCH($A737, IR!$A$2:$A2026, 0), 
    MATCH(D$1, IR!$B$1:$E$1, 0) ), "")
</f>
        <v>-0.00329</v>
      </c>
      <c r="E737" s="12">
        <f t="array" ref="E737">IFERROR(
  INDEX(
    IR!$B$2:$E2026,                
    MATCH($A737, IR!$A$2:$A2026, 0), 
    MATCH(E$1, IR!$B$1:$E$1, 0) ), "")
</f>
        <v>-0.00238</v>
      </c>
      <c r="F737" s="12">
        <f t="array" ref="F737">IFERROR(
  INDEX(
    IR!$B$2:$E2026,                
    MATCH($A737, IR!$A$2:$A2026, 0), 
    MATCH(F$1, IR!$B$1:$E$1, 0) ), "")
</f>
        <v>-0.00113</v>
      </c>
      <c r="G737" s="25"/>
      <c r="H737" s="12">
        <f t="array" ref="H737">IFERROR(
  INDEX(
    SR!$B$2:$D2026,            
    MATCH($A737, SR!$A$2:$A2026, 0),  
    MATCH(H$1, SR!$B$1:$D$1, 0) ), "")
</f>
        <v>-0.00163</v>
      </c>
      <c r="I737" s="12">
        <f t="array" ref="I737">IFERROR(
  INDEX(
    SR!$B$2:$D2026,            
    MATCH($A737, SR!$A$2:$A2026, 0),  
    MATCH(I$1, SR!$B$1:$D$1, 0) ), "")
</f>
        <v>-0.000991</v>
      </c>
      <c r="J737" s="12">
        <f t="array" ref="J737">IFERROR(
  INDEX(
    SR!$B$2:$D2026,            
    MATCH($A737, SR!$A$2:$A2026, 0),  
    MATCH(J$1, SR!$B$1:$D$1, 0) ), "")
</f>
        <v>0.00094</v>
      </c>
      <c r="K737" s="14"/>
      <c r="L737" s="9">
        <v>118.89</v>
      </c>
      <c r="M737" s="9">
        <v>24.55</v>
      </c>
      <c r="N737" s="9">
        <v>114.95</v>
      </c>
      <c r="O737" s="9">
        <v>117.78</v>
      </c>
      <c r="P737" s="9">
        <v>126.83</v>
      </c>
      <c r="Q737" s="9">
        <v>1419.7216</v>
      </c>
      <c r="R737" s="14"/>
      <c r="S737" s="12">
        <f t="shared" si="2"/>
        <v>-0.0007271303181</v>
      </c>
      <c r="T737" s="12">
        <f t="shared" si="3"/>
        <v>0.9992728697</v>
      </c>
      <c r="U737" s="16">
        <f t="shared" si="7"/>
        <v>100.7534674</v>
      </c>
      <c r="V737" s="17"/>
      <c r="W737" s="12">
        <f t="array" ref="W737">SQRT(252/20) *  SQRT( SUMSQ( LN(U716:U735 / U715:U734) )  - (1/20) * ( SUM( LN(U716:U735 / U715:U734) ) ^ 2 ) )</f>
        <v>0.02003766379</v>
      </c>
      <c r="X737" s="9">
        <f t="shared" si="4"/>
        <v>1.5</v>
      </c>
      <c r="Y737" s="14"/>
      <c r="Z737" s="12">
        <f t="shared" si="5"/>
        <v>0.9989144573</v>
      </c>
      <c r="AA737" s="16">
        <f t="shared" si="8"/>
        <v>101.3275184</v>
      </c>
      <c r="AB737" s="14"/>
      <c r="AC737" s="9">
        <f t="shared" si="6"/>
        <v>0</v>
      </c>
    </row>
    <row r="738">
      <c r="A738" s="8">
        <v>42793.0</v>
      </c>
      <c r="B738" s="14"/>
      <c r="C738" s="12">
        <f t="array" ref="C738">IFERROR(
  INDEX(
    IR!$B$2:$E2026,                
    MATCH($A738, IR!$A$2:$A2026, 0), 
    MATCH(C$1, IR!$B$1:$E$1, 0) ), "")
</f>
        <v>-0.00371</v>
      </c>
      <c r="D738" s="12">
        <f t="array" ref="D738">IFERROR(
  INDEX(
    IR!$B$2:$E2026,                
    MATCH($A738, IR!$A$2:$A2026, 0), 
    MATCH(D$1, IR!$B$1:$E$1, 0) ), "")
</f>
        <v>-0.00329</v>
      </c>
      <c r="E738" s="12">
        <f t="array" ref="E738">IFERROR(
  INDEX(
    IR!$B$2:$E2026,                
    MATCH($A738, IR!$A$2:$A2026, 0), 
    MATCH(E$1, IR!$B$1:$E$1, 0) ), "")
</f>
        <v>-0.00238</v>
      </c>
      <c r="F738" s="12">
        <f t="array" ref="F738">IFERROR(
  INDEX(
    IR!$B$2:$E2026,                
    MATCH($A738, IR!$A$2:$A2026, 0), 
    MATCH(F$1, IR!$B$1:$E$1, 0) ), "")
</f>
        <v>-0.00113</v>
      </c>
      <c r="G738" s="25"/>
      <c r="H738" s="12">
        <f t="array" ref="H738">IFERROR(
  INDEX(
    SR!$B$2:$D2026,            
    MATCH($A738, SR!$A$2:$A2026, 0),  
    MATCH(H$1, SR!$B$1:$D$1, 0) ), "")
</f>
        <v>-0.00162</v>
      </c>
      <c r="I738" s="12">
        <f t="array" ref="I738">IFERROR(
  INDEX(
    SR!$B$2:$D2026,            
    MATCH($A738, SR!$A$2:$A2026, 0),  
    MATCH(I$1, SR!$B$1:$D$1, 0) ), "")
</f>
        <v>-0.000967</v>
      </c>
      <c r="J738" s="12">
        <f t="array" ref="J738">IFERROR(
  INDEX(
    SR!$B$2:$D2026,            
    MATCH($A738, SR!$A$2:$A2026, 0),  
    MATCH(J$1, SR!$B$1:$D$1, 0) ), "")
</f>
        <v>0.00096</v>
      </c>
      <c r="K738" s="14"/>
      <c r="L738" s="9">
        <v>118.92</v>
      </c>
      <c r="M738" s="9">
        <v>24.54</v>
      </c>
      <c r="N738" s="9">
        <v>114.97</v>
      </c>
      <c r="O738" s="9">
        <v>117.61</v>
      </c>
      <c r="P738" s="9">
        <v>126.78</v>
      </c>
      <c r="Q738" s="9">
        <v>1417.4514</v>
      </c>
      <c r="R738" s="14"/>
      <c r="S738" s="12">
        <f t="shared" si="2"/>
        <v>-0.0005695408244</v>
      </c>
      <c r="T738" s="12">
        <f t="shared" si="3"/>
        <v>0.9994304592</v>
      </c>
      <c r="U738" s="16">
        <f t="shared" si="7"/>
        <v>100.6960842</v>
      </c>
      <c r="V738" s="17"/>
      <c r="W738" s="12">
        <f t="array" ref="W738">SQRT(252/20) *  SQRT( SUMSQ( LN(U717:U736 / U716:U735) )  - (1/20) * ( SUM( LN(U717:U736 / U716:U735) ) ^ 2 ) )</f>
        <v>0.0188563212</v>
      </c>
      <c r="X738" s="9">
        <f t="shared" si="4"/>
        <v>1.5</v>
      </c>
      <c r="Y738" s="14"/>
      <c r="Z738" s="12">
        <f t="shared" si="5"/>
        <v>0.9991611471</v>
      </c>
      <c r="AA738" s="16">
        <f t="shared" si="8"/>
        <v>101.2425196</v>
      </c>
      <c r="AB738" s="14"/>
      <c r="AC738" s="9">
        <f t="shared" si="6"/>
        <v>0</v>
      </c>
    </row>
    <row r="739">
      <c r="A739" s="8">
        <v>42794.0</v>
      </c>
      <c r="B739" s="14"/>
      <c r="C739" s="12">
        <f t="array" ref="C739">IFERROR(
  INDEX(
    IR!$B$2:$E2026,                
    MATCH($A739, IR!$A$2:$A2026, 0), 
    MATCH(C$1, IR!$B$1:$E$1, 0) ), "")
</f>
        <v>-0.00371</v>
      </c>
      <c r="D739" s="12">
        <f t="array" ref="D739">IFERROR(
  INDEX(
    IR!$B$2:$E2026,                
    MATCH($A739, IR!$A$2:$A2026, 0), 
    MATCH(D$1, IR!$B$1:$E$1, 0) ), "")
</f>
        <v>-0.0033</v>
      </c>
      <c r="E739" s="12">
        <f t="array" ref="E739">IFERROR(
  INDEX(
    IR!$B$2:$E2026,                
    MATCH($A739, IR!$A$2:$A2026, 0), 
    MATCH(E$1, IR!$B$1:$E$1, 0) ), "")
</f>
        <v>-0.00239</v>
      </c>
      <c r="F739" s="12">
        <f t="array" ref="F739">IFERROR(
  INDEX(
    IR!$B$2:$E2026,                
    MATCH($A739, IR!$A$2:$A2026, 0), 
    MATCH(F$1, IR!$B$1:$E$1, 0) ), "")
</f>
        <v>-0.00114</v>
      </c>
      <c r="G739" s="25"/>
      <c r="H739" s="12">
        <f t="array" ref="H739">IFERROR(
  INDEX(
    SR!$B$2:$D2026,            
    MATCH($A739, SR!$A$2:$A2026, 0),  
    MATCH(H$1, SR!$B$1:$D$1, 0) ), "")
</f>
        <v>-0.00167</v>
      </c>
      <c r="I739" s="12">
        <f t="array" ref="I739">IFERROR(
  INDEX(
    SR!$B$2:$D2026,            
    MATCH($A739, SR!$A$2:$A2026, 0),  
    MATCH(I$1, SR!$B$1:$D$1, 0) ), "")
</f>
        <v>-0.00103</v>
      </c>
      <c r="J739" s="12">
        <f t="array" ref="J739">IFERROR(
  INDEX(
    SR!$B$2:$D2026,            
    MATCH($A739, SR!$A$2:$A2026, 0),  
    MATCH(J$1, SR!$B$1:$D$1, 0) ), "")
</f>
        <v>0.00078</v>
      </c>
      <c r="K739" s="14"/>
      <c r="L739" s="9">
        <v>118.97</v>
      </c>
      <c r="M739" s="9">
        <v>24.53</v>
      </c>
      <c r="N739" s="9">
        <v>114.98</v>
      </c>
      <c r="O739" s="9">
        <v>117.74</v>
      </c>
      <c r="P739" s="9">
        <v>126.7</v>
      </c>
      <c r="Q739" s="9">
        <v>1417.5394</v>
      </c>
      <c r="R739" s="14"/>
      <c r="S739" s="12">
        <f t="shared" si="2"/>
        <v>0.0001060219616</v>
      </c>
      <c r="T739" s="12">
        <f t="shared" si="3"/>
        <v>1.000106022</v>
      </c>
      <c r="U739" s="16">
        <f t="shared" si="7"/>
        <v>100.7067602</v>
      </c>
      <c r="V739" s="17"/>
      <c r="W739" s="12">
        <f t="array" ref="W739">SQRT(252/20) *  SQRT( SUMSQ( LN(U718:U737 / U717:U736) )  - (1/20) * ( SUM( LN(U718:U737 / U717:U736) ) ^ 2 ) )</f>
        <v>0.01877951415</v>
      </c>
      <c r="X739" s="9">
        <f t="shared" si="4"/>
        <v>1.5</v>
      </c>
      <c r="Y739" s="14"/>
      <c r="Z739" s="12">
        <f t="shared" si="5"/>
        <v>1.000164186</v>
      </c>
      <c r="AA739" s="16">
        <f t="shared" si="8"/>
        <v>101.2591421</v>
      </c>
      <c r="AB739" s="14"/>
      <c r="AC739" s="9">
        <f t="shared" si="6"/>
        <v>0</v>
      </c>
    </row>
    <row r="740">
      <c r="A740" s="8">
        <v>42795.0</v>
      </c>
      <c r="B740" s="14"/>
      <c r="C740" s="12">
        <f t="array" ref="C740">IFERROR(
  INDEX(
    IR!$B$2:$E2026,                
    MATCH($A740, IR!$A$2:$A2026, 0), 
    MATCH(C$1, IR!$B$1:$E$1, 0) ), "")
</f>
        <v>-0.00372</v>
      </c>
      <c r="D740" s="12">
        <f t="array" ref="D740">IFERROR(
  INDEX(
    IR!$B$2:$E2026,                
    MATCH($A740, IR!$A$2:$A2026, 0), 
    MATCH(D$1, IR!$B$1:$E$1, 0) ), "")
</f>
        <v>-0.00329</v>
      </c>
      <c r="E740" s="12">
        <f t="array" ref="E740">IFERROR(
  INDEX(
    IR!$B$2:$E2026,                
    MATCH($A740, IR!$A$2:$A2026, 0), 
    MATCH(E$1, IR!$B$1:$E$1, 0) ), "")
</f>
        <v>-0.00237</v>
      </c>
      <c r="F740" s="12">
        <f t="array" ref="F740">IFERROR(
  INDEX(
    IR!$B$2:$E2026,                
    MATCH($A740, IR!$A$2:$A2026, 0), 
    MATCH(F$1, IR!$B$1:$E$1, 0) ), "")
</f>
        <v>-0.00114</v>
      </c>
      <c r="G740" s="25"/>
      <c r="H740" s="12">
        <f t="array" ref="H740">IFERROR(
  INDEX(
    SR!$B$2:$D2026,            
    MATCH($A740, SR!$A$2:$A2026, 0),  
    MATCH(H$1, SR!$B$1:$D$1, 0) ), "")
</f>
        <v>-0.00163</v>
      </c>
      <c r="I740" s="12">
        <f t="array" ref="I740">IFERROR(
  INDEX(
    SR!$B$2:$D2026,            
    MATCH($A740, SR!$A$2:$A2026, 0),  
    MATCH(I$1, SR!$B$1:$D$1, 0) ), "")
</f>
        <v>-0.000925</v>
      </c>
      <c r="J740" s="12">
        <f t="array" ref="J740">IFERROR(
  INDEX(
    SR!$B$2:$D2026,            
    MATCH($A740, SR!$A$2:$A2026, 0),  
    MATCH(J$1, SR!$B$1:$D$1, 0) ), "")
</f>
        <v>0.00101</v>
      </c>
      <c r="K740" s="14"/>
      <c r="L740" s="9">
        <v>119.41</v>
      </c>
      <c r="M740" s="9">
        <v>24.53</v>
      </c>
      <c r="N740" s="9">
        <v>114.97</v>
      </c>
      <c r="O740" s="9">
        <v>117.93</v>
      </c>
      <c r="P740" s="9">
        <v>126.69</v>
      </c>
      <c r="Q740" s="9">
        <v>1415.3715</v>
      </c>
      <c r="R740" s="14"/>
      <c r="S740" s="12">
        <f t="shared" si="2"/>
        <v>0.0006024222842</v>
      </c>
      <c r="T740" s="12">
        <f t="shared" si="3"/>
        <v>1.000602422</v>
      </c>
      <c r="U740" s="16">
        <f t="shared" si="7"/>
        <v>100.7674282</v>
      </c>
      <c r="V740" s="17"/>
      <c r="W740" s="12">
        <f t="array" ref="W740">SQRT(252/20) *  SQRT( SUMSQ( LN(U719:U738 / U718:U737) )  - (1/20) * ( SUM( LN(U719:U738 / U718:U737) ) ^ 2 ) )</f>
        <v>0.01849722332</v>
      </c>
      <c r="X740" s="9">
        <f t="shared" si="4"/>
        <v>1.5</v>
      </c>
      <c r="Y740" s="14"/>
      <c r="Z740" s="12">
        <f t="shared" si="5"/>
        <v>1.000908786</v>
      </c>
      <c r="AA740" s="16">
        <f t="shared" si="8"/>
        <v>101.351165</v>
      </c>
      <c r="AB740" s="14"/>
      <c r="AC740" s="9">
        <f t="shared" si="6"/>
        <v>0</v>
      </c>
    </row>
    <row r="741">
      <c r="A741" s="8">
        <v>42796.0</v>
      </c>
      <c r="B741" s="14"/>
      <c r="C741" s="12">
        <f t="array" ref="C741">IFERROR(
  INDEX(
    IR!$B$2:$E2026,                
    MATCH($A741, IR!$A$2:$A2026, 0), 
    MATCH(C$1, IR!$B$1:$E$1, 0) ), "")
</f>
        <v>-0.00372</v>
      </c>
      <c r="D741" s="12">
        <f t="array" ref="D741">IFERROR(
  INDEX(
    IR!$B$2:$E2026,                
    MATCH($A741, IR!$A$2:$A2026, 0), 
    MATCH(D$1, IR!$B$1:$E$1, 0) ), "")
</f>
        <v>-0.00329</v>
      </c>
      <c r="E741" s="12">
        <f t="array" ref="E741">IFERROR(
  INDEX(
    IR!$B$2:$E2026,                
    MATCH($A741, IR!$A$2:$A2026, 0), 
    MATCH(E$1, IR!$B$1:$E$1, 0) ), "")
</f>
        <v>-0.00238</v>
      </c>
      <c r="F741" s="12">
        <f t="array" ref="F741">IFERROR(
  INDEX(
    IR!$B$2:$E2026,                
    MATCH($A741, IR!$A$2:$A2026, 0), 
    MATCH(F$1, IR!$B$1:$E$1, 0) ), "")
</f>
        <v>-0.00114</v>
      </c>
      <c r="G741" s="25"/>
      <c r="H741" s="12">
        <f t="array" ref="H741">IFERROR(
  INDEX(
    SR!$B$2:$D2026,            
    MATCH($A741, SR!$A$2:$A2026, 0),  
    MATCH(H$1, SR!$B$1:$D$1, 0) ), "")
</f>
        <v>-0.0015</v>
      </c>
      <c r="I741" s="12">
        <f t="array" ref="I741">IFERROR(
  INDEX(
    SR!$B$2:$D2026,            
    MATCH($A741, SR!$A$2:$A2026, 0),  
    MATCH(I$1, SR!$B$1:$D$1, 0) ), "")
</f>
        <v>-0.000687</v>
      </c>
      <c r="J741" s="12">
        <f t="array" ref="J741">IFERROR(
  INDEX(
    SR!$B$2:$D2026,            
    MATCH($A741, SR!$A$2:$A2026, 0),  
    MATCH(J$1, SR!$B$1:$D$1, 0) ), "")
</f>
        <v>0.0014</v>
      </c>
      <c r="K741" s="14"/>
      <c r="L741" s="9">
        <v>119.25</v>
      </c>
      <c r="M741" s="9">
        <v>24.53</v>
      </c>
      <c r="N741" s="9">
        <v>114.96</v>
      </c>
      <c r="O741" s="9">
        <v>118.53</v>
      </c>
      <c r="P741" s="9">
        <v>127.04</v>
      </c>
      <c r="Q741" s="9">
        <v>1420.6554</v>
      </c>
      <c r="R741" s="14"/>
      <c r="S741" s="12">
        <f t="shared" si="2"/>
        <v>0.001692485745</v>
      </c>
      <c r="T741" s="12">
        <f t="shared" si="3"/>
        <v>1.001692486</v>
      </c>
      <c r="U741" s="16">
        <f t="shared" si="7"/>
        <v>100.9379756</v>
      </c>
      <c r="V741" s="17"/>
      <c r="W741" s="12">
        <f t="array" ref="W741">SQRT(252/20) *  SQRT( SUMSQ( LN(U720:U739 / U719:U738) )  - (1/20) * ( SUM( LN(U720:U739 / U719:U738) ) ^ 2 ) )</f>
        <v>0.01572972698</v>
      </c>
      <c r="X741" s="9">
        <f t="shared" si="4"/>
        <v>1.5</v>
      </c>
      <c r="Y741" s="14"/>
      <c r="Z741" s="12">
        <f t="shared" si="5"/>
        <v>1.002543895</v>
      </c>
      <c r="AA741" s="16">
        <f t="shared" si="8"/>
        <v>101.6089918</v>
      </c>
      <c r="AB741" s="14"/>
      <c r="AC741" s="9">
        <f t="shared" si="6"/>
        <v>0</v>
      </c>
    </row>
    <row r="742">
      <c r="A742" s="8">
        <v>42797.0</v>
      </c>
      <c r="B742" s="14"/>
      <c r="C742" s="12">
        <f t="array" ref="C742">IFERROR(
  INDEX(
    IR!$B$2:$E2026,                
    MATCH($A742, IR!$A$2:$A2026, 0), 
    MATCH(C$1, IR!$B$1:$E$1, 0) ), "")
</f>
        <v>-0.00371</v>
      </c>
      <c r="D742" s="12">
        <f t="array" ref="D742">IFERROR(
  INDEX(
    IR!$B$2:$E2026,                
    MATCH($A742, IR!$A$2:$A2026, 0), 
    MATCH(D$1, IR!$B$1:$E$1, 0) ), "")
</f>
        <v>-0.00329</v>
      </c>
      <c r="E742" s="12">
        <f t="array" ref="E742">IFERROR(
  INDEX(
    IR!$B$2:$E2026,                
    MATCH($A742, IR!$A$2:$A2026, 0), 
    MATCH(E$1, IR!$B$1:$E$1, 0) ), "")
</f>
        <v>-0.00237</v>
      </c>
      <c r="F742" s="12">
        <f t="array" ref="F742">IFERROR(
  INDEX(
    IR!$B$2:$E2026,                
    MATCH($A742, IR!$A$2:$A2026, 0), 
    MATCH(F$1, IR!$B$1:$E$1, 0) ), "")
</f>
        <v>-0.00113</v>
      </c>
      <c r="G742" s="25"/>
      <c r="H742" s="12">
        <f t="array" ref="H742">IFERROR(
  INDEX(
    SR!$B$2:$D2026,            
    MATCH($A742, SR!$A$2:$A2026, 0),  
    MATCH(H$1, SR!$B$1:$D$1, 0) ), "")
</f>
        <v>-0.00123</v>
      </c>
      <c r="I742" s="12">
        <f t="array" ref="I742">IFERROR(
  INDEX(
    SR!$B$2:$D2026,            
    MATCH($A742, SR!$A$2:$A2026, 0),  
    MATCH(I$1, SR!$B$1:$D$1, 0) ), "")
</f>
        <v>-0.000321</v>
      </c>
      <c r="J742" s="12">
        <f t="array" ref="J742">IFERROR(
  INDEX(
    SR!$B$2:$D2026,            
    MATCH($A742, SR!$A$2:$A2026, 0),  
    MATCH(J$1, SR!$B$1:$D$1, 0) ), "")
</f>
        <v>0.0019</v>
      </c>
      <c r="K742" s="14"/>
      <c r="L742" s="9">
        <v>119.21</v>
      </c>
      <c r="M742" s="9">
        <v>24.52</v>
      </c>
      <c r="N742" s="9">
        <v>114.97</v>
      </c>
      <c r="O742" s="9">
        <v>118.46</v>
      </c>
      <c r="P742" s="9">
        <v>126.97</v>
      </c>
      <c r="Q742" s="9">
        <v>1417.1118</v>
      </c>
      <c r="R742" s="14"/>
      <c r="S742" s="12">
        <f t="shared" si="2"/>
        <v>-0.0007153006522</v>
      </c>
      <c r="T742" s="12">
        <f t="shared" si="3"/>
        <v>0.9992846993</v>
      </c>
      <c r="U742" s="16">
        <f t="shared" si="7"/>
        <v>100.8657746</v>
      </c>
      <c r="V742" s="17"/>
      <c r="W742" s="12">
        <f t="array" ref="W742">SQRT(252/20) *  SQRT( SUMSQ( LN(U721:U740 / U720:U739) )  - (1/20) * ( SUM( LN(U721:U740 / U720:U739) ) ^ 2 ) )</f>
        <v>0.01428093546</v>
      </c>
      <c r="X742" s="9">
        <f t="shared" si="4"/>
        <v>1.5</v>
      </c>
      <c r="Y742" s="14"/>
      <c r="Z742" s="12">
        <f t="shared" si="5"/>
        <v>0.9989322157</v>
      </c>
      <c r="AA742" s="16">
        <f t="shared" si="8"/>
        <v>101.5004953</v>
      </c>
      <c r="AB742" s="14"/>
      <c r="AC742" s="9">
        <f t="shared" si="6"/>
        <v>0</v>
      </c>
    </row>
    <row r="743">
      <c r="A743" s="8">
        <v>42800.0</v>
      </c>
      <c r="B743" s="14"/>
      <c r="C743" s="12">
        <f t="array" ref="C743">IFERROR(
  INDEX(
    IR!$B$2:$E2026,                
    MATCH($A743, IR!$A$2:$A2026, 0), 
    MATCH(C$1, IR!$B$1:$E$1, 0) ), "")
</f>
        <v>-0.00374</v>
      </c>
      <c r="D743" s="12">
        <f t="array" ref="D743">IFERROR(
  INDEX(
    IR!$B$2:$E2026,                
    MATCH($A743, IR!$A$2:$A2026, 0), 
    MATCH(D$1, IR!$B$1:$E$1, 0) ), "")
</f>
        <v>-0.00329</v>
      </c>
      <c r="E743" s="12">
        <f t="array" ref="E743">IFERROR(
  INDEX(
    IR!$B$2:$E2026,                
    MATCH($A743, IR!$A$2:$A2026, 0), 
    MATCH(E$1, IR!$B$1:$E$1, 0) ), "")
</f>
        <v>-0.00241</v>
      </c>
      <c r="F743" s="12">
        <f t="array" ref="F743">IFERROR(
  INDEX(
    IR!$B$2:$E2026,                
    MATCH($A743, IR!$A$2:$A2026, 0), 
    MATCH(F$1, IR!$B$1:$E$1, 0) ), "")
</f>
        <v>-0.00111</v>
      </c>
      <c r="G743" s="25"/>
      <c r="H743" s="12">
        <f t="array" ref="H743">IFERROR(
  INDEX(
    SR!$B$2:$D2026,            
    MATCH($A743, SR!$A$2:$A2026, 0),  
    MATCH(H$1, SR!$B$1:$D$1, 0) ), "")
</f>
        <v>-0.00119</v>
      </c>
      <c r="I743" s="12">
        <f t="array" ref="I743">IFERROR(
  INDEX(
    SR!$B$2:$D2026,            
    MATCH($A743, SR!$A$2:$A2026, 0),  
    MATCH(I$1, SR!$B$1:$D$1, 0) ), "")
</f>
        <v>-0.00027</v>
      </c>
      <c r="J743" s="12">
        <f t="array" ref="J743">IFERROR(
  INDEX(
    SR!$B$2:$D2026,            
    MATCH($A743, SR!$A$2:$A2026, 0),  
    MATCH(J$1, SR!$B$1:$D$1, 0) ), "")
</f>
        <v>0.001885</v>
      </c>
      <c r="K743" s="14"/>
      <c r="L743" s="9">
        <v>119.01</v>
      </c>
      <c r="M743" s="9">
        <v>24.51</v>
      </c>
      <c r="N743" s="9">
        <v>115.0</v>
      </c>
      <c r="O743" s="9">
        <v>118.35</v>
      </c>
      <c r="P743" s="9">
        <v>126.67</v>
      </c>
      <c r="Q743" s="9">
        <v>1417.8279</v>
      </c>
      <c r="R743" s="14"/>
      <c r="S743" s="12">
        <f t="shared" si="2"/>
        <v>-0.000768079939</v>
      </c>
      <c r="T743" s="12">
        <f t="shared" si="3"/>
        <v>0.9992319201</v>
      </c>
      <c r="U743" s="16">
        <f t="shared" si="7"/>
        <v>100.7883016</v>
      </c>
      <c r="V743" s="17"/>
      <c r="W743" s="12">
        <f t="array" ref="W743">SQRT(252/20) *  SQRT( SUMSQ( LN(U722:U741 / U721:U740) )  - (1/20) * ( SUM( LN(U722:U741 / U721:U740) ) ^ 2 ) )</f>
        <v>0.01420438975</v>
      </c>
      <c r="X743" s="9">
        <f t="shared" si="4"/>
        <v>1.5</v>
      </c>
      <c r="Y743" s="14"/>
      <c r="Z743" s="12">
        <f t="shared" si="5"/>
        <v>0.9988633384</v>
      </c>
      <c r="AA743" s="16">
        <f t="shared" si="8"/>
        <v>101.3851236</v>
      </c>
      <c r="AB743" s="14"/>
      <c r="AC743" s="9">
        <f t="shared" si="6"/>
        <v>0</v>
      </c>
    </row>
    <row r="744">
      <c r="A744" s="8">
        <v>42801.0</v>
      </c>
      <c r="B744" s="14"/>
      <c r="C744" s="12">
        <f t="array" ref="C744">IFERROR(
  INDEX(
    IR!$B$2:$E2026,                
    MATCH($A744, IR!$A$2:$A2026, 0), 
    MATCH(C$1, IR!$B$1:$E$1, 0) ), "")
</f>
        <v>-0.00373</v>
      </c>
      <c r="D744" s="12">
        <f t="array" ref="D744">IFERROR(
  INDEX(
    IR!$B$2:$E2026,                
    MATCH($A744, IR!$A$2:$A2026, 0), 
    MATCH(D$1, IR!$B$1:$E$1, 0) ), "")
</f>
        <v>-0.00328</v>
      </c>
      <c r="E744" s="12">
        <f t="array" ref="E744">IFERROR(
  INDEX(
    IR!$B$2:$E2026,                
    MATCH($A744, IR!$A$2:$A2026, 0), 
    MATCH(E$1, IR!$B$1:$E$1, 0) ), "")
</f>
        <v>-0.0024</v>
      </c>
      <c r="F744" s="12">
        <f t="array" ref="F744">IFERROR(
  INDEX(
    IR!$B$2:$E2026,                
    MATCH($A744, IR!$A$2:$A2026, 0), 
    MATCH(F$1, IR!$B$1:$E$1, 0) ), "")
</f>
        <v>-0.00111</v>
      </c>
      <c r="G744" s="25"/>
      <c r="H744" s="12">
        <f t="array" ref="H744">IFERROR(
  INDEX(
    SR!$B$2:$D2026,            
    MATCH($A744, SR!$A$2:$A2026, 0),  
    MATCH(H$1, SR!$B$1:$D$1, 0) ), "")
</f>
        <v>-0.00129</v>
      </c>
      <c r="I744" s="12">
        <f t="array" ref="I744">IFERROR(
  INDEX(
    SR!$B$2:$D2026,            
    MATCH($A744, SR!$A$2:$A2026, 0),  
    MATCH(I$1, SR!$B$1:$D$1, 0) ), "")
</f>
        <v>-0.00041</v>
      </c>
      <c r="J744" s="12">
        <f t="array" ref="J744">IFERROR(
  INDEX(
    SR!$B$2:$D2026,            
    MATCH($A744, SR!$A$2:$A2026, 0),  
    MATCH(J$1, SR!$B$1:$D$1, 0) ), "")
</f>
        <v>0.001728</v>
      </c>
      <c r="K744" s="14"/>
      <c r="L744" s="9">
        <v>118.88</v>
      </c>
      <c r="M744" s="9">
        <v>24.51</v>
      </c>
      <c r="N744" s="9">
        <v>114.98</v>
      </c>
      <c r="O744" s="9">
        <v>118.04</v>
      </c>
      <c r="P744" s="9">
        <v>126.44</v>
      </c>
      <c r="Q744" s="9">
        <v>1417.1375</v>
      </c>
      <c r="R744" s="14"/>
      <c r="S744" s="12">
        <f t="shared" si="2"/>
        <v>-0.001031018031</v>
      </c>
      <c r="T744" s="12">
        <f t="shared" si="3"/>
        <v>0.998968982</v>
      </c>
      <c r="U744" s="16">
        <f t="shared" si="7"/>
        <v>100.6843871</v>
      </c>
      <c r="V744" s="17"/>
      <c r="W744" s="12">
        <f t="array" ref="W744">SQRT(252/20) *  SQRT( SUMSQ( LN(U723:U742 / U722:U741) )  - (1/20) * ( SUM( LN(U723:U742 / U722:U741) ) ^ 2 ) )</f>
        <v>0.01474619535</v>
      </c>
      <c r="X744" s="9">
        <f t="shared" si="4"/>
        <v>1.5</v>
      </c>
      <c r="Y744" s="14"/>
      <c r="Z744" s="12">
        <f t="shared" si="5"/>
        <v>0.9984586674</v>
      </c>
      <c r="AA744" s="16">
        <f t="shared" si="8"/>
        <v>101.2288554</v>
      </c>
      <c r="AB744" s="14"/>
      <c r="AC744" s="9">
        <f t="shared" si="6"/>
        <v>0</v>
      </c>
    </row>
    <row r="745">
      <c r="A745" s="8">
        <v>42802.0</v>
      </c>
      <c r="B745" s="14"/>
      <c r="C745" s="12">
        <f t="array" ref="C745">IFERROR(
  INDEX(
    IR!$B$2:$E2026,                
    MATCH($A745, IR!$A$2:$A2026, 0), 
    MATCH(C$1, IR!$B$1:$E$1, 0) ), "")
</f>
        <v>-0.00373</v>
      </c>
      <c r="D745" s="12">
        <f t="array" ref="D745">IFERROR(
  INDEX(
    IR!$B$2:$E2026,                
    MATCH($A745, IR!$A$2:$A2026, 0), 
    MATCH(D$1, IR!$B$1:$E$1, 0) ), "")
</f>
        <v>-0.00329</v>
      </c>
      <c r="E745" s="12">
        <f t="array" ref="E745">IFERROR(
  INDEX(
    IR!$B$2:$E2026,                
    MATCH($A745, IR!$A$2:$A2026, 0), 
    MATCH(E$1, IR!$B$1:$E$1, 0) ), "")
</f>
        <v>-0.00241</v>
      </c>
      <c r="F745" s="12">
        <f t="array" ref="F745">IFERROR(
  INDEX(
    IR!$B$2:$E2026,                
    MATCH($A745, IR!$A$2:$A2026, 0), 
    MATCH(F$1, IR!$B$1:$E$1, 0) ), "")
</f>
        <v>-0.00111</v>
      </c>
      <c r="G745" s="25"/>
      <c r="H745" s="12">
        <f t="array" ref="H745">IFERROR(
  INDEX(
    SR!$B$2:$D2026,            
    MATCH($A745, SR!$A$2:$A2026, 0),  
    MATCH(H$1, SR!$B$1:$D$1, 0) ), "")
</f>
        <v>-0.00121</v>
      </c>
      <c r="I745" s="12">
        <f t="array" ref="I745">IFERROR(
  INDEX(
    SR!$B$2:$D2026,            
    MATCH($A745, SR!$A$2:$A2026, 0),  
    MATCH(I$1, SR!$B$1:$D$1, 0) ), "")
</f>
        <v>-0.000297</v>
      </c>
      <c r="J745" s="12">
        <f t="array" ref="J745">IFERROR(
  INDEX(
    SR!$B$2:$D2026,            
    MATCH($A745, SR!$A$2:$A2026, 0),  
    MATCH(J$1, SR!$B$1:$D$1, 0) ), "")
</f>
        <v>0.00198</v>
      </c>
      <c r="K745" s="14"/>
      <c r="L745" s="9">
        <v>118.86</v>
      </c>
      <c r="M745" s="9">
        <v>24.51</v>
      </c>
      <c r="N745" s="9">
        <v>114.98</v>
      </c>
      <c r="O745" s="9">
        <v>117.97</v>
      </c>
      <c r="P745" s="9">
        <v>126.26</v>
      </c>
      <c r="Q745" s="9">
        <v>1411.202</v>
      </c>
      <c r="R745" s="14"/>
      <c r="S745" s="12">
        <f t="shared" si="2"/>
        <v>-0.00106219879</v>
      </c>
      <c r="T745" s="12">
        <f t="shared" si="3"/>
        <v>0.9989378012</v>
      </c>
      <c r="U745" s="16">
        <f t="shared" si="7"/>
        <v>100.5774402</v>
      </c>
      <c r="V745" s="17"/>
      <c r="W745" s="12">
        <f t="array" ref="W745">SQRT(252/20) *  SQRT( SUMSQ( LN(U724:U743 / U723:U742) )  - (1/20) * ( SUM( LN(U724:U743 / U723:U742) ) ^ 2 ) )</f>
        <v>0.015253428</v>
      </c>
      <c r="X745" s="9">
        <f t="shared" si="4"/>
        <v>1.5</v>
      </c>
      <c r="Y745" s="14"/>
      <c r="Z745" s="12">
        <f t="shared" si="5"/>
        <v>0.9984118824</v>
      </c>
      <c r="AA745" s="16">
        <f t="shared" si="8"/>
        <v>101.0680921</v>
      </c>
      <c r="AB745" s="14"/>
      <c r="AC745" s="9">
        <f t="shared" si="6"/>
        <v>0</v>
      </c>
    </row>
    <row r="746">
      <c r="A746" s="8">
        <v>42803.0</v>
      </c>
      <c r="B746" s="14"/>
      <c r="C746" s="12">
        <f t="array" ref="C746">IFERROR(
  INDEX(
    IR!$B$2:$E2026,                
    MATCH($A746, IR!$A$2:$A2026, 0), 
    MATCH(C$1, IR!$B$1:$E$1, 0) ), "")
</f>
        <v>-0.00372</v>
      </c>
      <c r="D746" s="12">
        <f t="array" ref="D746">IFERROR(
  INDEX(
    IR!$B$2:$E2026,                
    MATCH($A746, IR!$A$2:$A2026, 0), 
    MATCH(D$1, IR!$B$1:$E$1, 0) ), "")
</f>
        <v>-0.00329</v>
      </c>
      <c r="E746" s="12">
        <f t="array" ref="E746">IFERROR(
  INDEX(
    IR!$B$2:$E2026,                
    MATCH($A746, IR!$A$2:$A2026, 0), 
    MATCH(E$1, IR!$B$1:$E$1, 0) ), "")
</f>
        <v>-0.00241</v>
      </c>
      <c r="F746" s="12">
        <f t="array" ref="F746">IFERROR(
  INDEX(
    IR!$B$2:$E2026,                
    MATCH($A746, IR!$A$2:$A2026, 0), 
    MATCH(F$1, IR!$B$1:$E$1, 0) ), "")
</f>
        <v>-0.00111</v>
      </c>
      <c r="G746" s="25"/>
      <c r="H746" s="12">
        <f t="array" ref="H746">IFERROR(
  INDEX(
    SR!$B$2:$D2026,            
    MATCH($A746, SR!$A$2:$A2026, 0),  
    MATCH(H$1, SR!$B$1:$D$1, 0) ), "")
</f>
        <v>-0.001</v>
      </c>
      <c r="I746" s="12">
        <f t="array" ref="I746">IFERROR(
  INDEX(
    SR!$B$2:$D2026,            
    MATCH($A746, SR!$A$2:$A2026, 0),  
    MATCH(I$1, SR!$B$1:$D$1, 0) ), "")
</f>
        <v>0.000091</v>
      </c>
      <c r="J746" s="12">
        <f t="array" ref="J746">IFERROR(
  INDEX(
    SR!$B$2:$D2026,            
    MATCH($A746, SR!$A$2:$A2026, 0),  
    MATCH(J$1, SR!$B$1:$D$1, 0) ), "")
</f>
        <v>0.00262</v>
      </c>
      <c r="K746" s="14"/>
      <c r="L746" s="9">
        <v>118.81</v>
      </c>
      <c r="M746" s="9">
        <v>24.49</v>
      </c>
      <c r="N746" s="9">
        <v>114.93</v>
      </c>
      <c r="O746" s="9">
        <v>117.78</v>
      </c>
      <c r="P746" s="9">
        <v>126.12</v>
      </c>
      <c r="Q746" s="9">
        <v>1415.8496</v>
      </c>
      <c r="R746" s="14"/>
      <c r="S746" s="12">
        <f t="shared" si="2"/>
        <v>-0.0001825231631</v>
      </c>
      <c r="T746" s="12">
        <f t="shared" si="3"/>
        <v>0.9998174768</v>
      </c>
      <c r="U746" s="16">
        <f t="shared" si="7"/>
        <v>100.5590825</v>
      </c>
      <c r="V746" s="17"/>
      <c r="W746" s="12">
        <f t="array" ref="W746">SQRT(252/20) *  SQRT( SUMSQ( LN(U725:U744 / U724:U743) )  - (1/20) * ( SUM( LN(U725:U744 / U724:U743) ) ^ 2 ) )</f>
        <v>0.01474832923</v>
      </c>
      <c r="X746" s="9">
        <f t="shared" si="4"/>
        <v>1.5</v>
      </c>
      <c r="Y746" s="14"/>
      <c r="Z746" s="12">
        <f t="shared" si="5"/>
        <v>0.9997313958</v>
      </c>
      <c r="AA746" s="16">
        <f t="shared" si="8"/>
        <v>101.0409448</v>
      </c>
      <c r="AB746" s="14"/>
      <c r="AC746" s="9">
        <f t="shared" si="6"/>
        <v>0</v>
      </c>
    </row>
    <row r="747">
      <c r="A747" s="8">
        <v>42804.0</v>
      </c>
      <c r="B747" s="14"/>
      <c r="C747" s="12">
        <f t="array" ref="C747">IFERROR(
  INDEX(
    IR!$B$2:$E2026,                
    MATCH($A747, IR!$A$2:$A2026, 0), 
    MATCH(C$1, IR!$B$1:$E$1, 0) ), "")
</f>
        <v>-0.00372</v>
      </c>
      <c r="D747" s="12">
        <f t="array" ref="D747">IFERROR(
  INDEX(
    IR!$B$2:$E2026,                
    MATCH($A747, IR!$A$2:$A2026, 0), 
    MATCH(D$1, IR!$B$1:$E$1, 0) ), "")
</f>
        <v>-0.00329</v>
      </c>
      <c r="E747" s="12">
        <f t="array" ref="E747">IFERROR(
  INDEX(
    IR!$B$2:$E2026,                
    MATCH($A747, IR!$A$2:$A2026, 0), 
    MATCH(E$1, IR!$B$1:$E$1, 0) ), "")
</f>
        <v>-0.00241</v>
      </c>
      <c r="F747" s="12">
        <f t="array" ref="F747">IFERROR(
  INDEX(
    IR!$B$2:$E2026,                
    MATCH($A747, IR!$A$2:$A2026, 0), 
    MATCH(F$1, IR!$B$1:$E$1, 0) ), "")
</f>
        <v>-0.00109</v>
      </c>
      <c r="G747" s="25"/>
      <c r="H747" s="12">
        <f t="array" ref="H747">IFERROR(
  INDEX(
    SR!$B$2:$D2026,            
    MATCH($A747, SR!$A$2:$A2026, 0),  
    MATCH(H$1, SR!$B$1:$D$1, 0) ), "")
</f>
        <v>-0.00082</v>
      </c>
      <c r="I747" s="12">
        <f t="array" ref="I747">IFERROR(
  INDEX(
    SR!$B$2:$D2026,            
    MATCH($A747, SR!$A$2:$A2026, 0),  
    MATCH(I$1, SR!$B$1:$D$1, 0) ), "")
</f>
        <v>0.00048</v>
      </c>
      <c r="J747" s="12">
        <f t="array" ref="J747">IFERROR(
  INDEX(
    SR!$B$2:$D2026,            
    MATCH($A747, SR!$A$2:$A2026, 0),  
    MATCH(J$1, SR!$B$1:$D$1, 0) ), "")
</f>
        <v>0.0032</v>
      </c>
      <c r="K747" s="14"/>
      <c r="L747" s="9">
        <v>118.79</v>
      </c>
      <c r="M747" s="9">
        <v>24.47</v>
      </c>
      <c r="N747" s="9">
        <v>114.93</v>
      </c>
      <c r="O747" s="9">
        <v>117.71</v>
      </c>
      <c r="P747" s="9">
        <v>125.71</v>
      </c>
      <c r="Q747" s="9">
        <v>1415.792</v>
      </c>
      <c r="R747" s="14"/>
      <c r="S747" s="12">
        <f t="shared" si="2"/>
        <v>-0.0008114924665</v>
      </c>
      <c r="T747" s="12">
        <f t="shared" si="3"/>
        <v>0.9991885075</v>
      </c>
      <c r="U747" s="16">
        <f t="shared" si="7"/>
        <v>100.4774796</v>
      </c>
      <c r="V747" s="17"/>
      <c r="W747" s="12">
        <f t="array" ref="W747">SQRT(252/20) *  SQRT( SUMSQ( LN(U726:U745 / U725:U744) )  - (1/20) * ( SUM( LN(U726:U745 / U725:U744) ) ^ 2 ) )</f>
        <v>0.01550690508</v>
      </c>
      <c r="X747" s="9">
        <f t="shared" si="4"/>
        <v>1.5</v>
      </c>
      <c r="Y747" s="14"/>
      <c r="Z747" s="12">
        <f t="shared" si="5"/>
        <v>0.998787928</v>
      </c>
      <c r="AA747" s="16">
        <f t="shared" si="8"/>
        <v>100.9184758</v>
      </c>
      <c r="AB747" s="14"/>
      <c r="AC747" s="9">
        <f t="shared" si="6"/>
        <v>0</v>
      </c>
    </row>
    <row r="748">
      <c r="A748" s="8">
        <v>42807.0</v>
      </c>
      <c r="B748" s="14"/>
      <c r="C748" s="12">
        <f t="array" ref="C748">IFERROR(
  INDEX(
    IR!$B$2:$E2026,                
    MATCH($A748, IR!$A$2:$A2026, 0), 
    MATCH(C$1, IR!$B$1:$E$1, 0) ), "")
</f>
        <v>-0.00372</v>
      </c>
      <c r="D748" s="12">
        <f t="array" ref="D748">IFERROR(
  INDEX(
    IR!$B$2:$E2026,                
    MATCH($A748, IR!$A$2:$A2026, 0), 
    MATCH(D$1, IR!$B$1:$E$1, 0) ), "")
</f>
        <v>-0.0033</v>
      </c>
      <c r="E748" s="12">
        <f t="array" ref="E748">IFERROR(
  INDEX(
    IR!$B$2:$E2026,                
    MATCH($A748, IR!$A$2:$A2026, 0), 
    MATCH(E$1, IR!$B$1:$E$1, 0) ), "")
</f>
        <v>-0.00241</v>
      </c>
      <c r="F748" s="12">
        <f t="array" ref="F748">IFERROR(
  INDEX(
    IR!$B$2:$E2026,                
    MATCH($A748, IR!$A$2:$A2026, 0), 
    MATCH(F$1, IR!$B$1:$E$1, 0) ), "")
</f>
        <v>-0.00108</v>
      </c>
      <c r="G748" s="25"/>
      <c r="H748" s="12">
        <f t="array" ref="H748">IFERROR(
  INDEX(
    SR!$B$2:$D2026,            
    MATCH($A748, SR!$A$2:$A2026, 0),  
    MATCH(H$1, SR!$B$1:$D$1, 0) ), "")
</f>
        <v>-0.00093</v>
      </c>
      <c r="I748" s="12">
        <f t="array" ref="I748">IFERROR(
  INDEX(
    SR!$B$2:$D2026,            
    MATCH($A748, SR!$A$2:$A2026, 0),  
    MATCH(I$1, SR!$B$1:$D$1, 0) ), "")
</f>
        <v>0.000246</v>
      </c>
      <c r="J748" s="12">
        <f t="array" ref="J748">IFERROR(
  INDEX(
    SR!$B$2:$D2026,            
    MATCH($A748, SR!$A$2:$A2026, 0),  
    MATCH(J$1, SR!$B$1:$D$1, 0) ), "")
</f>
        <v>0.00301</v>
      </c>
      <c r="K748" s="14"/>
      <c r="L748" s="9">
        <v>118.87</v>
      </c>
      <c r="M748" s="9">
        <v>24.47</v>
      </c>
      <c r="N748" s="9">
        <v>114.95</v>
      </c>
      <c r="O748" s="9">
        <v>117.41</v>
      </c>
      <c r="P748" s="9">
        <v>125.55</v>
      </c>
      <c r="Q748" s="9">
        <v>1416.8123</v>
      </c>
      <c r="R748" s="14"/>
      <c r="S748" s="12">
        <f t="shared" si="2"/>
        <v>-0.0003753234003</v>
      </c>
      <c r="T748" s="12">
        <f t="shared" si="3"/>
        <v>0.9996246766</v>
      </c>
      <c r="U748" s="16">
        <f t="shared" si="7"/>
        <v>100.439768</v>
      </c>
      <c r="V748" s="17"/>
      <c r="W748" s="12">
        <f t="array" ref="W748">SQRT(252/20) *  SQRT( SUMSQ( LN(U727:U746 / U726:U745) )  - (1/20) * ( SUM( LN(U727:U746 / U726:U745) ) ^ 2 ) )</f>
        <v>0.01555851341</v>
      </c>
      <c r="X748" s="9">
        <f t="shared" si="4"/>
        <v>1.5</v>
      </c>
      <c r="Y748" s="14"/>
      <c r="Z748" s="12">
        <f t="shared" si="5"/>
        <v>0.9994525149</v>
      </c>
      <c r="AA748" s="16">
        <f t="shared" si="8"/>
        <v>100.8632245</v>
      </c>
      <c r="AB748" s="14"/>
      <c r="AC748" s="9">
        <f t="shared" si="6"/>
        <v>0</v>
      </c>
    </row>
    <row r="749">
      <c r="A749" s="8">
        <v>42808.0</v>
      </c>
      <c r="B749" s="14"/>
      <c r="C749" s="12">
        <f t="array" ref="C749">IFERROR(
  INDEX(
    IR!$B$2:$E2026,                
    MATCH($A749, IR!$A$2:$A2026, 0), 
    MATCH(C$1, IR!$B$1:$E$1, 0) ), "")
</f>
        <v>-0.00372</v>
      </c>
      <c r="D749" s="12">
        <f t="array" ref="D749">IFERROR(
  INDEX(
    IR!$B$2:$E2026,                
    MATCH($A749, IR!$A$2:$A2026, 0), 
    MATCH(D$1, IR!$B$1:$E$1, 0) ), "")
</f>
        <v>-0.0033</v>
      </c>
      <c r="E749" s="12">
        <f t="array" ref="E749">IFERROR(
  INDEX(
    IR!$B$2:$E2026,                
    MATCH($A749, IR!$A$2:$A2026, 0), 
    MATCH(E$1, IR!$B$1:$E$1, 0) ), "")
</f>
        <v>-0.00241</v>
      </c>
      <c r="F749" s="12">
        <f t="array" ref="F749">IFERROR(
  INDEX(
    IR!$B$2:$E2026,                
    MATCH($A749, IR!$A$2:$A2026, 0), 
    MATCH(F$1, IR!$B$1:$E$1, 0) ), "")
</f>
        <v>-0.00108</v>
      </c>
      <c r="G749" s="25"/>
      <c r="H749" s="12">
        <f t="array" ref="H749">IFERROR(
  INDEX(
    SR!$B$2:$D2026,            
    MATCH($A749, SR!$A$2:$A2026, 0),  
    MATCH(H$1, SR!$B$1:$D$1, 0) ), "")
</f>
        <v>-0.00103</v>
      </c>
      <c r="I749" s="12">
        <f t="array" ref="I749">IFERROR(
  INDEX(
    SR!$B$2:$D2026,            
    MATCH($A749, SR!$A$2:$A2026, 0),  
    MATCH(I$1, SR!$B$1:$D$1, 0) ), "")
</f>
        <v>0.000148</v>
      </c>
      <c r="J749" s="12">
        <f t="array" ref="J749">IFERROR(
  INDEX(
    SR!$B$2:$D2026,            
    MATCH($A749, SR!$A$2:$A2026, 0),  
    MATCH(J$1, SR!$B$1:$D$1, 0) ), "")
</f>
        <v>0.00273</v>
      </c>
      <c r="K749" s="14"/>
      <c r="L749" s="9">
        <v>118.62</v>
      </c>
      <c r="M749" s="9">
        <v>24.47</v>
      </c>
      <c r="N749" s="9">
        <v>114.95</v>
      </c>
      <c r="O749" s="9">
        <v>117.5</v>
      </c>
      <c r="P749" s="9">
        <v>125.64</v>
      </c>
      <c r="Q749" s="9">
        <v>1419.0852</v>
      </c>
      <c r="R749" s="14"/>
      <c r="S749" s="12">
        <f t="shared" si="2"/>
        <v>0.0001641760691</v>
      </c>
      <c r="T749" s="12">
        <f t="shared" si="3"/>
        <v>1.000164176</v>
      </c>
      <c r="U749" s="16">
        <f t="shared" si="7"/>
        <v>100.4562578</v>
      </c>
      <c r="V749" s="17"/>
      <c r="W749" s="12">
        <f t="array" ref="W749">SQRT(252/20) *  SQRT( SUMSQ( LN(U728:U747 / U727:U746) )  - (1/20) * ( SUM( LN(U728:U747 / U727:U746) ) ^ 2 ) )</f>
        <v>0.01391899882</v>
      </c>
      <c r="X749" s="9">
        <f t="shared" si="4"/>
        <v>1.5</v>
      </c>
      <c r="Y749" s="14"/>
      <c r="Z749" s="12">
        <f t="shared" si="5"/>
        <v>1.000251431</v>
      </c>
      <c r="AA749" s="16">
        <f t="shared" si="8"/>
        <v>100.8885846</v>
      </c>
      <c r="AB749" s="14"/>
      <c r="AC749" s="9">
        <f t="shared" si="6"/>
        <v>0</v>
      </c>
    </row>
    <row r="750">
      <c r="A750" s="8">
        <v>42809.0</v>
      </c>
      <c r="B750" s="14"/>
      <c r="C750" s="12">
        <f t="array" ref="C750">IFERROR(
  INDEX(
    IR!$B$2:$E2026,                
    MATCH($A750, IR!$A$2:$A2026, 0), 
    MATCH(C$1, IR!$B$1:$E$1, 0) ), "")
</f>
        <v>-0.00371</v>
      </c>
      <c r="D750" s="12">
        <f t="array" ref="D750">IFERROR(
  INDEX(
    IR!$B$2:$E2026,                
    MATCH($A750, IR!$A$2:$A2026, 0), 
    MATCH(D$1, IR!$B$1:$E$1, 0) ), "")
</f>
        <v>-0.00329</v>
      </c>
      <c r="E750" s="12">
        <f t="array" ref="E750">IFERROR(
  INDEX(
    IR!$B$2:$E2026,                
    MATCH($A750, IR!$A$2:$A2026, 0), 
    MATCH(E$1, IR!$B$1:$E$1, 0) ), "")
</f>
        <v>-0.00241</v>
      </c>
      <c r="F750" s="12">
        <f t="array" ref="F750">IFERROR(
  INDEX(
    IR!$B$2:$E2026,                
    MATCH($A750, IR!$A$2:$A2026, 0), 
    MATCH(F$1, IR!$B$1:$E$1, 0) ), "")
</f>
        <v>-0.0011</v>
      </c>
      <c r="G750" s="25"/>
      <c r="H750" s="12">
        <f t="array" ref="H750">IFERROR(
  INDEX(
    SR!$B$2:$D2026,            
    MATCH($A750, SR!$A$2:$A2026, 0),  
    MATCH(H$1, SR!$B$1:$D$1, 0) ), "")
</f>
        <v>-0.00107</v>
      </c>
      <c r="I750" s="12">
        <f t="array" ref="I750">IFERROR(
  INDEX(
    SR!$B$2:$D2026,            
    MATCH($A750, SR!$A$2:$A2026, 0),  
    MATCH(I$1, SR!$B$1:$D$1, 0) ), "")
</f>
        <v>0.000022</v>
      </c>
      <c r="J750" s="12">
        <f t="array" ref="J750">IFERROR(
  INDEX(
    SR!$B$2:$D2026,            
    MATCH($A750, SR!$A$2:$A2026, 0),  
    MATCH(J$1, SR!$B$1:$D$1, 0) ), "")
</f>
        <v>0.00253</v>
      </c>
      <c r="K750" s="14"/>
      <c r="L750" s="9">
        <v>118.53</v>
      </c>
      <c r="M750" s="9">
        <v>24.48</v>
      </c>
      <c r="N750" s="9">
        <v>114.97</v>
      </c>
      <c r="O750" s="9">
        <v>117.38</v>
      </c>
      <c r="P750" s="9">
        <v>125.54</v>
      </c>
      <c r="Q750" s="9">
        <v>1415.6322</v>
      </c>
      <c r="R750" s="14"/>
      <c r="S750" s="12">
        <f t="shared" si="2"/>
        <v>-0.0007377035817</v>
      </c>
      <c r="T750" s="12">
        <f t="shared" si="3"/>
        <v>0.9992622964</v>
      </c>
      <c r="U750" s="16">
        <f t="shared" si="7"/>
        <v>100.3821509</v>
      </c>
      <c r="V750" s="17"/>
      <c r="W750" s="12">
        <f t="array" ref="W750">SQRT(252/20) *  SQRT( SUMSQ( LN(U729:U748 / U728:U747) )  - (1/20) * ( SUM( LN(U729:U748 / U728:U747) ) ^ 2 ) )</f>
        <v>0.01399400339</v>
      </c>
      <c r="X750" s="9">
        <f t="shared" si="4"/>
        <v>1.5</v>
      </c>
      <c r="Y750" s="14"/>
      <c r="Z750" s="12">
        <f t="shared" si="5"/>
        <v>0.9988986113</v>
      </c>
      <c r="AA750" s="16">
        <f t="shared" si="8"/>
        <v>100.7774671</v>
      </c>
      <c r="AB750" s="14"/>
      <c r="AC750" s="9">
        <f t="shared" si="6"/>
        <v>0</v>
      </c>
    </row>
    <row r="751">
      <c r="A751" s="8">
        <v>42810.0</v>
      </c>
      <c r="B751" s="14"/>
      <c r="C751" s="12">
        <f t="array" ref="C751">IFERROR(
  INDEX(
    IR!$B$2:$E2026,                
    MATCH($A751, IR!$A$2:$A2026, 0), 
    MATCH(C$1, IR!$B$1:$E$1, 0) ), "")
</f>
        <v>-0.00371</v>
      </c>
      <c r="D751" s="12">
        <f t="array" ref="D751">IFERROR(
  INDEX(
    IR!$B$2:$E2026,                
    MATCH($A751, IR!$A$2:$A2026, 0), 
    MATCH(D$1, IR!$B$1:$E$1, 0) ), "")
</f>
        <v>-0.00329</v>
      </c>
      <c r="E751" s="12">
        <f t="array" ref="E751">IFERROR(
  INDEX(
    IR!$B$2:$E2026,                
    MATCH($A751, IR!$A$2:$A2026, 0), 
    MATCH(E$1, IR!$B$1:$E$1, 0) ), "")
</f>
        <v>-0.00241</v>
      </c>
      <c r="F751" s="12">
        <f t="array" ref="F751">IFERROR(
  INDEX(
    IR!$B$2:$E2026,                
    MATCH($A751, IR!$A$2:$A2026, 0), 
    MATCH(F$1, IR!$B$1:$E$1, 0) ), "")
</f>
        <v>-0.00111</v>
      </c>
      <c r="G751" s="25"/>
      <c r="H751" s="12">
        <f t="array" ref="H751">IFERROR(
  INDEX(
    SR!$B$2:$D2026,            
    MATCH($A751, SR!$A$2:$A2026, 0),  
    MATCH(H$1, SR!$B$1:$D$1, 0) ), "")
</f>
        <v>-0.00105</v>
      </c>
      <c r="I751" s="12">
        <f t="array" ref="I751">IFERROR(
  INDEX(
    SR!$B$2:$D2026,            
    MATCH($A751, SR!$A$2:$A2026, 0),  
    MATCH(I$1, SR!$B$1:$D$1, 0) ), "")
</f>
        <v>0.000079</v>
      </c>
      <c r="J751" s="12">
        <f t="array" ref="J751">IFERROR(
  INDEX(
    SR!$B$2:$D2026,            
    MATCH($A751, SR!$A$2:$A2026, 0),  
    MATCH(J$1, SR!$B$1:$D$1, 0) ), "")
</f>
        <v>0.00271</v>
      </c>
      <c r="K751" s="14"/>
      <c r="L751" s="9">
        <v>118.73</v>
      </c>
      <c r="M751" s="9">
        <v>24.47</v>
      </c>
      <c r="N751" s="9">
        <v>114.97</v>
      </c>
      <c r="O751" s="9">
        <v>117.79</v>
      </c>
      <c r="P751" s="9">
        <v>125.84</v>
      </c>
      <c r="Q751" s="9">
        <v>1417.5852</v>
      </c>
      <c r="R751" s="14"/>
      <c r="S751" s="12">
        <f t="shared" si="2"/>
        <v>0.001423075388</v>
      </c>
      <c r="T751" s="12">
        <f t="shared" si="3"/>
        <v>1.001423075</v>
      </c>
      <c r="U751" s="16">
        <f t="shared" si="7"/>
        <v>100.5250023</v>
      </c>
      <c r="V751" s="17"/>
      <c r="W751" s="12">
        <f t="array" ref="W751">SQRT(252/20) *  SQRT( SUMSQ( LN(U730:U749 / U729:U748) )  - (1/20) * ( SUM( LN(U730:U749 / U729:U748) ) ^ 2 ) )</f>
        <v>0.01333316045</v>
      </c>
      <c r="X751" s="9">
        <f t="shared" si="4"/>
        <v>1.5</v>
      </c>
      <c r="Y751" s="14"/>
      <c r="Z751" s="12">
        <f t="shared" si="5"/>
        <v>1.002139766</v>
      </c>
      <c r="AA751" s="16">
        <f t="shared" si="8"/>
        <v>100.9931072</v>
      </c>
      <c r="AB751" s="14"/>
      <c r="AC751" s="9">
        <f t="shared" si="6"/>
        <v>0</v>
      </c>
    </row>
    <row r="752">
      <c r="A752" s="8">
        <v>42811.0</v>
      </c>
      <c r="B752" s="14"/>
      <c r="C752" s="12">
        <f t="array" ref="C752">IFERROR(
  INDEX(
    IR!$B$2:$E2026,                
    MATCH($A752, IR!$A$2:$A2026, 0), 
    MATCH(C$1, IR!$B$1:$E$1, 0) ), "")
</f>
        <v>-0.00371</v>
      </c>
      <c r="D752" s="12">
        <f t="array" ref="D752">IFERROR(
  INDEX(
    IR!$B$2:$E2026,                
    MATCH($A752, IR!$A$2:$A2026, 0), 
    MATCH(D$1, IR!$B$1:$E$1, 0) ), "")
</f>
        <v>-0.00329</v>
      </c>
      <c r="E752" s="12">
        <f t="array" ref="E752">IFERROR(
  INDEX(
    IR!$B$2:$E2026,                
    MATCH($A752, IR!$A$2:$A2026, 0), 
    MATCH(E$1, IR!$B$1:$E$1, 0) ), "")
</f>
        <v>-0.00241</v>
      </c>
      <c r="F752" s="12">
        <f t="array" ref="F752">IFERROR(
  INDEX(
    IR!$B$2:$E2026,                
    MATCH($A752, IR!$A$2:$A2026, 0), 
    MATCH(F$1, IR!$B$1:$E$1, 0) ), "")
</f>
        <v>-0.00109</v>
      </c>
      <c r="G752" s="25"/>
      <c r="H752" s="12">
        <f t="array" ref="H752">IFERROR(
  INDEX(
    SR!$B$2:$D2026,            
    MATCH($A752, SR!$A$2:$A2026, 0),  
    MATCH(H$1, SR!$B$1:$D$1, 0) ), "")
</f>
        <v>-0.000957</v>
      </c>
      <c r="I752" s="12">
        <f t="array" ref="I752">IFERROR(
  INDEX(
    SR!$B$2:$D2026,            
    MATCH($A752, SR!$A$2:$A2026, 0),  
    MATCH(I$1, SR!$B$1:$D$1, 0) ), "")
</f>
        <v>0.000176</v>
      </c>
      <c r="J752" s="12">
        <f t="array" ref="J752">IFERROR(
  INDEX(
    SR!$B$2:$D2026,            
    MATCH($A752, SR!$A$2:$A2026, 0),  
    MATCH(J$1, SR!$B$1:$D$1, 0) ), "")
</f>
        <v>0.00264</v>
      </c>
      <c r="K752" s="14"/>
      <c r="L752" s="9">
        <v>118.84</v>
      </c>
      <c r="M752" s="9">
        <v>24.47</v>
      </c>
      <c r="N752" s="9">
        <v>114.98</v>
      </c>
      <c r="O752" s="9">
        <v>117.88</v>
      </c>
      <c r="P752" s="9">
        <v>126.25</v>
      </c>
      <c r="Q752" s="9">
        <v>1419.4587</v>
      </c>
      <c r="R752" s="14"/>
      <c r="S752" s="12">
        <f t="shared" si="2"/>
        <v>0.001059248663</v>
      </c>
      <c r="T752" s="12">
        <f t="shared" si="3"/>
        <v>1.001059249</v>
      </c>
      <c r="U752" s="16">
        <f t="shared" si="7"/>
        <v>100.6314832</v>
      </c>
      <c r="V752" s="17"/>
      <c r="W752" s="12">
        <f t="array" ref="W752">SQRT(252/20) *  SQRT( SUMSQ( LN(U731:U750 / U730:U749) )  - (1/20) * ( SUM( LN(U731:U750 / U730:U749) ) ^ 2 ) )</f>
        <v>0.01353765209</v>
      </c>
      <c r="X752" s="9">
        <f t="shared" si="4"/>
        <v>1.5</v>
      </c>
      <c r="Y752" s="14"/>
      <c r="Z752" s="12">
        <f t="shared" si="5"/>
        <v>1.001594026</v>
      </c>
      <c r="AA752" s="16">
        <f t="shared" si="8"/>
        <v>101.1540929</v>
      </c>
      <c r="AB752" s="14"/>
      <c r="AC752" s="9">
        <f t="shared" si="6"/>
        <v>0</v>
      </c>
    </row>
    <row r="753">
      <c r="A753" s="8">
        <v>42814.0</v>
      </c>
      <c r="B753" s="14"/>
      <c r="C753" s="12">
        <f t="array" ref="C753">IFERROR(
  INDEX(
    IR!$B$2:$E2026,                
    MATCH($A753, IR!$A$2:$A2026, 0), 
    MATCH(C$1, IR!$B$1:$E$1, 0) ), "")
</f>
        <v>-0.00371</v>
      </c>
      <c r="D753" s="12">
        <f t="array" ref="D753">IFERROR(
  INDEX(
    IR!$B$2:$E2026,                
    MATCH($A753, IR!$A$2:$A2026, 0), 
    MATCH(D$1, IR!$B$1:$E$1, 0) ), "")
</f>
        <v>-0.00329</v>
      </c>
      <c r="E753" s="12">
        <f t="array" ref="E753">IFERROR(
  INDEX(
    IR!$B$2:$E2026,                
    MATCH($A753, IR!$A$2:$A2026, 0), 
    MATCH(E$1, IR!$B$1:$E$1, 0) ), "")
</f>
        <v>-0.00241</v>
      </c>
      <c r="F753" s="12">
        <f t="array" ref="F753">IFERROR(
  INDEX(
    IR!$B$2:$E2026,                
    MATCH($A753, IR!$A$2:$A2026, 0), 
    MATCH(F$1, IR!$B$1:$E$1, 0) ), "")
</f>
        <v>-0.00109</v>
      </c>
      <c r="G753" s="25"/>
      <c r="H753" s="12">
        <f t="array" ref="H753">IFERROR(
  INDEX(
    SR!$B$2:$D2026,            
    MATCH($A753, SR!$A$2:$A2026, 0),  
    MATCH(H$1, SR!$B$1:$D$1, 0) ), "")
</f>
        <v>-0.0009</v>
      </c>
      <c r="I753" s="12">
        <f t="array" ref="I753">IFERROR(
  INDEX(
    SR!$B$2:$D2026,            
    MATCH($A753, SR!$A$2:$A2026, 0),  
    MATCH(I$1, SR!$B$1:$D$1, 0) ), "")
</f>
        <v>0.000248</v>
      </c>
      <c r="J753" s="12">
        <f t="array" ref="J753">IFERROR(
  INDEX(
    SR!$B$2:$D2026,            
    MATCH($A753, SR!$A$2:$A2026, 0),  
    MATCH(J$1, SR!$B$1:$D$1, 0) ), "")
</f>
        <v>0.00274</v>
      </c>
      <c r="K753" s="14"/>
      <c r="L753" s="9">
        <v>118.63</v>
      </c>
      <c r="M753" s="9">
        <v>24.47</v>
      </c>
      <c r="N753" s="9">
        <v>114.98</v>
      </c>
      <c r="O753" s="9">
        <v>117.87</v>
      </c>
      <c r="P753" s="9">
        <v>126.29</v>
      </c>
      <c r="Q753" s="9">
        <v>1420.5187</v>
      </c>
      <c r="R753" s="14"/>
      <c r="S753" s="12">
        <f t="shared" si="2"/>
        <v>-0.0001312592028</v>
      </c>
      <c r="T753" s="12">
        <f t="shared" si="3"/>
        <v>0.9998687408</v>
      </c>
      <c r="U753" s="16">
        <f t="shared" si="7"/>
        <v>100.6182744</v>
      </c>
      <c r="V753" s="17"/>
      <c r="W753" s="12">
        <f t="array" ref="W753">SQRT(252/20) *  SQRT( SUMSQ( LN(U732:U751 / U731:U750) )  - (1/20) * ( SUM( LN(U732:U751 / U731:U750) ) ^ 2 ) )</f>
        <v>0.01426864959</v>
      </c>
      <c r="X753" s="9">
        <f t="shared" si="4"/>
        <v>1.5</v>
      </c>
      <c r="Y753" s="14"/>
      <c r="Z753" s="12">
        <f t="shared" si="5"/>
        <v>0.9998185695</v>
      </c>
      <c r="AA753" s="16">
        <f t="shared" si="8"/>
        <v>101.1357404</v>
      </c>
      <c r="AB753" s="14"/>
      <c r="AC753" s="9">
        <f t="shared" si="6"/>
        <v>0</v>
      </c>
    </row>
    <row r="754">
      <c r="A754" s="8">
        <v>42815.0</v>
      </c>
      <c r="B754" s="14"/>
      <c r="C754" s="12">
        <f t="array" ref="C754">IFERROR(
  INDEX(
    IR!$B$2:$E2026,                
    MATCH($A754, IR!$A$2:$A2026, 0), 
    MATCH(C$1, IR!$B$1:$E$1, 0) ), "")
</f>
        <v>-0.00374</v>
      </c>
      <c r="D754" s="12">
        <f t="array" ref="D754">IFERROR(
  INDEX(
    IR!$B$2:$E2026,                
    MATCH($A754, IR!$A$2:$A2026, 0), 
    MATCH(D$1, IR!$B$1:$E$1, 0) ), "")
</f>
        <v>-0.00329</v>
      </c>
      <c r="E754" s="12">
        <f t="array" ref="E754">IFERROR(
  INDEX(
    IR!$B$2:$E2026,                
    MATCH($A754, IR!$A$2:$A2026, 0), 
    MATCH(E$1, IR!$B$1:$E$1, 0) ), "")
</f>
        <v>-0.00241</v>
      </c>
      <c r="F754" s="12">
        <f t="array" ref="F754">IFERROR(
  INDEX(
    IR!$B$2:$E2026,                
    MATCH($A754, IR!$A$2:$A2026, 0), 
    MATCH(F$1, IR!$B$1:$E$1, 0) ), "")
</f>
        <v>-0.00106</v>
      </c>
      <c r="G754" s="25"/>
      <c r="H754" s="12">
        <f t="array" ref="H754">IFERROR(
  INDEX(
    SR!$B$2:$D2026,            
    MATCH($A754, SR!$A$2:$A2026, 0),  
    MATCH(H$1, SR!$B$1:$D$1, 0) ), "")
</f>
        <v>-0.00082</v>
      </c>
      <c r="I754" s="12">
        <f t="array" ref="I754">IFERROR(
  INDEX(
    SR!$B$2:$D2026,            
    MATCH($A754, SR!$A$2:$A2026, 0),  
    MATCH(I$1, SR!$B$1:$D$1, 0) ), "")
</f>
        <v>0.000296</v>
      </c>
      <c r="J754" s="12">
        <f t="array" ref="J754">IFERROR(
  INDEX(
    SR!$B$2:$D2026,            
    MATCH($A754, SR!$A$2:$A2026, 0),  
    MATCH(J$1, SR!$B$1:$D$1, 0) ), "")
</f>
        <v>0.00287</v>
      </c>
      <c r="K754" s="14"/>
      <c r="L754" s="9">
        <v>118.42</v>
      </c>
      <c r="M754" s="9">
        <v>24.46</v>
      </c>
      <c r="N754" s="9">
        <v>115.0</v>
      </c>
      <c r="O754" s="9">
        <v>117.8</v>
      </c>
      <c r="P754" s="9">
        <v>126.28</v>
      </c>
      <c r="Q754" s="9">
        <v>1420.8145</v>
      </c>
      <c r="R754" s="14"/>
      <c r="S754" s="12">
        <f t="shared" si="2"/>
        <v>-0.0004114401792</v>
      </c>
      <c r="T754" s="12">
        <f t="shared" si="3"/>
        <v>0.9995885598</v>
      </c>
      <c r="U754" s="16">
        <f t="shared" si="7"/>
        <v>100.576876</v>
      </c>
      <c r="V754" s="17"/>
      <c r="W754" s="12">
        <f t="array" ref="W754">SQRT(252/20) *  SQRT( SUMSQ( LN(U733:U752 / U732:U751) )  - (1/20) * ( SUM( LN(U733:U752 / U732:U751) ) ^ 2 ) )</f>
        <v>0.01447031485</v>
      </c>
      <c r="X754" s="9">
        <f t="shared" si="4"/>
        <v>1.5</v>
      </c>
      <c r="Y754" s="14"/>
      <c r="Z754" s="12">
        <f t="shared" si="5"/>
        <v>0.9993879925</v>
      </c>
      <c r="AA754" s="16">
        <f t="shared" si="8"/>
        <v>101.0738446</v>
      </c>
      <c r="AB754" s="14"/>
      <c r="AC754" s="9">
        <f t="shared" si="6"/>
        <v>0</v>
      </c>
    </row>
    <row r="755">
      <c r="A755" s="8">
        <v>42816.0</v>
      </c>
      <c r="B755" s="14"/>
      <c r="C755" s="12">
        <f t="array" ref="C755">IFERROR(
  INDEX(
    IR!$B$2:$E2026,                
    MATCH($A755, IR!$A$2:$A2026, 0), 
    MATCH(C$1, IR!$B$1:$E$1, 0) ), "")
</f>
        <v>-0.00373</v>
      </c>
      <c r="D755" s="12">
        <f t="array" ref="D755">IFERROR(
  INDEX(
    IR!$B$2:$E2026,                
    MATCH($A755, IR!$A$2:$A2026, 0), 
    MATCH(D$1, IR!$B$1:$E$1, 0) ), "")
</f>
        <v>-0.0033</v>
      </c>
      <c r="E755" s="12">
        <f t="array" ref="E755">IFERROR(
  INDEX(
    IR!$B$2:$E2026,                
    MATCH($A755, IR!$A$2:$A2026, 0), 
    MATCH(E$1, IR!$B$1:$E$1, 0) ), "")
</f>
        <v>-0.00242</v>
      </c>
      <c r="F755" s="12">
        <f t="array" ref="F755">IFERROR(
  INDEX(
    IR!$B$2:$E2026,                
    MATCH($A755, IR!$A$2:$A2026, 0), 
    MATCH(F$1, IR!$B$1:$E$1, 0) ), "")
</f>
        <v>-0.00106</v>
      </c>
      <c r="G755" s="25"/>
      <c r="H755" s="12">
        <f t="array" ref="H755">IFERROR(
  INDEX(
    SR!$B$2:$D2026,            
    MATCH($A755, SR!$A$2:$A2026, 0),  
    MATCH(H$1, SR!$B$1:$D$1, 0) ), "")
</f>
        <v>-0.00094</v>
      </c>
      <c r="I755" s="12">
        <f t="array" ref="I755">IFERROR(
  INDEX(
    SR!$B$2:$D2026,            
    MATCH($A755, SR!$A$2:$A2026, 0),  
    MATCH(I$1, SR!$B$1:$D$1, 0) ), "")
</f>
        <v>0.00018</v>
      </c>
      <c r="J755" s="12">
        <f t="array" ref="J755">IFERROR(
  INDEX(
    SR!$B$2:$D2026,            
    MATCH($A755, SR!$A$2:$A2026, 0),  
    MATCH(J$1, SR!$B$1:$D$1, 0) ), "")
</f>
        <v>0.00261</v>
      </c>
      <c r="K755" s="14"/>
      <c r="L755" s="9">
        <v>118.25</v>
      </c>
      <c r="M755" s="9">
        <v>24.47</v>
      </c>
      <c r="N755" s="9">
        <v>114.99</v>
      </c>
      <c r="O755" s="9">
        <v>117.57</v>
      </c>
      <c r="P755" s="9">
        <v>126.09</v>
      </c>
      <c r="Q755" s="9">
        <v>1411.9395</v>
      </c>
      <c r="R755" s="14"/>
      <c r="S755" s="12">
        <f t="shared" si="2"/>
        <v>-0.001802764492</v>
      </c>
      <c r="T755" s="12">
        <f t="shared" si="3"/>
        <v>0.9981972355</v>
      </c>
      <c r="U755" s="16">
        <f t="shared" si="7"/>
        <v>100.3955596</v>
      </c>
      <c r="V755" s="17"/>
      <c r="W755" s="12">
        <f t="array" ref="W755">SQRT(252/20) *  SQRT( SUMSQ( LN(U734:U753 / U733:U752) )  - (1/20) * ( SUM( LN(U734:U753 / U733:U752) ) ^ 2 ) )</f>
        <v>0.01438660288</v>
      </c>
      <c r="X755" s="9">
        <f t="shared" si="4"/>
        <v>1.5</v>
      </c>
      <c r="Y755" s="14"/>
      <c r="Z755" s="12">
        <f t="shared" si="5"/>
        <v>0.9973010477</v>
      </c>
      <c r="AA755" s="16">
        <f t="shared" si="8"/>
        <v>100.8010511</v>
      </c>
      <c r="AB755" s="14"/>
      <c r="AC755" s="9">
        <f t="shared" si="6"/>
        <v>0</v>
      </c>
    </row>
    <row r="756">
      <c r="A756" s="8">
        <v>42817.0</v>
      </c>
      <c r="B756" s="14"/>
      <c r="C756" s="12">
        <f t="array" ref="C756">IFERROR(
  INDEX(
    IR!$B$2:$E2026,                
    MATCH($A756, IR!$A$2:$A2026, 0), 
    MATCH(C$1, IR!$B$1:$E$1, 0) ), "")
</f>
        <v>-0.00373</v>
      </c>
      <c r="D756" s="12">
        <f t="array" ref="D756">IFERROR(
  INDEX(
    IR!$B$2:$E2026,                
    MATCH($A756, IR!$A$2:$A2026, 0), 
    MATCH(D$1, IR!$B$1:$E$1, 0) ), "")
</f>
        <v>-0.0033</v>
      </c>
      <c r="E756" s="12">
        <f t="array" ref="E756">IFERROR(
  INDEX(
    IR!$B$2:$E2026,                
    MATCH($A756, IR!$A$2:$A2026, 0), 
    MATCH(E$1, IR!$B$1:$E$1, 0) ), "")
</f>
        <v>-0.00242</v>
      </c>
      <c r="F756" s="12">
        <f t="array" ref="F756">IFERROR(
  INDEX(
    IR!$B$2:$E2026,                
    MATCH($A756, IR!$A$2:$A2026, 0), 
    MATCH(F$1, IR!$B$1:$E$1, 0) ), "")
</f>
        <v>-0.00107</v>
      </c>
      <c r="G756" s="25"/>
      <c r="H756" s="12">
        <f t="array" ref="H756">IFERROR(
  INDEX(
    SR!$B$2:$D2026,            
    MATCH($A756, SR!$A$2:$A2026, 0),  
    MATCH(H$1, SR!$B$1:$D$1, 0) ), "")
</f>
        <v>-0.00088</v>
      </c>
      <c r="I756" s="12">
        <f t="array" ref="I756">IFERROR(
  INDEX(
    SR!$B$2:$D2026,            
    MATCH($A756, SR!$A$2:$A2026, 0),  
    MATCH(I$1, SR!$B$1:$D$1, 0) ), "")
</f>
        <v>0.000244</v>
      </c>
      <c r="J756" s="12">
        <f t="array" ref="J756">IFERROR(
  INDEX(
    SR!$B$2:$D2026,            
    MATCH($A756, SR!$A$2:$A2026, 0),  
    MATCH(J$1, SR!$B$1:$D$1, 0) ), "")
</f>
        <v>0.00272</v>
      </c>
      <c r="K756" s="14"/>
      <c r="L756" s="9">
        <v>118.5</v>
      </c>
      <c r="M756" s="9">
        <v>24.47</v>
      </c>
      <c r="N756" s="9">
        <v>114.98</v>
      </c>
      <c r="O756" s="9">
        <v>117.56</v>
      </c>
      <c r="P756" s="9">
        <v>126.01</v>
      </c>
      <c r="Q756" s="9">
        <v>1411.9882</v>
      </c>
      <c r="R756" s="14"/>
      <c r="S756" s="12">
        <f t="shared" si="2"/>
        <v>0.0002236088426</v>
      </c>
      <c r="T756" s="12">
        <f t="shared" si="3"/>
        <v>1.000223609</v>
      </c>
      <c r="U756" s="16">
        <f t="shared" si="7"/>
        <v>100.4180089</v>
      </c>
      <c r="V756" s="17"/>
      <c r="W756" s="12">
        <f t="array" ref="W756">SQRT(252/20) *  SQRT( SUMSQ( LN(U735:U754 / U734:U753) )  - (1/20) * ( SUM( LN(U735:U754 / U734:U753) ) ^ 2 ) )</f>
        <v>0.01357724794</v>
      </c>
      <c r="X756" s="9">
        <f t="shared" si="4"/>
        <v>1.5</v>
      </c>
      <c r="Y756" s="14"/>
      <c r="Z756" s="12">
        <f t="shared" si="5"/>
        <v>1.000340594</v>
      </c>
      <c r="AA756" s="16">
        <f t="shared" si="8"/>
        <v>100.8353833</v>
      </c>
      <c r="AB756" s="14"/>
      <c r="AC756" s="9">
        <f t="shared" si="6"/>
        <v>0</v>
      </c>
    </row>
    <row r="757">
      <c r="A757" s="8">
        <v>42818.0</v>
      </c>
      <c r="B757" s="14"/>
      <c r="C757" s="12">
        <f t="array" ref="C757">IFERROR(
  INDEX(
    IR!$B$2:$E2026,                
    MATCH($A757, IR!$A$2:$A2026, 0), 
    MATCH(C$1, IR!$B$1:$E$1, 0) ), "")
</f>
        <v>-0.00372</v>
      </c>
      <c r="D757" s="12">
        <f t="array" ref="D757">IFERROR(
  INDEX(
    IR!$B$2:$E2026,                
    MATCH($A757, IR!$A$2:$A2026, 0), 
    MATCH(D$1, IR!$B$1:$E$1, 0) ), "")
</f>
        <v>-0.0033</v>
      </c>
      <c r="E757" s="12">
        <f t="array" ref="E757">IFERROR(
  INDEX(
    IR!$B$2:$E2026,                
    MATCH($A757, IR!$A$2:$A2026, 0), 
    MATCH(E$1, IR!$B$1:$E$1, 0) ), "")
</f>
        <v>-0.00242</v>
      </c>
      <c r="F757" s="12">
        <f t="array" ref="F757">IFERROR(
  INDEX(
    IR!$B$2:$E2026,                
    MATCH($A757, IR!$A$2:$A2026, 0), 
    MATCH(F$1, IR!$B$1:$E$1, 0) ), "")
</f>
        <v>-0.00107</v>
      </c>
      <c r="G757" s="25"/>
      <c r="H757" s="12">
        <f t="array" ref="H757">IFERROR(
  INDEX(
    SR!$B$2:$D2026,            
    MATCH($A757, SR!$A$2:$A2026, 0),  
    MATCH(H$1, SR!$B$1:$D$1, 0) ), "")
</f>
        <v>-0.00093</v>
      </c>
      <c r="I757" s="12">
        <f t="array" ref="I757">IFERROR(
  INDEX(
    SR!$B$2:$D2026,            
    MATCH($A757, SR!$A$2:$A2026, 0),  
    MATCH(I$1, SR!$B$1:$D$1, 0) ), "")
</f>
        <v>0.000231</v>
      </c>
      <c r="J757" s="12">
        <f t="array" ref="J757">IFERROR(
  INDEX(
    SR!$B$2:$D2026,            
    MATCH($A757, SR!$A$2:$A2026, 0),  
    MATCH(J$1, SR!$B$1:$D$1, 0) ), "")
</f>
        <v>0.00271</v>
      </c>
      <c r="K757" s="14"/>
      <c r="L757" s="9">
        <v>118.59</v>
      </c>
      <c r="M757" s="9">
        <v>24.46</v>
      </c>
      <c r="N757" s="9">
        <v>114.98</v>
      </c>
      <c r="O757" s="9">
        <v>118.01</v>
      </c>
      <c r="P757" s="9">
        <v>126.13</v>
      </c>
      <c r="Q757" s="9">
        <v>1414.7492</v>
      </c>
      <c r="R757" s="14"/>
      <c r="S757" s="12">
        <f t="shared" si="2"/>
        <v>0.00118078424</v>
      </c>
      <c r="T757" s="12">
        <f t="shared" si="3"/>
        <v>1.001180784</v>
      </c>
      <c r="U757" s="16">
        <f t="shared" si="7"/>
        <v>100.5365809</v>
      </c>
      <c r="V757" s="17"/>
      <c r="W757" s="12">
        <f t="array" ref="W757">SQRT(252/20) *  SQRT( SUMSQ( LN(U736:U755 / U735:U754) )  - (1/20) * ( SUM( LN(U736:U755 / U735:U754) ) ^ 2 ) )</f>
        <v>0.01361708048</v>
      </c>
      <c r="X757" s="9">
        <f t="shared" si="4"/>
        <v>1.5</v>
      </c>
      <c r="Y757" s="14"/>
      <c r="Z757" s="12">
        <f t="shared" si="5"/>
        <v>1.001776357</v>
      </c>
      <c r="AA757" s="16">
        <f t="shared" si="8"/>
        <v>101.014503</v>
      </c>
      <c r="AB757" s="14"/>
      <c r="AC757" s="9">
        <f t="shared" si="6"/>
        <v>0</v>
      </c>
    </row>
    <row r="758">
      <c r="A758" s="8">
        <v>42821.0</v>
      </c>
      <c r="B758" s="14"/>
      <c r="C758" s="12">
        <f t="array" ref="C758">IFERROR(
  INDEX(
    IR!$B$2:$E2026,                
    MATCH($A758, IR!$A$2:$A2026, 0), 
    MATCH(C$1, IR!$B$1:$E$1, 0) ), "")
</f>
        <v>-0.00374</v>
      </c>
      <c r="D758" s="12">
        <f t="array" ref="D758">IFERROR(
  INDEX(
    IR!$B$2:$E2026,                
    MATCH($A758, IR!$A$2:$A2026, 0), 
    MATCH(D$1, IR!$B$1:$E$1, 0) ), "")
</f>
        <v>-0.0033</v>
      </c>
      <c r="E758" s="12">
        <f t="array" ref="E758">IFERROR(
  INDEX(
    IR!$B$2:$E2026,                
    MATCH($A758, IR!$A$2:$A2026, 0), 
    MATCH(E$1, IR!$B$1:$E$1, 0) ), "")
</f>
        <v>-0.00242</v>
      </c>
      <c r="F758" s="12">
        <f t="array" ref="F758">IFERROR(
  INDEX(
    IR!$B$2:$E2026,                
    MATCH($A758, IR!$A$2:$A2026, 0), 
    MATCH(F$1, IR!$B$1:$E$1, 0) ), "")
</f>
        <v>-0.00109</v>
      </c>
      <c r="G758" s="25"/>
      <c r="H758" s="12">
        <f t="array" ref="H758">IFERROR(
  INDEX(
    SR!$B$2:$D2026,            
    MATCH($A758, SR!$A$2:$A2026, 0),  
    MATCH(H$1, SR!$B$1:$D$1, 0) ), "")
</f>
        <v>-0.001</v>
      </c>
      <c r="I758" s="12">
        <f t="array" ref="I758">IFERROR(
  INDEX(
    SR!$B$2:$D2026,            
    MATCH($A758, SR!$A$2:$A2026, 0),  
    MATCH(I$1, SR!$B$1:$D$1, 0) ), "")
</f>
        <v>0.000104</v>
      </c>
      <c r="J758" s="12">
        <f t="array" ref="J758">IFERROR(
  INDEX(
    SR!$B$2:$D2026,            
    MATCH($A758, SR!$A$2:$A2026, 0),  
    MATCH(J$1, SR!$B$1:$D$1, 0) ), "")
</f>
        <v>0.00251</v>
      </c>
      <c r="K758" s="14"/>
      <c r="L758" s="9">
        <v>118.41</v>
      </c>
      <c r="M758" s="9">
        <v>24.44</v>
      </c>
      <c r="N758" s="9">
        <v>115.0</v>
      </c>
      <c r="O758" s="9">
        <v>118.14</v>
      </c>
      <c r="P758" s="9">
        <v>126.13</v>
      </c>
      <c r="Q758" s="9">
        <v>1408.3621</v>
      </c>
      <c r="R758" s="14"/>
      <c r="S758" s="12">
        <f t="shared" si="2"/>
        <v>-0.0009291803208</v>
      </c>
      <c r="T758" s="12">
        <f t="shared" si="3"/>
        <v>0.9990708197</v>
      </c>
      <c r="U758" s="16">
        <f t="shared" si="7"/>
        <v>100.4431643</v>
      </c>
      <c r="V758" s="17"/>
      <c r="W758" s="12">
        <f t="array" ref="W758">SQRT(252/20) *  SQRT( SUMSQ( LN(U737:U756 / U736:U755) )  - (1/20) * ( SUM( LN(U737:U756 / U736:U755) ) ^ 2 ) )</f>
        <v>0.01356244966</v>
      </c>
      <c r="X758" s="9">
        <f t="shared" si="4"/>
        <v>1.5</v>
      </c>
      <c r="Y758" s="14"/>
      <c r="Z758" s="12">
        <f t="shared" si="5"/>
        <v>0.9986217295</v>
      </c>
      <c r="AA758" s="16">
        <f t="shared" si="8"/>
        <v>100.8752776</v>
      </c>
      <c r="AB758" s="14"/>
      <c r="AC758" s="9">
        <f t="shared" si="6"/>
        <v>0</v>
      </c>
    </row>
    <row r="759">
      <c r="A759" s="8">
        <v>42822.0</v>
      </c>
      <c r="B759" s="14"/>
      <c r="C759" s="12">
        <f t="array" ref="C759">IFERROR(
  INDEX(
    IR!$B$2:$E2026,                
    MATCH($A759, IR!$A$2:$A2026, 0), 
    MATCH(C$1, IR!$B$1:$E$1, 0) ), "")
</f>
        <v>-0.00373</v>
      </c>
      <c r="D759" s="12">
        <f t="array" ref="D759">IFERROR(
  INDEX(
    IR!$B$2:$E2026,                
    MATCH($A759, IR!$A$2:$A2026, 0), 
    MATCH(D$1, IR!$B$1:$E$1, 0) ), "")
</f>
        <v>-0.0033</v>
      </c>
      <c r="E759" s="12">
        <f t="array" ref="E759">IFERROR(
  INDEX(
    IR!$B$2:$E2026,                
    MATCH($A759, IR!$A$2:$A2026, 0), 
    MATCH(E$1, IR!$B$1:$E$1, 0) ), "")
</f>
        <v>-0.00242</v>
      </c>
      <c r="F759" s="12">
        <f t="array" ref="F759">IFERROR(
  INDEX(
    IR!$B$2:$E2026,                
    MATCH($A759, IR!$A$2:$A2026, 0), 
    MATCH(F$1, IR!$B$1:$E$1, 0) ), "")
</f>
        <v>-0.0011</v>
      </c>
      <c r="G759" s="25"/>
      <c r="H759" s="12">
        <f t="array" ref="H759">IFERROR(
  INDEX(
    SR!$B$2:$D2026,            
    MATCH($A759, SR!$A$2:$A2026, 0),  
    MATCH(H$1, SR!$B$1:$D$1, 0) ), "")
</f>
        <v>-0.0011</v>
      </c>
      <c r="I759" s="12">
        <f t="array" ref="I759">IFERROR(
  INDEX(
    SR!$B$2:$D2026,            
    MATCH($A759, SR!$A$2:$A2026, 0),  
    MATCH(I$1, SR!$B$1:$D$1, 0) ), "")
</f>
        <v>-0.000072</v>
      </c>
      <c r="J759" s="12">
        <f t="array" ref="J759">IFERROR(
  INDEX(
    SR!$B$2:$D2026,            
    MATCH($A759, SR!$A$2:$A2026, 0),  
    MATCH(J$1, SR!$B$1:$D$1, 0) ), "")
</f>
        <v>0.00241</v>
      </c>
      <c r="K759" s="14"/>
      <c r="L759" s="9">
        <v>118.65</v>
      </c>
      <c r="M759" s="9">
        <v>24.44</v>
      </c>
      <c r="N759" s="9">
        <v>115.02</v>
      </c>
      <c r="O759" s="9">
        <v>118.01</v>
      </c>
      <c r="P759" s="9">
        <v>126.0</v>
      </c>
      <c r="Q759" s="9">
        <v>1417.8278</v>
      </c>
      <c r="R759" s="14"/>
      <c r="S759" s="12">
        <f t="shared" si="2"/>
        <v>0.001132013839</v>
      </c>
      <c r="T759" s="12">
        <f t="shared" si="3"/>
        <v>1.001132014</v>
      </c>
      <c r="U759" s="16">
        <f t="shared" si="7"/>
        <v>100.5568674</v>
      </c>
      <c r="V759" s="17"/>
      <c r="W759" s="12">
        <f t="array" ref="W759">SQRT(252/20) *  SQRT( SUMSQ( LN(U738:U757 / U737:U756) )  - (1/20) * ( SUM( LN(U738:U757 / U737:U756) ) ^ 2 ) )</f>
        <v>0.01422293004</v>
      </c>
      <c r="X759" s="9">
        <f t="shared" si="4"/>
        <v>1.5</v>
      </c>
      <c r="Y759" s="14"/>
      <c r="Z759" s="12">
        <f t="shared" si="5"/>
        <v>1.001703215</v>
      </c>
      <c r="AA759" s="16">
        <f t="shared" si="8"/>
        <v>101.04709</v>
      </c>
      <c r="AB759" s="14"/>
      <c r="AC759" s="9">
        <f t="shared" si="6"/>
        <v>0</v>
      </c>
    </row>
    <row r="760">
      <c r="A760" s="8">
        <v>42823.0</v>
      </c>
      <c r="B760" s="14"/>
      <c r="C760" s="12">
        <f t="array" ref="C760">IFERROR(
  INDEX(
    IR!$B$2:$E2026,                
    MATCH($A760, IR!$A$2:$A2026, 0), 
    MATCH(C$1, IR!$B$1:$E$1, 0) ), "")
</f>
        <v>-0.00373</v>
      </c>
      <c r="D760" s="12">
        <f t="array" ref="D760">IFERROR(
  INDEX(
    IR!$B$2:$E2026,                
    MATCH($A760, IR!$A$2:$A2026, 0), 
    MATCH(D$1, IR!$B$1:$E$1, 0) ), "")
</f>
        <v>-0.0033</v>
      </c>
      <c r="E760" s="12">
        <f t="array" ref="E760">IFERROR(
  INDEX(
    IR!$B$2:$E2026,                
    MATCH($A760, IR!$A$2:$A2026, 0), 
    MATCH(E$1, IR!$B$1:$E$1, 0) ), "")
</f>
        <v>-0.00242</v>
      </c>
      <c r="F760" s="12">
        <f t="array" ref="F760">IFERROR(
  INDEX(
    IR!$B$2:$E2026,                
    MATCH($A760, IR!$A$2:$A2026, 0), 
    MATCH(F$1, IR!$B$1:$E$1, 0) ), "")
</f>
        <v>-0.00109</v>
      </c>
      <c r="G760" s="25"/>
      <c r="H760" s="12">
        <f t="array" ref="H760">IFERROR(
  INDEX(
    SR!$B$2:$D2026,            
    MATCH($A760, SR!$A$2:$A2026, 0),  
    MATCH(H$1, SR!$B$1:$D$1, 0) ), "")
</f>
        <v>-0.00125</v>
      </c>
      <c r="I760" s="12">
        <f t="array" ref="I760">IFERROR(
  INDEX(
    SR!$B$2:$D2026,            
    MATCH($A760, SR!$A$2:$A2026, 0),  
    MATCH(I$1, SR!$B$1:$D$1, 0) ), "")
</f>
        <v>-0.00026</v>
      </c>
      <c r="J760" s="12">
        <f t="array" ref="J760">IFERROR(
  INDEX(
    SR!$B$2:$D2026,            
    MATCH($A760, SR!$A$2:$A2026, 0),  
    MATCH(J$1, SR!$B$1:$D$1, 0) ), "")
</f>
        <v>0.001996</v>
      </c>
      <c r="K760" s="14"/>
      <c r="L760" s="9">
        <v>118.69</v>
      </c>
      <c r="M760" s="9">
        <v>24.46</v>
      </c>
      <c r="N760" s="9">
        <v>115.02</v>
      </c>
      <c r="O760" s="9">
        <v>118.6</v>
      </c>
      <c r="P760" s="9">
        <v>127.04</v>
      </c>
      <c r="Q760" s="9">
        <v>1421.9426</v>
      </c>
      <c r="R760" s="14"/>
      <c r="S760" s="12">
        <f t="shared" si="2"/>
        <v>0.002884334002</v>
      </c>
      <c r="T760" s="12">
        <f t="shared" si="3"/>
        <v>1.002884334</v>
      </c>
      <c r="U760" s="16">
        <f t="shared" si="7"/>
        <v>100.846907</v>
      </c>
      <c r="V760" s="17"/>
      <c r="W760" s="12">
        <f t="array" ref="W760">SQRT(252/20) *  SQRT( SUMSQ( LN(U739:U758 / U738:U757) )  - (1/20) * ( SUM( LN(U739:U758 / U738:U757) ) ^ 2 ) )</f>
        <v>0.01442331673</v>
      </c>
      <c r="X760" s="9">
        <f t="shared" si="4"/>
        <v>1.5</v>
      </c>
      <c r="Y760" s="14"/>
      <c r="Z760" s="12">
        <f t="shared" si="5"/>
        <v>1.004331682</v>
      </c>
      <c r="AA760" s="16">
        <f t="shared" si="8"/>
        <v>101.4847938</v>
      </c>
      <c r="AB760" s="14"/>
      <c r="AC760" s="9">
        <f t="shared" si="6"/>
        <v>0</v>
      </c>
    </row>
    <row r="761">
      <c r="A761" s="8">
        <v>42824.0</v>
      </c>
      <c r="B761" s="14"/>
      <c r="C761" s="12">
        <f t="array" ref="C761">IFERROR(
  INDEX(
    IR!$B$2:$E2026,                
    MATCH($A761, IR!$A$2:$A2026, 0), 
    MATCH(C$1, IR!$B$1:$E$1, 0) ), "")
</f>
        <v>-0.00373</v>
      </c>
      <c r="D761" s="12">
        <f t="array" ref="D761">IFERROR(
  INDEX(
    IR!$B$2:$E2026,                
    MATCH($A761, IR!$A$2:$A2026, 0), 
    MATCH(D$1, IR!$B$1:$E$1, 0) ), "")
</f>
        <v>-0.0033</v>
      </c>
      <c r="E761" s="12">
        <f t="array" ref="E761">IFERROR(
  INDEX(
    IR!$B$2:$E2026,                
    MATCH($A761, IR!$A$2:$A2026, 0), 
    MATCH(E$1, IR!$B$1:$E$1, 0) ), "")
</f>
        <v>-0.00241</v>
      </c>
      <c r="F761" s="12">
        <f t="array" ref="F761">IFERROR(
  INDEX(
    IR!$B$2:$E2026,                
    MATCH($A761, IR!$A$2:$A2026, 0), 
    MATCH(F$1, IR!$B$1:$E$1, 0) ), "")
</f>
        <v>-0.00109</v>
      </c>
      <c r="G761" s="25"/>
      <c r="H761" s="12">
        <f t="array" ref="H761">IFERROR(
  INDEX(
    SR!$B$2:$D2026,            
    MATCH($A761, SR!$A$2:$A2026, 0),  
    MATCH(H$1, SR!$B$1:$D$1, 0) ), "")
</f>
        <v>-0.00134</v>
      </c>
      <c r="I761" s="12">
        <f t="array" ref="I761">IFERROR(
  INDEX(
    SR!$B$2:$D2026,            
    MATCH($A761, SR!$A$2:$A2026, 0),  
    MATCH(I$1, SR!$B$1:$D$1, 0) ), "")
</f>
        <v>-0.00041</v>
      </c>
      <c r="J761" s="12">
        <f t="array" ref="J761">IFERROR(
  INDEX(
    SR!$B$2:$D2026,            
    MATCH($A761, SR!$A$2:$A2026, 0),  
    MATCH(J$1, SR!$B$1:$D$1, 0) ), "")
</f>
        <v>0.00185</v>
      </c>
      <c r="K761" s="14"/>
      <c r="L761" s="9">
        <v>118.94</v>
      </c>
      <c r="M761" s="9">
        <v>24.47</v>
      </c>
      <c r="N761" s="9">
        <v>115.0</v>
      </c>
      <c r="O761" s="9">
        <v>118.76</v>
      </c>
      <c r="P761" s="9">
        <v>127.34</v>
      </c>
      <c r="Q761" s="9">
        <v>1421.8626</v>
      </c>
      <c r="R761" s="14"/>
      <c r="S761" s="12">
        <f t="shared" si="2"/>
        <v>0.0009988526302</v>
      </c>
      <c r="T761" s="12">
        <f t="shared" si="3"/>
        <v>1.000998853</v>
      </c>
      <c r="U761" s="16">
        <f t="shared" si="7"/>
        <v>100.9476382</v>
      </c>
      <c r="V761" s="17"/>
      <c r="W761" s="12">
        <f t="array" ref="W761">SQRT(252/20) *  SQRT( SUMSQ( LN(U740:U759 / U739:U758) )  - (1/20) * ( SUM( LN(U740:U759 / U739:U758) ) ^ 2 ) )</f>
        <v>0.01505341369</v>
      </c>
      <c r="X761" s="9">
        <f t="shared" si="4"/>
        <v>1.5</v>
      </c>
      <c r="Y761" s="14"/>
      <c r="Z761" s="12">
        <f t="shared" si="5"/>
        <v>1.00150346</v>
      </c>
      <c r="AA761" s="16">
        <f t="shared" si="8"/>
        <v>101.637372</v>
      </c>
      <c r="AB761" s="14"/>
      <c r="AC761" s="9">
        <f t="shared" si="6"/>
        <v>0</v>
      </c>
    </row>
    <row r="762">
      <c r="A762" s="8">
        <v>42825.0</v>
      </c>
      <c r="B762" s="14"/>
      <c r="C762" s="12">
        <f t="array" ref="C762">IFERROR(
  INDEX(
    IR!$B$2:$E2026,                
    MATCH($A762, IR!$A$2:$A2026, 0), 
    MATCH(C$1, IR!$B$1:$E$1, 0) ), "")
</f>
        <v>-0.00373</v>
      </c>
      <c r="D762" s="12">
        <f t="array" ref="D762">IFERROR(
  INDEX(
    IR!$B$2:$E2026,                
    MATCH($A762, IR!$A$2:$A2026, 0), 
    MATCH(D$1, IR!$B$1:$E$1, 0) ), "")
</f>
        <v>-0.00329</v>
      </c>
      <c r="E762" s="12">
        <f t="array" ref="E762">IFERROR(
  INDEX(
    IR!$B$2:$E2026,                
    MATCH($A762, IR!$A$2:$A2026, 0), 
    MATCH(E$1, IR!$B$1:$E$1, 0) ), "")
</f>
        <v>-0.00241</v>
      </c>
      <c r="F762" s="12">
        <f t="array" ref="F762">IFERROR(
  INDEX(
    IR!$B$2:$E2026,                
    MATCH($A762, IR!$A$2:$A2026, 0), 
    MATCH(F$1, IR!$B$1:$E$1, 0) ), "")
</f>
        <v>-0.00109</v>
      </c>
      <c r="G762" s="25"/>
      <c r="H762" s="12">
        <f t="array" ref="H762">IFERROR(
  INDEX(
    SR!$B$2:$D2026,            
    MATCH($A762, SR!$A$2:$A2026, 0),  
    MATCH(H$1, SR!$B$1:$D$1, 0) ), "")
</f>
        <v>-0.00135</v>
      </c>
      <c r="I762" s="12">
        <f t="array" ref="I762">IFERROR(
  INDEX(
    SR!$B$2:$D2026,            
    MATCH($A762, SR!$A$2:$A2026, 0),  
    MATCH(I$1, SR!$B$1:$D$1, 0) ), "")
</f>
        <v>-0.00035</v>
      </c>
      <c r="J762" s="12">
        <f t="array" ref="J762">IFERROR(
  INDEX(
    SR!$B$2:$D2026,            
    MATCH($A762, SR!$A$2:$A2026, 0),  
    MATCH(J$1, SR!$B$1:$D$1, 0) ), "")
</f>
        <v>0.001835</v>
      </c>
      <c r="K762" s="14"/>
      <c r="L762" s="9">
        <v>119.08</v>
      </c>
      <c r="M762" s="9">
        <v>24.48</v>
      </c>
      <c r="N762" s="9">
        <v>115.01</v>
      </c>
      <c r="O762" s="9">
        <v>118.82</v>
      </c>
      <c r="P762" s="9">
        <v>127.39</v>
      </c>
      <c r="Q762" s="9">
        <v>1422.7256</v>
      </c>
      <c r="R762" s="14"/>
      <c r="S762" s="12">
        <f t="shared" si="2"/>
        <v>0.0005294329977</v>
      </c>
      <c r="T762" s="12">
        <f t="shared" si="3"/>
        <v>1.000529433</v>
      </c>
      <c r="U762" s="16">
        <f t="shared" si="7"/>
        <v>101.0010832</v>
      </c>
      <c r="V762" s="17"/>
      <c r="W762" s="12">
        <f t="array" ref="W762">SQRT(252/20) *  SQRT( SUMSQ( LN(U741:U760 / U740:U759) )  - (1/20) * ( SUM( LN(U741:U760 / U740:U759) ) ^ 2 ) )</f>
        <v>0.0180987328</v>
      </c>
      <c r="X762" s="9">
        <f t="shared" si="4"/>
        <v>1.5</v>
      </c>
      <c r="Y762" s="14"/>
      <c r="Z762" s="12">
        <f t="shared" si="5"/>
        <v>1.00079933</v>
      </c>
      <c r="AA762" s="16">
        <f t="shared" si="8"/>
        <v>101.7186139</v>
      </c>
      <c r="AB762" s="14"/>
      <c r="AC762" s="9">
        <f t="shared" si="6"/>
        <v>0</v>
      </c>
    </row>
    <row r="763">
      <c r="A763" s="8">
        <v>42828.0</v>
      </c>
      <c r="B763" s="14"/>
      <c r="C763" s="12">
        <f t="array" ref="C763">IFERROR(
  INDEX(
    IR!$B$2:$E2026,                
    MATCH($A763, IR!$A$2:$A2026, 0), 
    MATCH(C$1, IR!$B$1:$E$1, 0) ), "")
</f>
        <v>-0.00372</v>
      </c>
      <c r="D763" s="12">
        <f t="array" ref="D763">IFERROR(
  INDEX(
    IR!$B$2:$E2026,                
    MATCH($A763, IR!$A$2:$A2026, 0), 
    MATCH(D$1, IR!$B$1:$E$1, 0) ), "")
</f>
        <v>-0.0033</v>
      </c>
      <c r="E763" s="12">
        <f t="array" ref="E763">IFERROR(
  INDEX(
    IR!$B$2:$E2026,                
    MATCH($A763, IR!$A$2:$A2026, 0), 
    MATCH(E$1, IR!$B$1:$E$1, 0) ), "")
</f>
        <v>-0.00243</v>
      </c>
      <c r="F763" s="12">
        <f t="array" ref="F763">IFERROR(
  INDEX(
    IR!$B$2:$E2026,                
    MATCH($A763, IR!$A$2:$A2026, 0), 
    MATCH(F$1, IR!$B$1:$E$1, 0) ), "")
</f>
        <v>-0.00111</v>
      </c>
      <c r="G763" s="25"/>
      <c r="H763" s="12">
        <f t="array" ref="H763">IFERROR(
  INDEX(
    SR!$B$2:$D2026,            
    MATCH($A763, SR!$A$2:$A2026, 0),  
    MATCH(H$1, SR!$B$1:$D$1, 0) ), "")
</f>
        <v>-0.0015</v>
      </c>
      <c r="I763" s="12">
        <f t="array" ref="I763">IFERROR(
  INDEX(
    SR!$B$2:$D2026,            
    MATCH($A763, SR!$A$2:$A2026, 0),  
    MATCH(I$1, SR!$B$1:$D$1, 0) ), "")
</f>
        <v>-0.000613</v>
      </c>
      <c r="J763" s="12">
        <f t="array" ref="J763">IFERROR(
  INDEX(
    SR!$B$2:$D2026,            
    MATCH($A763, SR!$A$2:$A2026, 0),  
    MATCH(J$1, SR!$B$1:$D$1, 0) ), "")
</f>
        <v>0.00159</v>
      </c>
      <c r="K763" s="14"/>
      <c r="L763" s="9">
        <v>118.9</v>
      </c>
      <c r="M763" s="9">
        <v>24.49</v>
      </c>
      <c r="N763" s="9">
        <v>115.03</v>
      </c>
      <c r="O763" s="9">
        <v>118.95</v>
      </c>
      <c r="P763" s="9">
        <v>127.33</v>
      </c>
      <c r="Q763" s="9">
        <v>1417.254</v>
      </c>
      <c r="R763" s="14"/>
      <c r="S763" s="12">
        <f t="shared" si="2"/>
        <v>-0.0006921001939</v>
      </c>
      <c r="T763" s="12">
        <f t="shared" si="3"/>
        <v>0.9993078998</v>
      </c>
      <c r="U763" s="16">
        <f t="shared" si="7"/>
        <v>100.9311803</v>
      </c>
      <c r="V763" s="17"/>
      <c r="W763" s="12">
        <f t="array" ref="W763">SQRT(252/20) *  SQRT( SUMSQ( LN(U742:U761 / U741:U760) )  - (1/20) * ( SUM( LN(U742:U761 / U741:U760) ) ^ 2 ) )</f>
        <v>0.01744926133</v>
      </c>
      <c r="X763" s="9">
        <f t="shared" si="4"/>
        <v>1.5</v>
      </c>
      <c r="Y763" s="14"/>
      <c r="Z763" s="12">
        <f t="shared" si="5"/>
        <v>0.9989773914</v>
      </c>
      <c r="AA763" s="16">
        <f t="shared" si="8"/>
        <v>101.6145955</v>
      </c>
      <c r="AB763" s="14"/>
      <c r="AC763" s="9">
        <f t="shared" si="6"/>
        <v>0</v>
      </c>
    </row>
    <row r="764">
      <c r="A764" s="8">
        <v>42829.0</v>
      </c>
      <c r="B764" s="14"/>
      <c r="C764" s="12">
        <f t="array" ref="C764">IFERROR(
  INDEX(
    IR!$B$2:$E2026,                
    MATCH($A764, IR!$A$2:$A2026, 0), 
    MATCH(C$1, IR!$B$1:$E$1, 0) ), "")
</f>
        <v>-0.00372</v>
      </c>
      <c r="D764" s="12">
        <f t="array" ref="D764">IFERROR(
  INDEX(
    IR!$B$2:$E2026,                
    MATCH($A764, IR!$A$2:$A2026, 0), 
    MATCH(D$1, IR!$B$1:$E$1, 0) ), "")
</f>
        <v>-0.0033</v>
      </c>
      <c r="E764" s="12">
        <f t="array" ref="E764">IFERROR(
  INDEX(
    IR!$B$2:$E2026,                
    MATCH($A764, IR!$A$2:$A2026, 0), 
    MATCH(E$1, IR!$B$1:$E$1, 0) ), "")
</f>
        <v>-0.00242</v>
      </c>
      <c r="F764" s="12">
        <f t="array" ref="F764">IFERROR(
  INDEX(
    IR!$B$2:$E2026,                
    MATCH($A764, IR!$A$2:$A2026, 0), 
    MATCH(F$1, IR!$B$1:$E$1, 0) ), "")
</f>
        <v>-0.00111</v>
      </c>
      <c r="G764" s="25"/>
      <c r="H764" s="12">
        <f t="array" ref="H764">IFERROR(
  INDEX(
    SR!$B$2:$D2026,            
    MATCH($A764, SR!$A$2:$A2026, 0),  
    MATCH(H$1, SR!$B$1:$D$1, 0) ), "")
</f>
        <v>-0.00151</v>
      </c>
      <c r="I764" s="12">
        <f t="array" ref="I764">IFERROR(
  INDEX(
    SR!$B$2:$D2026,            
    MATCH($A764, SR!$A$2:$A2026, 0),  
    MATCH(I$1, SR!$B$1:$D$1, 0) ), "")
</f>
        <v>-0.000664</v>
      </c>
      <c r="J764" s="12">
        <f t="array" ref="J764">IFERROR(
  INDEX(
    SR!$B$2:$D2026,            
    MATCH($A764, SR!$A$2:$A2026, 0),  
    MATCH(J$1, SR!$B$1:$D$1, 0) ), "")
</f>
        <v>0.00155</v>
      </c>
      <c r="K764" s="14"/>
      <c r="L764" s="9">
        <v>119.06</v>
      </c>
      <c r="M764" s="9">
        <v>24.48</v>
      </c>
      <c r="N764" s="9">
        <v>115.02</v>
      </c>
      <c r="O764" s="9">
        <v>118.69</v>
      </c>
      <c r="P764" s="9">
        <v>126.35</v>
      </c>
      <c r="Q764" s="9">
        <v>1423.7686</v>
      </c>
      <c r="R764" s="14"/>
      <c r="S764" s="12">
        <f t="shared" si="2"/>
        <v>-0.0007384594152</v>
      </c>
      <c r="T764" s="12">
        <f t="shared" si="3"/>
        <v>0.9992615406</v>
      </c>
      <c r="U764" s="16">
        <f t="shared" si="7"/>
        <v>100.8566467</v>
      </c>
      <c r="V764" s="17"/>
      <c r="W764" s="12">
        <f t="array" ref="W764">SQRT(252/20) *  SQRT( SUMSQ( LN(U743:U762 / U742:U761) )  - (1/20) * ( SUM( LN(U743:U762 / U742:U761) ) ^ 2 ) )</f>
        <v>0.01733288011</v>
      </c>
      <c r="X764" s="9">
        <f t="shared" si="4"/>
        <v>1.5</v>
      </c>
      <c r="Y764" s="14"/>
      <c r="Z764" s="12">
        <f t="shared" si="5"/>
        <v>0.9988974775</v>
      </c>
      <c r="AA764" s="16">
        <f t="shared" si="8"/>
        <v>101.5025631</v>
      </c>
      <c r="AB764" s="14"/>
      <c r="AC764" s="9">
        <f t="shared" si="6"/>
        <v>0</v>
      </c>
    </row>
    <row r="765">
      <c r="A765" s="8">
        <v>42830.0</v>
      </c>
      <c r="B765" s="14"/>
      <c r="C765" s="12">
        <f t="array" ref="C765">IFERROR(
  INDEX(
    IR!$B$2:$E2026,                
    MATCH($A765, IR!$A$2:$A2026, 0), 
    MATCH(C$1, IR!$B$1:$E$1, 0) ), "")
</f>
        <v>-0.00373</v>
      </c>
      <c r="D765" s="12">
        <f t="array" ref="D765">IFERROR(
  INDEX(
    IR!$B$2:$E2026,                
    MATCH($A765, IR!$A$2:$A2026, 0), 
    MATCH(D$1, IR!$B$1:$E$1, 0) ), "")
</f>
        <v>-0.00329</v>
      </c>
      <c r="E765" s="12">
        <f t="array" ref="E765">IFERROR(
  INDEX(
    IR!$B$2:$E2026,                
    MATCH($A765, IR!$A$2:$A2026, 0), 
    MATCH(E$1, IR!$B$1:$E$1, 0) ), "")
</f>
        <v>-0.00241</v>
      </c>
      <c r="F765" s="12">
        <f t="array" ref="F765">IFERROR(
  INDEX(
    IR!$B$2:$E2026,                
    MATCH($A765, IR!$A$2:$A2026, 0), 
    MATCH(F$1, IR!$B$1:$E$1, 0) ), "")
</f>
        <v>-0.00114</v>
      </c>
      <c r="G765" s="25"/>
      <c r="H765" s="12">
        <f t="array" ref="H765">IFERROR(
  INDEX(
    SR!$B$2:$D2026,            
    MATCH($A765, SR!$A$2:$A2026, 0),  
    MATCH(H$1, SR!$B$1:$D$1, 0) ), "")
</f>
        <v>-0.00155</v>
      </c>
      <c r="I765" s="12">
        <f t="array" ref="I765">IFERROR(
  INDEX(
    SR!$B$2:$D2026,            
    MATCH($A765, SR!$A$2:$A2026, 0),  
    MATCH(I$1, SR!$B$1:$D$1, 0) ), "")
</f>
        <v>-0.00064</v>
      </c>
      <c r="J765" s="12">
        <f t="array" ref="J765">IFERROR(
  INDEX(
    SR!$B$2:$D2026,            
    MATCH($A765, SR!$A$2:$A2026, 0),  
    MATCH(J$1, SR!$B$1:$D$1, 0) ), "")
</f>
        <v>0.00151</v>
      </c>
      <c r="K765" s="14"/>
      <c r="L765" s="9">
        <v>119.17</v>
      </c>
      <c r="M765" s="9">
        <v>24.48</v>
      </c>
      <c r="N765" s="9">
        <v>115.06</v>
      </c>
      <c r="O765" s="9">
        <v>118.68</v>
      </c>
      <c r="P765" s="9">
        <v>126.29</v>
      </c>
      <c r="Q765" s="9">
        <v>1425.6205</v>
      </c>
      <c r="R765" s="14"/>
      <c r="S765" s="12">
        <f t="shared" si="2"/>
        <v>0.0003355371824</v>
      </c>
      <c r="T765" s="12">
        <f t="shared" si="3"/>
        <v>1.000335537</v>
      </c>
      <c r="U765" s="16">
        <f t="shared" si="7"/>
        <v>100.8904879</v>
      </c>
      <c r="V765" s="17"/>
      <c r="W765" s="12">
        <f t="array" ref="W765">SQRT(252/20) *  SQRT( SUMSQ( LN(U744:U763 / U743:U762) )  - (1/20) * ( SUM( LN(U744:U763 / U743:U762) ) ^ 2 ) )</f>
        <v>0.01728864449</v>
      </c>
      <c r="X765" s="9">
        <f t="shared" si="4"/>
        <v>1.5</v>
      </c>
      <c r="Y765" s="14"/>
      <c r="Z765" s="12">
        <f t="shared" si="5"/>
        <v>1.000508472</v>
      </c>
      <c r="AA765" s="16">
        <f t="shared" si="8"/>
        <v>101.5541744</v>
      </c>
      <c r="AB765" s="14"/>
      <c r="AC765" s="9">
        <f t="shared" si="6"/>
        <v>0</v>
      </c>
    </row>
    <row r="766">
      <c r="A766" s="8">
        <v>42831.0</v>
      </c>
      <c r="B766" s="14"/>
      <c r="C766" s="12">
        <f t="array" ref="C766">IFERROR(
  INDEX(
    IR!$B$2:$E2026,                
    MATCH($A766, IR!$A$2:$A2026, 0), 
    MATCH(C$1, IR!$B$1:$E$1, 0) ), "")
</f>
        <v>-0.00372</v>
      </c>
      <c r="D766" s="12">
        <f t="array" ref="D766">IFERROR(
  INDEX(
    IR!$B$2:$E2026,                
    MATCH($A766, IR!$A$2:$A2026, 0), 
    MATCH(D$1, IR!$B$1:$E$1, 0) ), "")
</f>
        <v>-0.0033</v>
      </c>
      <c r="E766" s="12">
        <f t="array" ref="E766">IFERROR(
  INDEX(
    IR!$B$2:$E2026,                
    MATCH($A766, IR!$A$2:$A2026, 0), 
    MATCH(E$1, IR!$B$1:$E$1, 0) ), "")
</f>
        <v>-0.00242</v>
      </c>
      <c r="F766" s="12">
        <f t="array" ref="F766">IFERROR(
  INDEX(
    IR!$B$2:$E2026,                
    MATCH($A766, IR!$A$2:$A2026, 0), 
    MATCH(F$1, IR!$B$1:$E$1, 0) ), "")
</f>
        <v>-0.00115</v>
      </c>
      <c r="G766" s="25"/>
      <c r="H766" s="12">
        <f t="array" ref="H766">IFERROR(
  INDEX(
    SR!$B$2:$D2026,            
    MATCH($A766, SR!$A$2:$A2026, 0),  
    MATCH(H$1, SR!$B$1:$D$1, 0) ), "")
</f>
        <v>-0.00149</v>
      </c>
      <c r="I766" s="12">
        <f t="array" ref="I766">IFERROR(
  INDEX(
    SR!$B$2:$D2026,            
    MATCH($A766, SR!$A$2:$A2026, 0),  
    MATCH(I$1, SR!$B$1:$D$1, 0) ), "")
</f>
        <v>-0.00057</v>
      </c>
      <c r="J766" s="12">
        <f t="array" ref="J766">IFERROR(
  INDEX(
    SR!$B$2:$D2026,            
    MATCH($A766, SR!$A$2:$A2026, 0),  
    MATCH(J$1, SR!$B$1:$D$1, 0) ), "")
</f>
        <v>0.00156</v>
      </c>
      <c r="K766" s="14"/>
      <c r="L766" s="9">
        <v>119.38</v>
      </c>
      <c r="M766" s="9">
        <v>24.48</v>
      </c>
      <c r="N766" s="9">
        <v>115.07</v>
      </c>
      <c r="O766" s="9">
        <v>118.55</v>
      </c>
      <c r="P766" s="9">
        <v>126.18</v>
      </c>
      <c r="Q766" s="9">
        <v>1415.5798</v>
      </c>
      <c r="R766" s="14"/>
      <c r="S766" s="12">
        <f t="shared" si="2"/>
        <v>-0.0011936157</v>
      </c>
      <c r="T766" s="12">
        <f t="shared" si="3"/>
        <v>0.9988063843</v>
      </c>
      <c r="U766" s="16">
        <f t="shared" si="7"/>
        <v>100.7700634</v>
      </c>
      <c r="V766" s="17"/>
      <c r="W766" s="12">
        <f t="array" ref="W766">SQRT(252/20) *  SQRT( SUMSQ( LN(U745:U764 / U744:U763) )  - (1/20) * ( SUM( LN(U745:U764 / U744:U763) ) ^ 2 ) )</f>
        <v>0.01708183515</v>
      </c>
      <c r="X766" s="9">
        <f t="shared" si="4"/>
        <v>1.5</v>
      </c>
      <c r="Y766" s="14"/>
      <c r="Z766" s="12">
        <f t="shared" si="5"/>
        <v>0.998214757</v>
      </c>
      <c r="AA766" s="16">
        <f t="shared" si="8"/>
        <v>101.3728755</v>
      </c>
      <c r="AB766" s="14"/>
      <c r="AC766" s="9">
        <f t="shared" si="6"/>
        <v>0</v>
      </c>
    </row>
    <row r="767">
      <c r="A767" s="8">
        <v>42832.0</v>
      </c>
      <c r="B767" s="14"/>
      <c r="C767" s="12">
        <f t="array" ref="C767">IFERROR(
  INDEX(
    IR!$B$2:$E2026,                
    MATCH($A767, IR!$A$2:$A2026, 0), 
    MATCH(C$1, IR!$B$1:$E$1, 0) ), "")
</f>
        <v>-0.00373</v>
      </c>
      <c r="D767" s="12">
        <f t="array" ref="D767">IFERROR(
  INDEX(
    IR!$B$2:$E2026,                
    MATCH($A767, IR!$A$2:$A2026, 0), 
    MATCH(D$1, IR!$B$1:$E$1, 0) ), "")
</f>
        <v>-0.0033</v>
      </c>
      <c r="E767" s="12">
        <f t="array" ref="E767">IFERROR(
  INDEX(
    IR!$B$2:$E2026,                
    MATCH($A767, IR!$A$2:$A2026, 0), 
    MATCH(E$1, IR!$B$1:$E$1, 0) ), "")
</f>
        <v>-0.00241</v>
      </c>
      <c r="F767" s="12">
        <f t="array" ref="F767">IFERROR(
  INDEX(
    IR!$B$2:$E2026,                
    MATCH($A767, IR!$A$2:$A2026, 0), 
    MATCH(F$1, IR!$B$1:$E$1, 0) ), "")
</f>
        <v>-0.00116</v>
      </c>
      <c r="G767" s="25"/>
      <c r="H767" s="12">
        <f t="array" ref="H767">IFERROR(
  INDEX(
    SR!$B$2:$D2026,            
    MATCH($A767, SR!$A$2:$A2026, 0),  
    MATCH(H$1, SR!$B$1:$D$1, 0) ), "")
</f>
        <v>-0.00153</v>
      </c>
      <c r="I767" s="12">
        <f t="array" ref="I767">IFERROR(
  INDEX(
    SR!$B$2:$D2026,            
    MATCH($A767, SR!$A$2:$A2026, 0),  
    MATCH(I$1, SR!$B$1:$D$1, 0) ), "")
</f>
        <v>-0.00067</v>
      </c>
      <c r="J767" s="12">
        <f t="array" ref="J767">IFERROR(
  INDEX(
    SR!$B$2:$D2026,            
    MATCH($A767, SR!$A$2:$A2026, 0),  
    MATCH(J$1, SR!$B$1:$D$1, 0) ), "")
</f>
        <v>0.00149</v>
      </c>
      <c r="K767" s="14"/>
      <c r="L767" s="9">
        <v>119.52</v>
      </c>
      <c r="M767" s="9">
        <v>24.49</v>
      </c>
      <c r="N767" s="9">
        <v>115.07</v>
      </c>
      <c r="O767" s="9">
        <v>118.75</v>
      </c>
      <c r="P767" s="9">
        <v>126.12</v>
      </c>
      <c r="Q767" s="9">
        <v>1425.2085</v>
      </c>
      <c r="R767" s="14"/>
      <c r="S767" s="12">
        <f t="shared" si="2"/>
        <v>0.001599159056</v>
      </c>
      <c r="T767" s="12">
        <f t="shared" si="3"/>
        <v>1.001599159</v>
      </c>
      <c r="U767" s="16">
        <f t="shared" si="7"/>
        <v>100.9312108</v>
      </c>
      <c r="V767" s="17"/>
      <c r="W767" s="12">
        <f t="array" ref="W767">SQRT(252/20) *  SQRT( SUMSQ( LN(U746:U765 / U745:U764) )  - (1/20) * ( SUM( LN(U746:U765 / U745:U764) ) ^ 2 ) )</f>
        <v>0.01657505866</v>
      </c>
      <c r="X767" s="9">
        <f t="shared" si="4"/>
        <v>1.5</v>
      </c>
      <c r="Y767" s="14"/>
      <c r="Z767" s="12">
        <f t="shared" si="5"/>
        <v>1.002403905</v>
      </c>
      <c r="AA767" s="16">
        <f t="shared" si="8"/>
        <v>101.6165663</v>
      </c>
      <c r="AB767" s="14"/>
      <c r="AC767" s="9">
        <f t="shared" si="6"/>
        <v>0</v>
      </c>
    </row>
    <row r="768">
      <c r="A768" s="8">
        <v>42835.0</v>
      </c>
      <c r="B768" s="14"/>
      <c r="C768" s="12">
        <f t="array" ref="C768">IFERROR(
  INDEX(
    IR!$B$2:$E2026,                
    MATCH($A768, IR!$A$2:$A2026, 0), 
    MATCH(C$1, IR!$B$1:$E$1, 0) ), "")
</f>
        <v>-0.00374</v>
      </c>
      <c r="D768" s="12">
        <f t="array" ref="D768">IFERROR(
  INDEX(
    IR!$B$2:$E2026,                
    MATCH($A768, IR!$A$2:$A2026, 0), 
    MATCH(D$1, IR!$B$1:$E$1, 0) ), "")
</f>
        <v>-0.00332</v>
      </c>
      <c r="E768" s="12">
        <f t="array" ref="E768">IFERROR(
  INDEX(
    IR!$B$2:$E2026,                
    MATCH($A768, IR!$A$2:$A2026, 0), 
    MATCH(E$1, IR!$B$1:$E$1, 0) ), "")
</f>
        <v>-0.00241</v>
      </c>
      <c r="F768" s="12">
        <f t="array" ref="F768">IFERROR(
  INDEX(
    IR!$B$2:$E2026,                
    MATCH($A768, IR!$A$2:$A2026, 0), 
    MATCH(F$1, IR!$B$1:$E$1, 0) ), "")
</f>
        <v>-0.00118</v>
      </c>
      <c r="G768" s="25"/>
      <c r="H768" s="12">
        <f t="array" ref="H768">IFERROR(
  INDEX(
    SR!$B$2:$D2026,            
    MATCH($A768, SR!$A$2:$A2026, 0),  
    MATCH(H$1, SR!$B$1:$D$1, 0) ), "")
</f>
        <v>-0.00161</v>
      </c>
      <c r="I768" s="12">
        <f t="array" ref="I768">IFERROR(
  INDEX(
    SR!$B$2:$D2026,            
    MATCH($A768, SR!$A$2:$A2026, 0),  
    MATCH(I$1, SR!$B$1:$D$1, 0) ), "")
</f>
        <v>-0.00076</v>
      </c>
      <c r="J768" s="12">
        <f t="array" ref="J768">IFERROR(
  INDEX(
    SR!$B$2:$D2026,            
    MATCH($A768, SR!$A$2:$A2026, 0),  
    MATCH(J$1, SR!$B$1:$D$1, 0) ), "")
</f>
        <v>0.0013</v>
      </c>
      <c r="K768" s="14"/>
      <c r="L768" s="9">
        <v>119.46</v>
      </c>
      <c r="M768" s="9">
        <v>24.49</v>
      </c>
      <c r="N768" s="9">
        <v>115.08</v>
      </c>
      <c r="O768" s="9">
        <v>118.71</v>
      </c>
      <c r="P768" s="9">
        <v>126.33</v>
      </c>
      <c r="Q768" s="9">
        <v>1424.9291</v>
      </c>
      <c r="R768" s="14"/>
      <c r="S768" s="12">
        <f t="shared" si="2"/>
        <v>0.0001194480681</v>
      </c>
      <c r="T768" s="12">
        <f t="shared" si="3"/>
        <v>1.000119448</v>
      </c>
      <c r="U768" s="16">
        <f t="shared" si="7"/>
        <v>100.9432668</v>
      </c>
      <c r="V768" s="17"/>
      <c r="W768" s="12">
        <f t="array" ref="W768">SQRT(252/20) *  SQRT( SUMSQ( LN(U747:U766 / U746:U765) )  - (1/20) * ( SUM( LN(U747:U766 / U746:U765) ) ^ 2 ) )</f>
        <v>0.01719309496</v>
      </c>
      <c r="X768" s="9">
        <f t="shared" si="4"/>
        <v>1.5</v>
      </c>
      <c r="Y768" s="14"/>
      <c r="Z768" s="12">
        <f t="shared" si="5"/>
        <v>1.000194714</v>
      </c>
      <c r="AA768" s="16">
        <f t="shared" si="8"/>
        <v>101.6363525</v>
      </c>
      <c r="AB768" s="14"/>
      <c r="AC768" s="9">
        <f t="shared" si="6"/>
        <v>0</v>
      </c>
    </row>
    <row r="769">
      <c r="A769" s="8">
        <v>42836.0</v>
      </c>
      <c r="B769" s="14"/>
      <c r="C769" s="12">
        <f t="array" ref="C769">IFERROR(
  INDEX(
    IR!$B$2:$E2026,                
    MATCH($A769, IR!$A$2:$A2026, 0), 
    MATCH(C$1, IR!$B$1:$E$1, 0) ), "")
</f>
        <v>-0.00375</v>
      </c>
      <c r="D769" s="12">
        <f t="array" ref="D769">IFERROR(
  INDEX(
    IR!$B$2:$E2026,                
    MATCH($A769, IR!$A$2:$A2026, 0), 
    MATCH(D$1, IR!$B$1:$E$1, 0) ), "")
</f>
        <v>-0.00332</v>
      </c>
      <c r="E769" s="12">
        <f t="array" ref="E769">IFERROR(
  INDEX(
    IR!$B$2:$E2026,                
    MATCH($A769, IR!$A$2:$A2026, 0), 
    MATCH(E$1, IR!$B$1:$E$1, 0) ), "")
</f>
        <v>-0.00242</v>
      </c>
      <c r="F769" s="12">
        <f t="array" ref="F769">IFERROR(
  INDEX(
    IR!$B$2:$E2026,                
    MATCH($A769, IR!$A$2:$A2026, 0), 
    MATCH(F$1, IR!$B$1:$E$1, 0) ), "")
</f>
        <v>-0.00119</v>
      </c>
      <c r="G769" s="25"/>
      <c r="H769" s="12">
        <f t="array" ref="H769">IFERROR(
  INDEX(
    SR!$B$2:$D2026,            
    MATCH($A769, SR!$A$2:$A2026, 0),  
    MATCH(H$1, SR!$B$1:$D$1, 0) ), "")
</f>
        <v>-0.00162</v>
      </c>
      <c r="I769" s="12">
        <f t="array" ref="I769">IFERROR(
  INDEX(
    SR!$B$2:$D2026,            
    MATCH($A769, SR!$A$2:$A2026, 0),  
    MATCH(I$1, SR!$B$1:$D$1, 0) ), "")
</f>
        <v>-0.00082</v>
      </c>
      <c r="J769" s="12">
        <f t="array" ref="J769">IFERROR(
  INDEX(
    SR!$B$2:$D2026,            
    MATCH($A769, SR!$A$2:$A2026, 0),  
    MATCH(J$1, SR!$B$1:$D$1, 0) ), "")
</f>
        <v>0.00135</v>
      </c>
      <c r="K769" s="14"/>
      <c r="L769" s="9">
        <v>119.46</v>
      </c>
      <c r="M769" s="9">
        <v>24.49</v>
      </c>
      <c r="N769" s="9">
        <v>115.08</v>
      </c>
      <c r="O769" s="9">
        <v>118.59</v>
      </c>
      <c r="P769" s="9">
        <v>126.29</v>
      </c>
      <c r="Q769" s="9">
        <v>1425.609</v>
      </c>
      <c r="R769" s="14"/>
      <c r="S769" s="12">
        <f t="shared" si="2"/>
        <v>-0.0001416208147</v>
      </c>
      <c r="T769" s="12">
        <f t="shared" si="3"/>
        <v>0.9998583792</v>
      </c>
      <c r="U769" s="16">
        <f t="shared" si="7"/>
        <v>100.9289711</v>
      </c>
      <c r="V769" s="17"/>
      <c r="W769" s="12">
        <f t="array" ref="W769">SQRT(252/20) *  SQRT( SUMSQ( LN(U748:U767 / U747:U766) )  - (1/20) * ( SUM( LN(U748:U767 / U747:U766) ) ^ 2 ) )</f>
        <v>0.01759111423</v>
      </c>
      <c r="X769" s="9">
        <f t="shared" si="4"/>
        <v>1.5</v>
      </c>
      <c r="Y769" s="14"/>
      <c r="Z769" s="12">
        <f t="shared" si="5"/>
        <v>0.9997927632</v>
      </c>
      <c r="AA769" s="16">
        <f t="shared" si="8"/>
        <v>101.6152897</v>
      </c>
      <c r="AB769" s="14"/>
      <c r="AC769" s="9">
        <f t="shared" si="6"/>
        <v>0</v>
      </c>
    </row>
    <row r="770">
      <c r="A770" s="8">
        <v>42837.0</v>
      </c>
      <c r="B770" s="14"/>
      <c r="C770" s="12">
        <f t="array" ref="C770">IFERROR(
  INDEX(
    IR!$B$2:$E2026,                
    MATCH($A770, IR!$A$2:$A2026, 0), 
    MATCH(C$1, IR!$B$1:$E$1, 0) ), "")
</f>
        <v>-0.00374</v>
      </c>
      <c r="D770" s="12">
        <f t="array" ref="D770">IFERROR(
  INDEX(
    IR!$B$2:$E2026,                
    MATCH($A770, IR!$A$2:$A2026, 0), 
    MATCH(D$1, IR!$B$1:$E$1, 0) ), "")
</f>
        <v>-0.00332</v>
      </c>
      <c r="E770" s="12">
        <f t="array" ref="E770">IFERROR(
  INDEX(
    IR!$B$2:$E2026,                
    MATCH($A770, IR!$A$2:$A2026, 0), 
    MATCH(E$1, IR!$B$1:$E$1, 0) ), "")
</f>
        <v>-0.00242</v>
      </c>
      <c r="F770" s="12">
        <f t="array" ref="F770">IFERROR(
  INDEX(
    IR!$B$2:$E2026,                
    MATCH($A770, IR!$A$2:$A2026, 0), 
    MATCH(F$1, IR!$B$1:$E$1, 0) ), "")
</f>
        <v>-0.0012</v>
      </c>
      <c r="G770" s="25"/>
      <c r="H770" s="12">
        <f t="array" ref="H770">IFERROR(
  INDEX(
    SR!$B$2:$D2026,            
    MATCH($A770, SR!$A$2:$A2026, 0),  
    MATCH(H$1, SR!$B$1:$D$1, 0) ), "")
</f>
        <v>-0.00154</v>
      </c>
      <c r="I770" s="12">
        <f t="array" ref="I770">IFERROR(
  INDEX(
    SR!$B$2:$D2026,            
    MATCH($A770, SR!$A$2:$A2026, 0),  
    MATCH(I$1, SR!$B$1:$D$1, 0) ), "")
</f>
        <v>-0.000766</v>
      </c>
      <c r="J770" s="12">
        <f t="array" ref="J770">IFERROR(
  INDEX(
    SR!$B$2:$D2026,            
    MATCH($A770, SR!$A$2:$A2026, 0),  
    MATCH(J$1, SR!$B$1:$D$1, 0) ), "")
</f>
        <v>0.00134</v>
      </c>
      <c r="K770" s="14"/>
      <c r="L770" s="9">
        <v>119.52</v>
      </c>
      <c r="M770" s="9">
        <v>24.49</v>
      </c>
      <c r="N770" s="9">
        <v>115.06</v>
      </c>
      <c r="O770" s="9">
        <v>118.22</v>
      </c>
      <c r="P770" s="9">
        <v>126.14</v>
      </c>
      <c r="Q770" s="9">
        <v>1422.0959</v>
      </c>
      <c r="R770" s="14"/>
      <c r="S770" s="12">
        <f t="shared" si="2"/>
        <v>-0.001073741509</v>
      </c>
      <c r="T770" s="12">
        <f t="shared" si="3"/>
        <v>0.9989262585</v>
      </c>
      <c r="U770" s="16">
        <f t="shared" si="7"/>
        <v>100.8205995</v>
      </c>
      <c r="V770" s="17"/>
      <c r="W770" s="12">
        <f t="array" ref="W770">SQRT(252/20) *  SQRT( SUMSQ( LN(U749:U768 / U748:U767) )  - (1/20) * ( SUM( LN(U749:U768 / U748:U767) ) ^ 2 ) )</f>
        <v>0.01746104224</v>
      </c>
      <c r="X770" s="9">
        <f t="shared" si="4"/>
        <v>1.5</v>
      </c>
      <c r="Y770" s="14"/>
      <c r="Z770" s="12">
        <f t="shared" si="5"/>
        <v>0.9983945961</v>
      </c>
      <c r="AA770" s="16">
        <f t="shared" si="8"/>
        <v>101.4521561</v>
      </c>
      <c r="AB770" s="14"/>
      <c r="AC770" s="9">
        <f t="shared" si="6"/>
        <v>0</v>
      </c>
    </row>
    <row r="771">
      <c r="A771" s="8">
        <v>42838.0</v>
      </c>
      <c r="B771" s="14"/>
      <c r="C771" s="12">
        <f t="array" ref="C771">IFERROR(
  INDEX(
    IR!$B$2:$E2026,                
    MATCH($A771, IR!$A$2:$A2026, 0), 
    MATCH(C$1, IR!$B$1:$E$1, 0) ), "")
</f>
        <v>-0.00372</v>
      </c>
      <c r="D771" s="12">
        <f t="array" ref="D771">IFERROR(
  INDEX(
    IR!$B$2:$E2026,                
    MATCH($A771, IR!$A$2:$A2026, 0), 
    MATCH(D$1, IR!$B$1:$E$1, 0) ), "")
</f>
        <v>-0.00331</v>
      </c>
      <c r="E771" s="12">
        <f t="array" ref="E771">IFERROR(
  INDEX(
    IR!$B$2:$E2026,                
    MATCH($A771, IR!$A$2:$A2026, 0), 
    MATCH(E$1, IR!$B$1:$E$1, 0) ), "")
</f>
        <v>-0.00246</v>
      </c>
      <c r="F771" s="12">
        <f t="array" ref="F771">IFERROR(
  INDEX(
    IR!$B$2:$E2026,                
    MATCH($A771, IR!$A$2:$A2026, 0), 
    MATCH(F$1, IR!$B$1:$E$1, 0) ), "")
</f>
        <v>-0.0012</v>
      </c>
      <c r="G771" s="25"/>
      <c r="H771" s="12">
        <f t="array" ref="H771">IFERROR(
  INDEX(
    SR!$B$2:$D2026,            
    MATCH($A771, SR!$A$2:$A2026, 0),  
    MATCH(H$1, SR!$B$1:$D$1, 0) ), "")
</f>
        <v>-0.00159</v>
      </c>
      <c r="I771" s="12">
        <f t="array" ref="I771">IFERROR(
  INDEX(
    SR!$B$2:$D2026,            
    MATCH($A771, SR!$A$2:$A2026, 0),  
    MATCH(I$1, SR!$B$1:$D$1, 0) ), "")
</f>
        <v>-0.00084</v>
      </c>
      <c r="J771" s="12">
        <f t="array" ref="J771">IFERROR(
  INDEX(
    SR!$B$2:$D2026,            
    MATCH($A771, SR!$A$2:$A2026, 0),  
    MATCH(J$1, SR!$B$1:$D$1, 0) ), "")
</f>
        <v>0.00116</v>
      </c>
      <c r="K771" s="14"/>
      <c r="L771" s="9">
        <v>119.42</v>
      </c>
      <c r="M771" s="9">
        <v>24.49</v>
      </c>
      <c r="N771" s="9">
        <v>115.06</v>
      </c>
      <c r="O771" s="9">
        <v>118.26</v>
      </c>
      <c r="P771" s="9">
        <v>126.38</v>
      </c>
      <c r="Q771" s="9">
        <v>1419.0407</v>
      </c>
      <c r="R771" s="14"/>
      <c r="S771" s="12">
        <f t="shared" si="2"/>
        <v>-0.0001241749501</v>
      </c>
      <c r="T771" s="12">
        <f t="shared" si="3"/>
        <v>0.999875825</v>
      </c>
      <c r="U771" s="16">
        <f t="shared" si="7"/>
        <v>100.8080801</v>
      </c>
      <c r="V771" s="17"/>
      <c r="W771" s="12">
        <f t="array" ref="W771">SQRT(252/20) *  SQRT( SUMSQ( LN(U750:U769 / U749:U768) )  - (1/20) * ( SUM( LN(U750:U769 / U749:U768) ) ^ 2 ) )</f>
        <v>0.01751196536</v>
      </c>
      <c r="X771" s="9">
        <f t="shared" si="4"/>
        <v>1.5</v>
      </c>
      <c r="Y771" s="14"/>
      <c r="Z771" s="12">
        <f t="shared" si="5"/>
        <v>0.999818932</v>
      </c>
      <c r="AA771" s="16">
        <f t="shared" si="8"/>
        <v>101.4337863</v>
      </c>
      <c r="AB771" s="14"/>
      <c r="AC771" s="9">
        <f t="shared" si="6"/>
        <v>0</v>
      </c>
    </row>
    <row r="772">
      <c r="A772" s="8">
        <v>42843.0</v>
      </c>
      <c r="B772" s="14"/>
      <c r="C772" s="12">
        <f t="array" ref="C772">IFERROR(
  INDEX(
    IR!$B$2:$E2026,                
    MATCH($A772, IR!$A$2:$A2026, 0), 
    MATCH(C$1, IR!$B$1:$E$1, 0) ), "")
</f>
        <v>-0.00371</v>
      </c>
      <c r="D772" s="12">
        <f t="array" ref="D772">IFERROR(
  INDEX(
    IR!$B$2:$E2026,                
    MATCH($A772, IR!$A$2:$A2026, 0), 
    MATCH(D$1, IR!$B$1:$E$1, 0) ), "")
</f>
        <v>-0.00331</v>
      </c>
      <c r="E772" s="12">
        <f t="array" ref="E772">IFERROR(
  INDEX(
    IR!$B$2:$E2026,                
    MATCH($A772, IR!$A$2:$A2026, 0), 
    MATCH(E$1, IR!$B$1:$E$1, 0) ), "")
</f>
        <v>-0.0025</v>
      </c>
      <c r="F772" s="12">
        <f t="array" ref="F772">IFERROR(
  INDEX(
    IR!$B$2:$E2026,                
    MATCH($A772, IR!$A$2:$A2026, 0), 
    MATCH(F$1, IR!$B$1:$E$1, 0) ), "")
</f>
        <v>-0.00122</v>
      </c>
      <c r="G772" s="25"/>
      <c r="H772" s="12">
        <f t="array" ref="H772">IFERROR(
  INDEX(
    SR!$B$2:$D2026,            
    MATCH($A772, SR!$A$2:$A2026, 0),  
    MATCH(H$1, SR!$B$1:$D$1, 0) ), "")
</f>
        <v>-0.00161</v>
      </c>
      <c r="I772" s="12">
        <f t="array" ref="I772">IFERROR(
  INDEX(
    SR!$B$2:$D2026,            
    MATCH($A772, SR!$A$2:$A2026, 0),  
    MATCH(I$1, SR!$B$1:$D$1, 0) ), "")
</f>
        <v>-0.00089</v>
      </c>
      <c r="J772" s="12">
        <f t="array" ref="J772">IFERROR(
  INDEX(
    SR!$B$2:$D2026,            
    MATCH($A772, SR!$A$2:$A2026, 0),  
    MATCH(J$1, SR!$B$1:$D$1, 0) ), "")
</f>
        <v>0.00107</v>
      </c>
      <c r="K772" s="14"/>
      <c r="L772" s="9">
        <v>119.03</v>
      </c>
      <c r="M772" s="9">
        <v>24.49</v>
      </c>
      <c r="N772" s="9">
        <v>115.1</v>
      </c>
      <c r="O772" s="9">
        <v>117.88</v>
      </c>
      <c r="P772" s="9">
        <v>126.25</v>
      </c>
      <c r="Q772" s="9">
        <v>1415.9251</v>
      </c>
      <c r="R772" s="14"/>
      <c r="S772" s="12">
        <f t="shared" si="2"/>
        <v>-0.001558864244</v>
      </c>
      <c r="T772" s="12">
        <f t="shared" si="3"/>
        <v>0.9984411358</v>
      </c>
      <c r="U772" s="16">
        <f t="shared" si="7"/>
        <v>100.650934</v>
      </c>
      <c r="V772" s="17"/>
      <c r="W772" s="12">
        <f t="array" ref="W772">SQRT(252/20) *  SQRT( SUMSQ( LN(U751:U770 / U750:U769) )  - (1/20) * ( SUM( LN(U751:U770 / U750:U769) ) ^ 2 ) )</f>
        <v>0.01778391283</v>
      </c>
      <c r="X772" s="9">
        <f t="shared" si="4"/>
        <v>1.5</v>
      </c>
      <c r="Y772" s="14"/>
      <c r="Z772" s="12">
        <f t="shared" si="5"/>
        <v>0.997687537</v>
      </c>
      <c r="AA772" s="16">
        <f t="shared" si="8"/>
        <v>101.1992245</v>
      </c>
      <c r="AB772" s="14"/>
      <c r="AC772" s="9">
        <f t="shared" si="6"/>
        <v>0</v>
      </c>
    </row>
    <row r="773">
      <c r="A773" s="8">
        <v>42844.0</v>
      </c>
      <c r="B773" s="14"/>
      <c r="C773" s="12">
        <f t="array" ref="C773">IFERROR(
  INDEX(
    IR!$B$2:$E2026,                
    MATCH($A773, IR!$A$2:$A2026, 0), 
    MATCH(C$1, IR!$B$1:$E$1, 0) ), "")
</f>
        <v>-0.00371</v>
      </c>
      <c r="D773" s="12">
        <f t="array" ref="D773">IFERROR(
  INDEX(
    IR!$B$2:$E2026,                
    MATCH($A773, IR!$A$2:$A2026, 0), 
    MATCH(D$1, IR!$B$1:$E$1, 0) ), "")
</f>
        <v>-0.00332</v>
      </c>
      <c r="E773" s="12">
        <f t="array" ref="E773">IFERROR(
  INDEX(
    IR!$B$2:$E2026,                
    MATCH($A773, IR!$A$2:$A2026, 0), 
    MATCH(E$1, IR!$B$1:$E$1, 0) ), "")
</f>
        <v>-0.00251</v>
      </c>
      <c r="F773" s="12">
        <f t="array" ref="F773">IFERROR(
  INDEX(
    IR!$B$2:$E2026,                
    MATCH($A773, IR!$A$2:$A2026, 0), 
    MATCH(F$1, IR!$B$1:$E$1, 0) ), "")
</f>
        <v>-0.00123</v>
      </c>
      <c r="G773" s="25"/>
      <c r="H773" s="12">
        <f t="array" ref="H773">IFERROR(
  INDEX(
    SR!$B$2:$D2026,            
    MATCH($A773, SR!$A$2:$A2026, 0),  
    MATCH(H$1, SR!$B$1:$D$1, 0) ), "")
</f>
        <v>-0.0016</v>
      </c>
      <c r="I773" s="12">
        <f t="array" ref="I773">IFERROR(
  INDEX(
    SR!$B$2:$D2026,            
    MATCH($A773, SR!$A$2:$A2026, 0),  
    MATCH(I$1, SR!$B$1:$D$1, 0) ), "")
</f>
        <v>-0.00081</v>
      </c>
      <c r="J773" s="12">
        <f t="array" ref="J773">IFERROR(
  INDEX(
    SR!$B$2:$D2026,            
    MATCH($A773, SR!$A$2:$A2026, 0),  
    MATCH(J$1, SR!$B$1:$D$1, 0) ), "")
</f>
        <v>0.00124</v>
      </c>
      <c r="K773" s="14"/>
      <c r="L773" s="9">
        <v>119.06</v>
      </c>
      <c r="M773" s="9">
        <v>24.48</v>
      </c>
      <c r="N773" s="9">
        <v>115.09</v>
      </c>
      <c r="O773" s="9">
        <v>117.57</v>
      </c>
      <c r="P773" s="9">
        <v>125.88</v>
      </c>
      <c r="Q773" s="9">
        <v>1414.2618</v>
      </c>
      <c r="R773" s="14"/>
      <c r="S773" s="12">
        <f t="shared" si="2"/>
        <v>-0.001162713698</v>
      </c>
      <c r="T773" s="12">
        <f t="shared" si="3"/>
        <v>0.9988372863</v>
      </c>
      <c r="U773" s="16">
        <f t="shared" si="7"/>
        <v>100.5339058</v>
      </c>
      <c r="V773" s="17"/>
      <c r="W773" s="12">
        <f t="array" ref="W773">SQRT(252/20) *  SQRT( SUMSQ( LN(U752:U771 / U751:U770) )  - (1/20) * ( SUM( LN(U752:U771 / U751:U770) ) ^ 2 ) )</f>
        <v>0.01726169698</v>
      </c>
      <c r="X773" s="9">
        <f t="shared" si="4"/>
        <v>1.5</v>
      </c>
      <c r="Y773" s="14"/>
      <c r="Z773" s="12">
        <f t="shared" si="5"/>
        <v>0.9982610822</v>
      </c>
      <c r="AA773" s="16">
        <f t="shared" si="8"/>
        <v>101.0232473</v>
      </c>
      <c r="AB773" s="14"/>
      <c r="AC773" s="9">
        <f t="shared" si="6"/>
        <v>0</v>
      </c>
    </row>
    <row r="774">
      <c r="A774" s="8">
        <v>42845.0</v>
      </c>
      <c r="B774" s="14"/>
      <c r="C774" s="12">
        <f t="array" ref="C774">IFERROR(
  INDEX(
    IR!$B$2:$E2026,                
    MATCH($A774, IR!$A$2:$A2026, 0), 
    MATCH(C$1, IR!$B$1:$E$1, 0) ), "")
</f>
        <v>-0.00372</v>
      </c>
      <c r="D774" s="12">
        <f t="array" ref="D774">IFERROR(
  INDEX(
    IR!$B$2:$E2026,                
    MATCH($A774, IR!$A$2:$A2026, 0), 
    MATCH(D$1, IR!$B$1:$E$1, 0) ), "")
</f>
        <v>-0.00332</v>
      </c>
      <c r="E774" s="12">
        <f t="array" ref="E774">IFERROR(
  INDEX(
    IR!$B$2:$E2026,                
    MATCH($A774, IR!$A$2:$A2026, 0), 
    MATCH(E$1, IR!$B$1:$E$1, 0) ), "")
</f>
        <v>-0.00249</v>
      </c>
      <c r="F774" s="12">
        <f t="array" ref="F774">IFERROR(
  INDEX(
    IR!$B$2:$E2026,                
    MATCH($A774, IR!$A$2:$A2026, 0), 
    MATCH(F$1, IR!$B$1:$E$1, 0) ), "")
</f>
        <v>-0.00124</v>
      </c>
      <c r="G774" s="25"/>
      <c r="H774" s="12">
        <f t="array" ref="H774">IFERROR(
  INDEX(
    SR!$B$2:$D2026,            
    MATCH($A774, SR!$A$2:$A2026, 0),  
    MATCH(H$1, SR!$B$1:$D$1, 0) ), "")
</f>
        <v>-0.00146</v>
      </c>
      <c r="I774" s="12">
        <f t="array" ref="I774">IFERROR(
  INDEX(
    SR!$B$2:$D2026,            
    MATCH($A774, SR!$A$2:$A2026, 0),  
    MATCH(I$1, SR!$B$1:$D$1, 0) ), "")
</f>
        <v>-0.00065</v>
      </c>
      <c r="J774" s="12">
        <f t="array" ref="J774">IFERROR(
  INDEX(
    SR!$B$2:$D2026,            
    MATCH($A774, SR!$A$2:$A2026, 0),  
    MATCH(J$1, SR!$B$1:$D$1, 0) ), "")
</f>
        <v>0.00154</v>
      </c>
      <c r="K774" s="14"/>
      <c r="L774" s="9">
        <v>119.25</v>
      </c>
      <c r="M774" s="9">
        <v>24.47</v>
      </c>
      <c r="N774" s="9">
        <v>115.07</v>
      </c>
      <c r="O774" s="9">
        <v>117.6</v>
      </c>
      <c r="P774" s="9">
        <v>125.75</v>
      </c>
      <c r="Q774" s="9">
        <v>1414.2581</v>
      </c>
      <c r="R774" s="14"/>
      <c r="S774" s="12">
        <f t="shared" si="2"/>
        <v>0.00003888111328</v>
      </c>
      <c r="T774" s="12">
        <f t="shared" si="3"/>
        <v>1.000038881</v>
      </c>
      <c r="U774" s="16">
        <f t="shared" si="7"/>
        <v>100.5378147</v>
      </c>
      <c r="V774" s="17"/>
      <c r="W774" s="12">
        <f t="array" ref="W774">SQRT(252/20) *  SQRT( SUMSQ( LN(U753:U772 / U752:U771) )  - (1/20) * ( SUM( LN(U753:U772 / U752:U771) ) ^ 2 ) )</f>
        <v>0.01787368451</v>
      </c>
      <c r="X774" s="9">
        <f t="shared" si="4"/>
        <v>1.5</v>
      </c>
      <c r="Y774" s="14"/>
      <c r="Z774" s="12">
        <f t="shared" si="5"/>
        <v>1.000063474</v>
      </c>
      <c r="AA774" s="16">
        <f t="shared" si="8"/>
        <v>101.0296597</v>
      </c>
      <c r="AB774" s="14"/>
      <c r="AC774" s="9">
        <f t="shared" si="6"/>
        <v>0</v>
      </c>
    </row>
    <row r="775">
      <c r="A775" s="8">
        <v>42846.0</v>
      </c>
      <c r="B775" s="14"/>
      <c r="C775" s="12">
        <f t="array" ref="C775">IFERROR(
  INDEX(
    IR!$B$2:$E2026,                
    MATCH($A775, IR!$A$2:$A2026, 0), 
    MATCH(C$1, IR!$B$1:$E$1, 0) ), "")
</f>
        <v>-0.00371</v>
      </c>
      <c r="D775" s="12">
        <f t="array" ref="D775">IFERROR(
  INDEX(
    IR!$B$2:$E2026,                
    MATCH($A775, IR!$A$2:$A2026, 0), 
    MATCH(D$1, IR!$B$1:$E$1, 0) ), "")
</f>
        <v>-0.00331</v>
      </c>
      <c r="E775" s="12">
        <f t="array" ref="E775">IFERROR(
  INDEX(
    IR!$B$2:$E2026,                
    MATCH($A775, IR!$A$2:$A2026, 0), 
    MATCH(E$1, IR!$B$1:$E$1, 0) ), "")
</f>
        <v>-0.00249</v>
      </c>
      <c r="F775" s="12">
        <f t="array" ref="F775">IFERROR(
  INDEX(
    IR!$B$2:$E2026,                
    MATCH($A775, IR!$A$2:$A2026, 0), 
    MATCH(F$1, IR!$B$1:$E$1, 0) ), "")
</f>
        <v>-0.00124</v>
      </c>
      <c r="G775" s="25"/>
      <c r="H775" s="12">
        <f t="array" ref="H775">IFERROR(
  INDEX(
    SR!$B$2:$D2026,            
    MATCH($A775, SR!$A$2:$A2026, 0),  
    MATCH(H$1, SR!$B$1:$D$1, 0) ), "")
</f>
        <v>-0.00144</v>
      </c>
      <c r="I775" s="12">
        <f t="array" ref="I775">IFERROR(
  INDEX(
    SR!$B$2:$D2026,            
    MATCH($A775, SR!$A$2:$A2026, 0),  
    MATCH(I$1, SR!$B$1:$D$1, 0) ), "")
</f>
        <v>-0.0005</v>
      </c>
      <c r="J775" s="12">
        <f t="array" ref="J775">IFERROR(
  INDEX(
    SR!$B$2:$D2026,            
    MATCH($A775, SR!$A$2:$A2026, 0),  
    MATCH(J$1, SR!$B$1:$D$1, 0) ), "")
</f>
        <v>0.00176</v>
      </c>
      <c r="K775" s="14"/>
      <c r="L775" s="9">
        <v>119.1</v>
      </c>
      <c r="M775" s="9">
        <v>24.48</v>
      </c>
      <c r="N775" s="9">
        <v>115.08</v>
      </c>
      <c r="O775" s="9">
        <v>117.77</v>
      </c>
      <c r="P775" s="9">
        <v>125.77</v>
      </c>
      <c r="Q775" s="9">
        <v>1417.2438</v>
      </c>
      <c r="R775" s="14"/>
      <c r="S775" s="12">
        <f t="shared" si="2"/>
        <v>0.0004922595238</v>
      </c>
      <c r="T775" s="12">
        <f t="shared" si="3"/>
        <v>1.00049226</v>
      </c>
      <c r="U775" s="16">
        <f t="shared" si="7"/>
        <v>100.5873054</v>
      </c>
      <c r="V775" s="17"/>
      <c r="W775" s="12">
        <f t="array" ref="W775">SQRT(252/20) *  SQRT( SUMSQ( LN(U754:U773 / U753:U772) )  - (1/20) * ( SUM( LN(U754:U773 / U753:U772) ) ^ 2 ) )</f>
        <v>0.01832717947</v>
      </c>
      <c r="X775" s="9">
        <f t="shared" si="4"/>
        <v>1.5</v>
      </c>
      <c r="Y775" s="14"/>
      <c r="Z775" s="12">
        <f t="shared" si="5"/>
        <v>1.000743556</v>
      </c>
      <c r="AA775" s="16">
        <f t="shared" si="8"/>
        <v>101.1047809</v>
      </c>
      <c r="AB775" s="14"/>
      <c r="AC775" s="9">
        <f t="shared" si="6"/>
        <v>0</v>
      </c>
    </row>
    <row r="776">
      <c r="A776" s="8">
        <v>42849.0</v>
      </c>
      <c r="B776" s="14"/>
      <c r="C776" s="12">
        <f t="array" ref="C776">IFERROR(
  INDEX(
    IR!$B$2:$E2026,                
    MATCH($A776, IR!$A$2:$A2026, 0), 
    MATCH(C$1, IR!$B$1:$E$1, 0) ), "")
</f>
        <v>-0.00371</v>
      </c>
      <c r="D776" s="12">
        <f t="array" ref="D776">IFERROR(
  INDEX(
    IR!$B$2:$E2026,                
    MATCH($A776, IR!$A$2:$A2026, 0), 
    MATCH(D$1, IR!$B$1:$E$1, 0) ), "")
</f>
        <v>-0.00329</v>
      </c>
      <c r="E776" s="12">
        <f t="array" ref="E776">IFERROR(
  INDEX(
    IR!$B$2:$E2026,                
    MATCH($A776, IR!$A$2:$A2026, 0), 
    MATCH(E$1, IR!$B$1:$E$1, 0) ), "")
</f>
        <v>-0.00247</v>
      </c>
      <c r="F776" s="12">
        <f t="array" ref="F776">IFERROR(
  INDEX(
    IR!$B$2:$E2026,                
    MATCH($A776, IR!$A$2:$A2026, 0), 
    MATCH(F$1, IR!$B$1:$E$1, 0) ), "")
</f>
        <v>-0.00121</v>
      </c>
      <c r="G776" s="25"/>
      <c r="H776" s="12">
        <f t="array" ref="H776">IFERROR(
  INDEX(
    SR!$B$2:$D2026,            
    MATCH($A776, SR!$A$2:$A2026, 0),  
    MATCH(H$1, SR!$B$1:$D$1, 0) ), "")
</f>
        <v>-0.00141</v>
      </c>
      <c r="I776" s="12">
        <f t="array" ref="I776">IFERROR(
  INDEX(
    SR!$B$2:$D2026,            
    MATCH($A776, SR!$A$2:$A2026, 0),  
    MATCH(I$1, SR!$B$1:$D$1, 0) ), "")
</f>
        <v>-0.000363</v>
      </c>
      <c r="J776" s="12">
        <f t="array" ref="J776">IFERROR(
  INDEX(
    SR!$B$2:$D2026,            
    MATCH($A776, SR!$A$2:$A2026, 0),  
    MATCH(J$1, SR!$B$1:$D$1, 0) ), "")
</f>
        <v>0.00196</v>
      </c>
      <c r="K776" s="14"/>
      <c r="L776" s="9">
        <v>120.33</v>
      </c>
      <c r="M776" s="9">
        <v>24.44</v>
      </c>
      <c r="N776" s="9">
        <v>115.12</v>
      </c>
      <c r="O776" s="9">
        <v>117.75</v>
      </c>
      <c r="P776" s="9">
        <v>125.98</v>
      </c>
      <c r="Q776" s="9">
        <v>1416.8385</v>
      </c>
      <c r="R776" s="14"/>
      <c r="S776" s="12">
        <f t="shared" si="2"/>
        <v>0.001708449019</v>
      </c>
      <c r="T776" s="12">
        <f t="shared" si="3"/>
        <v>1.001708449</v>
      </c>
      <c r="U776" s="16">
        <f t="shared" si="7"/>
        <v>100.7591536</v>
      </c>
      <c r="V776" s="17"/>
      <c r="W776" s="12">
        <f t="array" ref="W776">SQRT(252/20) *  SQRT( SUMSQ( LN(U755:U774 / U754:U773) )  - (1/20) * ( SUM( LN(U755:U774 / U754:U773) ) ^ 2 ) )</f>
        <v>0.0182789213</v>
      </c>
      <c r="X776" s="9">
        <f t="shared" si="4"/>
        <v>1.5</v>
      </c>
      <c r="Y776" s="14"/>
      <c r="Z776" s="12">
        <f t="shared" si="5"/>
        <v>1.002578132</v>
      </c>
      <c r="AA776" s="16">
        <f t="shared" si="8"/>
        <v>101.3654424</v>
      </c>
      <c r="AB776" s="14"/>
      <c r="AC776" s="9">
        <f t="shared" si="6"/>
        <v>0</v>
      </c>
    </row>
    <row r="777">
      <c r="A777" s="8">
        <v>42850.0</v>
      </c>
      <c r="B777" s="14"/>
      <c r="C777" s="12">
        <f t="array" ref="C777">IFERROR(
  INDEX(
    IR!$B$2:$E2026,                
    MATCH($A777, IR!$A$2:$A2026, 0), 
    MATCH(C$1, IR!$B$1:$E$1, 0) ), "")
</f>
        <v>-0.00371</v>
      </c>
      <c r="D777" s="12">
        <f t="array" ref="D777">IFERROR(
  INDEX(
    IR!$B$2:$E2026,                
    MATCH($A777, IR!$A$2:$A2026, 0), 
    MATCH(D$1, IR!$B$1:$E$1, 0) ), "")
</f>
        <v>-0.00329</v>
      </c>
      <c r="E777" s="12">
        <f t="array" ref="E777">IFERROR(
  INDEX(
    IR!$B$2:$E2026,                
    MATCH($A777, IR!$A$2:$A2026, 0), 
    MATCH(E$1, IR!$B$1:$E$1, 0) ), "")
</f>
        <v>-0.00248</v>
      </c>
      <c r="F777" s="12">
        <f t="array" ref="F777">IFERROR(
  INDEX(
    IR!$B$2:$E2026,                
    MATCH($A777, IR!$A$2:$A2026, 0), 
    MATCH(F$1, IR!$B$1:$E$1, 0) ), "")
</f>
        <v>-0.00121</v>
      </c>
      <c r="G777" s="25"/>
      <c r="H777" s="12">
        <f t="array" ref="H777">IFERROR(
  INDEX(
    SR!$B$2:$D2026,            
    MATCH($A777, SR!$A$2:$A2026, 0),  
    MATCH(H$1, SR!$B$1:$D$1, 0) ), "")
</f>
        <v>-0.00127</v>
      </c>
      <c r="I777" s="12">
        <f t="array" ref="I777">IFERROR(
  INDEX(
    SR!$B$2:$D2026,            
    MATCH($A777, SR!$A$2:$A2026, 0),  
    MATCH(I$1, SR!$B$1:$D$1, 0) ), "")
</f>
        <v>-0.00014</v>
      </c>
      <c r="J777" s="12">
        <f t="array" ref="J777">IFERROR(
  INDEX(
    SR!$B$2:$D2026,            
    MATCH($A777, SR!$A$2:$A2026, 0),  
    MATCH(J$1, SR!$B$1:$D$1, 0) ), "")
</f>
        <v>0.002347</v>
      </c>
      <c r="K777" s="14"/>
      <c r="L777" s="9">
        <v>120.71</v>
      </c>
      <c r="M777" s="9">
        <v>24.43</v>
      </c>
      <c r="N777" s="9">
        <v>115.11</v>
      </c>
      <c r="O777" s="9">
        <v>119.71</v>
      </c>
      <c r="P777" s="9">
        <v>126.14</v>
      </c>
      <c r="Q777" s="9">
        <v>1426.4042</v>
      </c>
      <c r="R777" s="14"/>
      <c r="S777" s="12">
        <f t="shared" si="2"/>
        <v>0.004553664729</v>
      </c>
      <c r="T777" s="12">
        <f t="shared" si="3"/>
        <v>1.004553665</v>
      </c>
      <c r="U777" s="16">
        <f t="shared" si="7"/>
        <v>101.2179771</v>
      </c>
      <c r="V777" s="17"/>
      <c r="W777" s="12">
        <f t="array" ref="W777">SQRT(252/20) *  SQRT( SUMSQ( LN(U756:U775 / U755:U774) )  - (1/20) * ( SUM( LN(U756:U775 / U755:U774) ) ^ 2 ) )</f>
        <v>0.01714492995</v>
      </c>
      <c r="X777" s="9">
        <f t="shared" si="4"/>
        <v>1.5</v>
      </c>
      <c r="Y777" s="14"/>
      <c r="Z777" s="12">
        <f t="shared" si="5"/>
        <v>1.00683565</v>
      </c>
      <c r="AA777" s="16">
        <f t="shared" si="8"/>
        <v>102.0583411</v>
      </c>
      <c r="AB777" s="14"/>
      <c r="AC777" s="9">
        <f t="shared" si="6"/>
        <v>0</v>
      </c>
    </row>
    <row r="778">
      <c r="A778" s="8">
        <v>42851.0</v>
      </c>
      <c r="B778" s="14"/>
      <c r="C778" s="12">
        <f t="array" ref="C778">IFERROR(
  INDEX(
    IR!$B$2:$E2026,                
    MATCH($A778, IR!$A$2:$A2026, 0), 
    MATCH(C$1, IR!$B$1:$E$1, 0) ), "")
</f>
        <v>-0.00373</v>
      </c>
      <c r="D778" s="12">
        <f t="array" ref="D778">IFERROR(
  INDEX(
    IR!$B$2:$E2026,                
    MATCH($A778, IR!$A$2:$A2026, 0), 
    MATCH(D$1, IR!$B$1:$E$1, 0) ), "")
</f>
        <v>-0.00329</v>
      </c>
      <c r="E778" s="12">
        <f t="array" ref="E778">IFERROR(
  INDEX(
    IR!$B$2:$E2026,                
    MATCH($A778, IR!$A$2:$A2026, 0), 
    MATCH(E$1, IR!$B$1:$E$1, 0) ), "")
</f>
        <v>-0.00248</v>
      </c>
      <c r="F778" s="12">
        <f t="array" ref="F778">IFERROR(
  INDEX(
    IR!$B$2:$E2026,                
    MATCH($A778, IR!$A$2:$A2026, 0), 
    MATCH(F$1, IR!$B$1:$E$1, 0) ), "")
</f>
        <v>-0.00121</v>
      </c>
      <c r="G778" s="25"/>
      <c r="H778" s="12">
        <f t="array" ref="H778">IFERROR(
  INDEX(
    SR!$B$2:$D2026,            
    MATCH($A778, SR!$A$2:$A2026, 0),  
    MATCH(H$1, SR!$B$1:$D$1, 0) ), "")
</f>
        <v>-0.00138</v>
      </c>
      <c r="I778" s="12">
        <f t="array" ref="I778">IFERROR(
  INDEX(
    SR!$B$2:$D2026,            
    MATCH($A778, SR!$A$2:$A2026, 0),  
    MATCH(I$1, SR!$B$1:$D$1, 0) ), "")
</f>
        <v>-0.000207</v>
      </c>
      <c r="J778" s="12">
        <f t="array" ref="J778">IFERROR(
  INDEX(
    SR!$B$2:$D2026,            
    MATCH($A778, SR!$A$2:$A2026, 0),  
    MATCH(J$1, SR!$B$1:$D$1, 0) ), "")
</f>
        <v>0.00223</v>
      </c>
      <c r="K778" s="14"/>
      <c r="L778" s="9">
        <v>120.74</v>
      </c>
      <c r="M778" s="9">
        <v>24.44</v>
      </c>
      <c r="N778" s="9">
        <v>115.13</v>
      </c>
      <c r="O778" s="9">
        <v>119.69</v>
      </c>
      <c r="P778" s="9">
        <v>126.14</v>
      </c>
      <c r="Q778" s="9">
        <v>1432.2629</v>
      </c>
      <c r="R778" s="14"/>
      <c r="S778" s="12">
        <f t="shared" si="2"/>
        <v>0.0007954025755</v>
      </c>
      <c r="T778" s="12">
        <f t="shared" si="3"/>
        <v>1.000795403</v>
      </c>
      <c r="U778" s="16">
        <f t="shared" si="7"/>
        <v>101.2984861</v>
      </c>
      <c r="V778" s="17"/>
      <c r="W778" s="12">
        <f t="array" ref="W778">SQRT(252/20) *  SQRT( SUMSQ( LN(U757:U776 / U756:U775) )  - (1/20) * ( SUM( LN(U757:U776 / U756:U775) ) ^ 2 ) )</f>
        <v>0.01802998001</v>
      </c>
      <c r="X778" s="9">
        <f t="shared" si="4"/>
        <v>1.5</v>
      </c>
      <c r="Y778" s="14"/>
      <c r="Z778" s="12">
        <f t="shared" si="5"/>
        <v>1.001198257</v>
      </c>
      <c r="AA778" s="16">
        <f t="shared" si="8"/>
        <v>102.1806331</v>
      </c>
      <c r="AB778" s="14"/>
      <c r="AC778" s="9">
        <f t="shared" si="6"/>
        <v>0</v>
      </c>
    </row>
    <row r="779">
      <c r="A779" s="8">
        <v>42852.0</v>
      </c>
      <c r="B779" s="14"/>
      <c r="C779" s="12">
        <f t="array" ref="C779">IFERROR(
  INDEX(
    IR!$B$2:$E2026,                
    MATCH($A779, IR!$A$2:$A2026, 0), 
    MATCH(C$1, IR!$B$1:$E$1, 0) ), "")
</f>
        <v>-0.00373</v>
      </c>
      <c r="D779" s="12">
        <f t="array" ref="D779">IFERROR(
  INDEX(
    IR!$B$2:$E2026,                
    MATCH($A779, IR!$A$2:$A2026, 0), 
    MATCH(D$1, IR!$B$1:$E$1, 0) ), "")
</f>
        <v>-0.00329</v>
      </c>
      <c r="E779" s="12">
        <f t="array" ref="E779">IFERROR(
  INDEX(
    IR!$B$2:$E2026,                
    MATCH($A779, IR!$A$2:$A2026, 0), 
    MATCH(E$1, IR!$B$1:$E$1, 0) ), "")
</f>
        <v>-0.00248</v>
      </c>
      <c r="F779" s="12">
        <f t="array" ref="F779">IFERROR(
  INDEX(
    IR!$B$2:$E2026,                
    MATCH($A779, IR!$A$2:$A2026, 0), 
    MATCH(F$1, IR!$B$1:$E$1, 0) ), "")
</f>
        <v>-0.00121</v>
      </c>
      <c r="G779" s="25"/>
      <c r="H779" s="12">
        <f t="array" ref="H779">IFERROR(
  INDEX(
    SR!$B$2:$D2026,            
    MATCH($A779, SR!$A$2:$A2026, 0),  
    MATCH(H$1, SR!$B$1:$D$1, 0) ), "")
</f>
        <v>-0.00151</v>
      </c>
      <c r="I779" s="12">
        <f t="array" ref="I779">IFERROR(
  INDEX(
    SR!$B$2:$D2026,            
    MATCH($A779, SR!$A$2:$A2026, 0),  
    MATCH(I$1, SR!$B$1:$D$1, 0) ), "")
</f>
        <v>-0.00053</v>
      </c>
      <c r="J779" s="12">
        <f t="array" ref="J779">IFERROR(
  INDEX(
    SR!$B$2:$D2026,            
    MATCH($A779, SR!$A$2:$A2026, 0),  
    MATCH(J$1, SR!$B$1:$D$1, 0) ), "")
</f>
        <v>0.00183</v>
      </c>
      <c r="K779" s="14"/>
      <c r="L779" s="9">
        <v>120.62</v>
      </c>
      <c r="M779" s="9">
        <v>24.45</v>
      </c>
      <c r="N779" s="9">
        <v>115.14</v>
      </c>
      <c r="O779" s="9">
        <v>119.58</v>
      </c>
      <c r="P779" s="9">
        <v>126.39</v>
      </c>
      <c r="Q779" s="9">
        <v>1433.4088</v>
      </c>
      <c r="R779" s="14"/>
      <c r="S779" s="12">
        <f t="shared" si="2"/>
        <v>0.0002275055185</v>
      </c>
      <c r="T779" s="12">
        <f t="shared" si="3"/>
        <v>1.000227506</v>
      </c>
      <c r="U779" s="16">
        <f t="shared" si="7"/>
        <v>101.3215321</v>
      </c>
      <c r="V779" s="17"/>
      <c r="W779" s="12">
        <f t="array" ref="W779">SQRT(252/20) *  SQRT( SUMSQ( LN(U758:U777 / U757:U776) )  - (1/20) * ( SUM( LN(U758:U777 / U757:U776) ) ^ 2 ) )</f>
        <v>0.023369257</v>
      </c>
      <c r="X779" s="9">
        <f t="shared" si="4"/>
        <v>1.5</v>
      </c>
      <c r="Y779" s="14"/>
      <c r="Z779" s="12">
        <f t="shared" si="5"/>
        <v>1.000346439</v>
      </c>
      <c r="AA779" s="16">
        <f t="shared" si="8"/>
        <v>102.2160325</v>
      </c>
      <c r="AB779" s="14"/>
      <c r="AC779" s="9">
        <f t="shared" si="6"/>
        <v>0</v>
      </c>
    </row>
    <row r="780">
      <c r="A780" s="8">
        <v>42853.0</v>
      </c>
      <c r="B780" s="14"/>
      <c r="C780" s="12">
        <f t="array" ref="C780">IFERROR(
  INDEX(
    IR!$B$2:$E2026,                
    MATCH($A780, IR!$A$2:$A2026, 0), 
    MATCH(C$1, IR!$B$1:$E$1, 0) ), "")
</f>
        <v>-0.00374</v>
      </c>
      <c r="D780" s="12">
        <f t="array" ref="D780">IFERROR(
  INDEX(
    IR!$B$2:$E2026,                
    MATCH($A780, IR!$A$2:$A2026, 0), 
    MATCH(D$1, IR!$B$1:$E$1, 0) ), "")
</f>
        <v>-0.00329</v>
      </c>
      <c r="E780" s="12">
        <f t="array" ref="E780">IFERROR(
  INDEX(
    IR!$B$2:$E2026,                
    MATCH($A780, IR!$A$2:$A2026, 0), 
    MATCH(E$1, IR!$B$1:$E$1, 0) ), "")
</f>
        <v>-0.00249</v>
      </c>
      <c r="F780" s="12">
        <f t="array" ref="F780">IFERROR(
  INDEX(
    IR!$B$2:$E2026,                
    MATCH($A780, IR!$A$2:$A2026, 0), 
    MATCH(F$1, IR!$B$1:$E$1, 0) ), "")
</f>
        <v>-0.00121</v>
      </c>
      <c r="G780" s="25"/>
      <c r="H780" s="12">
        <f t="array" ref="H780">IFERROR(
  INDEX(
    SR!$B$2:$D2026,            
    MATCH($A780, SR!$A$2:$A2026, 0),  
    MATCH(H$1, SR!$B$1:$D$1, 0) ), "")
</f>
        <v>-0.00141</v>
      </c>
      <c r="I780" s="12">
        <f t="array" ref="I780">IFERROR(
  INDEX(
    SR!$B$2:$D2026,            
    MATCH($A780, SR!$A$2:$A2026, 0),  
    MATCH(I$1, SR!$B$1:$D$1, 0) ), "")
</f>
        <v>-0.00036</v>
      </c>
      <c r="J780" s="12">
        <f t="array" ref="J780">IFERROR(
  INDEX(
    SR!$B$2:$D2026,            
    MATCH($A780, SR!$A$2:$A2026, 0),  
    MATCH(J$1, SR!$B$1:$D$1, 0) ), "")
</f>
        <v>0.00192</v>
      </c>
      <c r="K780" s="14"/>
      <c r="L780" s="9">
        <v>120.63</v>
      </c>
      <c r="M780" s="9">
        <v>24.44</v>
      </c>
      <c r="N780" s="9">
        <v>115.16</v>
      </c>
      <c r="O780" s="9">
        <v>119.43</v>
      </c>
      <c r="P780" s="9">
        <v>126.17</v>
      </c>
      <c r="Q780" s="9">
        <v>1434.3135</v>
      </c>
      <c r="R780" s="14"/>
      <c r="S780" s="12">
        <f t="shared" si="2"/>
        <v>-0.0004191479619</v>
      </c>
      <c r="T780" s="12">
        <f t="shared" si="3"/>
        <v>0.999580852</v>
      </c>
      <c r="U780" s="16">
        <f t="shared" si="7"/>
        <v>101.2790633</v>
      </c>
      <c r="V780" s="17"/>
      <c r="W780" s="12">
        <f t="array" ref="W780">SQRT(252/20) *  SQRT( SUMSQ( LN(U759:U778 / U758:U777) )  - (1/20) * ( SUM( LN(U759:U778 / U758:U777) ) ^ 2 ) )</f>
        <v>0.02294876763</v>
      </c>
      <c r="X780" s="9">
        <f t="shared" si="4"/>
        <v>1.5</v>
      </c>
      <c r="Y780" s="14"/>
      <c r="Z780" s="12">
        <f t="shared" si="5"/>
        <v>0.9993764586</v>
      </c>
      <c r="AA780" s="16">
        <f t="shared" si="8"/>
        <v>102.1522966</v>
      </c>
      <c r="AB780" s="14"/>
      <c r="AC780" s="9">
        <f t="shared" si="6"/>
        <v>0</v>
      </c>
    </row>
    <row r="781">
      <c r="A781" s="8">
        <v>42857.0</v>
      </c>
      <c r="B781" s="14"/>
      <c r="C781" s="12">
        <f t="array" ref="C781">IFERROR(
  INDEX(
    IR!$B$2:$E2026,                
    MATCH($A781, IR!$A$2:$A2026, 0), 
    MATCH(C$1, IR!$B$1:$E$1, 0) ), "")
</f>
        <v>-0.00374</v>
      </c>
      <c r="D781" s="12">
        <f t="array" ref="D781">IFERROR(
  INDEX(
    IR!$B$2:$E2026,                
    MATCH($A781, IR!$A$2:$A2026, 0), 
    MATCH(D$1, IR!$B$1:$E$1, 0) ), "")
</f>
        <v>-0.00329</v>
      </c>
      <c r="E781" s="12">
        <f t="array" ref="E781">IFERROR(
  INDEX(
    IR!$B$2:$E2026,                
    MATCH($A781, IR!$A$2:$A2026, 0), 
    MATCH(E$1, IR!$B$1:$E$1, 0) ), "")
</f>
        <v>-0.00249</v>
      </c>
      <c r="F781" s="12">
        <f t="array" ref="F781">IFERROR(
  INDEX(
    IR!$B$2:$E2026,                
    MATCH($A781, IR!$A$2:$A2026, 0), 
    MATCH(F$1, IR!$B$1:$E$1, 0) ), "")
</f>
        <v>-0.00121</v>
      </c>
      <c r="G781" s="25"/>
      <c r="H781" s="12">
        <f t="array" ref="H781">IFERROR(
  INDEX(
    SR!$B$2:$D2026,            
    MATCH($A781, SR!$A$2:$A2026, 0),  
    MATCH(H$1, SR!$B$1:$D$1, 0) ), "")
</f>
        <v>-0.00152</v>
      </c>
      <c r="I781" s="12">
        <f t="array" ref="I781">IFERROR(
  INDEX(
    SR!$B$2:$D2026,            
    MATCH($A781, SR!$A$2:$A2026, 0),  
    MATCH(I$1, SR!$B$1:$D$1, 0) ), "")
</f>
        <v>-0.000483</v>
      </c>
      <c r="J781" s="12">
        <f t="array" ref="J781">IFERROR(
  INDEX(
    SR!$B$2:$D2026,            
    MATCH($A781, SR!$A$2:$A2026, 0),  
    MATCH(J$1, SR!$B$1:$D$1, 0) ), "")
</f>
        <v>0.00202</v>
      </c>
      <c r="K781" s="14"/>
      <c r="L781" s="9">
        <v>120.88</v>
      </c>
      <c r="M781" s="9">
        <v>24.44</v>
      </c>
      <c r="N781" s="9">
        <v>115.16</v>
      </c>
      <c r="O781" s="9">
        <v>119.55</v>
      </c>
      <c r="P781" s="9">
        <v>126.12</v>
      </c>
      <c r="Q781" s="9">
        <v>1434.1548</v>
      </c>
      <c r="R781" s="14"/>
      <c r="S781" s="12">
        <f t="shared" si="2"/>
        <v>0.0004281991895</v>
      </c>
      <c r="T781" s="12">
        <f t="shared" si="3"/>
        <v>1.000428199</v>
      </c>
      <c r="U781" s="16">
        <f t="shared" si="7"/>
        <v>101.322431</v>
      </c>
      <c r="V781" s="17"/>
      <c r="W781" s="12">
        <f t="array" ref="W781">SQRT(252/20) *  SQRT( SUMSQ( LN(U760:U779 / U759:U778) )  - (1/20) * ( SUM( LN(U760:U779 / U759:U778) ) ^ 2 ) )</f>
        <v>0.0228103577</v>
      </c>
      <c r="X781" s="9">
        <f t="shared" si="4"/>
        <v>1.5</v>
      </c>
      <c r="Y781" s="14"/>
      <c r="Z781" s="12">
        <f t="shared" si="5"/>
        <v>1.000663077</v>
      </c>
      <c r="AA781" s="16">
        <f t="shared" si="8"/>
        <v>102.2200314</v>
      </c>
      <c r="AB781" s="14"/>
      <c r="AC781" s="9">
        <f t="shared" si="6"/>
        <v>0</v>
      </c>
    </row>
    <row r="782">
      <c r="A782" s="8">
        <v>42858.0</v>
      </c>
      <c r="B782" s="14"/>
      <c r="C782" s="12">
        <f t="array" ref="C782">IFERROR(
  INDEX(
    IR!$B$2:$E2026,                
    MATCH($A782, IR!$A$2:$A2026, 0), 
    MATCH(C$1, IR!$B$1:$E$1, 0) ), "")
</f>
        <v>-0.00373</v>
      </c>
      <c r="D782" s="12">
        <f t="array" ref="D782">IFERROR(
  INDEX(
    IR!$B$2:$E2026,                
    MATCH($A782, IR!$A$2:$A2026, 0), 
    MATCH(D$1, IR!$B$1:$E$1, 0) ), "")
</f>
        <v>-0.00329</v>
      </c>
      <c r="E782" s="12">
        <f t="array" ref="E782">IFERROR(
  INDEX(
    IR!$B$2:$E2026,                
    MATCH($A782, IR!$A$2:$A2026, 0), 
    MATCH(E$1, IR!$B$1:$E$1, 0) ), "")
</f>
        <v>-0.00251</v>
      </c>
      <c r="F782" s="12">
        <f t="array" ref="F782">IFERROR(
  INDEX(
    IR!$B$2:$E2026,                
    MATCH($A782, IR!$A$2:$A2026, 0), 
    MATCH(F$1, IR!$B$1:$E$1, 0) ), "")
</f>
        <v>-0.00125</v>
      </c>
      <c r="G782" s="25"/>
      <c r="H782" s="12">
        <f t="array" ref="H782">IFERROR(
  INDEX(
    SR!$B$2:$D2026,            
    MATCH($A782, SR!$A$2:$A2026, 0),  
    MATCH(H$1, SR!$B$1:$D$1, 0) ), "")
</f>
        <v>-0.00158</v>
      </c>
      <c r="I782" s="12">
        <f t="array" ref="I782">IFERROR(
  INDEX(
    SR!$B$2:$D2026,            
    MATCH($A782, SR!$A$2:$A2026, 0),  
    MATCH(I$1, SR!$B$1:$D$1, 0) ), "")
</f>
        <v>-0.00048</v>
      </c>
      <c r="J782" s="12">
        <f t="array" ref="J782">IFERROR(
  INDEX(
    SR!$B$2:$D2026,            
    MATCH($A782, SR!$A$2:$A2026, 0),  
    MATCH(J$1, SR!$B$1:$D$1, 0) ), "")
</f>
        <v>0.00198</v>
      </c>
      <c r="K782" s="14"/>
      <c r="L782" s="9">
        <v>120.83</v>
      </c>
      <c r="M782" s="9">
        <v>24.44</v>
      </c>
      <c r="N782" s="9">
        <v>115.17</v>
      </c>
      <c r="O782" s="9">
        <v>119.84</v>
      </c>
      <c r="P782" s="9">
        <v>126.3</v>
      </c>
      <c r="Q782" s="9">
        <v>1433.9326</v>
      </c>
      <c r="R782" s="14"/>
      <c r="S782" s="12">
        <f t="shared" si="2"/>
        <v>0.0005616336485</v>
      </c>
      <c r="T782" s="12">
        <f t="shared" si="3"/>
        <v>1.000561634</v>
      </c>
      <c r="U782" s="16">
        <f t="shared" si="7"/>
        <v>101.379337</v>
      </c>
      <c r="V782" s="17"/>
      <c r="W782" s="12">
        <f t="array" ref="W782">SQRT(252/20) *  SQRT( SUMSQ( LN(U761:U780 / U760:U779) )  - (1/20) * ( SUM( LN(U761:U780 / U760:U779) ) ^ 2 ) )</f>
        <v>0.02103900052</v>
      </c>
      <c r="X782" s="9">
        <f t="shared" si="4"/>
        <v>1.5</v>
      </c>
      <c r="Y782" s="14"/>
      <c r="Z782" s="12">
        <f t="shared" si="5"/>
        <v>1.000847645</v>
      </c>
      <c r="AA782" s="16">
        <f t="shared" si="8"/>
        <v>102.3066776</v>
      </c>
      <c r="AB782" s="14"/>
      <c r="AC782" s="9">
        <f t="shared" si="6"/>
        <v>0</v>
      </c>
    </row>
    <row r="783">
      <c r="A783" s="8">
        <v>42859.0</v>
      </c>
      <c r="B783" s="14"/>
      <c r="C783" s="12">
        <f t="array" ref="C783">IFERROR(
  INDEX(
    IR!$B$2:$E2026,                
    MATCH($A783, IR!$A$2:$A2026, 0), 
    MATCH(C$1, IR!$B$1:$E$1, 0) ), "")
</f>
        <v>-0.00374</v>
      </c>
      <c r="D783" s="12">
        <f t="array" ref="D783">IFERROR(
  INDEX(
    IR!$B$2:$E2026,                
    MATCH($A783, IR!$A$2:$A2026, 0), 
    MATCH(D$1, IR!$B$1:$E$1, 0) ), "")
</f>
        <v>-0.00329</v>
      </c>
      <c r="E783" s="12">
        <f t="array" ref="E783">IFERROR(
  INDEX(
    IR!$B$2:$E2026,                
    MATCH($A783, IR!$A$2:$A2026, 0), 
    MATCH(E$1, IR!$B$1:$E$1, 0) ), "")
</f>
        <v>-0.0025</v>
      </c>
      <c r="F783" s="12">
        <f t="array" ref="F783">IFERROR(
  INDEX(
    IR!$B$2:$E2026,                
    MATCH($A783, IR!$A$2:$A2026, 0), 
    MATCH(F$1, IR!$B$1:$E$1, 0) ), "")
</f>
        <v>-0.00126</v>
      </c>
      <c r="G783" s="25"/>
      <c r="H783" s="12">
        <f t="array" ref="H783">IFERROR(
  INDEX(
    SR!$B$2:$D2026,            
    MATCH($A783, SR!$A$2:$A2026, 0),  
    MATCH(H$1, SR!$B$1:$D$1, 0) ), "")
</f>
        <v>-0.00129</v>
      </c>
      <c r="I783" s="12">
        <f t="array" ref="I783">IFERROR(
  INDEX(
    SR!$B$2:$D2026,            
    MATCH($A783, SR!$A$2:$A2026, 0),  
    MATCH(I$1, SR!$B$1:$D$1, 0) ), "")
</f>
        <v>-0.0002</v>
      </c>
      <c r="J783" s="12">
        <f t="array" ref="J783">IFERROR(
  INDEX(
    SR!$B$2:$D2026,            
    MATCH($A783, SR!$A$2:$A2026, 0),  
    MATCH(J$1, SR!$B$1:$D$1, 0) ), "")
</f>
        <v>0.00229</v>
      </c>
      <c r="K783" s="14"/>
      <c r="L783" s="9">
        <v>121.3</v>
      </c>
      <c r="M783" s="9">
        <v>24.42</v>
      </c>
      <c r="N783" s="9">
        <v>115.15</v>
      </c>
      <c r="O783" s="9">
        <v>119.95</v>
      </c>
      <c r="P783" s="9">
        <v>126.3</v>
      </c>
      <c r="Q783" s="9">
        <v>1430.5059</v>
      </c>
      <c r="R783" s="14"/>
      <c r="S783" s="12">
        <f t="shared" si="2"/>
        <v>0.0002373233404</v>
      </c>
      <c r="T783" s="12">
        <f t="shared" si="3"/>
        <v>1.000237323</v>
      </c>
      <c r="U783" s="16">
        <f t="shared" si="7"/>
        <v>101.4033967</v>
      </c>
      <c r="V783" s="17"/>
      <c r="W783" s="12">
        <f t="array" ref="W783">SQRT(252/20) *  SQRT( SUMSQ( LN(U762:U781 / U761:U780) )  - (1/20) * ( SUM( LN(U762:U781 / U761:U780) ) ^ 2 ) )</f>
        <v>0.0208628338</v>
      </c>
      <c r="X783" s="9">
        <f t="shared" si="4"/>
        <v>1.5</v>
      </c>
      <c r="Y783" s="14"/>
      <c r="Z783" s="12">
        <f t="shared" si="5"/>
        <v>1.000361166</v>
      </c>
      <c r="AA783" s="16">
        <f t="shared" si="8"/>
        <v>102.3436273</v>
      </c>
      <c r="AB783" s="14"/>
      <c r="AC783" s="9">
        <f t="shared" si="6"/>
        <v>0</v>
      </c>
    </row>
    <row r="784">
      <c r="A784" s="8">
        <v>42860.0</v>
      </c>
      <c r="B784" s="14"/>
      <c r="C784" s="12">
        <f t="array" ref="C784">IFERROR(
  INDEX(
    IR!$B$2:$E2026,                
    MATCH($A784, IR!$A$2:$A2026, 0), 
    MATCH(C$1, IR!$B$1:$E$1, 0) ), "")
</f>
        <v>-0.00374</v>
      </c>
      <c r="D784" s="12">
        <f t="array" ref="D784">IFERROR(
  INDEX(
    IR!$B$2:$E2026,                
    MATCH($A784, IR!$A$2:$A2026, 0), 
    MATCH(D$1, IR!$B$1:$E$1, 0) ), "")
</f>
        <v>-0.00329</v>
      </c>
      <c r="E784" s="12">
        <f t="array" ref="E784">IFERROR(
  INDEX(
    IR!$B$2:$E2026,                
    MATCH($A784, IR!$A$2:$A2026, 0), 
    MATCH(E$1, IR!$B$1:$E$1, 0) ), "")
</f>
        <v>-0.00248</v>
      </c>
      <c r="F784" s="12">
        <f t="array" ref="F784">IFERROR(
  INDEX(
    IR!$B$2:$E2026,                
    MATCH($A784, IR!$A$2:$A2026, 0), 
    MATCH(F$1, IR!$B$1:$E$1, 0) ), "")
</f>
        <v>-0.00124</v>
      </c>
      <c r="G784" s="25"/>
      <c r="H784" s="12">
        <f t="array" ref="H784">IFERROR(
  INDEX(
    SR!$B$2:$D2026,            
    MATCH($A784, SR!$A$2:$A2026, 0),  
    MATCH(H$1, SR!$B$1:$D$1, 0) ), "")
</f>
        <v>-0.00131</v>
      </c>
      <c r="I784" s="12">
        <f t="array" ref="I784">IFERROR(
  INDEX(
    SR!$B$2:$D2026,            
    MATCH($A784, SR!$A$2:$A2026, 0),  
    MATCH(I$1, SR!$B$1:$D$1, 0) ), "")
</f>
        <v>-0.00009</v>
      </c>
      <c r="J784" s="12">
        <f t="array" ref="J784">IFERROR(
  INDEX(
    SR!$B$2:$D2026,            
    MATCH($A784, SR!$A$2:$A2026, 0),  
    MATCH(J$1, SR!$B$1:$D$1, 0) ), "")
</f>
        <v>0.002455</v>
      </c>
      <c r="K784" s="14"/>
      <c r="L784" s="9">
        <v>121.57</v>
      </c>
      <c r="M784" s="9">
        <v>24.42</v>
      </c>
      <c r="N784" s="9">
        <v>115.14</v>
      </c>
      <c r="O784" s="9">
        <v>120.12</v>
      </c>
      <c r="P784" s="9">
        <v>126.28</v>
      </c>
      <c r="Q784" s="9">
        <v>1428.9325</v>
      </c>
      <c r="R784" s="14"/>
      <c r="S784" s="12">
        <f t="shared" si="2"/>
        <v>0.0003827462142</v>
      </c>
      <c r="T784" s="12">
        <f t="shared" si="3"/>
        <v>1.000382746</v>
      </c>
      <c r="U784" s="16">
        <f t="shared" si="7"/>
        <v>101.4422085</v>
      </c>
      <c r="V784" s="17"/>
      <c r="W784" s="12">
        <f t="array" ref="W784">SQRT(252/20) *  SQRT( SUMSQ( LN(U763:U782 / U762:U781) )  - (1/20) * ( SUM( LN(U763:U782 / U762:U781) ) ^ 2 ) )</f>
        <v>0.02086981601</v>
      </c>
      <c r="X784" s="9">
        <f t="shared" si="4"/>
        <v>1.5</v>
      </c>
      <c r="Y784" s="14"/>
      <c r="Z784" s="12">
        <f t="shared" si="5"/>
        <v>1.000579314</v>
      </c>
      <c r="AA784" s="16">
        <f t="shared" si="8"/>
        <v>102.4029164</v>
      </c>
      <c r="AB784" s="14"/>
      <c r="AC784" s="9">
        <f t="shared" si="6"/>
        <v>0</v>
      </c>
    </row>
    <row r="785">
      <c r="A785" s="8">
        <v>42863.0</v>
      </c>
      <c r="B785" s="14"/>
      <c r="C785" s="12">
        <f t="array" ref="C785">IFERROR(
  INDEX(
    IR!$B$2:$E2026,                
    MATCH($A785, IR!$A$2:$A2026, 0), 
    MATCH(C$1, IR!$B$1:$E$1, 0) ), "")
</f>
        <v>-0.00374</v>
      </c>
      <c r="D785" s="12">
        <f t="array" ref="D785">IFERROR(
  INDEX(
    IR!$B$2:$E2026,                
    MATCH($A785, IR!$A$2:$A2026, 0), 
    MATCH(D$1, IR!$B$1:$E$1, 0) ), "")
</f>
        <v>-0.00329</v>
      </c>
      <c r="E785" s="12">
        <f t="array" ref="E785">IFERROR(
  INDEX(
    IR!$B$2:$E2026,                
    MATCH($A785, IR!$A$2:$A2026, 0), 
    MATCH(E$1, IR!$B$1:$E$1, 0) ), "")
</f>
        <v>-0.00249</v>
      </c>
      <c r="F785" s="12">
        <f t="array" ref="F785">IFERROR(
  INDEX(
    IR!$B$2:$E2026,                
    MATCH($A785, IR!$A$2:$A2026, 0), 
    MATCH(F$1, IR!$B$1:$E$1, 0) ), "")
</f>
        <v>-0.00124</v>
      </c>
      <c r="G785" s="25"/>
      <c r="H785" s="12">
        <f t="array" ref="H785">IFERROR(
  INDEX(
    SR!$B$2:$D2026,            
    MATCH($A785, SR!$A$2:$A2026, 0),  
    MATCH(H$1, SR!$B$1:$D$1, 0) ), "")
</f>
        <v>-0.00124</v>
      </c>
      <c r="I785" s="12">
        <f t="array" ref="I785">IFERROR(
  INDEX(
    SR!$B$2:$D2026,            
    MATCH($A785, SR!$A$2:$A2026, 0),  
    MATCH(I$1, SR!$B$1:$D$1, 0) ), "")
</f>
        <v>-0.000065</v>
      </c>
      <c r="J785" s="12">
        <f t="array" ref="J785">IFERROR(
  INDEX(
    SR!$B$2:$D2026,            
    MATCH($A785, SR!$A$2:$A2026, 0),  
    MATCH(J$1, SR!$B$1:$D$1, 0) ), "")
</f>
        <v>0.00242</v>
      </c>
      <c r="K785" s="14"/>
      <c r="L785" s="23">
        <v>121.57</v>
      </c>
      <c r="M785" s="9">
        <v>24.43</v>
      </c>
      <c r="N785" s="9">
        <v>115.16</v>
      </c>
      <c r="O785" s="9">
        <v>120.46</v>
      </c>
      <c r="P785" s="9">
        <v>126.28</v>
      </c>
      <c r="Q785" s="9">
        <v>1437.3036</v>
      </c>
      <c r="R785" s="14"/>
      <c r="S785" s="12">
        <f t="shared" si="2"/>
        <v>0.001545300052</v>
      </c>
      <c r="T785" s="12">
        <f t="shared" si="3"/>
        <v>1.0015453</v>
      </c>
      <c r="U785" s="16">
        <f t="shared" si="7"/>
        <v>101.5989671</v>
      </c>
      <c r="V785" s="17"/>
      <c r="W785" s="12">
        <f t="array" ref="W785">SQRT(252/20) *  SQRT( SUMSQ( LN(U764:U783 / U763:U782) )  - (1/20) * ( SUM( LN(U764:U783 / U763:U782) ) ^ 2 ) )</f>
        <v>0.02062270861</v>
      </c>
      <c r="X785" s="9">
        <f t="shared" si="4"/>
        <v>1.5</v>
      </c>
      <c r="Y785" s="14"/>
      <c r="Z785" s="12">
        <f t="shared" si="5"/>
        <v>1.002333533</v>
      </c>
      <c r="AA785" s="16">
        <f t="shared" si="8"/>
        <v>102.641877</v>
      </c>
      <c r="AB785" s="14"/>
      <c r="AC785" s="9">
        <f t="shared" si="6"/>
        <v>0</v>
      </c>
    </row>
    <row r="786">
      <c r="A786" s="8">
        <v>42864.0</v>
      </c>
      <c r="B786" s="14"/>
      <c r="C786" s="12">
        <f t="array" ref="C786">IFERROR(
  INDEX(
    IR!$B$2:$E2026,                
    MATCH($A786, IR!$A$2:$A2026, 0), 
    MATCH(C$1, IR!$B$1:$E$1, 0) ), "")
</f>
        <v>-0.00374</v>
      </c>
      <c r="D786" s="12">
        <f t="array" ref="D786">IFERROR(
  INDEX(
    IR!$B$2:$E2026,                
    MATCH($A786, IR!$A$2:$A2026, 0), 
    MATCH(D$1, IR!$B$1:$E$1, 0) ), "")
</f>
        <v>-0.00329</v>
      </c>
      <c r="E786" s="12">
        <f t="array" ref="E786">IFERROR(
  INDEX(
    IR!$B$2:$E2026,                
    MATCH($A786, IR!$A$2:$A2026, 0), 
    MATCH(E$1, IR!$B$1:$E$1, 0) ), "")
</f>
        <v>-0.00249</v>
      </c>
      <c r="F786" s="12">
        <f t="array" ref="F786">IFERROR(
  INDEX(
    IR!$B$2:$E2026,                
    MATCH($A786, IR!$A$2:$A2026, 0), 
    MATCH(F$1, IR!$B$1:$E$1, 0) ), "")
</f>
        <v>-0.00123</v>
      </c>
      <c r="G786" s="25"/>
      <c r="H786" s="12">
        <f t="array" ref="H786">IFERROR(
  INDEX(
    SR!$B$2:$D2026,            
    MATCH($A786, SR!$A$2:$A2026, 0),  
    MATCH(H$1, SR!$B$1:$D$1, 0) ), "")
</f>
        <v>-0.00128</v>
      </c>
      <c r="I786" s="12">
        <f t="array" ref="I786">IFERROR(
  INDEX(
    SR!$B$2:$D2026,            
    MATCH($A786, SR!$A$2:$A2026, 0),  
    MATCH(I$1, SR!$B$1:$D$1, 0) ), "")
</f>
        <v>-0.00014</v>
      </c>
      <c r="J786" s="12">
        <f t="array" ref="J786">IFERROR(
  INDEX(
    SR!$B$2:$D2026,            
    MATCH($A786, SR!$A$2:$A2026, 0),  
    MATCH(J$1, SR!$B$1:$D$1, 0) ), "")
</f>
        <v>0.002375</v>
      </c>
      <c r="K786" s="14"/>
      <c r="L786" s="9">
        <v>121.45</v>
      </c>
      <c r="M786" s="9">
        <v>24.43</v>
      </c>
      <c r="N786" s="9">
        <v>115.17</v>
      </c>
      <c r="O786" s="9">
        <v>120.33</v>
      </c>
      <c r="P786" s="9">
        <v>126.45</v>
      </c>
      <c r="Q786" s="9">
        <v>1436.5678</v>
      </c>
      <c r="R786" s="14"/>
      <c r="S786" s="12">
        <f t="shared" si="2"/>
        <v>-0.000190835247</v>
      </c>
      <c r="T786" s="12">
        <f t="shared" si="3"/>
        <v>0.9998091648</v>
      </c>
      <c r="U786" s="16">
        <f t="shared" si="7"/>
        <v>101.5795785</v>
      </c>
      <c r="V786" s="17"/>
      <c r="W786" s="12">
        <f t="array" ref="W786">SQRT(252/20) *  SQRT( SUMSQ( LN(U765:U784 / U764:U783) )  - (1/20) * ( SUM( LN(U765:U784 / U764:U783) ) ^ 2 ) )</f>
        <v>0.02031938822</v>
      </c>
      <c r="X786" s="9">
        <f t="shared" si="4"/>
        <v>1.5</v>
      </c>
      <c r="Y786" s="14"/>
      <c r="Z786" s="12">
        <f t="shared" si="5"/>
        <v>0.9997189416</v>
      </c>
      <c r="AA786" s="16">
        <f t="shared" si="8"/>
        <v>102.6130286</v>
      </c>
      <c r="AB786" s="14"/>
      <c r="AC786" s="9">
        <f t="shared" si="6"/>
        <v>0</v>
      </c>
    </row>
    <row r="787">
      <c r="A787" s="8">
        <v>42865.0</v>
      </c>
      <c r="B787" s="14"/>
      <c r="C787" s="12">
        <f t="array" ref="C787">IFERROR(
  INDEX(
    IR!$B$2:$E2026,                
    MATCH($A787, IR!$A$2:$A2026, 0), 
    MATCH(C$1, IR!$B$1:$E$1, 0) ), "")
</f>
        <v>-0.00374</v>
      </c>
      <c r="D787" s="12">
        <f t="array" ref="D787">IFERROR(
  INDEX(
    IR!$B$2:$E2026,                
    MATCH($A787, IR!$A$2:$A2026, 0), 
    MATCH(D$1, IR!$B$1:$E$1, 0) ), "")
</f>
        <v>-0.00329</v>
      </c>
      <c r="E787" s="12">
        <f t="array" ref="E787">IFERROR(
  INDEX(
    IR!$B$2:$E2026,                
    MATCH($A787, IR!$A$2:$A2026, 0), 
    MATCH(E$1, IR!$B$1:$E$1, 0) ), "")
</f>
        <v>-0.00249</v>
      </c>
      <c r="F787" s="12">
        <f t="array" ref="F787">IFERROR(
  INDEX(
    IR!$B$2:$E2026,                
    MATCH($A787, IR!$A$2:$A2026, 0), 
    MATCH(F$1, IR!$B$1:$E$1, 0) ), "")
</f>
        <v>-0.00124</v>
      </c>
      <c r="G787" s="25"/>
      <c r="H787" s="12">
        <f t="array" ref="H787">IFERROR(
  INDEX(
    SR!$B$2:$D2026,            
    MATCH($A787, SR!$A$2:$A2026, 0),  
    MATCH(H$1, SR!$B$1:$D$1, 0) ), "")
</f>
        <v>-0.00129</v>
      </c>
      <c r="I787" s="12">
        <f t="array" ref="I787">IFERROR(
  INDEX(
    SR!$B$2:$D2026,            
    MATCH($A787, SR!$A$2:$A2026, 0),  
    MATCH(I$1, SR!$B$1:$D$1, 0) ), "")
</f>
        <v>-0.00014</v>
      </c>
      <c r="J787" s="12">
        <f t="array" ref="J787">IFERROR(
  INDEX(
    SR!$B$2:$D2026,            
    MATCH($A787, SR!$A$2:$A2026, 0),  
    MATCH(J$1, SR!$B$1:$D$1, 0) ), "")
</f>
        <v>0.00235</v>
      </c>
      <c r="K787" s="14"/>
      <c r="L787" s="9">
        <v>121.47</v>
      </c>
      <c r="M787" s="9">
        <v>24.44</v>
      </c>
      <c r="N787" s="9">
        <v>115.18</v>
      </c>
      <c r="O787" s="9">
        <v>120.43</v>
      </c>
      <c r="P787" s="9">
        <v>126.71</v>
      </c>
      <c r="Q787" s="9">
        <v>1440.1399</v>
      </c>
      <c r="R787" s="14"/>
      <c r="S787" s="12">
        <f t="shared" si="2"/>
        <v>0.001005610688</v>
      </c>
      <c r="T787" s="12">
        <f t="shared" si="3"/>
        <v>1.001005611</v>
      </c>
      <c r="U787" s="16">
        <f t="shared" si="7"/>
        <v>101.681728</v>
      </c>
      <c r="V787" s="17"/>
      <c r="W787" s="12">
        <f t="array" ref="W787">SQRT(252/20) *  SQRT( SUMSQ( LN(U766:U785 / U765:U784) )  - (1/20) * ( SUM( LN(U766:U785 / U765:U784) ) ^ 2 ) )</f>
        <v>0.020778953</v>
      </c>
      <c r="X787" s="9">
        <f t="shared" si="4"/>
        <v>1.5</v>
      </c>
      <c r="Y787" s="14"/>
      <c r="Z787" s="12">
        <f t="shared" si="5"/>
        <v>1.00151361</v>
      </c>
      <c r="AA787" s="16">
        <f t="shared" si="8"/>
        <v>102.7683448</v>
      </c>
      <c r="AB787" s="14"/>
      <c r="AC787" s="9">
        <f t="shared" si="6"/>
        <v>0</v>
      </c>
    </row>
    <row r="788">
      <c r="A788" s="8">
        <v>42866.0</v>
      </c>
      <c r="B788" s="14"/>
      <c r="C788" s="12">
        <f t="array" ref="C788">IFERROR(
  INDEX(
    IR!$B$2:$E2026,                
    MATCH($A788, IR!$A$2:$A2026, 0), 
    MATCH(C$1, IR!$B$1:$E$1, 0) ), "")
</f>
        <v>-0.00374</v>
      </c>
      <c r="D788" s="12">
        <f t="array" ref="D788">IFERROR(
  INDEX(
    IR!$B$2:$E2026,                
    MATCH($A788, IR!$A$2:$A2026, 0), 
    MATCH(D$1, IR!$B$1:$E$1, 0) ), "")
</f>
        <v>-0.00329</v>
      </c>
      <c r="E788" s="12">
        <f t="array" ref="E788">IFERROR(
  INDEX(
    IR!$B$2:$E2026,                
    MATCH($A788, IR!$A$2:$A2026, 0), 
    MATCH(E$1, IR!$B$1:$E$1, 0) ), "")
</f>
        <v>-0.0025</v>
      </c>
      <c r="F788" s="12">
        <f t="array" ref="F788">IFERROR(
  INDEX(
    IR!$B$2:$E2026,                
    MATCH($A788, IR!$A$2:$A2026, 0), 
    MATCH(F$1, IR!$B$1:$E$1, 0) ), "")
</f>
        <v>-0.00124</v>
      </c>
      <c r="G788" s="25"/>
      <c r="H788" s="12">
        <f t="array" ref="H788">IFERROR(
  INDEX(
    SR!$B$2:$D2026,            
    MATCH($A788, SR!$A$2:$A2026, 0),  
    MATCH(H$1, SR!$B$1:$D$1, 0) ), "")
</f>
        <v>-0.00134</v>
      </c>
      <c r="I788" s="12">
        <f t="array" ref="I788">IFERROR(
  INDEX(
    SR!$B$2:$D2026,            
    MATCH($A788, SR!$A$2:$A2026, 0),  
    MATCH(I$1, SR!$B$1:$D$1, 0) ), "")
</f>
        <v>-0.0002</v>
      </c>
      <c r="J788" s="12">
        <f t="array" ref="J788">IFERROR(
  INDEX(
    SR!$B$2:$D2026,            
    MATCH($A788, SR!$A$2:$A2026, 0),  
    MATCH(J$1, SR!$B$1:$D$1, 0) ), "")
</f>
        <v>0.00226</v>
      </c>
      <c r="K788" s="14"/>
      <c r="L788" s="9">
        <v>121.32</v>
      </c>
      <c r="M788" s="9">
        <v>24.44</v>
      </c>
      <c r="N788" s="9">
        <v>115.19</v>
      </c>
      <c r="O788" s="9">
        <v>120.42</v>
      </c>
      <c r="P788" s="9">
        <v>126.99</v>
      </c>
      <c r="Q788" s="9">
        <v>1441.6419</v>
      </c>
      <c r="R788" s="14"/>
      <c r="S788" s="12">
        <f t="shared" si="2"/>
        <v>0.0003369089536</v>
      </c>
      <c r="T788" s="12">
        <f t="shared" si="3"/>
        <v>1.000336909</v>
      </c>
      <c r="U788" s="16">
        <f t="shared" si="7"/>
        <v>101.7159855</v>
      </c>
      <c r="V788" s="17"/>
      <c r="W788" s="12">
        <f t="array" ref="W788">SQRT(252/20) *  SQRT( SUMSQ( LN(U767:U786 / U766:U785) )  - (1/20) * ( SUM( LN(U767:U786 / U766:U785) ) ^ 2 ) )</f>
        <v>0.02011886645</v>
      </c>
      <c r="X788" s="9">
        <f t="shared" si="4"/>
        <v>1.5</v>
      </c>
      <c r="Y788" s="14"/>
      <c r="Z788" s="12">
        <f t="shared" si="5"/>
        <v>1.000510558</v>
      </c>
      <c r="AA788" s="16">
        <f t="shared" si="8"/>
        <v>102.820814</v>
      </c>
      <c r="AB788" s="14"/>
      <c r="AC788" s="9">
        <f t="shared" si="6"/>
        <v>0</v>
      </c>
    </row>
    <row r="789">
      <c r="A789" s="8">
        <v>42867.0</v>
      </c>
      <c r="B789" s="14"/>
      <c r="C789" s="12">
        <f t="array" ref="C789">IFERROR(
  INDEX(
    IR!$B$2:$E2026,                
    MATCH($A789, IR!$A$2:$A2026, 0), 
    MATCH(C$1, IR!$B$1:$E$1, 0) ), "")
</f>
        <v>-0.00373</v>
      </c>
      <c r="D789" s="12">
        <f t="array" ref="D789">IFERROR(
  INDEX(
    IR!$B$2:$E2026,                
    MATCH($A789, IR!$A$2:$A2026, 0), 
    MATCH(D$1, IR!$B$1:$E$1, 0) ), "")
</f>
        <v>-0.00329</v>
      </c>
      <c r="E789" s="12">
        <f t="array" ref="E789">IFERROR(
  INDEX(
    IR!$B$2:$E2026,                
    MATCH($A789, IR!$A$2:$A2026, 0), 
    MATCH(E$1, IR!$B$1:$E$1, 0) ), "")
</f>
        <v>-0.00251</v>
      </c>
      <c r="F789" s="12">
        <f t="array" ref="F789">IFERROR(
  INDEX(
    IR!$B$2:$E2026,                
    MATCH($A789, IR!$A$2:$A2026, 0), 
    MATCH(F$1, IR!$B$1:$E$1, 0) ), "")
</f>
        <v>-0.00127</v>
      </c>
      <c r="G789" s="25"/>
      <c r="H789" s="12">
        <f t="array" ref="H789">IFERROR(
  INDEX(
    SR!$B$2:$D2026,            
    MATCH($A789, SR!$A$2:$A2026, 0),  
    MATCH(H$1, SR!$B$1:$D$1, 0) ), "")
</f>
        <v>-0.00145</v>
      </c>
      <c r="I789" s="12">
        <f t="array" ref="I789">IFERROR(
  INDEX(
    SR!$B$2:$D2026,            
    MATCH($A789, SR!$A$2:$A2026, 0),  
    MATCH(I$1, SR!$B$1:$D$1, 0) ), "")
</f>
        <v>-0.00039</v>
      </c>
      <c r="J789" s="12">
        <f t="array" ref="J789">IFERROR(
  INDEX(
    SR!$B$2:$D2026,            
    MATCH($A789, SR!$A$2:$A2026, 0),  
    MATCH(J$1, SR!$B$1:$D$1, 0) ), "")
</f>
        <v>0.00209</v>
      </c>
      <c r="K789" s="14"/>
      <c r="L789" s="9">
        <v>121.37</v>
      </c>
      <c r="M789" s="9">
        <v>24.43</v>
      </c>
      <c r="N789" s="9">
        <v>115.2</v>
      </c>
      <c r="O789" s="9">
        <v>120.15</v>
      </c>
      <c r="P789" s="9">
        <v>127.1</v>
      </c>
      <c r="Q789" s="9">
        <v>1438.9351</v>
      </c>
      <c r="R789" s="14"/>
      <c r="S789" s="12">
        <f t="shared" si="2"/>
        <v>-0.0005272673297</v>
      </c>
      <c r="T789" s="12">
        <f t="shared" si="3"/>
        <v>0.9994727327</v>
      </c>
      <c r="U789" s="16">
        <f t="shared" si="7"/>
        <v>101.662354</v>
      </c>
      <c r="V789" s="17"/>
      <c r="W789" s="12">
        <f t="array" ref="W789">SQRT(252/20) *  SQRT( SUMSQ( LN(U768:U787 / U767:U786) )  - (1/20) * ( SUM( LN(U768:U787 / U767:U786) ) ^ 2 ) )</f>
        <v>0.01977578894</v>
      </c>
      <c r="X789" s="9">
        <f t="shared" si="4"/>
        <v>1.5</v>
      </c>
      <c r="Y789" s="14"/>
      <c r="Z789" s="12">
        <f t="shared" si="5"/>
        <v>0.9992142934</v>
      </c>
      <c r="AA789" s="16">
        <f t="shared" si="8"/>
        <v>102.740027</v>
      </c>
      <c r="AB789" s="14"/>
      <c r="AC789" s="9">
        <f t="shared" si="6"/>
        <v>0</v>
      </c>
    </row>
    <row r="790">
      <c r="A790" s="8">
        <v>42870.0</v>
      </c>
      <c r="B790" s="14"/>
      <c r="C790" s="12">
        <f t="array" ref="C790">IFERROR(
  INDEX(
    IR!$B$2:$E2026,                
    MATCH($A790, IR!$A$2:$A2026, 0), 
    MATCH(C$1, IR!$B$1:$E$1, 0) ), "")
</f>
        <v>-0.00374</v>
      </c>
      <c r="D790" s="12">
        <f t="array" ref="D790">IFERROR(
  INDEX(
    IR!$B$2:$E2026,                
    MATCH($A790, IR!$A$2:$A2026, 0), 
    MATCH(D$1, IR!$B$1:$E$1, 0) ), "")
</f>
        <v>-0.0033</v>
      </c>
      <c r="E790" s="12">
        <f t="array" ref="E790">IFERROR(
  INDEX(
    IR!$B$2:$E2026,                
    MATCH($A790, IR!$A$2:$A2026, 0), 
    MATCH(E$1, IR!$B$1:$E$1, 0) ), "")
</f>
        <v>-0.00251</v>
      </c>
      <c r="F790" s="12">
        <f t="array" ref="F790">IFERROR(
  INDEX(
    IR!$B$2:$E2026,                
    MATCH($A790, IR!$A$2:$A2026, 0), 
    MATCH(F$1, IR!$B$1:$E$1, 0) ), "")
</f>
        <v>-0.00127</v>
      </c>
      <c r="G790" s="25"/>
      <c r="H790" s="12">
        <f t="array" ref="H790">IFERROR(
  INDEX(
    SR!$B$2:$D2026,            
    MATCH($A790, SR!$A$2:$A2026, 0),  
    MATCH(H$1, SR!$B$1:$D$1, 0) ), "")
</f>
        <v>-0.00145</v>
      </c>
      <c r="I790" s="12">
        <f t="array" ref="I790">IFERROR(
  INDEX(
    SR!$B$2:$D2026,            
    MATCH($A790, SR!$A$2:$A2026, 0),  
    MATCH(I$1, SR!$B$1:$D$1, 0) ), "")
</f>
        <v>-0.000393</v>
      </c>
      <c r="J790" s="12">
        <f t="array" ref="J790">IFERROR(
  INDEX(
    SR!$B$2:$D2026,            
    MATCH($A790, SR!$A$2:$A2026, 0),  
    MATCH(J$1, SR!$B$1:$D$1, 0) ), "")
</f>
        <v>0.00211</v>
      </c>
      <c r="K790" s="14"/>
      <c r="L790" s="9">
        <v>121.6</v>
      </c>
      <c r="M790" s="9">
        <v>24.42</v>
      </c>
      <c r="N790" s="9">
        <v>115.21</v>
      </c>
      <c r="O790" s="9">
        <v>120.56</v>
      </c>
      <c r="P790" s="9">
        <v>127.2</v>
      </c>
      <c r="Q790" s="9">
        <v>1438.8512</v>
      </c>
      <c r="R790" s="14"/>
      <c r="S790" s="12">
        <f t="shared" si="2"/>
        <v>0.0009518433953</v>
      </c>
      <c r="T790" s="12">
        <f t="shared" si="3"/>
        <v>1.000951843</v>
      </c>
      <c r="U790" s="16">
        <f t="shared" si="7"/>
        <v>101.7591206</v>
      </c>
      <c r="V790" s="17"/>
      <c r="W790" s="12">
        <f t="array" ref="W790">SQRT(252/20) *  SQRT( SUMSQ( LN(U769:U788 / U768:U787) )  - (1/20) * ( SUM( LN(U769:U788 / U768:U787) ) ^ 2 ) )</f>
        <v>0.01975531731</v>
      </c>
      <c r="X790" s="9">
        <f t="shared" si="4"/>
        <v>1.5</v>
      </c>
      <c r="Y790" s="14"/>
      <c r="Z790" s="12">
        <f t="shared" si="5"/>
        <v>1.001443307</v>
      </c>
      <c r="AA790" s="16">
        <f t="shared" si="8"/>
        <v>102.8883124</v>
      </c>
      <c r="AB790" s="14"/>
      <c r="AC790" s="9">
        <f t="shared" si="6"/>
        <v>0</v>
      </c>
    </row>
    <row r="791">
      <c r="A791" s="8">
        <v>42871.0</v>
      </c>
      <c r="B791" s="14"/>
      <c r="C791" s="12">
        <f t="array" ref="C791">IFERROR(
  INDEX(
    IR!$B$2:$E2026,                
    MATCH($A791, IR!$A$2:$A2026, 0), 
    MATCH(C$1, IR!$B$1:$E$1, 0) ), "")
</f>
        <v>-0.00371</v>
      </c>
      <c r="D791" s="12">
        <f t="array" ref="D791">IFERROR(
  INDEX(
    IR!$B$2:$E2026,                
    MATCH($A791, IR!$A$2:$A2026, 0), 
    MATCH(D$1, IR!$B$1:$E$1, 0) ), "")
</f>
        <v>-0.00331</v>
      </c>
      <c r="E791" s="12">
        <f t="array" ref="E791">IFERROR(
  INDEX(
    IR!$B$2:$E2026,                
    MATCH($A791, IR!$A$2:$A2026, 0), 
    MATCH(E$1, IR!$B$1:$E$1, 0) ), "")
</f>
        <v>-0.0025</v>
      </c>
      <c r="F791" s="12">
        <f t="array" ref="F791">IFERROR(
  INDEX(
    IR!$B$2:$E2026,                
    MATCH($A791, IR!$A$2:$A2026, 0), 
    MATCH(F$1, IR!$B$1:$E$1, 0) ), "")
</f>
        <v>-0.00128</v>
      </c>
      <c r="G791" s="25"/>
      <c r="H791" s="12">
        <f t="array" ref="H791">IFERROR(
  INDEX(
    SR!$B$2:$D2026,            
    MATCH($A791, SR!$A$2:$A2026, 0),  
    MATCH(H$1, SR!$B$1:$D$1, 0) ), "")
</f>
        <v>-0.00136</v>
      </c>
      <c r="I791" s="12">
        <f t="array" ref="I791">IFERROR(
  INDEX(
    SR!$B$2:$D2026,            
    MATCH($A791, SR!$A$2:$A2026, 0),  
    MATCH(I$1, SR!$B$1:$D$1, 0) ), "")
</f>
        <v>-0.000316</v>
      </c>
      <c r="J791" s="12">
        <f t="array" ref="J791">IFERROR(
  INDEX(
    SR!$B$2:$D2026,            
    MATCH($A791, SR!$A$2:$A2026, 0),  
    MATCH(J$1, SR!$B$1:$D$1, 0) ), "")
</f>
        <v>0.00227</v>
      </c>
      <c r="K791" s="14"/>
      <c r="L791" s="9">
        <v>121.73</v>
      </c>
      <c r="M791" s="9">
        <v>24.4</v>
      </c>
      <c r="N791" s="9">
        <v>115.2</v>
      </c>
      <c r="O791" s="9">
        <v>120.64</v>
      </c>
      <c r="P791" s="9">
        <v>127.4</v>
      </c>
      <c r="Q791" s="9">
        <v>1442.343</v>
      </c>
      <c r="R791" s="14"/>
      <c r="S791" s="12">
        <f t="shared" si="2"/>
        <v>0.0008042500004</v>
      </c>
      <c r="T791" s="12">
        <f t="shared" si="3"/>
        <v>1.00080425</v>
      </c>
      <c r="U791" s="16">
        <f t="shared" si="7"/>
        <v>101.8409604</v>
      </c>
      <c r="V791" s="17"/>
      <c r="W791" s="12">
        <f t="array" ref="W791">SQRT(252/20) *  SQRT( SUMSQ( LN(U770:U789 / U769:U788) )  - (1/20) * ( SUM( LN(U770:U789 / U769:U788) ) ^ 2 ) )</f>
        <v>0.01992831108</v>
      </c>
      <c r="X791" s="9">
        <f t="shared" si="4"/>
        <v>1.5</v>
      </c>
      <c r="Y791" s="14"/>
      <c r="Z791" s="12">
        <f t="shared" si="5"/>
        <v>1.001211569</v>
      </c>
      <c r="AA791" s="16">
        <f t="shared" si="8"/>
        <v>103.0129687</v>
      </c>
      <c r="AB791" s="14"/>
      <c r="AC791" s="9">
        <f t="shared" si="6"/>
        <v>0</v>
      </c>
    </row>
    <row r="792">
      <c r="A792" s="8">
        <v>42872.0</v>
      </c>
      <c r="B792" s="14"/>
      <c r="C792" s="12">
        <f t="array" ref="C792">IFERROR(
  INDEX(
    IR!$B$2:$E2026,                
    MATCH($A792, IR!$A$2:$A2026, 0), 
    MATCH(C$1, IR!$B$1:$E$1, 0) ), "")
</f>
        <v>-0.00371</v>
      </c>
      <c r="D792" s="12">
        <f t="array" ref="D792">IFERROR(
  INDEX(
    IR!$B$2:$E2026,                
    MATCH($A792, IR!$A$2:$A2026, 0), 
    MATCH(D$1, IR!$B$1:$E$1, 0) ), "")
</f>
        <v>-0.00331</v>
      </c>
      <c r="E792" s="12">
        <f t="array" ref="E792">IFERROR(
  INDEX(
    IR!$B$2:$E2026,                
    MATCH($A792, IR!$A$2:$A2026, 0), 
    MATCH(E$1, IR!$B$1:$E$1, 0) ), "")
</f>
        <v>-0.00251</v>
      </c>
      <c r="F792" s="12">
        <f t="array" ref="F792">IFERROR(
  INDEX(
    IR!$B$2:$E2026,                
    MATCH($A792, IR!$A$2:$A2026, 0), 
    MATCH(F$1, IR!$B$1:$E$1, 0) ), "")
</f>
        <v>-0.00129</v>
      </c>
      <c r="G792" s="25"/>
      <c r="H792" s="12">
        <f t="array" ref="H792">IFERROR(
  INDEX(
    SR!$B$2:$D2026,            
    MATCH($A792, SR!$A$2:$A2026, 0),  
    MATCH(H$1, SR!$B$1:$D$1, 0) ), "")
</f>
        <v>-0.00154</v>
      </c>
      <c r="I792" s="12">
        <f t="array" ref="I792">IFERROR(
  INDEX(
    SR!$B$2:$D2026,            
    MATCH($A792, SR!$A$2:$A2026, 0),  
    MATCH(I$1, SR!$B$1:$D$1, 0) ), "")
</f>
        <v>-0.000555</v>
      </c>
      <c r="J792" s="12">
        <f t="array" ref="J792">IFERROR(
  INDEX(
    SR!$B$2:$D2026,            
    MATCH($A792, SR!$A$2:$A2026, 0),  
    MATCH(J$1, SR!$B$1:$D$1, 0) ), "")
</f>
        <v>0.001805</v>
      </c>
      <c r="K792" s="14"/>
      <c r="L792" s="9">
        <v>121.21</v>
      </c>
      <c r="M792" s="9">
        <v>24.4</v>
      </c>
      <c r="N792" s="9">
        <v>115.21</v>
      </c>
      <c r="O792" s="9">
        <v>120.76</v>
      </c>
      <c r="P792" s="9">
        <v>127.39</v>
      </c>
      <c r="Q792" s="9">
        <v>1442.991</v>
      </c>
      <c r="R792" s="14"/>
      <c r="S792" s="12">
        <f t="shared" si="2"/>
        <v>-0.00046967917</v>
      </c>
      <c r="T792" s="12">
        <f t="shared" si="3"/>
        <v>0.9995303208</v>
      </c>
      <c r="U792" s="16">
        <f t="shared" si="7"/>
        <v>101.7931278</v>
      </c>
      <c r="V792" s="17"/>
      <c r="W792" s="12">
        <f t="array" ref="W792">SQRT(252/20) *  SQRT( SUMSQ( LN(U771:U790 / U770:U789) )  - (1/20) * ( SUM( LN(U771:U790 / U770:U789) ) ^ 2 ) )</f>
        <v>0.01931153324</v>
      </c>
      <c r="X792" s="9">
        <f t="shared" si="4"/>
        <v>1.5</v>
      </c>
      <c r="Y792" s="14"/>
      <c r="Z792" s="12">
        <f t="shared" si="5"/>
        <v>0.999300634</v>
      </c>
      <c r="AA792" s="16">
        <f t="shared" si="8"/>
        <v>102.9409249</v>
      </c>
      <c r="AB792" s="14"/>
      <c r="AC792" s="9">
        <f t="shared" si="6"/>
        <v>0</v>
      </c>
    </row>
    <row r="793">
      <c r="A793" s="8">
        <v>42873.0</v>
      </c>
      <c r="B793" s="14"/>
      <c r="C793" s="12">
        <f t="array" ref="C793">IFERROR(
  INDEX(
    IR!$B$2:$E2026,                
    MATCH($A793, IR!$A$2:$A2026, 0), 
    MATCH(C$1, IR!$B$1:$E$1, 0) ), "")
</f>
        <v>-0.00371</v>
      </c>
      <c r="D793" s="12">
        <f t="array" ref="D793">IFERROR(
  INDEX(
    IR!$B$2:$E2026,                
    MATCH($A793, IR!$A$2:$A2026, 0), 
    MATCH(D$1, IR!$B$1:$E$1, 0) ), "")
</f>
        <v>-0.00331</v>
      </c>
      <c r="E793" s="12">
        <f t="array" ref="E793">IFERROR(
  INDEX(
    IR!$B$2:$E2026,                
    MATCH($A793, IR!$A$2:$A2026, 0), 
    MATCH(E$1, IR!$B$1:$E$1, 0) ), "")
</f>
        <v>-0.00251</v>
      </c>
      <c r="F793" s="12">
        <f t="array" ref="F793">IFERROR(
  INDEX(
    IR!$B$2:$E2026,                
    MATCH($A793, IR!$A$2:$A2026, 0), 
    MATCH(F$1, IR!$B$1:$E$1, 0) ), "")
</f>
        <v>-0.00129</v>
      </c>
      <c r="G793" s="25"/>
      <c r="H793" s="12">
        <f t="array" ref="H793">IFERROR(
  INDEX(
    SR!$B$2:$D2026,            
    MATCH($A793, SR!$A$2:$A2026, 0),  
    MATCH(H$1, SR!$B$1:$D$1, 0) ), "")
</f>
        <v>-0.00153</v>
      </c>
      <c r="I793" s="12">
        <f t="array" ref="I793">IFERROR(
  INDEX(
    SR!$B$2:$D2026,            
    MATCH($A793, SR!$A$2:$A2026, 0),  
    MATCH(I$1, SR!$B$1:$D$1, 0) ), "")
</f>
        <v>-0.00046</v>
      </c>
      <c r="J793" s="12">
        <f t="array" ref="J793">IFERROR(
  INDEX(
    SR!$B$2:$D2026,            
    MATCH($A793, SR!$A$2:$A2026, 0),  
    MATCH(J$1, SR!$B$1:$D$1, 0) ), "")
</f>
        <v>0.0018</v>
      </c>
      <c r="K793" s="14"/>
      <c r="L793" s="9">
        <v>121.01</v>
      </c>
      <c r="M793" s="9">
        <v>24.4</v>
      </c>
      <c r="N793" s="9">
        <v>115.15</v>
      </c>
      <c r="O793" s="9">
        <v>120.26</v>
      </c>
      <c r="P793" s="9">
        <v>126.98</v>
      </c>
      <c r="Q793" s="9">
        <v>1431.636</v>
      </c>
      <c r="R793" s="14"/>
      <c r="S793" s="12">
        <f t="shared" si="2"/>
        <v>-0.002899426286</v>
      </c>
      <c r="T793" s="12">
        <f t="shared" si="3"/>
        <v>0.9971005737</v>
      </c>
      <c r="U793" s="16">
        <f t="shared" si="7"/>
        <v>101.4979861</v>
      </c>
      <c r="V793" s="17"/>
      <c r="W793" s="12">
        <f t="array" ref="W793">SQRT(252/20) *  SQRT( SUMSQ( LN(U772:U791 / U771:U790) )  - (1/20) * ( SUM( LN(U772:U791 / U771:U790) ) ^ 2 ) )</f>
        <v>0.01922254257</v>
      </c>
      <c r="X793" s="9">
        <f t="shared" si="4"/>
        <v>1.5</v>
      </c>
      <c r="Y793" s="14"/>
      <c r="Z793" s="12">
        <f t="shared" si="5"/>
        <v>0.9956560133</v>
      </c>
      <c r="AA793" s="16">
        <f t="shared" si="8"/>
        <v>102.4937509</v>
      </c>
      <c r="AB793" s="14"/>
      <c r="AC793" s="9">
        <f t="shared" si="6"/>
        <v>0</v>
      </c>
    </row>
    <row r="794">
      <c r="A794" s="8">
        <v>42874.0</v>
      </c>
      <c r="B794" s="14"/>
      <c r="C794" s="12">
        <f t="array" ref="C794">IFERROR(
  INDEX(
    IR!$B$2:$E2026,                
    MATCH($A794, IR!$A$2:$A2026, 0), 
    MATCH(C$1, IR!$B$1:$E$1, 0) ), "")
</f>
        <v>-0.00374</v>
      </c>
      <c r="D794" s="12">
        <f t="array" ref="D794">IFERROR(
  INDEX(
    IR!$B$2:$E2026,                
    MATCH($A794, IR!$A$2:$A2026, 0), 
    MATCH(D$1, IR!$B$1:$E$1, 0) ), "")
</f>
        <v>-0.00331</v>
      </c>
      <c r="E794" s="12">
        <f t="array" ref="E794">IFERROR(
  INDEX(
    IR!$B$2:$E2026,                
    MATCH($A794, IR!$A$2:$A2026, 0), 
    MATCH(E$1, IR!$B$1:$E$1, 0) ), "")
</f>
        <v>-0.00251</v>
      </c>
      <c r="F794" s="12">
        <f t="array" ref="F794">IFERROR(
  INDEX(
    IR!$B$2:$E2026,                
    MATCH($A794, IR!$A$2:$A2026, 0), 
    MATCH(F$1, IR!$B$1:$E$1, 0) ), "")
</f>
        <v>-0.00129</v>
      </c>
      <c r="G794" s="25"/>
      <c r="H794" s="12">
        <f t="array" ref="H794">IFERROR(
  INDEX(
    SR!$B$2:$D2026,            
    MATCH($A794, SR!$A$2:$A2026, 0),  
    MATCH(H$1, SR!$B$1:$D$1, 0) ), "")
</f>
        <v>-0.0014</v>
      </c>
      <c r="I794" s="12">
        <f t="array" ref="I794">IFERROR(
  INDEX(
    SR!$B$2:$D2026,            
    MATCH($A794, SR!$A$2:$A2026, 0),  
    MATCH(I$1, SR!$B$1:$D$1, 0) ), "")
</f>
        <v>-0.00036</v>
      </c>
      <c r="J794" s="12">
        <f t="array" ref="J794">IFERROR(
  INDEX(
    SR!$B$2:$D2026,            
    MATCH($A794, SR!$A$2:$A2026, 0),  
    MATCH(J$1, SR!$B$1:$D$1, 0) ), "")
</f>
        <v>0.00199</v>
      </c>
      <c r="K794" s="14"/>
      <c r="L794" s="9">
        <v>121.42</v>
      </c>
      <c r="M794" s="9">
        <v>24.38</v>
      </c>
      <c r="N794" s="9">
        <v>115.16</v>
      </c>
      <c r="O794" s="9">
        <v>119.95</v>
      </c>
      <c r="P794" s="9">
        <v>126.75</v>
      </c>
      <c r="Q794" s="9">
        <v>1431.062</v>
      </c>
      <c r="R794" s="14"/>
      <c r="S794" s="12">
        <f t="shared" si="2"/>
        <v>-0.0003556771367</v>
      </c>
      <c r="T794" s="12">
        <f t="shared" si="3"/>
        <v>0.9996443229</v>
      </c>
      <c r="U794" s="16">
        <f t="shared" si="7"/>
        <v>101.4618856</v>
      </c>
      <c r="V794" s="17"/>
      <c r="W794" s="12">
        <f t="array" ref="W794">SQRT(252/20) *  SQRT( SUMSQ( LN(U773:U792 / U772:U791) )  - (1/20) * ( SUM( LN(U773:U792 / U772:U791) ) ^ 2 ) )</f>
        <v>0.01807947896</v>
      </c>
      <c r="X794" s="9">
        <f t="shared" si="4"/>
        <v>1.5</v>
      </c>
      <c r="Y794" s="14"/>
      <c r="Z794" s="12">
        <f t="shared" si="5"/>
        <v>0.9994716371</v>
      </c>
      <c r="AA794" s="16">
        <f t="shared" si="8"/>
        <v>102.439597</v>
      </c>
      <c r="AB794" s="14"/>
      <c r="AC794" s="9">
        <f t="shared" si="6"/>
        <v>0</v>
      </c>
    </row>
    <row r="795">
      <c r="A795" s="8">
        <v>42877.0</v>
      </c>
      <c r="B795" s="14"/>
      <c r="C795" s="12">
        <f t="array" ref="C795">IFERROR(
  INDEX(
    IR!$B$2:$E2026,                
    MATCH($A795, IR!$A$2:$A2026, 0), 
    MATCH(C$1, IR!$B$1:$E$1, 0) ), "")
</f>
        <v>-0.00374</v>
      </c>
      <c r="D795" s="12">
        <f t="array" ref="D795">IFERROR(
  INDEX(
    IR!$B$2:$E2026,                
    MATCH($A795, IR!$A$2:$A2026, 0), 
    MATCH(D$1, IR!$B$1:$E$1, 0) ), "")
</f>
        <v>-0.00329</v>
      </c>
      <c r="E795" s="12">
        <f t="array" ref="E795">IFERROR(
  INDEX(
    IR!$B$2:$E2026,                
    MATCH($A795, IR!$A$2:$A2026, 0), 
    MATCH(E$1, IR!$B$1:$E$1, 0) ), "")
</f>
        <v>-0.00251</v>
      </c>
      <c r="F795" s="12">
        <f t="array" ref="F795">IFERROR(
  INDEX(
    IR!$B$2:$E2026,                
    MATCH($A795, IR!$A$2:$A2026, 0), 
    MATCH(F$1, IR!$B$1:$E$1, 0) ), "")
</f>
        <v>-0.00129</v>
      </c>
      <c r="G795" s="25"/>
      <c r="H795" s="12">
        <f t="array" ref="H795">IFERROR(
  INDEX(
    SR!$B$2:$D2026,            
    MATCH($A795, SR!$A$2:$A2026, 0),  
    MATCH(H$1, SR!$B$1:$D$1, 0) ), "")
</f>
        <v>-0.00133</v>
      </c>
      <c r="I795" s="12">
        <f t="array" ref="I795">IFERROR(
  INDEX(
    SR!$B$2:$D2026,            
    MATCH($A795, SR!$A$2:$A2026, 0),  
    MATCH(I$1, SR!$B$1:$D$1, 0) ), "")
</f>
        <v>-0.000247</v>
      </c>
      <c r="J795" s="12">
        <f t="array" ref="J795">IFERROR(
  INDEX(
    SR!$B$2:$D2026,            
    MATCH($A795, SR!$A$2:$A2026, 0),  
    MATCH(J$1, SR!$B$1:$D$1, 0) ), "")
</f>
        <v>0.00218</v>
      </c>
      <c r="K795" s="14"/>
      <c r="L795" s="9">
        <v>121.39</v>
      </c>
      <c r="M795" s="9">
        <v>24.38</v>
      </c>
      <c r="N795" s="9">
        <v>115.18</v>
      </c>
      <c r="O795" s="9">
        <v>120.19</v>
      </c>
      <c r="P795" s="9">
        <v>126.85</v>
      </c>
      <c r="Q795" s="9">
        <v>1435.849</v>
      </c>
      <c r="R795" s="14"/>
      <c r="S795" s="12">
        <f t="shared" si="2"/>
        <v>0.001010172356</v>
      </c>
      <c r="T795" s="12">
        <f t="shared" si="3"/>
        <v>1.001010172</v>
      </c>
      <c r="U795" s="16">
        <f t="shared" si="7"/>
        <v>101.5643796</v>
      </c>
      <c r="V795" s="17"/>
      <c r="W795" s="12">
        <f t="array" ref="W795">SQRT(252/20) *  SQRT( SUMSQ( LN(U774:U793 / U773:U792) )  - (1/20) * ( SUM( LN(U774:U793 / U773:U792) ) ^ 2 ) )</f>
        <v>0.02094948105</v>
      </c>
      <c r="X795" s="9">
        <f t="shared" si="4"/>
        <v>1.5</v>
      </c>
      <c r="Y795" s="14"/>
      <c r="Z795" s="12">
        <f t="shared" si="5"/>
        <v>1.001530842</v>
      </c>
      <c r="AA795" s="16">
        <f t="shared" si="8"/>
        <v>102.5964158</v>
      </c>
      <c r="AB795" s="14"/>
      <c r="AC795" s="9">
        <f t="shared" si="6"/>
        <v>0</v>
      </c>
    </row>
    <row r="796">
      <c r="A796" s="8">
        <v>42878.0</v>
      </c>
      <c r="B796" s="14"/>
      <c r="C796" s="12">
        <f t="array" ref="C796">IFERROR(
  INDEX(
    IR!$B$2:$E2026,                
    MATCH($A796, IR!$A$2:$A2026, 0), 
    MATCH(C$1, IR!$B$1:$E$1, 0) ), "")
</f>
        <v>-0.00374</v>
      </c>
      <c r="D796" s="12">
        <f t="array" ref="D796">IFERROR(
  INDEX(
    IR!$B$2:$E2026,                
    MATCH($A796, IR!$A$2:$A2026, 0), 
    MATCH(D$1, IR!$B$1:$E$1, 0) ), "")
</f>
        <v>-0.0033</v>
      </c>
      <c r="E796" s="12">
        <f t="array" ref="E796">IFERROR(
  INDEX(
    IR!$B$2:$E2026,                
    MATCH($A796, IR!$A$2:$A2026, 0), 
    MATCH(E$1, IR!$B$1:$E$1, 0) ), "")
</f>
        <v>-0.00251</v>
      </c>
      <c r="F796" s="12">
        <f t="array" ref="F796">IFERROR(
  INDEX(
    IR!$B$2:$E2026,                
    MATCH($A796, IR!$A$2:$A2026, 0), 
    MATCH(F$1, IR!$B$1:$E$1, 0) ), "")
</f>
        <v>-0.00129</v>
      </c>
      <c r="G796" s="25"/>
      <c r="H796" s="12">
        <f t="array" ref="H796">IFERROR(
  INDEX(
    SR!$B$2:$D2026,            
    MATCH($A796, SR!$A$2:$A2026, 0),  
    MATCH(H$1, SR!$B$1:$D$1, 0) ), "")
</f>
        <v>-0.001313</v>
      </c>
      <c r="I796" s="12">
        <f t="array" ref="I796">IFERROR(
  INDEX(
    SR!$B$2:$D2026,            
    MATCH($A796, SR!$A$2:$A2026, 0),  
    MATCH(I$1, SR!$B$1:$D$1, 0) ), "")
</f>
        <v>-0.000249</v>
      </c>
      <c r="J796" s="12">
        <f t="array" ref="J796">IFERROR(
  INDEX(
    SR!$B$2:$D2026,            
    MATCH($A796, SR!$A$2:$A2026, 0),  
    MATCH(J$1, SR!$B$1:$D$1, 0) ), "")
</f>
        <v>0.00222</v>
      </c>
      <c r="K796" s="14"/>
      <c r="L796" s="9">
        <v>121.48</v>
      </c>
      <c r="M796" s="9">
        <v>24.38</v>
      </c>
      <c r="N796" s="9">
        <v>115.19</v>
      </c>
      <c r="O796" s="9">
        <v>120.07</v>
      </c>
      <c r="P796" s="9">
        <v>126.97</v>
      </c>
      <c r="Q796" s="9">
        <v>1439.185</v>
      </c>
      <c r="R796" s="14"/>
      <c r="S796" s="12">
        <f t="shared" si="2"/>
        <v>0.0005165551804</v>
      </c>
      <c r="T796" s="12">
        <f t="shared" si="3"/>
        <v>1.000516555</v>
      </c>
      <c r="U796" s="16">
        <f t="shared" si="7"/>
        <v>101.6168432</v>
      </c>
      <c r="V796" s="17"/>
      <c r="W796" s="12">
        <f t="array" ref="W796">SQRT(252/20) *  SQRT( SUMSQ( LN(U775:U794 / U774:U793) )  - (1/20) * ( SUM( LN(U775:U794 / U774:U793) ) ^ 2 ) )</f>
        <v>0.02109747837</v>
      </c>
      <c r="X796" s="9">
        <f t="shared" si="4"/>
        <v>1.5</v>
      </c>
      <c r="Y796" s="14"/>
      <c r="Z796" s="12">
        <f t="shared" si="5"/>
        <v>1.000780027</v>
      </c>
      <c r="AA796" s="16">
        <f t="shared" si="8"/>
        <v>102.6764438</v>
      </c>
      <c r="AB796" s="14"/>
      <c r="AC796" s="9">
        <f t="shared" si="6"/>
        <v>0</v>
      </c>
    </row>
    <row r="797">
      <c r="A797" s="8">
        <v>42879.0</v>
      </c>
      <c r="B797" s="14"/>
      <c r="C797" s="12">
        <f t="array" ref="C797">IFERROR(
  INDEX(
    IR!$B$2:$E2026,                
    MATCH($A797, IR!$A$2:$A2026, 0), 
    MATCH(C$1, IR!$B$1:$E$1, 0) ), "")
</f>
        <v>-0.00373</v>
      </c>
      <c r="D797" s="12">
        <f t="array" ref="D797">IFERROR(
  INDEX(
    IR!$B$2:$E2026,                
    MATCH($A797, IR!$A$2:$A2026, 0), 
    MATCH(D$1, IR!$B$1:$E$1, 0) ), "")
</f>
        <v>-0.00329</v>
      </c>
      <c r="E797" s="12">
        <f t="array" ref="E797">IFERROR(
  INDEX(
    IR!$B$2:$E2026,                
    MATCH($A797, IR!$A$2:$A2026, 0), 
    MATCH(E$1, IR!$B$1:$E$1, 0) ), "")
</f>
        <v>-0.0025</v>
      </c>
      <c r="F797" s="12">
        <f t="array" ref="F797">IFERROR(
  INDEX(
    IR!$B$2:$E2026,                
    MATCH($A797, IR!$A$2:$A2026, 0), 
    MATCH(F$1, IR!$B$1:$E$1, 0) ), "")
</f>
        <v>-0.00129</v>
      </c>
      <c r="G797" s="25"/>
      <c r="H797" s="12">
        <f t="array" ref="H797">IFERROR(
  INDEX(
    SR!$B$2:$D2026,            
    MATCH($A797, SR!$A$2:$A2026, 0),  
    MATCH(H$1, SR!$B$1:$D$1, 0) ), "")
</f>
        <v>-0.00139</v>
      </c>
      <c r="I797" s="12">
        <f t="array" ref="I797">IFERROR(
  INDEX(
    SR!$B$2:$D2026,            
    MATCH($A797, SR!$A$2:$A2026, 0),  
    MATCH(I$1, SR!$B$1:$D$1, 0) ), "")
</f>
        <v>-0.00028</v>
      </c>
      <c r="J797" s="12">
        <f t="array" ref="J797">IFERROR(
  INDEX(
    SR!$B$2:$D2026,            
    MATCH($A797, SR!$A$2:$A2026, 0),  
    MATCH(J$1, SR!$B$1:$D$1, 0) ), "")
</f>
        <v>0.0022</v>
      </c>
      <c r="K797" s="14"/>
      <c r="L797" s="9">
        <v>121.49</v>
      </c>
      <c r="M797" s="9">
        <v>24.39</v>
      </c>
      <c r="N797" s="9">
        <v>115.2</v>
      </c>
      <c r="O797" s="9">
        <v>120.2</v>
      </c>
      <c r="P797" s="9">
        <v>127.03</v>
      </c>
      <c r="Q797" s="9">
        <v>1438.781</v>
      </c>
      <c r="R797" s="14"/>
      <c r="S797" s="12">
        <f t="shared" si="2"/>
        <v>0.0003088222286</v>
      </c>
      <c r="T797" s="12">
        <f t="shared" si="3"/>
        <v>1.000308822</v>
      </c>
      <c r="U797" s="16">
        <f t="shared" si="7"/>
        <v>101.6482247</v>
      </c>
      <c r="V797" s="17"/>
      <c r="W797" s="12">
        <f t="array" ref="W797">SQRT(252/20) *  SQRT( SUMSQ( LN(U776:U795 / U775:U794) )  - (1/20) * ( SUM( LN(U776:U795 / U775:U794) ) ^ 2 ) )</f>
        <v>0.0211839971</v>
      </c>
      <c r="X797" s="9">
        <f t="shared" si="4"/>
        <v>1.5</v>
      </c>
      <c r="Y797" s="14"/>
      <c r="Z797" s="12">
        <f t="shared" si="5"/>
        <v>1.000468428</v>
      </c>
      <c r="AA797" s="16">
        <f t="shared" si="8"/>
        <v>102.7245403</v>
      </c>
      <c r="AB797" s="14"/>
      <c r="AC797" s="9">
        <f t="shared" si="6"/>
        <v>0</v>
      </c>
    </row>
    <row r="798">
      <c r="A798" s="8">
        <v>42881.0</v>
      </c>
      <c r="B798" s="14"/>
      <c r="C798" s="12">
        <f t="array" ref="C798">IFERROR(
  INDEX(
    IR!$B$2:$E2026,                
    MATCH($A798, IR!$A$2:$A2026, 0), 
    MATCH(C$1, IR!$B$1:$E$1, 0) ), "")
</f>
        <v>-0.00371</v>
      </c>
      <c r="D798" s="12">
        <f t="array" ref="D798">IFERROR(
  INDEX(
    IR!$B$2:$E2026,                
    MATCH($A798, IR!$A$2:$A2026, 0), 
    MATCH(D$1, IR!$B$1:$E$1, 0) ), "")
</f>
        <v>-0.00329</v>
      </c>
      <c r="E798" s="12">
        <f t="array" ref="E798">IFERROR(
  INDEX(
    IR!$B$2:$E2026,                
    MATCH($A798, IR!$A$2:$A2026, 0), 
    MATCH(E$1, IR!$B$1:$E$1, 0) ), "")
</f>
        <v>-0.00254</v>
      </c>
      <c r="F798" s="12">
        <f t="array" ref="F798">IFERROR(
  INDEX(
    IR!$B$2:$E2026,                
    MATCH($A798, IR!$A$2:$A2026, 0), 
    MATCH(F$1, IR!$B$1:$E$1, 0) ), "")
</f>
        <v>-0.0013</v>
      </c>
      <c r="G798" s="25"/>
      <c r="H798" s="12">
        <f t="array" ref="H798">IFERROR(
  INDEX(
    SR!$B$2:$D2026,            
    MATCH($A798, SR!$A$2:$A2026, 0),  
    MATCH(H$1, SR!$B$1:$D$1, 0) ), "")
</f>
        <v>-0.001562</v>
      </c>
      <c r="I798" s="12">
        <f t="array" ref="I798">IFERROR(
  INDEX(
    SR!$B$2:$D2026,            
    MATCH($A798, SR!$A$2:$A2026, 0),  
    MATCH(I$1, SR!$B$1:$D$1, 0) ), "")
</f>
        <v>-0.000516</v>
      </c>
      <c r="J798" s="12">
        <f t="array" ref="J798">IFERROR(
  INDEX(
    SR!$B$2:$D2026,            
    MATCH($A798, SR!$A$2:$A2026, 0),  
    MATCH(J$1, SR!$B$1:$D$1, 0) ), "")
</f>
        <v>0.001835</v>
      </c>
      <c r="K798" s="14"/>
      <c r="L798" s="9">
        <v>121.52</v>
      </c>
      <c r="M798" s="9">
        <v>24.38</v>
      </c>
      <c r="N798" s="9">
        <v>115.22</v>
      </c>
      <c r="O798" s="9">
        <v>120.14</v>
      </c>
      <c r="P798" s="9">
        <v>127.16</v>
      </c>
      <c r="Q798" s="9">
        <v>1439.827</v>
      </c>
      <c r="R798" s="14"/>
      <c r="S798" s="12">
        <f t="shared" si="2"/>
        <v>0.0002102814973</v>
      </c>
      <c r="T798" s="12">
        <f t="shared" si="3"/>
        <v>1.000210281</v>
      </c>
      <c r="U798" s="16">
        <f t="shared" si="7"/>
        <v>101.6695995</v>
      </c>
      <c r="V798" s="17"/>
      <c r="W798" s="12">
        <f t="array" ref="W798">SQRT(252/20) *  SQRT( SUMSQ( LN(U777:U796 / U776:U795) )  - (1/20) * ( SUM( LN(U777:U796 / U776:U795) ) ^ 2 ) )</f>
        <v>0.02071270843</v>
      </c>
      <c r="X798" s="9">
        <f t="shared" si="4"/>
        <v>1.5</v>
      </c>
      <c r="Y798" s="14"/>
      <c r="Z798" s="12">
        <f t="shared" si="5"/>
        <v>1.000325783</v>
      </c>
      <c r="AA798" s="16">
        <f t="shared" si="8"/>
        <v>102.7580063</v>
      </c>
      <c r="AB798" s="14"/>
      <c r="AC798" s="9">
        <f t="shared" si="6"/>
        <v>0</v>
      </c>
    </row>
    <row r="799">
      <c r="A799" s="8">
        <v>42884.0</v>
      </c>
      <c r="B799" s="14"/>
      <c r="C799" s="12">
        <f t="array" ref="C799">IFERROR(
  INDEX(
    IR!$B$2:$E2026,                
    MATCH($A799, IR!$A$2:$A2026, 0), 
    MATCH(C$1, IR!$B$1:$E$1, 0) ), "")
</f>
        <v>-0.00372</v>
      </c>
      <c r="D799" s="12">
        <f t="array" ref="D799">IFERROR(
  INDEX(
    IR!$B$2:$E2026,                
    MATCH($A799, IR!$A$2:$A2026, 0), 
    MATCH(D$1, IR!$B$1:$E$1, 0) ), "")
</f>
        <v>-0.00329</v>
      </c>
      <c r="E799" s="12">
        <f t="array" ref="E799">IFERROR(
  INDEX(
    IR!$B$2:$E2026,                
    MATCH($A799, IR!$A$2:$A2026, 0), 
    MATCH(E$1, IR!$B$1:$E$1, 0) ), "")
</f>
        <v>-0.00254</v>
      </c>
      <c r="F799" s="12">
        <f t="array" ref="F799">IFERROR(
  INDEX(
    IR!$B$2:$E2026,                
    MATCH($A799, IR!$A$2:$A2026, 0), 
    MATCH(F$1, IR!$B$1:$E$1, 0) ), "")
</f>
        <v>-0.00131</v>
      </c>
      <c r="G799" s="25"/>
      <c r="H799" s="12">
        <f t="array" ref="H799">IFERROR(
  INDEX(
    SR!$B$2:$D2026,            
    MATCH($A799, SR!$A$2:$A2026, 0),  
    MATCH(H$1, SR!$B$1:$D$1, 0) ), "")
</f>
        <v>-0.001605</v>
      </c>
      <c r="I799" s="12">
        <f t="array" ref="I799">IFERROR(
  INDEX(
    SR!$B$2:$D2026,            
    MATCH($A799, SR!$A$2:$A2026, 0),  
    MATCH(I$1, SR!$B$1:$D$1, 0) ), "")
</f>
        <v>-0.000664</v>
      </c>
      <c r="J799" s="12">
        <f t="array" ref="J799">IFERROR(
  INDEX(
    SR!$B$2:$D2026,            
    MATCH($A799, SR!$A$2:$A2026, 0),  
    MATCH(J$1, SR!$B$1:$D$1, 0) ), "")
</f>
        <v>0.00171</v>
      </c>
      <c r="K799" s="14"/>
      <c r="L799" s="9">
        <v>121.47</v>
      </c>
      <c r="M799" s="9">
        <v>24.39</v>
      </c>
      <c r="N799" s="9">
        <v>115.25</v>
      </c>
      <c r="O799" s="9">
        <v>120.03</v>
      </c>
      <c r="P799" s="9">
        <v>127.35</v>
      </c>
      <c r="Q799" s="23">
        <v>1439.827</v>
      </c>
      <c r="R799" s="14"/>
      <c r="S799" s="12">
        <f t="shared" si="2"/>
        <v>0.0001395559757</v>
      </c>
      <c r="T799" s="12">
        <f t="shared" si="3"/>
        <v>1.000139556</v>
      </c>
      <c r="U799" s="16">
        <f t="shared" si="7"/>
        <v>101.6837881</v>
      </c>
      <c r="V799" s="17"/>
      <c r="W799" s="12">
        <f t="array" ref="W799">SQRT(252/20) *  SQRT( SUMSQ( LN(U778:U797 / U777:U796) )  - (1/20) * ( SUM( LN(U778:U797 / U777:U796) ) ^ 2 ) )</f>
        <v>0.01428492437</v>
      </c>
      <c r="X799" s="9">
        <f t="shared" si="4"/>
        <v>1.5</v>
      </c>
      <c r="Y799" s="14"/>
      <c r="Z799" s="12">
        <f t="shared" si="5"/>
        <v>1.000224792</v>
      </c>
      <c r="AA799" s="16">
        <f t="shared" si="8"/>
        <v>102.7811055</v>
      </c>
      <c r="AB799" s="14"/>
      <c r="AC799" s="9">
        <f t="shared" si="6"/>
        <v>0</v>
      </c>
    </row>
    <row r="800">
      <c r="A800" s="8">
        <v>42885.0</v>
      </c>
      <c r="B800" s="14"/>
      <c r="C800" s="12">
        <f t="array" ref="C800">IFERROR(
  INDEX(
    IR!$B$2:$E2026,                
    MATCH($A800, IR!$A$2:$A2026, 0), 
    MATCH(C$1, IR!$B$1:$E$1, 0) ), "")
</f>
        <v>-0.00373</v>
      </c>
      <c r="D800" s="12">
        <f t="array" ref="D800">IFERROR(
  INDEX(
    IR!$B$2:$E2026,                
    MATCH($A800, IR!$A$2:$A2026, 0), 
    MATCH(D$1, IR!$B$1:$E$1, 0) ), "")
</f>
        <v>-0.00329</v>
      </c>
      <c r="E800" s="12">
        <f t="array" ref="E800">IFERROR(
  INDEX(
    IR!$B$2:$E2026,                
    MATCH($A800, IR!$A$2:$A2026, 0), 
    MATCH(E$1, IR!$B$1:$E$1, 0) ), "")
</f>
        <v>-0.00254</v>
      </c>
      <c r="F800" s="12">
        <f t="array" ref="F800">IFERROR(
  INDEX(
    IR!$B$2:$E2026,                
    MATCH($A800, IR!$A$2:$A2026, 0), 
    MATCH(F$1, IR!$B$1:$E$1, 0) ), "")
</f>
        <v>-0.00131</v>
      </c>
      <c r="G800" s="25"/>
      <c r="H800" s="12">
        <f t="array" ref="H800">IFERROR(
  INDEX(
    SR!$B$2:$D2026,            
    MATCH($A800, SR!$A$2:$A2026, 0),  
    MATCH(H$1, SR!$B$1:$D$1, 0) ), "")
</f>
        <v>-0.001632</v>
      </c>
      <c r="I800" s="12">
        <f t="array" ref="I800">IFERROR(
  INDEX(
    SR!$B$2:$D2026,            
    MATCH($A800, SR!$A$2:$A2026, 0),  
    MATCH(I$1, SR!$B$1:$D$1, 0) ), "")
</f>
        <v>-0.00071</v>
      </c>
      <c r="J800" s="12">
        <f t="array" ref="J800">IFERROR(
  INDEX(
    SR!$B$2:$D2026,            
    MATCH($A800, SR!$A$2:$A2026, 0),  
    MATCH(J$1, SR!$B$1:$D$1, 0) ), "")
</f>
        <v>0.001648</v>
      </c>
      <c r="K800" s="14"/>
      <c r="L800" s="9">
        <v>121.41</v>
      </c>
      <c r="M800" s="9">
        <v>24.39</v>
      </c>
      <c r="N800" s="9">
        <v>115.24</v>
      </c>
      <c r="O800" s="9">
        <v>120.03</v>
      </c>
      <c r="P800" s="9">
        <v>127.3</v>
      </c>
      <c r="Q800" s="9">
        <v>1442.006</v>
      </c>
      <c r="R800" s="14"/>
      <c r="S800" s="12">
        <f t="shared" si="2"/>
        <v>0.00009012208051</v>
      </c>
      <c r="T800" s="12">
        <f t="shared" si="3"/>
        <v>1.000090122</v>
      </c>
      <c r="U800" s="16">
        <f t="shared" si="7"/>
        <v>101.692952</v>
      </c>
      <c r="V800" s="17"/>
      <c r="W800" s="12">
        <f t="array" ref="W800">SQRT(252/20) *  SQRT( SUMSQ( LN(U779:U798 / U778:U797) )  - (1/20) * ( SUM( LN(U779:U798 / U778:U797) ) ^ 2 ) )</f>
        <v>0.01412660633</v>
      </c>
      <c r="X800" s="9">
        <f t="shared" si="4"/>
        <v>1.5</v>
      </c>
      <c r="Y800" s="14"/>
      <c r="Z800" s="12">
        <f t="shared" si="5"/>
        <v>1.00014035</v>
      </c>
      <c r="AA800" s="16">
        <f t="shared" si="8"/>
        <v>102.7955308</v>
      </c>
      <c r="AB800" s="14"/>
      <c r="AC800" s="9">
        <f t="shared" si="6"/>
        <v>0</v>
      </c>
    </row>
    <row r="801">
      <c r="A801" s="8">
        <v>42886.0</v>
      </c>
      <c r="B801" s="14"/>
      <c r="C801" s="12">
        <f t="array" ref="C801">IFERROR(
  INDEX(
    IR!$B$2:$E2026,                
    MATCH($A801, IR!$A$2:$A2026, 0), 
    MATCH(C$1, IR!$B$1:$E$1, 0) ), "")
</f>
        <v>-0.00374</v>
      </c>
      <c r="D801" s="12">
        <f t="array" ref="D801">IFERROR(
  INDEX(
    IR!$B$2:$E2026,                
    MATCH($A801, IR!$A$2:$A2026, 0), 
    MATCH(D$1, IR!$B$1:$E$1, 0) ), "")
</f>
        <v>-0.00329</v>
      </c>
      <c r="E801" s="12">
        <f t="array" ref="E801">IFERROR(
  INDEX(
    IR!$B$2:$E2026,                
    MATCH($A801, IR!$A$2:$A2026, 0), 
    MATCH(E$1, IR!$B$1:$E$1, 0) ), "")
</f>
        <v>-0.00254</v>
      </c>
      <c r="F801" s="12">
        <f t="array" ref="F801">IFERROR(
  INDEX(
    IR!$B$2:$E2026,                
    MATCH($A801, IR!$A$2:$A2026, 0), 
    MATCH(F$1, IR!$B$1:$E$1, 0) ), "")
</f>
        <v>-0.00131</v>
      </c>
      <c r="G801" s="25"/>
      <c r="H801" s="12">
        <f t="array" ref="H801">IFERROR(
  INDEX(
    SR!$B$2:$D2026,            
    MATCH($A801, SR!$A$2:$A2026, 0),  
    MATCH(H$1, SR!$B$1:$D$1, 0) ), "")
</f>
        <v>-0.00162</v>
      </c>
      <c r="I801" s="12">
        <f t="array" ref="I801">IFERROR(
  INDEX(
    SR!$B$2:$D2026,            
    MATCH($A801, SR!$A$2:$A2026, 0),  
    MATCH(I$1, SR!$B$1:$D$1, 0) ), "")
</f>
        <v>-0.000749</v>
      </c>
      <c r="J801" s="12">
        <f t="array" ref="J801">IFERROR(
  INDEX(
    SR!$B$2:$D2026,            
    MATCH($A801, SR!$A$2:$A2026, 0),  
    MATCH(J$1, SR!$B$1:$D$1, 0) ), "")
</f>
        <v>0.001643</v>
      </c>
      <c r="K801" s="14"/>
      <c r="L801" s="9">
        <v>121.33</v>
      </c>
      <c r="M801" s="9">
        <v>24.38</v>
      </c>
      <c r="N801" s="9">
        <v>115.22</v>
      </c>
      <c r="O801" s="9">
        <v>119.97</v>
      </c>
      <c r="P801" s="9">
        <v>127.23</v>
      </c>
      <c r="Q801" s="9">
        <v>1440.24</v>
      </c>
      <c r="R801" s="14"/>
      <c r="S801" s="12">
        <f t="shared" si="2"/>
        <v>-0.0005860412226</v>
      </c>
      <c r="T801" s="12">
        <f t="shared" si="3"/>
        <v>0.9994139588</v>
      </c>
      <c r="U801" s="16">
        <f t="shared" si="7"/>
        <v>101.6333558</v>
      </c>
      <c r="V801" s="17"/>
      <c r="W801" s="12">
        <f t="array" ref="W801">SQRT(252/20) *  SQRT( SUMSQ( LN(U780:U799 / U779:U798) )  - (1/20) * ( SUM( LN(U780:U799 / U779:U798) ) ^ 2 ) )</f>
        <v>0.0141263814</v>
      </c>
      <c r="X801" s="9">
        <f t="shared" si="4"/>
        <v>1.5</v>
      </c>
      <c r="Y801" s="14"/>
      <c r="Z801" s="12">
        <f t="shared" si="5"/>
        <v>0.9991261187</v>
      </c>
      <c r="AA801" s="16">
        <f t="shared" si="8"/>
        <v>102.7056997</v>
      </c>
      <c r="AB801" s="14"/>
      <c r="AC801" s="9">
        <f t="shared" si="6"/>
        <v>0</v>
      </c>
    </row>
    <row r="802">
      <c r="A802" s="8">
        <v>42887.0</v>
      </c>
      <c r="B802" s="14"/>
      <c r="C802" s="12">
        <f t="array" ref="C802">IFERROR(
  INDEX(
    IR!$B$2:$E2026,                
    MATCH($A802, IR!$A$2:$A2026, 0), 
    MATCH(C$1, IR!$B$1:$E$1, 0) ), "")
</f>
        <v>-0.00374</v>
      </c>
      <c r="D802" s="12">
        <f t="array" ref="D802">IFERROR(
  INDEX(
    IR!$B$2:$E2026,                
    MATCH($A802, IR!$A$2:$A2026, 0), 
    MATCH(D$1, IR!$B$1:$E$1, 0) ), "")
</f>
        <v>-0.00329</v>
      </c>
      <c r="E802" s="12">
        <f t="array" ref="E802">IFERROR(
  INDEX(
    IR!$B$2:$E2026,                
    MATCH($A802, IR!$A$2:$A2026, 0), 
    MATCH(E$1, IR!$B$1:$E$1, 0) ), "")
</f>
        <v>-0.00254</v>
      </c>
      <c r="F802" s="12">
        <f t="array" ref="F802">IFERROR(
  INDEX(
    IR!$B$2:$E2026,                
    MATCH($A802, IR!$A$2:$A2026, 0), 
    MATCH(F$1, IR!$B$1:$E$1, 0) ), "")
</f>
        <v>-0.00131</v>
      </c>
      <c r="G802" s="25"/>
      <c r="H802" s="12">
        <f t="array" ref="H802">IFERROR(
  INDEX(
    SR!$B$2:$D2026,            
    MATCH($A802, SR!$A$2:$A2026, 0),  
    MATCH(H$1, SR!$B$1:$D$1, 0) ), "")
</f>
        <v>-0.001617</v>
      </c>
      <c r="I802" s="12">
        <f t="array" ref="I802">IFERROR(
  INDEX(
    SR!$B$2:$D2026,            
    MATCH($A802, SR!$A$2:$A2026, 0),  
    MATCH(I$1, SR!$B$1:$D$1, 0) ), "")
</f>
        <v>-0.00069</v>
      </c>
      <c r="J802" s="12">
        <f t="array" ref="J802">IFERROR(
  INDEX(
    SR!$B$2:$D2026,            
    MATCH($A802, SR!$A$2:$A2026, 0),  
    MATCH(J$1, SR!$B$1:$D$1, 0) ), "")
</f>
        <v>0.001735</v>
      </c>
      <c r="K802" s="14"/>
      <c r="L802" s="9">
        <v>121.55</v>
      </c>
      <c r="M802" s="9">
        <v>24.38</v>
      </c>
      <c r="N802" s="9">
        <v>115.2</v>
      </c>
      <c r="O802" s="9">
        <v>120.17</v>
      </c>
      <c r="P802" s="9">
        <v>127.19</v>
      </c>
      <c r="Q802" s="9">
        <v>1440.438</v>
      </c>
      <c r="R802" s="14"/>
      <c r="S802" s="12">
        <f t="shared" si="2"/>
        <v>0.0005214425788</v>
      </c>
      <c r="T802" s="12">
        <f t="shared" si="3"/>
        <v>1.000521443</v>
      </c>
      <c r="U802" s="16">
        <f t="shared" si="7"/>
        <v>101.6863517</v>
      </c>
      <c r="V802" s="17"/>
      <c r="W802" s="12">
        <f t="array" ref="W802">SQRT(252/20) *  SQRT( SUMSQ( LN(U781:U800 / U780:U799) )  - (1/20) * ( SUM( LN(U781:U800 / U780:U799) ) ^ 2 ) )</f>
        <v>0.01396382755</v>
      </c>
      <c r="X802" s="9">
        <f t="shared" si="4"/>
        <v>1.5</v>
      </c>
      <c r="Y802" s="14"/>
      <c r="Z802" s="12">
        <f t="shared" si="5"/>
        <v>1.000787358</v>
      </c>
      <c r="AA802" s="16">
        <f t="shared" si="8"/>
        <v>102.7865659</v>
      </c>
      <c r="AB802" s="14"/>
      <c r="AC802" s="9">
        <f t="shared" si="6"/>
        <v>0</v>
      </c>
    </row>
    <row r="803">
      <c r="A803" s="8">
        <v>42888.0</v>
      </c>
      <c r="B803" s="14"/>
      <c r="C803" s="12">
        <f t="array" ref="C803">IFERROR(
  INDEX(
    IR!$B$2:$E2026,                
    MATCH($A803, IR!$A$2:$A2026, 0), 
    MATCH(C$1, IR!$B$1:$E$1, 0) ), "")
</f>
        <v>-0.00372</v>
      </c>
      <c r="D803" s="12">
        <f t="array" ref="D803">IFERROR(
  INDEX(
    IR!$B$2:$E2026,                
    MATCH($A803, IR!$A$2:$A2026, 0), 
    MATCH(D$1, IR!$B$1:$E$1, 0) ), "")
</f>
        <v>-0.00329</v>
      </c>
      <c r="E803" s="12">
        <f t="array" ref="E803">IFERROR(
  INDEX(
    IR!$B$2:$E2026,                
    MATCH($A803, IR!$A$2:$A2026, 0), 
    MATCH(E$1, IR!$B$1:$E$1, 0) ), "")
</f>
        <v>-0.00255</v>
      </c>
      <c r="F803" s="12">
        <f t="array" ref="F803">IFERROR(
  INDEX(
    IR!$B$2:$E2026,                
    MATCH($A803, IR!$A$2:$A2026, 0), 
    MATCH(F$1, IR!$B$1:$E$1, 0) ), "")
</f>
        <v>-0.00131</v>
      </c>
      <c r="G803" s="25"/>
      <c r="H803" s="12">
        <f t="array" ref="H803">IFERROR(
  INDEX(
    SR!$B$2:$D2026,            
    MATCH($A803, SR!$A$2:$A2026, 0),  
    MATCH(H$1, SR!$B$1:$D$1, 0) ), "")
</f>
        <v>-0.00163</v>
      </c>
      <c r="I803" s="12">
        <f t="array" ref="I803">IFERROR(
  INDEX(
    SR!$B$2:$D2026,            
    MATCH($A803, SR!$A$2:$A2026, 0),  
    MATCH(I$1, SR!$B$1:$D$1, 0) ), "")
</f>
        <v>-0.00069</v>
      </c>
      <c r="J803" s="12">
        <f t="array" ref="J803">IFERROR(
  INDEX(
    SR!$B$2:$D2026,            
    MATCH($A803, SR!$A$2:$A2026, 0),  
    MATCH(J$1, SR!$B$1:$D$1, 0) ), "")
</f>
        <v>0.00161</v>
      </c>
      <c r="K803" s="14"/>
      <c r="L803" s="9">
        <v>121.84</v>
      </c>
      <c r="M803" s="9">
        <v>24.37</v>
      </c>
      <c r="N803" s="9">
        <v>115.2</v>
      </c>
      <c r="O803" s="9">
        <v>120.14</v>
      </c>
      <c r="P803" s="9">
        <v>127.33</v>
      </c>
      <c r="Q803" s="9">
        <v>1447.7821</v>
      </c>
      <c r="R803" s="14"/>
      <c r="S803" s="12">
        <f t="shared" si="2"/>
        <v>0.001320858992</v>
      </c>
      <c r="T803" s="12">
        <f t="shared" si="3"/>
        <v>1.001320859</v>
      </c>
      <c r="U803" s="16">
        <f t="shared" si="7"/>
        <v>101.8206651</v>
      </c>
      <c r="V803" s="17"/>
      <c r="W803" s="12">
        <f t="array" ref="W803">SQRT(252/20) *  SQRT( SUMSQ( LN(U782:U801 / U781:U800) )  - (1/20) * ( SUM( LN(U782:U801 / U781:U800) ) ^ 2 ) )</f>
        <v>0.01419764757</v>
      </c>
      <c r="X803" s="9">
        <f t="shared" si="4"/>
        <v>1.5</v>
      </c>
      <c r="Y803" s="14"/>
      <c r="Z803" s="12">
        <f t="shared" si="5"/>
        <v>1.001986483</v>
      </c>
      <c r="AA803" s="16">
        <f t="shared" si="8"/>
        <v>102.9907497</v>
      </c>
      <c r="AB803" s="14"/>
      <c r="AC803" s="9">
        <f t="shared" si="6"/>
        <v>0</v>
      </c>
    </row>
    <row r="804">
      <c r="A804" s="8">
        <v>42892.0</v>
      </c>
      <c r="B804" s="14"/>
      <c r="C804" s="12">
        <f t="array" ref="C804">IFERROR(
  INDEX(
    IR!$B$2:$E2026,                
    MATCH($A804, IR!$A$2:$A2026, 0), 
    MATCH(C$1, IR!$B$1:$E$1, 0) ), "")
</f>
        <v>-0.00371</v>
      </c>
      <c r="D804" s="12">
        <f t="array" ref="D804">IFERROR(
  INDEX(
    IR!$B$2:$E2026,                
    MATCH($A804, IR!$A$2:$A2026, 0), 
    MATCH(D$1, IR!$B$1:$E$1, 0) ), "")
</f>
        <v>-0.00329</v>
      </c>
      <c r="E804" s="12">
        <f t="array" ref="E804">IFERROR(
  INDEX(
    IR!$B$2:$E2026,                
    MATCH($A804, IR!$A$2:$A2026, 0), 
    MATCH(E$1, IR!$B$1:$E$1, 0) ), "")
</f>
        <v>-0.00257</v>
      </c>
      <c r="F804" s="12">
        <f t="array" ref="F804">IFERROR(
  INDEX(
    IR!$B$2:$E2026,                
    MATCH($A804, IR!$A$2:$A2026, 0), 
    MATCH(F$1, IR!$B$1:$E$1, 0) ), "")
</f>
        <v>-0.00133</v>
      </c>
      <c r="G804" s="25"/>
      <c r="H804" s="12">
        <f t="array" ref="H804">IFERROR(
  INDEX(
    SR!$B$2:$D2026,            
    MATCH($A804, SR!$A$2:$A2026, 0),  
    MATCH(H$1, SR!$B$1:$D$1, 0) ), "")
</f>
        <v>-0.001602</v>
      </c>
      <c r="I804" s="12">
        <f t="array" ref="I804">IFERROR(
  INDEX(
    SR!$B$2:$D2026,            
    MATCH($A804, SR!$A$2:$A2026, 0),  
    MATCH(I$1, SR!$B$1:$D$1, 0) ), "")
</f>
        <v>-0.000765</v>
      </c>
      <c r="J804" s="12">
        <f t="array" ref="J804">IFERROR(
  INDEX(
    SR!$B$2:$D2026,            
    MATCH($A804, SR!$A$2:$A2026, 0),  
    MATCH(J$1, SR!$B$1:$D$1, 0) ), "")
</f>
        <v>0.00152</v>
      </c>
      <c r="K804" s="14"/>
      <c r="L804" s="9">
        <v>121.46</v>
      </c>
      <c r="M804" s="9">
        <v>24.37</v>
      </c>
      <c r="N804" s="9">
        <v>115.22</v>
      </c>
      <c r="O804" s="9">
        <v>120.68</v>
      </c>
      <c r="P804" s="9">
        <v>127.46</v>
      </c>
      <c r="Q804" s="9">
        <v>1450.608</v>
      </c>
      <c r="R804" s="14"/>
      <c r="S804" s="12">
        <f t="shared" si="2"/>
        <v>0.0007536227136</v>
      </c>
      <c r="T804" s="12">
        <f t="shared" si="3"/>
        <v>1.000753623</v>
      </c>
      <c r="U804" s="16">
        <f t="shared" si="7"/>
        <v>101.8973994</v>
      </c>
      <c r="V804" s="17"/>
      <c r="W804" s="12">
        <f t="array" ref="W804">SQRT(252/20) *  SQRT( SUMSQ( LN(U783:U802 / U782:U801) )  - (1/20) * ( SUM( LN(U783:U802 / U782:U801) ) ^ 2 ) )</f>
        <v>0.01418376626</v>
      </c>
      <c r="X804" s="9">
        <f t="shared" si="4"/>
        <v>1.5</v>
      </c>
      <c r="Y804" s="14"/>
      <c r="Z804" s="12">
        <f t="shared" si="5"/>
        <v>1.001151101</v>
      </c>
      <c r="AA804" s="16">
        <f t="shared" si="8"/>
        <v>103.1093024</v>
      </c>
      <c r="AB804" s="14"/>
      <c r="AC804" s="9">
        <f t="shared" si="6"/>
        <v>0</v>
      </c>
    </row>
    <row r="805">
      <c r="A805" s="8">
        <v>42893.0</v>
      </c>
      <c r="B805" s="14"/>
      <c r="C805" s="12">
        <f t="array" ref="C805">IFERROR(
  INDEX(
    IR!$B$2:$E2026,                
    MATCH($A805, IR!$A$2:$A2026, 0), 
    MATCH(C$1, IR!$B$1:$E$1, 0) ), "")
</f>
        <v>-0.00371</v>
      </c>
      <c r="D805" s="12">
        <f t="array" ref="D805">IFERROR(
  INDEX(
    IR!$B$2:$E2026,                
    MATCH($A805, IR!$A$2:$A2026, 0), 
    MATCH(D$1, IR!$B$1:$E$1, 0) ), "")
</f>
        <v>-0.00329</v>
      </c>
      <c r="E805" s="12">
        <f t="array" ref="E805">IFERROR(
  INDEX(
    IR!$B$2:$E2026,                
    MATCH($A805, IR!$A$2:$A2026, 0), 
    MATCH(E$1, IR!$B$1:$E$1, 0) ), "")
</f>
        <v>-0.00259</v>
      </c>
      <c r="F805" s="12">
        <f t="array" ref="F805">IFERROR(
  INDEX(
    IR!$B$2:$E2026,                
    MATCH($A805, IR!$A$2:$A2026, 0), 
    MATCH(F$1, IR!$B$1:$E$1, 0) ), "")
</f>
        <v>-0.00134</v>
      </c>
      <c r="G805" s="25"/>
      <c r="H805" s="12">
        <f t="array" ref="H805">IFERROR(
  INDEX(
    SR!$B$2:$D2026,            
    MATCH($A805, SR!$A$2:$A2026, 0),  
    MATCH(H$1, SR!$B$1:$D$1, 0) ), "")
</f>
        <v>-0.001695</v>
      </c>
      <c r="I805" s="12">
        <f t="array" ref="I805">IFERROR(
  INDEX(
    SR!$B$2:$D2026,            
    MATCH($A805, SR!$A$2:$A2026, 0),  
    MATCH(I$1, SR!$B$1:$D$1, 0) ), "")
</f>
        <v>-0.000796</v>
      </c>
      <c r="J805" s="12">
        <f t="array" ref="J805">IFERROR(
  INDEX(
    SR!$B$2:$D2026,            
    MATCH($A805, SR!$A$2:$A2026, 0),  
    MATCH(J$1, SR!$B$1:$D$1, 0) ), "")
</f>
        <v>0.001496</v>
      </c>
      <c r="K805" s="14"/>
      <c r="L805" s="9">
        <v>121.35</v>
      </c>
      <c r="M805" s="9">
        <v>24.37</v>
      </c>
      <c r="N805" s="9">
        <v>115.21</v>
      </c>
      <c r="O805" s="9">
        <v>120.33</v>
      </c>
      <c r="P805" s="9">
        <v>127.56</v>
      </c>
      <c r="Q805" s="9">
        <v>1449.009</v>
      </c>
      <c r="R805" s="14"/>
      <c r="S805" s="12">
        <f t="shared" si="2"/>
        <v>-0.0007015640376</v>
      </c>
      <c r="T805" s="12">
        <f t="shared" si="3"/>
        <v>0.999298436</v>
      </c>
      <c r="U805" s="16">
        <f t="shared" si="7"/>
        <v>101.8259119</v>
      </c>
      <c r="V805" s="17"/>
      <c r="W805" s="12">
        <f t="array" ref="W805">SQRT(252/20) *  SQRT( SUMSQ( LN(U784:U803 / U783:U802) )  - (1/20) * ( SUM( LN(U784:U803 / U783:U802) ) ^ 2 ) )</f>
        <v>0.01474991559</v>
      </c>
      <c r="X805" s="9">
        <f t="shared" si="4"/>
        <v>1.5</v>
      </c>
      <c r="Y805" s="14"/>
      <c r="Z805" s="12">
        <f t="shared" si="5"/>
        <v>0.9989528067</v>
      </c>
      <c r="AA805" s="16">
        <f t="shared" si="8"/>
        <v>103.001327</v>
      </c>
      <c r="AB805" s="14"/>
      <c r="AC805" s="9">
        <f t="shared" si="6"/>
        <v>0</v>
      </c>
    </row>
    <row r="806">
      <c r="A806" s="8">
        <v>42894.0</v>
      </c>
      <c r="B806" s="14"/>
      <c r="C806" s="12">
        <f t="array" ref="C806">IFERROR(
  INDEX(
    IR!$B$2:$E2026,                
    MATCH($A806, IR!$A$2:$A2026, 0), 
    MATCH(C$1, IR!$B$1:$E$1, 0) ), "")
</f>
        <v>-0.00374</v>
      </c>
      <c r="D806" s="12">
        <f t="array" ref="D806">IFERROR(
  INDEX(
    IR!$B$2:$E2026,                
    MATCH($A806, IR!$A$2:$A2026, 0), 
    MATCH(D$1, IR!$B$1:$E$1, 0) ), "")
</f>
        <v>-0.0033</v>
      </c>
      <c r="E806" s="12">
        <f t="array" ref="E806">IFERROR(
  INDEX(
    IR!$B$2:$E2026,                
    MATCH($A806, IR!$A$2:$A2026, 0), 
    MATCH(E$1, IR!$B$1:$E$1, 0) ), "")
</f>
        <v>-0.0026</v>
      </c>
      <c r="F806" s="12">
        <f t="array" ref="F806">IFERROR(
  INDEX(
    IR!$B$2:$E2026,                
    MATCH($A806, IR!$A$2:$A2026, 0), 
    MATCH(F$1, IR!$B$1:$E$1, 0) ), "")
</f>
        <v>-0.00134</v>
      </c>
      <c r="G806" s="25"/>
      <c r="H806" s="12">
        <f t="array" ref="H806">IFERROR(
  INDEX(
    SR!$B$2:$D2026,            
    MATCH($A806, SR!$A$2:$A2026, 0),  
    MATCH(H$1, SR!$B$1:$D$1, 0) ), "")
</f>
        <v>-0.001741</v>
      </c>
      <c r="I806" s="12">
        <f t="array" ref="I806">IFERROR(
  INDEX(
    SR!$B$2:$D2026,            
    MATCH($A806, SR!$A$2:$A2026, 0),  
    MATCH(I$1, SR!$B$1:$D$1, 0) ), "")
</f>
        <v>-0.000877</v>
      </c>
      <c r="J806" s="12">
        <f t="array" ref="J806">IFERROR(
  INDEX(
    SR!$B$2:$D2026,            
    MATCH($A806, SR!$A$2:$A2026, 0),  
    MATCH(J$1, SR!$B$1:$D$1, 0) ), "")
</f>
        <v>0.00147</v>
      </c>
      <c r="K806" s="14"/>
      <c r="L806" s="9">
        <v>121.32</v>
      </c>
      <c r="M806" s="9">
        <v>24.38</v>
      </c>
      <c r="N806" s="9">
        <v>115.2</v>
      </c>
      <c r="O806" s="9">
        <v>120.09</v>
      </c>
      <c r="P806" s="9">
        <v>127.44</v>
      </c>
      <c r="Q806" s="9">
        <v>1447.396</v>
      </c>
      <c r="R806" s="14"/>
      <c r="S806" s="12">
        <f t="shared" si="2"/>
        <v>-0.000661863123</v>
      </c>
      <c r="T806" s="12">
        <f t="shared" si="3"/>
        <v>0.9993381369</v>
      </c>
      <c r="U806" s="16">
        <f t="shared" si="7"/>
        <v>101.7585171</v>
      </c>
      <c r="V806" s="17"/>
      <c r="W806" s="12">
        <f t="array" ref="W806">SQRT(252/20) *  SQRT( SUMSQ( LN(U785:U804 / U784:U803) )  - (1/20) * ( SUM( LN(U785:U804 / U784:U803) ) ^ 2 ) )</f>
        <v>0.01486139897</v>
      </c>
      <c r="X806" s="9">
        <f t="shared" si="4"/>
        <v>1.5</v>
      </c>
      <c r="Y806" s="14"/>
      <c r="Z806" s="12">
        <f t="shared" si="5"/>
        <v>0.9990123581</v>
      </c>
      <c r="AA806" s="16">
        <f t="shared" si="8"/>
        <v>102.8995986</v>
      </c>
      <c r="AB806" s="14"/>
      <c r="AC806" s="9">
        <f t="shared" si="6"/>
        <v>0</v>
      </c>
    </row>
    <row r="807">
      <c r="A807" s="8">
        <v>42895.0</v>
      </c>
      <c r="B807" s="14"/>
      <c r="C807" s="12">
        <f t="array" ref="C807">IFERROR(
  INDEX(
    IR!$B$2:$E2026,                
    MATCH($A807, IR!$A$2:$A2026, 0), 
    MATCH(C$1, IR!$B$1:$E$1, 0) ), "")
</f>
        <v>-0.00374</v>
      </c>
      <c r="D807" s="12">
        <f t="array" ref="D807">IFERROR(
  INDEX(
    IR!$B$2:$E2026,                
    MATCH($A807, IR!$A$2:$A2026, 0), 
    MATCH(D$1, IR!$B$1:$E$1, 0) ), "")
</f>
        <v>-0.00331</v>
      </c>
      <c r="E807" s="12">
        <f t="array" ref="E807">IFERROR(
  INDEX(
    IR!$B$2:$E2026,                
    MATCH($A807, IR!$A$2:$A2026, 0), 
    MATCH(E$1, IR!$B$1:$E$1, 0) ), "")
</f>
        <v>-0.00264</v>
      </c>
      <c r="F807" s="12">
        <f t="array" ref="F807">IFERROR(
  INDEX(
    IR!$B$2:$E2026,                
    MATCH($A807, IR!$A$2:$A2026, 0), 
    MATCH(F$1, IR!$B$1:$E$1, 0) ), "")
</f>
        <v>-0.0014</v>
      </c>
      <c r="G807" s="25"/>
      <c r="H807" s="12">
        <f t="array" ref="H807">IFERROR(
  INDEX(
    SR!$B$2:$D2026,            
    MATCH($A807, SR!$A$2:$A2026, 0),  
    MATCH(H$1, SR!$B$1:$D$1, 0) ), "")
</f>
        <v>-0.001825</v>
      </c>
      <c r="I807" s="12">
        <f t="array" ref="I807">IFERROR(
  INDEX(
    SR!$B$2:$D2026,            
    MATCH($A807, SR!$A$2:$A2026, 0),  
    MATCH(I$1, SR!$B$1:$D$1, 0) ), "")
</f>
        <v>-0.0009</v>
      </c>
      <c r="J807" s="12">
        <f t="array" ref="J807">IFERROR(
  INDEX(
    SR!$B$2:$D2026,            
    MATCH($A807, SR!$A$2:$A2026, 0),  
    MATCH(J$1, SR!$B$1:$D$1, 0) ), "")
</f>
        <v>0.00142</v>
      </c>
      <c r="K807" s="14"/>
      <c r="L807" s="9">
        <v>121.51</v>
      </c>
      <c r="M807" s="9">
        <v>24.38</v>
      </c>
      <c r="N807" s="9">
        <v>115.21</v>
      </c>
      <c r="O807" s="9">
        <v>120.36</v>
      </c>
      <c r="P807" s="9">
        <v>127.28</v>
      </c>
      <c r="Q807" s="9">
        <v>1447.547</v>
      </c>
      <c r="R807" s="14"/>
      <c r="S807" s="12">
        <f t="shared" si="2"/>
        <v>0.0004581700936</v>
      </c>
      <c r="T807" s="12">
        <f t="shared" si="3"/>
        <v>1.00045817</v>
      </c>
      <c r="U807" s="16">
        <f t="shared" si="7"/>
        <v>101.8051398</v>
      </c>
      <c r="V807" s="17"/>
      <c r="W807" s="12">
        <f t="array" ref="W807">SQRT(252/20) *  SQRT( SUMSQ( LN(U786:U805 / U785:U804) )  - (1/20) * ( SUM( LN(U786:U805 / U785:U804) ) ^ 2 ) )</f>
        <v>0.01437070923</v>
      </c>
      <c r="X807" s="9">
        <f t="shared" si="4"/>
        <v>1.5</v>
      </c>
      <c r="Y807" s="14"/>
      <c r="Z807" s="12">
        <f t="shared" si="5"/>
        <v>1.00069245</v>
      </c>
      <c r="AA807" s="16">
        <f t="shared" si="8"/>
        <v>102.9708514</v>
      </c>
      <c r="AB807" s="14"/>
      <c r="AC807" s="9">
        <f t="shared" si="6"/>
        <v>0</v>
      </c>
    </row>
    <row r="808">
      <c r="A808" s="8">
        <v>42898.0</v>
      </c>
      <c r="B808" s="14"/>
      <c r="C808" s="12">
        <f t="array" ref="C808">IFERROR(
  INDEX(
    IR!$B$2:$E2026,                
    MATCH($A808, IR!$A$2:$A2026, 0), 
    MATCH(C$1, IR!$B$1:$E$1, 0) ), "")
</f>
        <v>-0.00374</v>
      </c>
      <c r="D808" s="12">
        <f t="array" ref="D808">IFERROR(
  INDEX(
    IR!$B$2:$E2026,                
    MATCH($A808, IR!$A$2:$A2026, 0), 
    MATCH(D$1, IR!$B$1:$E$1, 0) ), "")
</f>
        <v>-0.00331</v>
      </c>
      <c r="E808" s="12">
        <f t="array" ref="E808">IFERROR(
  INDEX(
    IR!$B$2:$E2026,                
    MATCH($A808, IR!$A$2:$A2026, 0), 
    MATCH(E$1, IR!$B$1:$E$1, 0) ), "")
</f>
        <v>-0.00266</v>
      </c>
      <c r="F808" s="12">
        <f t="array" ref="F808">IFERROR(
  INDEX(
    IR!$B$2:$E2026,                
    MATCH($A808, IR!$A$2:$A2026, 0), 
    MATCH(F$1, IR!$B$1:$E$1, 0) ), "")
</f>
        <v>-0.00147</v>
      </c>
      <c r="G808" s="25"/>
      <c r="H808" s="12">
        <f t="array" ref="H808">IFERROR(
  INDEX(
    SR!$B$2:$D2026,            
    MATCH($A808, SR!$A$2:$A2026, 0),  
    MATCH(H$1, SR!$B$1:$D$1, 0) ), "")
</f>
        <v>-0.001865</v>
      </c>
      <c r="I808" s="12">
        <f t="array" ref="I808">IFERROR(
  INDEX(
    SR!$B$2:$D2026,            
    MATCH($A808, SR!$A$2:$A2026, 0),  
    MATCH(I$1, SR!$B$1:$D$1, 0) ), "")
</f>
        <v>-0.001015</v>
      </c>
      <c r="J808" s="12">
        <f t="array" ref="J808">IFERROR(
  INDEX(
    SR!$B$2:$D2026,            
    MATCH($A808, SR!$A$2:$A2026, 0),  
    MATCH(J$1, SR!$B$1:$D$1, 0) ), "")
</f>
        <v>0.001291</v>
      </c>
      <c r="K808" s="14"/>
      <c r="L808" s="9">
        <v>121.16</v>
      </c>
      <c r="M808" s="9">
        <v>24.37</v>
      </c>
      <c r="N808" s="9">
        <v>115.23</v>
      </c>
      <c r="O808" s="9">
        <v>120.7</v>
      </c>
      <c r="P808" s="9">
        <v>127.25</v>
      </c>
      <c r="Q808" s="9">
        <v>1440.681</v>
      </c>
      <c r="R808" s="14"/>
      <c r="S808" s="12">
        <f t="shared" si="2"/>
        <v>-0.0008786289587</v>
      </c>
      <c r="T808" s="12">
        <f t="shared" si="3"/>
        <v>0.999121371</v>
      </c>
      <c r="U808" s="16">
        <f t="shared" si="7"/>
        <v>101.7156908</v>
      </c>
      <c r="V808" s="17"/>
      <c r="W808" s="12">
        <f t="array" ref="W808">SQRT(252/20) *  SQRT( SUMSQ( LN(U787:U806 / U786:U805) )  - (1/20) * ( SUM( LN(U787:U806 / U786:U805) ) ^ 2 ) )</f>
        <v>0.01458651686</v>
      </c>
      <c r="X808" s="9">
        <f t="shared" si="4"/>
        <v>1.5</v>
      </c>
      <c r="Y808" s="14"/>
      <c r="Z808" s="12">
        <f t="shared" si="5"/>
        <v>0.9986976399</v>
      </c>
      <c r="AA808" s="16">
        <f t="shared" si="8"/>
        <v>102.8367462</v>
      </c>
      <c r="AB808" s="14"/>
      <c r="AC808" s="9">
        <f t="shared" si="6"/>
        <v>0</v>
      </c>
    </row>
    <row r="809">
      <c r="A809" s="8">
        <v>42899.0</v>
      </c>
      <c r="B809" s="14"/>
      <c r="C809" s="12">
        <f t="array" ref="C809">IFERROR(
  INDEX(
    IR!$B$2:$E2026,                
    MATCH($A809, IR!$A$2:$A2026, 0), 
    MATCH(C$1, IR!$B$1:$E$1, 0) ), "")
</f>
        <v>-0.00373</v>
      </c>
      <c r="D809" s="12">
        <f t="array" ref="D809">IFERROR(
  INDEX(
    IR!$B$2:$E2026,                
    MATCH($A809, IR!$A$2:$A2026, 0), 
    MATCH(D$1, IR!$B$1:$E$1, 0) ), "")
</f>
        <v>-0.00331</v>
      </c>
      <c r="E809" s="12">
        <f t="array" ref="E809">IFERROR(
  INDEX(
    IR!$B$2:$E2026,                
    MATCH($A809, IR!$A$2:$A2026, 0), 
    MATCH(E$1, IR!$B$1:$E$1, 0) ), "")
</f>
        <v>-0.0027</v>
      </c>
      <c r="F809" s="12">
        <f t="array" ref="F809">IFERROR(
  INDEX(
    IR!$B$2:$E2026,                
    MATCH($A809, IR!$A$2:$A2026, 0), 
    MATCH(F$1, IR!$B$1:$E$1, 0) ), "")
</f>
        <v>-0.00149</v>
      </c>
      <c r="G809" s="25"/>
      <c r="H809" s="12">
        <f t="array" ref="H809">IFERROR(
  INDEX(
    SR!$B$2:$D2026,            
    MATCH($A809, SR!$A$2:$A2026, 0),  
    MATCH(H$1, SR!$B$1:$D$1, 0) ), "")
</f>
        <v>-0.001838</v>
      </c>
      <c r="I809" s="12">
        <f t="array" ref="I809">IFERROR(
  INDEX(
    SR!$B$2:$D2026,            
    MATCH($A809, SR!$A$2:$A2026, 0),  
    MATCH(I$1, SR!$B$1:$D$1, 0) ), "")
</f>
        <v>-0.000972</v>
      </c>
      <c r="J809" s="12">
        <f t="array" ref="J809">IFERROR(
  INDEX(
    SR!$B$2:$D2026,            
    MATCH($A809, SR!$A$2:$A2026, 0),  
    MATCH(J$1, SR!$B$1:$D$1, 0) ), "")
</f>
        <v>0.00143</v>
      </c>
      <c r="K809" s="14"/>
      <c r="L809" s="9">
        <v>121.26</v>
      </c>
      <c r="M809" s="9">
        <v>24.37</v>
      </c>
      <c r="N809" s="9">
        <v>115.23</v>
      </c>
      <c r="O809" s="9">
        <v>120.29</v>
      </c>
      <c r="P809" s="9">
        <v>127.15</v>
      </c>
      <c r="Q809" s="9">
        <v>1438.0</v>
      </c>
      <c r="R809" s="14"/>
      <c r="S809" s="12">
        <f t="shared" si="2"/>
        <v>-0.000869551025</v>
      </c>
      <c r="T809" s="12">
        <f t="shared" si="3"/>
        <v>0.999130449</v>
      </c>
      <c r="U809" s="16">
        <f t="shared" si="7"/>
        <v>101.6272438</v>
      </c>
      <c r="V809" s="17"/>
      <c r="W809" s="12">
        <f t="array" ref="W809">SQRT(252/20) *  SQRT( SUMSQ( LN(U788:U807 / U787:U806) )  - (1/20) * ( SUM( LN(U788:U807 / U787:U806) ) ^ 2 ) )</f>
        <v>0.01427255628</v>
      </c>
      <c r="X809" s="9">
        <f t="shared" si="4"/>
        <v>1.5</v>
      </c>
      <c r="Y809" s="14"/>
      <c r="Z809" s="12">
        <f t="shared" si="5"/>
        <v>0.9987008679</v>
      </c>
      <c r="AA809" s="16">
        <f t="shared" si="8"/>
        <v>102.7031477</v>
      </c>
      <c r="AB809" s="14"/>
      <c r="AC809" s="9">
        <f t="shared" si="6"/>
        <v>0</v>
      </c>
    </row>
    <row r="810">
      <c r="A810" s="8">
        <v>42900.0</v>
      </c>
      <c r="B810" s="14"/>
      <c r="C810" s="12">
        <f t="array" ref="C810">IFERROR(
  INDEX(
    IR!$B$2:$E2026,                
    MATCH($A810, IR!$A$2:$A2026, 0), 
    MATCH(C$1, IR!$B$1:$E$1, 0) ), "")
</f>
        <v>-0.00373</v>
      </c>
      <c r="D810" s="12">
        <f t="array" ref="D810">IFERROR(
  INDEX(
    IR!$B$2:$E2026,                
    MATCH($A810, IR!$A$2:$A2026, 0), 
    MATCH(D$1, IR!$B$1:$E$1, 0) ), "")
</f>
        <v>-0.00331</v>
      </c>
      <c r="E810" s="12">
        <f t="array" ref="E810">IFERROR(
  INDEX(
    IR!$B$2:$E2026,                
    MATCH($A810, IR!$A$2:$A2026, 0), 
    MATCH(E$1, IR!$B$1:$E$1, 0) ), "")
</f>
        <v>-0.00271</v>
      </c>
      <c r="F810" s="12">
        <f t="array" ref="F810">IFERROR(
  INDEX(
    IR!$B$2:$E2026,                
    MATCH($A810, IR!$A$2:$A2026, 0), 
    MATCH(F$1, IR!$B$1:$E$1, 0) ), "")
</f>
        <v>-0.00152</v>
      </c>
      <c r="G810" s="25"/>
      <c r="H810" s="12">
        <f t="array" ref="H810">IFERROR(
  INDEX(
    SR!$B$2:$D2026,            
    MATCH($A810, SR!$A$2:$A2026, 0),  
    MATCH(H$1, SR!$B$1:$D$1, 0) ), "")
</f>
        <v>-0.00196</v>
      </c>
      <c r="I810" s="12">
        <f t="array" ref="I810">IFERROR(
  INDEX(
    SR!$B$2:$D2026,            
    MATCH($A810, SR!$A$2:$A2026, 0),  
    MATCH(I$1, SR!$B$1:$D$1, 0) ), "")
</f>
        <v>-0.00104</v>
      </c>
      <c r="J810" s="12">
        <f t="array" ref="J810">IFERROR(
  INDEX(
    SR!$B$2:$D2026,            
    MATCH($A810, SR!$A$2:$A2026, 0),  
    MATCH(J$1, SR!$B$1:$D$1, 0) ), "")
</f>
        <v>0.00112</v>
      </c>
      <c r="K810" s="14"/>
      <c r="L810" s="9">
        <v>121.28</v>
      </c>
      <c r="M810" s="9">
        <v>24.37</v>
      </c>
      <c r="N810" s="9">
        <v>115.22</v>
      </c>
      <c r="O810" s="9">
        <v>120.49</v>
      </c>
      <c r="P810" s="9">
        <v>127.18</v>
      </c>
      <c r="Q810" s="9">
        <v>1442.111</v>
      </c>
      <c r="R810" s="14"/>
      <c r="S810" s="12">
        <f t="shared" si="2"/>
        <v>0.0008058925125</v>
      </c>
      <c r="T810" s="12">
        <f t="shared" si="3"/>
        <v>1.000805893</v>
      </c>
      <c r="U810" s="16">
        <f t="shared" si="7"/>
        <v>101.7091445</v>
      </c>
      <c r="V810" s="17"/>
      <c r="W810" s="12">
        <f t="array" ref="W810">SQRT(252/20) *  SQRT( SUMSQ( LN(U789:U808 / U788:U807) )  - (1/20) * ( SUM( LN(U789:U808 / U788:U807) ) ^ 2 ) )</f>
        <v>0.01459241835</v>
      </c>
      <c r="X810" s="9">
        <f t="shared" si="4"/>
        <v>1.5</v>
      </c>
      <c r="Y810" s="14"/>
      <c r="Z810" s="12">
        <f t="shared" si="5"/>
        <v>1.001214019</v>
      </c>
      <c r="AA810" s="16">
        <f t="shared" si="8"/>
        <v>102.8278313</v>
      </c>
      <c r="AB810" s="14"/>
      <c r="AC810" s="9">
        <f t="shared" si="6"/>
        <v>0</v>
      </c>
    </row>
    <row r="811">
      <c r="A811" s="8">
        <v>42901.0</v>
      </c>
      <c r="B811" s="14"/>
      <c r="C811" s="12">
        <f t="array" ref="C811">IFERROR(
  INDEX(
    IR!$B$2:$E2026,                
    MATCH($A811, IR!$A$2:$A2026, 0), 
    MATCH(C$1, IR!$B$1:$E$1, 0) ), "")
</f>
        <v>-0.00372</v>
      </c>
      <c r="D811" s="12">
        <f t="array" ref="D811">IFERROR(
  INDEX(
    IR!$B$2:$E2026,                
    MATCH($A811, IR!$A$2:$A2026, 0), 
    MATCH(D$1, IR!$B$1:$E$1, 0) ), "")
</f>
        <v>-0.00329</v>
      </c>
      <c r="E811" s="12">
        <f t="array" ref="E811">IFERROR(
  INDEX(
    IR!$B$2:$E2026,                
    MATCH($A811, IR!$A$2:$A2026, 0), 
    MATCH(E$1, IR!$B$1:$E$1, 0) ), "")
</f>
        <v>-0.00271</v>
      </c>
      <c r="F811" s="12">
        <f t="array" ref="F811">IFERROR(
  INDEX(
    IR!$B$2:$E2026,                
    MATCH($A811, IR!$A$2:$A2026, 0), 
    MATCH(F$1, IR!$B$1:$E$1, 0) ), "")
</f>
        <v>-0.00152</v>
      </c>
      <c r="G811" s="25"/>
      <c r="H811" s="12">
        <f t="array" ref="H811">IFERROR(
  INDEX(
    SR!$B$2:$D2026,            
    MATCH($A811, SR!$A$2:$A2026, 0),  
    MATCH(H$1, SR!$B$1:$D$1, 0) ), "")
</f>
        <v>-0.001835</v>
      </c>
      <c r="I811" s="12">
        <f t="array" ref="I811">IFERROR(
  INDEX(
    SR!$B$2:$D2026,            
    MATCH($A811, SR!$A$2:$A2026, 0),  
    MATCH(I$1, SR!$B$1:$D$1, 0) ), "")
</f>
        <v>-0.000892</v>
      </c>
      <c r="J811" s="12">
        <f t="array" ref="J811">IFERROR(
  INDEX(
    SR!$B$2:$D2026,            
    MATCH($A811, SR!$A$2:$A2026, 0),  
    MATCH(J$1, SR!$B$1:$D$1, 0) ), "")
</f>
        <v>0.001477</v>
      </c>
      <c r="K811" s="14"/>
      <c r="L811" s="9">
        <v>120.77</v>
      </c>
      <c r="M811" s="9">
        <v>24.38</v>
      </c>
      <c r="N811" s="9">
        <v>115.21</v>
      </c>
      <c r="O811" s="9">
        <v>120.88</v>
      </c>
      <c r="P811" s="9">
        <v>127.25</v>
      </c>
      <c r="Q811" s="9">
        <v>1439.839</v>
      </c>
      <c r="R811" s="14"/>
      <c r="S811" s="12">
        <f t="shared" si="2"/>
        <v>-0.0002783593994</v>
      </c>
      <c r="T811" s="12">
        <f t="shared" si="3"/>
        <v>0.9997216406</v>
      </c>
      <c r="U811" s="16">
        <f t="shared" si="7"/>
        <v>101.6808328</v>
      </c>
      <c r="V811" s="17"/>
      <c r="W811" s="12">
        <f t="array" ref="W811">SQRT(252/20) *  SQRT( SUMSQ( LN(U790:U809 / U789:U808) )  - (1/20) * ( SUM( LN(U790:U809 / U789:U808) ) ^ 2 ) )</f>
        <v>0.01479507067</v>
      </c>
      <c r="X811" s="9">
        <f t="shared" si="4"/>
        <v>1.5</v>
      </c>
      <c r="Y811" s="14"/>
      <c r="Z811" s="12">
        <f t="shared" si="5"/>
        <v>0.9995876415</v>
      </c>
      <c r="AA811" s="16">
        <f t="shared" si="8"/>
        <v>102.7854294</v>
      </c>
      <c r="AB811" s="14"/>
      <c r="AC811" s="9">
        <f t="shared" si="6"/>
        <v>0</v>
      </c>
    </row>
    <row r="812">
      <c r="A812" s="8">
        <v>42902.0</v>
      </c>
      <c r="B812" s="14"/>
      <c r="C812" s="12">
        <f t="array" ref="C812">IFERROR(
  INDEX(
    IR!$B$2:$E2026,                
    MATCH($A812, IR!$A$2:$A2026, 0), 
    MATCH(C$1, IR!$B$1:$E$1, 0) ), "")
</f>
        <v>-0.00373</v>
      </c>
      <c r="D812" s="12">
        <f t="array" ref="D812">IFERROR(
  INDEX(
    IR!$B$2:$E2026,                
    MATCH($A812, IR!$A$2:$A2026, 0), 
    MATCH(D$1, IR!$B$1:$E$1, 0) ), "")
</f>
        <v>-0.00329</v>
      </c>
      <c r="E812" s="12">
        <f t="array" ref="E812">IFERROR(
  INDEX(
    IR!$B$2:$E2026,                
    MATCH($A812, IR!$A$2:$A2026, 0), 
    MATCH(E$1, IR!$B$1:$E$1, 0) ), "")
</f>
        <v>-0.00271</v>
      </c>
      <c r="F812" s="12">
        <f t="array" ref="F812">IFERROR(
  INDEX(
    IR!$B$2:$E2026,                
    MATCH($A812, IR!$A$2:$A2026, 0), 
    MATCH(F$1, IR!$B$1:$E$1, 0) ), "")
</f>
        <v>-0.00154</v>
      </c>
      <c r="G812" s="25"/>
      <c r="H812" s="12">
        <f t="array" ref="H812">IFERROR(
  INDEX(
    SR!$B$2:$D2026,            
    MATCH($A812, SR!$A$2:$A2026, 0),  
    MATCH(H$1, SR!$B$1:$D$1, 0) ), "")
</f>
        <v>-0.001845</v>
      </c>
      <c r="I812" s="12">
        <f t="array" ref="I812">IFERROR(
  INDEX(
    SR!$B$2:$D2026,            
    MATCH($A812, SR!$A$2:$A2026, 0),  
    MATCH(I$1, SR!$B$1:$D$1, 0) ), "")
</f>
        <v>-0.000987</v>
      </c>
      <c r="J812" s="12">
        <f t="array" ref="J812">IFERROR(
  INDEX(
    SR!$B$2:$D2026,            
    MATCH($A812, SR!$A$2:$A2026, 0),  
    MATCH(J$1, SR!$B$1:$D$1, 0) ), "")
</f>
        <v>0.001388</v>
      </c>
      <c r="K812" s="14"/>
      <c r="L812" s="9">
        <v>120.93</v>
      </c>
      <c r="M812" s="9">
        <v>24.37</v>
      </c>
      <c r="N812" s="9">
        <v>115.21</v>
      </c>
      <c r="O812" s="9">
        <v>120.3</v>
      </c>
      <c r="P812" s="9">
        <v>127.05</v>
      </c>
      <c r="Q812" s="9">
        <v>1435.389</v>
      </c>
      <c r="R812" s="14"/>
      <c r="S812" s="12">
        <f t="shared" si="2"/>
        <v>-0.001424042579</v>
      </c>
      <c r="T812" s="12">
        <f t="shared" si="3"/>
        <v>0.9985759574</v>
      </c>
      <c r="U812" s="16">
        <f t="shared" si="7"/>
        <v>101.536035</v>
      </c>
      <c r="V812" s="17"/>
      <c r="W812" s="12">
        <f t="array" ref="W812">SQRT(252/20) *  SQRT( SUMSQ( LN(U791:U810 / U790:U809) )  - (1/20) * ( SUM( LN(U791:U810 / U790:U809) ) ^ 2 ) )</f>
        <v>0.01468295191</v>
      </c>
      <c r="X812" s="9">
        <f t="shared" si="4"/>
        <v>1.5</v>
      </c>
      <c r="Y812" s="14"/>
      <c r="Z812" s="12">
        <f t="shared" si="5"/>
        <v>0.9978691028</v>
      </c>
      <c r="AA812" s="16">
        <f t="shared" si="8"/>
        <v>102.5664042</v>
      </c>
      <c r="AB812" s="14"/>
      <c r="AC812" s="9">
        <f t="shared" si="6"/>
        <v>0</v>
      </c>
    </row>
    <row r="813">
      <c r="A813" s="8">
        <v>42905.0</v>
      </c>
      <c r="B813" s="14"/>
      <c r="C813" s="12">
        <f t="array" ref="C813">IFERROR(
  INDEX(
    IR!$B$2:$E2026,                
    MATCH($A813, IR!$A$2:$A2026, 0), 
    MATCH(C$1, IR!$B$1:$E$1, 0) ), "")
</f>
        <v>-0.00374</v>
      </c>
      <c r="D813" s="12">
        <f t="array" ref="D813">IFERROR(
  INDEX(
    IR!$B$2:$E2026,                
    MATCH($A813, IR!$A$2:$A2026, 0), 
    MATCH(D$1, IR!$B$1:$E$1, 0) ), "")
</f>
        <v>-0.00329</v>
      </c>
      <c r="E813" s="12">
        <f t="array" ref="E813">IFERROR(
  INDEX(
    IR!$B$2:$E2026,                
    MATCH($A813, IR!$A$2:$A2026, 0), 
    MATCH(E$1, IR!$B$1:$E$1, 0) ), "")
</f>
        <v>-0.00271</v>
      </c>
      <c r="F813" s="12">
        <f t="array" ref="F813">IFERROR(
  INDEX(
    IR!$B$2:$E2026,                
    MATCH($A813, IR!$A$2:$A2026, 0), 
    MATCH(F$1, IR!$B$1:$E$1, 0) ), "")
</f>
        <v>-0.00156</v>
      </c>
      <c r="G813" s="25"/>
      <c r="H813" s="12">
        <f t="array" ref="H813">IFERROR(
  INDEX(
    SR!$B$2:$D2026,            
    MATCH($A813, SR!$A$2:$A2026, 0),  
    MATCH(H$1, SR!$B$1:$D$1, 0) ), "")
</f>
        <v>-0.001837</v>
      </c>
      <c r="I813" s="12">
        <f t="array" ref="I813">IFERROR(
  INDEX(
    SR!$B$2:$D2026,            
    MATCH($A813, SR!$A$2:$A2026, 0),  
    MATCH(I$1, SR!$B$1:$D$1, 0) ), "")
</f>
        <v>-0.0009</v>
      </c>
      <c r="J813" s="12">
        <f t="array" ref="J813">IFERROR(
  INDEX(
    SR!$B$2:$D2026,            
    MATCH($A813, SR!$A$2:$A2026, 0),  
    MATCH(J$1, SR!$B$1:$D$1, 0) ), "")
</f>
        <v>0.00145</v>
      </c>
      <c r="K813" s="14"/>
      <c r="L813" s="9">
        <v>121.21</v>
      </c>
      <c r="M813" s="9">
        <v>24.37</v>
      </c>
      <c r="N813" s="9">
        <v>115.23</v>
      </c>
      <c r="O813" s="9">
        <v>120.47</v>
      </c>
      <c r="P813" s="9">
        <v>127.17</v>
      </c>
      <c r="Q813" s="9">
        <v>1436.621</v>
      </c>
      <c r="R813" s="14"/>
      <c r="S813" s="12">
        <f t="shared" si="2"/>
        <v>0.0009505276505</v>
      </c>
      <c r="T813" s="12">
        <f t="shared" si="3"/>
        <v>1.000950528</v>
      </c>
      <c r="U813" s="16">
        <f t="shared" si="7"/>
        <v>101.6325478</v>
      </c>
      <c r="V813" s="17"/>
      <c r="W813" s="12">
        <f t="array" ref="W813">SQRT(252/20) *  SQRT( SUMSQ( LN(U792:U811 / U791:U810) )  - (1/20) * ( SUM( LN(U792:U811 / U791:U810) ) ^ 2 ) )</f>
        <v>0.01438799388</v>
      </c>
      <c r="X813" s="9">
        <f t="shared" si="4"/>
        <v>1.5</v>
      </c>
      <c r="Y813" s="14"/>
      <c r="Z813" s="12">
        <f t="shared" si="5"/>
        <v>1.001441333</v>
      </c>
      <c r="AA813" s="16">
        <f t="shared" si="8"/>
        <v>102.7142366</v>
      </c>
      <c r="AB813" s="14"/>
      <c r="AC813" s="9">
        <f t="shared" si="6"/>
        <v>0</v>
      </c>
    </row>
    <row r="814">
      <c r="A814" s="8">
        <v>42906.0</v>
      </c>
      <c r="B814" s="14"/>
      <c r="C814" s="12">
        <f t="array" ref="C814">IFERROR(
  INDEX(
    IR!$B$2:$E2026,                
    MATCH($A814, IR!$A$2:$A2026, 0), 
    MATCH(C$1, IR!$B$1:$E$1, 0) ), "")
</f>
        <v>-0.00372</v>
      </c>
      <c r="D814" s="12">
        <f t="array" ref="D814">IFERROR(
  INDEX(
    IR!$B$2:$E2026,                
    MATCH($A814, IR!$A$2:$A2026, 0), 
    MATCH(D$1, IR!$B$1:$E$1, 0) ), "")
</f>
        <v>-0.00329</v>
      </c>
      <c r="E814" s="12">
        <f t="array" ref="E814">IFERROR(
  INDEX(
    IR!$B$2:$E2026,                
    MATCH($A814, IR!$A$2:$A2026, 0), 
    MATCH(E$1, IR!$B$1:$E$1, 0) ), "")
</f>
        <v>-0.00271</v>
      </c>
      <c r="F814" s="12">
        <f t="array" ref="F814">IFERROR(
  INDEX(
    IR!$B$2:$E2026,                
    MATCH($A814, IR!$A$2:$A2026, 0), 
    MATCH(F$1, IR!$B$1:$E$1, 0) ), "")
</f>
        <v>-0.00159</v>
      </c>
      <c r="G814" s="25"/>
      <c r="H814" s="12">
        <f t="array" ref="H814">IFERROR(
  INDEX(
    SR!$B$2:$D2026,            
    MATCH($A814, SR!$A$2:$A2026, 0),  
    MATCH(H$1, SR!$B$1:$D$1, 0) ), "")
</f>
        <v>-0.00193</v>
      </c>
      <c r="I814" s="12">
        <f t="array" ref="I814">IFERROR(
  INDEX(
    SR!$B$2:$D2026,            
    MATCH($A814, SR!$A$2:$A2026, 0),  
    MATCH(I$1, SR!$B$1:$D$1, 0) ), "")
</f>
        <v>-0.001032</v>
      </c>
      <c r="J814" s="12">
        <f t="array" ref="J814">IFERROR(
  INDEX(
    SR!$B$2:$D2026,            
    MATCH($A814, SR!$A$2:$A2026, 0),  
    MATCH(J$1, SR!$B$1:$D$1, 0) ), "")
</f>
        <v>0.001275</v>
      </c>
      <c r="K814" s="14"/>
      <c r="L814" s="9">
        <v>120.91</v>
      </c>
      <c r="M814" s="9">
        <v>24.37</v>
      </c>
      <c r="N814" s="9">
        <v>115.2</v>
      </c>
      <c r="O814" s="9">
        <v>121.0</v>
      </c>
      <c r="P814" s="9">
        <v>127.51</v>
      </c>
      <c r="Q814" s="9">
        <v>1443.898</v>
      </c>
      <c r="R814" s="14"/>
      <c r="S814" s="12">
        <f t="shared" si="2"/>
        <v>0.001567044358</v>
      </c>
      <c r="T814" s="12">
        <f t="shared" si="3"/>
        <v>1.001567044</v>
      </c>
      <c r="U814" s="16">
        <f t="shared" si="7"/>
        <v>101.7918105</v>
      </c>
      <c r="V814" s="17"/>
      <c r="W814" s="12">
        <f t="array" ref="W814">SQRT(252/20) *  SQRT( SUMSQ( LN(U793:U812 / U792:U811) )  - (1/20) * ( SUM( LN(U793:U812 / U792:U811) ) ^ 2 ) )</f>
        <v>0.01507821464</v>
      </c>
      <c r="X814" s="9">
        <f t="shared" si="4"/>
        <v>1.5</v>
      </c>
      <c r="Y814" s="14"/>
      <c r="Z814" s="12">
        <f t="shared" si="5"/>
        <v>1.002355761</v>
      </c>
      <c r="AA814" s="16">
        <f t="shared" si="8"/>
        <v>102.9562068</v>
      </c>
      <c r="AB814" s="14"/>
      <c r="AC814" s="9">
        <f t="shared" si="6"/>
        <v>0</v>
      </c>
    </row>
    <row r="815">
      <c r="A815" s="8">
        <v>42907.0</v>
      </c>
      <c r="B815" s="14"/>
      <c r="C815" s="12">
        <f t="array" ref="C815">IFERROR(
  INDEX(
    IR!$B$2:$E2026,                
    MATCH($A815, IR!$A$2:$A2026, 0), 
    MATCH(C$1, IR!$B$1:$E$1, 0) ), "")
</f>
        <v>-0.00373</v>
      </c>
      <c r="D815" s="12">
        <f t="array" ref="D815">IFERROR(
  INDEX(
    IR!$B$2:$E2026,                
    MATCH($A815, IR!$A$2:$A2026, 0), 
    MATCH(D$1, IR!$B$1:$E$1, 0) ), "")
</f>
        <v>-0.00329</v>
      </c>
      <c r="E815" s="12">
        <f t="array" ref="E815">IFERROR(
  INDEX(
    IR!$B$2:$E2026,                
    MATCH($A815, IR!$A$2:$A2026, 0), 
    MATCH(E$1, IR!$B$1:$E$1, 0) ), "")
</f>
        <v>-0.00271</v>
      </c>
      <c r="F815" s="12">
        <f t="array" ref="F815">IFERROR(
  INDEX(
    IR!$B$2:$E2026,                
    MATCH($A815, IR!$A$2:$A2026, 0), 
    MATCH(F$1, IR!$B$1:$E$1, 0) ), "")
</f>
        <v>-0.00161</v>
      </c>
      <c r="G815" s="25"/>
      <c r="H815" s="12">
        <f t="array" ref="H815">IFERROR(
  INDEX(
    SR!$B$2:$D2026,            
    MATCH($A815, SR!$A$2:$A2026, 0),  
    MATCH(H$1, SR!$B$1:$D$1, 0) ), "")
</f>
        <v>-0.00186</v>
      </c>
      <c r="I815" s="12">
        <f t="array" ref="I815">IFERROR(
  INDEX(
    SR!$B$2:$D2026,            
    MATCH($A815, SR!$A$2:$A2026, 0),  
    MATCH(I$1, SR!$B$1:$D$1, 0) ), "")
</f>
        <v>-0.00094</v>
      </c>
      <c r="J815" s="12">
        <f t="array" ref="J815">IFERROR(
  INDEX(
    SR!$B$2:$D2026,            
    MATCH($A815, SR!$A$2:$A2026, 0),  
    MATCH(J$1, SR!$B$1:$D$1, 0) ), "")
</f>
        <v>0.00139</v>
      </c>
      <c r="K815" s="14"/>
      <c r="L815" s="9">
        <v>120.82</v>
      </c>
      <c r="M815" s="9">
        <v>24.37</v>
      </c>
      <c r="N815" s="9">
        <v>115.17</v>
      </c>
      <c r="O815" s="9">
        <v>120.91</v>
      </c>
      <c r="P815" s="9">
        <v>127.29</v>
      </c>
      <c r="Q815" s="9">
        <v>1438.393</v>
      </c>
      <c r="R815" s="14"/>
      <c r="S815" s="12">
        <f t="shared" si="2"/>
        <v>-0.001214316271</v>
      </c>
      <c r="T815" s="12">
        <f t="shared" si="3"/>
        <v>0.9987856837</v>
      </c>
      <c r="U815" s="16">
        <f t="shared" si="7"/>
        <v>101.668203</v>
      </c>
      <c r="V815" s="17"/>
      <c r="W815" s="12">
        <f t="array" ref="W815">SQRT(252/20) *  SQRT( SUMSQ( LN(U794:U813 / U793:U812) )  - (1/20) * ( SUM( LN(U794:U813 / U793:U812) ) ^ 2 ) )</f>
        <v>0.01163687585</v>
      </c>
      <c r="X815" s="9">
        <f t="shared" si="4"/>
        <v>1.5</v>
      </c>
      <c r="Y815" s="14"/>
      <c r="Z815" s="12">
        <f t="shared" si="5"/>
        <v>0.9981836923</v>
      </c>
      <c r="AA815" s="16">
        <f t="shared" si="8"/>
        <v>102.7692066</v>
      </c>
      <c r="AB815" s="14"/>
      <c r="AC815" s="9">
        <f t="shared" si="6"/>
        <v>0</v>
      </c>
    </row>
    <row r="816">
      <c r="A816" s="8">
        <v>42908.0</v>
      </c>
      <c r="B816" s="14"/>
      <c r="C816" s="12">
        <f t="array" ref="C816">IFERROR(
  INDEX(
    IR!$B$2:$E2026,                
    MATCH($A816, IR!$A$2:$A2026, 0), 
    MATCH(C$1, IR!$B$1:$E$1, 0) ), "")
</f>
        <v>-0.00372</v>
      </c>
      <c r="D816" s="12">
        <f t="array" ref="D816">IFERROR(
  INDEX(
    IR!$B$2:$E2026,                
    MATCH($A816, IR!$A$2:$A2026, 0), 
    MATCH(D$1, IR!$B$1:$E$1, 0) ), "")
</f>
        <v>-0.0033</v>
      </c>
      <c r="E816" s="12">
        <f t="array" ref="E816">IFERROR(
  INDEX(
    IR!$B$2:$E2026,                
    MATCH($A816, IR!$A$2:$A2026, 0), 
    MATCH(E$1, IR!$B$1:$E$1, 0) ), "")
</f>
        <v>-0.00272</v>
      </c>
      <c r="F816" s="12">
        <f t="array" ref="F816">IFERROR(
  INDEX(
    IR!$B$2:$E2026,                
    MATCH($A816, IR!$A$2:$A2026, 0), 
    MATCH(F$1, IR!$B$1:$E$1, 0) ), "")
</f>
        <v>-0.00161</v>
      </c>
      <c r="G816" s="25"/>
      <c r="H816" s="12">
        <f t="array" ref="H816">IFERROR(
  INDEX(
    SR!$B$2:$D2026,            
    MATCH($A816, SR!$A$2:$A2026, 0),  
    MATCH(H$1, SR!$B$1:$D$1, 0) ), "")
</f>
        <v>-0.001875</v>
      </c>
      <c r="I816" s="12">
        <f t="array" ref="I816">IFERROR(
  INDEX(
    SR!$B$2:$D2026,            
    MATCH($A816, SR!$A$2:$A2026, 0),  
    MATCH(I$1, SR!$B$1:$D$1, 0) ), "")
</f>
        <v>-0.00097</v>
      </c>
      <c r="J816" s="12">
        <f t="array" ref="J816">IFERROR(
  INDEX(
    SR!$B$2:$D2026,            
    MATCH($A816, SR!$A$2:$A2026, 0),  
    MATCH(J$1, SR!$B$1:$D$1, 0) ), "")
</f>
        <v>0.00127</v>
      </c>
      <c r="K816" s="14"/>
      <c r="L816" s="9">
        <v>120.67</v>
      </c>
      <c r="M816" s="9">
        <v>24.37</v>
      </c>
      <c r="N816" s="9">
        <v>115.16</v>
      </c>
      <c r="O816" s="9">
        <v>120.75</v>
      </c>
      <c r="P816" s="9">
        <v>127.22</v>
      </c>
      <c r="Q816" s="9">
        <v>1438.99</v>
      </c>
      <c r="R816" s="14"/>
      <c r="S816" s="12">
        <f t="shared" si="2"/>
        <v>-0.0004641930017</v>
      </c>
      <c r="T816" s="12">
        <f t="shared" si="3"/>
        <v>0.999535807</v>
      </c>
      <c r="U816" s="16">
        <f t="shared" si="7"/>
        <v>101.6210094</v>
      </c>
      <c r="V816" s="17"/>
      <c r="W816" s="12">
        <f t="array" ref="W816">SQRT(252/20) *  SQRT( SUMSQ( LN(U795:U814 / U794:U813) )  - (1/20) * ( SUM( LN(U795:U814 / U794:U813) ) ^ 2 ) )</f>
        <v>0.01261669052</v>
      </c>
      <c r="X816" s="9">
        <f t="shared" si="4"/>
        <v>1.5</v>
      </c>
      <c r="Y816" s="14"/>
      <c r="Z816" s="12">
        <f t="shared" si="5"/>
        <v>0.9993088911</v>
      </c>
      <c r="AA816" s="16">
        <f t="shared" si="8"/>
        <v>102.6981819</v>
      </c>
      <c r="AB816" s="14"/>
      <c r="AC816" s="9">
        <f t="shared" si="6"/>
        <v>0</v>
      </c>
    </row>
    <row r="817">
      <c r="A817" s="8">
        <v>42912.0</v>
      </c>
      <c r="B817" s="14"/>
      <c r="C817" s="12">
        <f t="array" ref="C817">IFERROR(
  INDEX(
    IR!$B$2:$E2026,                
    MATCH($A817, IR!$A$2:$A2026, 0), 
    MATCH(C$1, IR!$B$1:$E$1, 0) ), "")
</f>
        <v>-0.00374</v>
      </c>
      <c r="D817" s="12">
        <f t="array" ref="D817">IFERROR(
  INDEX(
    IR!$B$2:$E2026,                
    MATCH($A817, IR!$A$2:$A2026, 0), 
    MATCH(D$1, IR!$B$1:$E$1, 0) ), "")
</f>
        <v>-0.00331</v>
      </c>
      <c r="E817" s="12">
        <f t="array" ref="E817">IFERROR(
  INDEX(
    IR!$B$2:$E2026,                
    MATCH($A817, IR!$A$2:$A2026, 0), 
    MATCH(E$1, IR!$B$1:$E$1, 0) ), "")
</f>
        <v>-0.00273</v>
      </c>
      <c r="F817" s="12">
        <f t="array" ref="F817">IFERROR(
  INDEX(
    IR!$B$2:$E2026,                
    MATCH($A817, IR!$A$2:$A2026, 0), 
    MATCH(F$1, IR!$B$1:$E$1, 0) ), "")
</f>
        <v>-0.00161</v>
      </c>
      <c r="G817" s="25"/>
      <c r="H817" s="12">
        <f t="array" ref="H817">IFERROR(
  INDEX(
    SR!$B$2:$D2026,            
    MATCH($A817, SR!$A$2:$A2026, 0),  
    MATCH(H$1, SR!$B$1:$D$1, 0) ), "")
</f>
        <v>-0.0018</v>
      </c>
      <c r="I817" s="12">
        <f t="array" ref="I817">IFERROR(
  INDEX(
    SR!$B$2:$D2026,            
    MATCH($A817, SR!$A$2:$A2026, 0),  
    MATCH(I$1, SR!$B$1:$D$1, 0) ), "")
</f>
        <v>-0.00084</v>
      </c>
      <c r="J817" s="12">
        <f t="array" ref="J817">IFERROR(
  INDEX(
    SR!$B$2:$D2026,            
    MATCH($A817, SR!$A$2:$A2026, 0),  
    MATCH(J$1, SR!$B$1:$D$1, 0) ), "")
</f>
        <v>0.001401</v>
      </c>
      <c r="K817" s="14"/>
      <c r="L817" s="9">
        <v>120.53</v>
      </c>
      <c r="M817" s="9">
        <v>24.36</v>
      </c>
      <c r="N817" s="9">
        <v>115.18</v>
      </c>
      <c r="O817" s="9">
        <v>120.83</v>
      </c>
      <c r="P817" s="9">
        <v>127.37</v>
      </c>
      <c r="Q817" s="9">
        <v>1441.376</v>
      </c>
      <c r="R817" s="14"/>
      <c r="S817" s="12">
        <f t="shared" si="2"/>
        <v>0.0003504981358</v>
      </c>
      <c r="T817" s="12">
        <f t="shared" si="3"/>
        <v>1.000350498</v>
      </c>
      <c r="U817" s="16">
        <f t="shared" si="7"/>
        <v>101.6566273</v>
      </c>
      <c r="V817" s="17"/>
      <c r="W817" s="12">
        <f t="array" ref="W817">SQRT(252/20) *  SQRT( SUMSQ( LN(U796:U815 / U795:U814) )  - (1/20) * ( SUM( LN(U796:U815 / U795:U814) ) ^ 2 ) )</f>
        <v>0.01307365403</v>
      </c>
      <c r="X817" s="9">
        <f t="shared" si="4"/>
        <v>1.5</v>
      </c>
      <c r="Y817" s="14"/>
      <c r="Z817" s="12">
        <f t="shared" si="5"/>
        <v>1.000546414</v>
      </c>
      <c r="AA817" s="16">
        <f t="shared" si="8"/>
        <v>102.7542976</v>
      </c>
      <c r="AB817" s="14"/>
      <c r="AC817" s="9">
        <f t="shared" si="6"/>
        <v>0</v>
      </c>
    </row>
    <row r="818">
      <c r="A818" s="8">
        <v>42913.0</v>
      </c>
      <c r="B818" s="14"/>
      <c r="C818" s="12">
        <f t="array" ref="C818">IFERROR(
  INDEX(
    IR!$B$2:$E2026,                
    MATCH($A818, IR!$A$2:$A2026, 0), 
    MATCH(C$1, IR!$B$1:$E$1, 0) ), "")
</f>
        <v>-0.00373</v>
      </c>
      <c r="D818" s="12">
        <f t="array" ref="D818">IFERROR(
  INDEX(
    IR!$B$2:$E2026,                
    MATCH($A818, IR!$A$2:$A2026, 0), 
    MATCH(D$1, IR!$B$1:$E$1, 0) ), "")
</f>
        <v>-0.00331</v>
      </c>
      <c r="E818" s="12">
        <f t="array" ref="E818">IFERROR(
  INDEX(
    IR!$B$2:$E2026,                
    MATCH($A818, IR!$A$2:$A2026, 0), 
    MATCH(E$1, IR!$B$1:$E$1, 0) ), "")
</f>
        <v>-0.00273</v>
      </c>
      <c r="F818" s="12">
        <f t="array" ref="F818">IFERROR(
  INDEX(
    IR!$B$2:$E2026,                
    MATCH($A818, IR!$A$2:$A2026, 0), 
    MATCH(F$1, IR!$B$1:$E$1, 0) ), "")
</f>
        <v>-0.00161</v>
      </c>
      <c r="G818" s="25"/>
      <c r="H818" s="12">
        <f t="array" ref="H818">IFERROR(
  INDEX(
    SR!$B$2:$D2026,            
    MATCH($A818, SR!$A$2:$A2026, 0),  
    MATCH(H$1, SR!$B$1:$D$1, 0) ), "")
</f>
        <v>-0.00146</v>
      </c>
      <c r="I818" s="12">
        <f t="array" ref="I818">IFERROR(
  INDEX(
    SR!$B$2:$D2026,            
    MATCH($A818, SR!$A$2:$A2026, 0),  
    MATCH(I$1, SR!$B$1:$D$1, 0) ), "")
</f>
        <v>-0.000388</v>
      </c>
      <c r="J818" s="12">
        <f t="array" ref="J818">IFERROR(
  INDEX(
    SR!$B$2:$D2026,            
    MATCH($A818, SR!$A$2:$A2026, 0),  
    MATCH(J$1, SR!$B$1:$D$1, 0) ), "")
</f>
        <v>0.00224</v>
      </c>
      <c r="K818" s="14"/>
      <c r="L818" s="9">
        <v>120.28</v>
      </c>
      <c r="M818" s="9">
        <v>24.34</v>
      </c>
      <c r="N818" s="9">
        <v>115.17</v>
      </c>
      <c r="O818" s="9">
        <v>120.84</v>
      </c>
      <c r="P818" s="9">
        <v>127.42</v>
      </c>
      <c r="Q818" s="9">
        <v>1440.195</v>
      </c>
      <c r="R818" s="14"/>
      <c r="S818" s="12">
        <f t="shared" si="2"/>
        <v>-0.000554201703</v>
      </c>
      <c r="T818" s="12">
        <f t="shared" si="3"/>
        <v>0.9994457983</v>
      </c>
      <c r="U818" s="16">
        <f t="shared" si="7"/>
        <v>101.6002891</v>
      </c>
      <c r="V818" s="17"/>
      <c r="W818" s="12">
        <f t="array" ref="W818">SQRT(252/20) *  SQRT( SUMSQ( LN(U797:U816 / U796:U815) )  - (1/20) * ( SUM( LN(U797:U816 / U796:U815) ) ^ 2 ) )</f>
        <v>0.01307413364</v>
      </c>
      <c r="X818" s="9">
        <f t="shared" si="4"/>
        <v>1.5</v>
      </c>
      <c r="Y818" s="14"/>
      <c r="Z818" s="12">
        <f t="shared" si="5"/>
        <v>0.9991738919</v>
      </c>
      <c r="AA818" s="16">
        <f t="shared" si="8"/>
        <v>102.6694114</v>
      </c>
      <c r="AB818" s="14"/>
      <c r="AC818" s="9">
        <f t="shared" si="6"/>
        <v>0</v>
      </c>
    </row>
    <row r="819">
      <c r="A819" s="8">
        <v>42914.0</v>
      </c>
      <c r="B819" s="14"/>
      <c r="C819" s="12">
        <f t="array" ref="C819">IFERROR(
  INDEX(
    IR!$B$2:$E2026,                
    MATCH($A819, IR!$A$2:$A2026, 0), 
    MATCH(C$1, IR!$B$1:$E$1, 0) ), "")
</f>
        <v>-0.00372</v>
      </c>
      <c r="D819" s="12">
        <f t="array" ref="D819">IFERROR(
  INDEX(
    IR!$B$2:$E2026,                
    MATCH($A819, IR!$A$2:$A2026, 0), 
    MATCH(D$1, IR!$B$1:$E$1, 0) ), "")
</f>
        <v>-0.00331</v>
      </c>
      <c r="E819" s="12">
        <f t="array" ref="E819">IFERROR(
  INDEX(
    IR!$B$2:$E2026,                
    MATCH($A819, IR!$A$2:$A2026, 0), 
    MATCH(E$1, IR!$B$1:$E$1, 0) ), "")
</f>
        <v>-0.00271</v>
      </c>
      <c r="F819" s="12">
        <f t="array" ref="F819">IFERROR(
  INDEX(
    IR!$B$2:$E2026,                
    MATCH($A819, IR!$A$2:$A2026, 0), 
    MATCH(F$1, IR!$B$1:$E$1, 0) ), "")
</f>
        <v>-0.00158</v>
      </c>
      <c r="G819" s="25"/>
      <c r="H819" s="12">
        <f t="array" ref="H819">IFERROR(
  INDEX(
    SR!$B$2:$D2026,            
    MATCH($A819, SR!$A$2:$A2026, 0),  
    MATCH(H$1, SR!$B$1:$D$1, 0) ), "")
</f>
        <v>-0.001565</v>
      </c>
      <c r="I819" s="12">
        <f t="array" ref="I819">IFERROR(
  INDEX(
    SR!$B$2:$D2026,            
    MATCH($A819, SR!$A$2:$A2026, 0),  
    MATCH(I$1, SR!$B$1:$D$1, 0) ), "")
</f>
        <v>-0.000347</v>
      </c>
      <c r="J819" s="12">
        <f t="array" ref="J819">IFERROR(
  INDEX(
    SR!$B$2:$D2026,            
    MATCH($A819, SR!$A$2:$A2026, 0),  
    MATCH(J$1, SR!$B$1:$D$1, 0) ), "")
</f>
        <v>0.002123</v>
      </c>
      <c r="K819" s="14"/>
      <c r="L819" s="9">
        <v>120.2</v>
      </c>
      <c r="M819" s="9">
        <v>24.32</v>
      </c>
      <c r="N819" s="9">
        <v>115.14</v>
      </c>
      <c r="O819" s="9">
        <v>120.03</v>
      </c>
      <c r="P819" s="9">
        <v>127.02</v>
      </c>
      <c r="Q819" s="9">
        <v>1432.36</v>
      </c>
      <c r="R819" s="14"/>
      <c r="S819" s="12">
        <f t="shared" si="2"/>
        <v>-0.002837713786</v>
      </c>
      <c r="T819" s="12">
        <f t="shared" si="3"/>
        <v>0.9971622862</v>
      </c>
      <c r="U819" s="16">
        <f t="shared" si="7"/>
        <v>101.3119765</v>
      </c>
      <c r="V819" s="17"/>
      <c r="W819" s="12">
        <f t="array" ref="W819">SQRT(252/20) *  SQRT( SUMSQ( LN(U798:U817 / U797:U816) )  - (1/20) * ( SUM( LN(U798:U817 / U797:U816) ) ^ 2 ) )</f>
        <v>0.01308723704</v>
      </c>
      <c r="X819" s="9">
        <f t="shared" si="4"/>
        <v>1.5</v>
      </c>
      <c r="Y819" s="14"/>
      <c r="Z819" s="12">
        <f t="shared" si="5"/>
        <v>0.9957486099</v>
      </c>
      <c r="AA819" s="16">
        <f t="shared" si="8"/>
        <v>102.2329237</v>
      </c>
      <c r="AB819" s="14"/>
      <c r="AC819" s="9">
        <f t="shared" si="6"/>
        <v>0</v>
      </c>
    </row>
    <row r="820">
      <c r="A820" s="8">
        <v>42915.0</v>
      </c>
      <c r="B820" s="14"/>
      <c r="C820" s="12">
        <f t="array" ref="C820">IFERROR(
  INDEX(
    IR!$B$2:$E2026,                
    MATCH($A820, IR!$A$2:$A2026, 0), 
    MATCH(C$1, IR!$B$1:$E$1, 0) ), "")
</f>
        <v>-0.00373</v>
      </c>
      <c r="D820" s="12">
        <f t="array" ref="D820">IFERROR(
  INDEX(
    IR!$B$2:$E2026,                
    MATCH($A820, IR!$A$2:$A2026, 0), 
    MATCH(D$1, IR!$B$1:$E$1, 0) ), "")
</f>
        <v>-0.00331</v>
      </c>
      <c r="E820" s="12">
        <f t="array" ref="E820">IFERROR(
  INDEX(
    IR!$B$2:$E2026,                
    MATCH($A820, IR!$A$2:$A2026, 0), 
    MATCH(E$1, IR!$B$1:$E$1, 0) ), "")
</f>
        <v>-0.0027</v>
      </c>
      <c r="F820" s="12">
        <f t="array" ref="F820">IFERROR(
  INDEX(
    IR!$B$2:$E2026,                
    MATCH($A820, IR!$A$2:$A2026, 0), 
    MATCH(F$1, IR!$B$1:$E$1, 0) ), "")
</f>
        <v>-0.00156</v>
      </c>
      <c r="G820" s="25"/>
      <c r="H820" s="12">
        <f t="array" ref="H820">IFERROR(
  INDEX(
    SR!$B$2:$D2026,            
    MATCH($A820, SR!$A$2:$A2026, 0),  
    MATCH(H$1, SR!$B$1:$D$1, 0) ), "")
</f>
        <v>-0.00139</v>
      </c>
      <c r="I820" s="12">
        <f t="array" ref="I820">IFERROR(
  INDEX(
    SR!$B$2:$D2026,            
    MATCH($A820, SR!$A$2:$A2026, 0),  
    MATCH(I$1, SR!$B$1:$D$1, 0) ), "")
</f>
        <v>-0.000141</v>
      </c>
      <c r="J820" s="12">
        <f t="array" ref="J820">IFERROR(
  INDEX(
    SR!$B$2:$D2026,            
    MATCH($A820, SR!$A$2:$A2026, 0),  
    MATCH(J$1, SR!$B$1:$D$1, 0) ), "")
</f>
        <v>0.002585</v>
      </c>
      <c r="K820" s="14"/>
      <c r="L820" s="9">
        <v>119.65</v>
      </c>
      <c r="M820" s="9">
        <v>24.31</v>
      </c>
      <c r="N820" s="9">
        <v>115.13</v>
      </c>
      <c r="O820" s="9">
        <v>119.94</v>
      </c>
      <c r="P820" s="9">
        <v>126.96</v>
      </c>
      <c r="Q820" s="9">
        <v>1436.404</v>
      </c>
      <c r="R820" s="14"/>
      <c r="S820" s="12">
        <f t="shared" si="2"/>
        <v>-0.0005782542755</v>
      </c>
      <c r="T820" s="12">
        <f t="shared" si="3"/>
        <v>0.9994217457</v>
      </c>
      <c r="U820" s="16">
        <f t="shared" si="7"/>
        <v>101.2533924</v>
      </c>
      <c r="V820" s="17"/>
      <c r="W820" s="12">
        <f t="array" ref="W820">SQRT(252/20) *  SQRT( SUMSQ( LN(U799:U818 / U798:U817) )  - (1/20) * ( SUM( LN(U799:U818 / U798:U817) ) ^ 2 ) )</f>
        <v>0.0132023543</v>
      </c>
      <c r="X820" s="9">
        <f t="shared" si="4"/>
        <v>1.5</v>
      </c>
      <c r="Y820" s="14"/>
      <c r="Z820" s="12">
        <f t="shared" si="5"/>
        <v>0.9991377853</v>
      </c>
      <c r="AA820" s="16">
        <f t="shared" si="8"/>
        <v>102.144777</v>
      </c>
      <c r="AB820" s="14"/>
      <c r="AC820" s="9">
        <f t="shared" si="6"/>
        <v>0</v>
      </c>
    </row>
    <row r="821">
      <c r="A821" s="8">
        <v>42916.0</v>
      </c>
      <c r="B821" s="14"/>
      <c r="C821" s="12">
        <f t="array" ref="C821">IFERROR(
  INDEX(
    IR!$B$2:$E2026,                
    MATCH($A821, IR!$A$2:$A2026, 0), 
    MATCH(C$1, IR!$B$1:$E$1, 0) ), "")
</f>
        <v>-0.00373</v>
      </c>
      <c r="D821" s="12">
        <f t="array" ref="D821">IFERROR(
  INDEX(
    IR!$B$2:$E2026,                
    MATCH($A821, IR!$A$2:$A2026, 0), 
    MATCH(D$1, IR!$B$1:$E$1, 0) ), "")
</f>
        <v>-0.00331</v>
      </c>
      <c r="E821" s="12">
        <f t="array" ref="E821">IFERROR(
  INDEX(
    IR!$B$2:$E2026,                
    MATCH($A821, IR!$A$2:$A2026, 0), 
    MATCH(E$1, IR!$B$1:$E$1, 0) ), "")
</f>
        <v>-0.00271</v>
      </c>
      <c r="F821" s="12">
        <f t="array" ref="F821">IFERROR(
  INDEX(
    IR!$B$2:$E2026,                
    MATCH($A821, IR!$A$2:$A2026, 0), 
    MATCH(F$1, IR!$B$1:$E$1, 0) ), "")
</f>
        <v>-0.00156</v>
      </c>
      <c r="G821" s="25"/>
      <c r="H821" s="12">
        <f t="array" ref="H821">IFERROR(
  INDEX(
    SR!$B$2:$D2026,            
    MATCH($A821, SR!$A$2:$A2026, 0),  
    MATCH(H$1, SR!$B$1:$D$1, 0) ), "")
</f>
        <v>-0.001255</v>
      </c>
      <c r="I821" s="12">
        <f t="array" ref="I821">IFERROR(
  INDEX(
    SR!$B$2:$D2026,            
    MATCH($A821, SR!$A$2:$A2026, 0),  
    MATCH(I$1, SR!$B$1:$D$1, 0) ), "")
</f>
        <v>0.000018</v>
      </c>
      <c r="J821" s="12">
        <f t="array" ref="J821">IFERROR(
  INDEX(
    SR!$B$2:$D2026,            
    MATCH($A821, SR!$A$2:$A2026, 0),  
    MATCH(J$1, SR!$B$1:$D$1, 0) ), "")
</f>
        <v>0.002755</v>
      </c>
      <c r="K821" s="14"/>
      <c r="L821" s="9">
        <v>119.6</v>
      </c>
      <c r="M821" s="9">
        <v>24.31</v>
      </c>
      <c r="N821" s="9">
        <v>115.11</v>
      </c>
      <c r="O821" s="9">
        <v>118.69</v>
      </c>
      <c r="P821" s="9">
        <v>126.54</v>
      </c>
      <c r="Q821" s="9">
        <v>1426.61</v>
      </c>
      <c r="R821" s="14"/>
      <c r="S821" s="12">
        <f t="shared" si="2"/>
        <v>-0.003522609891</v>
      </c>
      <c r="T821" s="12">
        <f t="shared" si="3"/>
        <v>0.9964773901</v>
      </c>
      <c r="U821" s="16">
        <f t="shared" si="7"/>
        <v>100.8967162</v>
      </c>
      <c r="V821" s="17"/>
      <c r="W821" s="12">
        <f t="array" ref="W821">SQRT(252/20) *  SQRT( SUMSQ( LN(U800:U819 / U799:U818) )  - (1/20) * ( SUM( LN(U800:U819 / U799:U818) ) ^ 2 ) )</f>
        <v>0.01635992817</v>
      </c>
      <c r="X821" s="9">
        <f t="shared" si="4"/>
        <v>1.5</v>
      </c>
      <c r="Y821" s="14"/>
      <c r="Z821" s="12">
        <f t="shared" si="5"/>
        <v>0.9947212657</v>
      </c>
      <c r="AA821" s="16">
        <f t="shared" si="8"/>
        <v>101.6055819</v>
      </c>
      <c r="AB821" s="14"/>
      <c r="AC821" s="9">
        <f t="shared" si="6"/>
        <v>0</v>
      </c>
    </row>
    <row r="822">
      <c r="A822" s="8">
        <v>42919.0</v>
      </c>
      <c r="B822" s="14"/>
      <c r="C822" s="12">
        <f t="array" ref="C822">IFERROR(
  INDEX(
    IR!$B$2:$E2026,                
    MATCH($A822, IR!$A$2:$A2026, 0), 
    MATCH(C$1, IR!$B$1:$E$1, 0) ), "")
</f>
        <v>-0.00373</v>
      </c>
      <c r="D822" s="12">
        <f t="array" ref="D822">IFERROR(
  INDEX(
    IR!$B$2:$E2026,                
    MATCH($A822, IR!$A$2:$A2026, 0), 
    MATCH(D$1, IR!$B$1:$E$1, 0) ), "")
</f>
        <v>-0.00331</v>
      </c>
      <c r="E822" s="12">
        <f t="array" ref="E822">IFERROR(
  INDEX(
    IR!$B$2:$E2026,                
    MATCH($A822, IR!$A$2:$A2026, 0), 
    MATCH(E$1, IR!$B$1:$E$1, 0) ), "")
</f>
        <v>-0.00271</v>
      </c>
      <c r="F822" s="12">
        <f t="array" ref="F822">IFERROR(
  INDEX(
    IR!$B$2:$E2026,                
    MATCH($A822, IR!$A$2:$A2026, 0), 
    MATCH(F$1, IR!$B$1:$E$1, 0) ), "")
</f>
        <v>-0.00157</v>
      </c>
      <c r="G822" s="25"/>
      <c r="H822" s="12">
        <f t="array" ref="H822">IFERROR(
  INDEX(
    SR!$B$2:$D2026,            
    MATCH($A822, SR!$A$2:$A2026, 0),  
    MATCH(H$1, SR!$B$1:$D$1, 0) ), "")
</f>
        <v>-0.00127</v>
      </c>
      <c r="I822" s="12">
        <f t="array" ref="I822">IFERROR(
  INDEX(
    SR!$B$2:$D2026,            
    MATCH($A822, SR!$A$2:$A2026, 0),  
    MATCH(I$1, SR!$B$1:$D$1, 0) ), "")
</f>
        <v>0.000019</v>
      </c>
      <c r="J822" s="12">
        <f t="array" ref="J822">IFERROR(
  INDEX(
    SR!$B$2:$D2026,            
    MATCH($A822, SR!$A$2:$A2026, 0),  
    MATCH(J$1, SR!$B$1:$D$1, 0) ), "")
</f>
        <v>0.00272</v>
      </c>
      <c r="K822" s="14"/>
      <c r="L822" s="9">
        <v>119.92</v>
      </c>
      <c r="M822" s="9">
        <v>24.32</v>
      </c>
      <c r="N822" s="9">
        <v>115.11</v>
      </c>
      <c r="O822" s="9">
        <v>118.21</v>
      </c>
      <c r="P822" s="9">
        <v>126.57</v>
      </c>
      <c r="Q822" s="9">
        <v>1425.574</v>
      </c>
      <c r="R822" s="14"/>
      <c r="S822" s="12">
        <f t="shared" si="2"/>
        <v>-0.0002410308428</v>
      </c>
      <c r="T822" s="12">
        <f t="shared" si="3"/>
        <v>0.9997589692</v>
      </c>
      <c r="U822" s="16">
        <f t="shared" si="7"/>
        <v>100.872397</v>
      </c>
      <c r="V822" s="17"/>
      <c r="W822" s="12">
        <f t="array" ref="W822">SQRT(252/20) *  SQRT( SUMSQ( LN(U801:U820 / U800:U819) )  - (1/20) * ( SUM( LN(U801:U820 / U800:U819) ) ^ 2 ) )</f>
        <v>0.01638270959</v>
      </c>
      <c r="X822" s="9">
        <f t="shared" si="4"/>
        <v>1.5</v>
      </c>
      <c r="Y822" s="14"/>
      <c r="Z822" s="12">
        <f t="shared" si="5"/>
        <v>0.9996539954</v>
      </c>
      <c r="AA822" s="16">
        <f t="shared" si="8"/>
        <v>101.5704259</v>
      </c>
      <c r="AB822" s="14"/>
      <c r="AC822" s="9">
        <f t="shared" si="6"/>
        <v>0</v>
      </c>
    </row>
    <row r="823">
      <c r="A823" s="8">
        <v>42920.0</v>
      </c>
      <c r="B823" s="14"/>
      <c r="C823" s="12">
        <f t="array" ref="C823">IFERROR(
  INDEX(
    IR!$B$2:$E2026,                
    MATCH($A823, IR!$A$2:$A2026, 0), 
    MATCH(C$1, IR!$B$1:$E$1, 0) ), "")
</f>
        <v>-0.00373</v>
      </c>
      <c r="D823" s="12">
        <f t="array" ref="D823">IFERROR(
  INDEX(
    IR!$B$2:$E2026,                
    MATCH($A823, IR!$A$2:$A2026, 0), 
    MATCH(D$1, IR!$B$1:$E$1, 0) ), "")
</f>
        <v>-0.00329</v>
      </c>
      <c r="E823" s="12">
        <f t="array" ref="E823">IFERROR(
  INDEX(
    IR!$B$2:$E2026,                
    MATCH($A823, IR!$A$2:$A2026, 0), 
    MATCH(E$1, IR!$B$1:$E$1, 0) ), "")
</f>
        <v>-0.00272</v>
      </c>
      <c r="F823" s="12">
        <f t="array" ref="F823">IFERROR(
  INDEX(
    IR!$B$2:$E2026,                
    MATCH($A823, IR!$A$2:$A2026, 0), 
    MATCH(F$1, IR!$B$1:$E$1, 0) ), "")
</f>
        <v>-0.00159</v>
      </c>
      <c r="G823" s="25"/>
      <c r="H823" s="12">
        <f t="array" ref="H823">IFERROR(
  INDEX(
    SR!$B$2:$D2026,            
    MATCH($A823, SR!$A$2:$A2026, 0),  
    MATCH(H$1, SR!$B$1:$D$1, 0) ), "")
</f>
        <v>-0.001355</v>
      </c>
      <c r="I823" s="12">
        <f t="array" ref="I823">IFERROR(
  INDEX(
    SR!$B$2:$D2026,            
    MATCH($A823, SR!$A$2:$A2026, 0),  
    MATCH(I$1, SR!$B$1:$D$1, 0) ), "")
</f>
        <v>-0.00008</v>
      </c>
      <c r="J823" s="12">
        <f t="array" ref="J823">IFERROR(
  INDEX(
    SR!$B$2:$D2026,            
    MATCH($A823, SR!$A$2:$A2026, 0),  
    MATCH(J$1, SR!$B$1:$D$1, 0) ), "")
</f>
        <v>0.00274</v>
      </c>
      <c r="K823" s="14"/>
      <c r="L823" s="9">
        <v>119.81</v>
      </c>
      <c r="M823" s="9">
        <v>24.33</v>
      </c>
      <c r="N823" s="9">
        <v>115.12</v>
      </c>
      <c r="O823" s="9">
        <v>118.71</v>
      </c>
      <c r="P823" s="9">
        <v>126.75</v>
      </c>
      <c r="Q823" s="9">
        <v>1423.671</v>
      </c>
      <c r="R823" s="14"/>
      <c r="S823" s="12">
        <f t="shared" si="2"/>
        <v>0.0006492361755</v>
      </c>
      <c r="T823" s="12">
        <f t="shared" si="3"/>
        <v>1.000649236</v>
      </c>
      <c r="U823" s="16">
        <f t="shared" si="7"/>
        <v>100.937887</v>
      </c>
      <c r="V823" s="17"/>
      <c r="W823" s="12">
        <f t="array" ref="W823">SQRT(252/20) *  SQRT( SUMSQ( LN(U802:U821 / U801:U820) )  - (1/20) * ( SUM( LN(U802:U821 / U801:U820) ) ^ 2 ) )</f>
        <v>0.0199862528</v>
      </c>
      <c r="X823" s="9">
        <f t="shared" si="4"/>
        <v>1.5</v>
      </c>
      <c r="Y823" s="14"/>
      <c r="Z823" s="12">
        <f t="shared" si="5"/>
        <v>1.000979035</v>
      </c>
      <c r="AA823" s="16">
        <f t="shared" si="8"/>
        <v>101.6698668</v>
      </c>
      <c r="AB823" s="14"/>
      <c r="AC823" s="9">
        <f t="shared" si="6"/>
        <v>0</v>
      </c>
    </row>
    <row r="824">
      <c r="A824" s="8">
        <v>42921.0</v>
      </c>
      <c r="B824" s="14"/>
      <c r="C824" s="12">
        <f t="array" ref="C824">IFERROR(
  INDEX(
    IR!$B$2:$E2026,                
    MATCH($A824, IR!$A$2:$A2026, 0), 
    MATCH(C$1, IR!$B$1:$E$1, 0) ), "")
</f>
        <v>-0.00373</v>
      </c>
      <c r="D824" s="12">
        <f t="array" ref="D824">IFERROR(
  INDEX(
    IR!$B$2:$E2026,                
    MATCH($A824, IR!$A$2:$A2026, 0), 
    MATCH(D$1, IR!$B$1:$E$1, 0) ), "")
</f>
        <v>-0.00331</v>
      </c>
      <c r="E824" s="12">
        <f t="array" ref="E824">IFERROR(
  INDEX(
    IR!$B$2:$E2026,                
    MATCH($A824, IR!$A$2:$A2026, 0), 
    MATCH(E$1, IR!$B$1:$E$1, 0) ), "")
</f>
        <v>-0.00274</v>
      </c>
      <c r="F824" s="12">
        <f t="array" ref="F824">IFERROR(
  INDEX(
    IR!$B$2:$E2026,                
    MATCH($A824, IR!$A$2:$A2026, 0), 
    MATCH(F$1, IR!$B$1:$E$1, 0) ), "")
</f>
        <v>-0.0016</v>
      </c>
      <c r="G824" s="25"/>
      <c r="H824" s="12">
        <f t="array" ref="H824">IFERROR(
  INDEX(
    SR!$B$2:$D2026,            
    MATCH($A824, SR!$A$2:$A2026, 0),  
    MATCH(H$1, SR!$B$1:$D$1, 0) ), "")
</f>
        <v>-0.00135</v>
      </c>
      <c r="I824" s="12">
        <f t="array" ref="I824">IFERROR(
  INDEX(
    SR!$B$2:$D2026,            
    MATCH($A824, SR!$A$2:$A2026, 0),  
    MATCH(I$1, SR!$B$1:$D$1, 0) ), "")
</f>
        <v>-0.000082</v>
      </c>
      <c r="J824" s="12">
        <f t="array" ref="J824">IFERROR(
  INDEX(
    SR!$B$2:$D2026,            
    MATCH($A824, SR!$A$2:$A2026, 0),  
    MATCH(J$1, SR!$B$1:$D$1, 0) ), "")
</f>
        <v>0.002735</v>
      </c>
      <c r="K824" s="14"/>
      <c r="L824" s="9">
        <v>119.78</v>
      </c>
      <c r="M824" s="9">
        <v>24.33</v>
      </c>
      <c r="N824" s="9">
        <v>115.11</v>
      </c>
      <c r="O824" s="9">
        <v>118.64</v>
      </c>
      <c r="P824" s="9">
        <v>126.77</v>
      </c>
      <c r="Q824" s="9">
        <v>1424.226</v>
      </c>
      <c r="R824" s="14"/>
      <c r="S824" s="12">
        <f t="shared" si="2"/>
        <v>-0.00006315347335</v>
      </c>
      <c r="T824" s="12">
        <f t="shared" si="3"/>
        <v>0.9999368465</v>
      </c>
      <c r="U824" s="16">
        <f t="shared" si="7"/>
        <v>100.9315124</v>
      </c>
      <c r="V824" s="17"/>
      <c r="W824" s="12">
        <f t="array" ref="W824">SQRT(252/20) *  SQRT( SUMSQ( LN(U803:U822 / U802:U821) )  - (1/20) * ( SUM( LN(U803:U822 / U802:U821) ) ^ 2 ) )</f>
        <v>0.0197333343</v>
      </c>
      <c r="X824" s="9">
        <f t="shared" si="4"/>
        <v>1.5</v>
      </c>
      <c r="Y824" s="14"/>
      <c r="Z824" s="12">
        <f t="shared" si="5"/>
        <v>0.9999104503</v>
      </c>
      <c r="AA824" s="16">
        <f t="shared" si="8"/>
        <v>101.6607623</v>
      </c>
      <c r="AB824" s="14"/>
      <c r="AC824" s="9">
        <f t="shared" si="6"/>
        <v>0</v>
      </c>
    </row>
    <row r="825">
      <c r="A825" s="8">
        <v>42922.0</v>
      </c>
      <c r="B825" s="14"/>
      <c r="C825" s="12">
        <f t="array" ref="C825">IFERROR(
  INDEX(
    IR!$B$2:$E2026,                
    MATCH($A825, IR!$A$2:$A2026, 0), 
    MATCH(C$1, IR!$B$1:$E$1, 0) ), "")
</f>
        <v>-0.00373</v>
      </c>
      <c r="D825" s="12">
        <f t="array" ref="D825">IFERROR(
  INDEX(
    IR!$B$2:$E2026,                
    MATCH($A825, IR!$A$2:$A2026, 0), 
    MATCH(D$1, IR!$B$1:$E$1, 0) ), "")
</f>
        <v>-0.0033</v>
      </c>
      <c r="E825" s="12">
        <f t="array" ref="E825">IFERROR(
  INDEX(
    IR!$B$2:$E2026,                
    MATCH($A825, IR!$A$2:$A2026, 0), 
    MATCH(E$1, IR!$B$1:$E$1, 0) ), "")
</f>
        <v>-0.00273</v>
      </c>
      <c r="F825" s="12">
        <f t="array" ref="F825">IFERROR(
  INDEX(
    IR!$B$2:$E2026,                
    MATCH($A825, IR!$A$2:$A2026, 0), 
    MATCH(F$1, IR!$B$1:$E$1, 0) ), "")
</f>
        <v>-0.00161</v>
      </c>
      <c r="G825" s="25"/>
      <c r="H825" s="12">
        <f t="array" ref="H825">IFERROR(
  INDEX(
    SR!$B$2:$D2026,            
    MATCH($A825, SR!$A$2:$A2026, 0),  
    MATCH(H$1, SR!$B$1:$D$1, 0) ), "")
</f>
        <v>-0.00119</v>
      </c>
      <c r="I825" s="12">
        <f t="array" ref="I825">IFERROR(
  INDEX(
    SR!$B$2:$D2026,            
    MATCH($A825, SR!$A$2:$A2026, 0),  
    MATCH(I$1, SR!$B$1:$D$1, 0) ), "")
</f>
        <v>0.000235</v>
      </c>
      <c r="J825" s="12">
        <f t="array" ref="J825">IFERROR(
  INDEX(
    SR!$B$2:$D2026,            
    MATCH($A825, SR!$A$2:$A2026, 0),  
    MATCH(J$1, SR!$B$1:$D$1, 0) ), "")
</f>
        <v>0.00329</v>
      </c>
      <c r="K825" s="14"/>
      <c r="L825" s="9">
        <v>119.64</v>
      </c>
      <c r="M825" s="9">
        <v>24.3</v>
      </c>
      <c r="N825" s="9">
        <v>115.07</v>
      </c>
      <c r="O825" s="9">
        <v>118.62</v>
      </c>
      <c r="P825" s="9">
        <v>126.82</v>
      </c>
      <c r="Q825" s="9">
        <v>1425.911</v>
      </c>
      <c r="R825" s="14"/>
      <c r="S825" s="12">
        <f t="shared" si="2"/>
        <v>-0.0002231943601</v>
      </c>
      <c r="T825" s="12">
        <f t="shared" si="3"/>
        <v>0.9997768056</v>
      </c>
      <c r="U825" s="16">
        <f t="shared" si="7"/>
        <v>100.9089851</v>
      </c>
      <c r="V825" s="17"/>
      <c r="W825" s="12">
        <f t="array" ref="W825">SQRT(252/20) *  SQRT( SUMSQ( LN(U804:U823 / U803:U822) )  - (1/20) * ( SUM( LN(U804:U823 / U803:U822) ) ^ 2 ) )</f>
        <v>0.01912276676</v>
      </c>
      <c r="X825" s="9">
        <f t="shared" si="4"/>
        <v>1.5</v>
      </c>
      <c r="Y825" s="14"/>
      <c r="Z825" s="12">
        <f t="shared" si="5"/>
        <v>0.999670389</v>
      </c>
      <c r="AA825" s="16">
        <f t="shared" si="8"/>
        <v>101.6272538</v>
      </c>
      <c r="AB825" s="14"/>
      <c r="AC825" s="9">
        <f t="shared" si="6"/>
        <v>0</v>
      </c>
    </row>
    <row r="826">
      <c r="A826" s="8">
        <v>42923.0</v>
      </c>
      <c r="B826" s="14"/>
      <c r="C826" s="12">
        <f t="array" ref="C826">IFERROR(
  INDEX(
    IR!$B$2:$E2026,                
    MATCH($A826, IR!$A$2:$A2026, 0), 
    MATCH(C$1, IR!$B$1:$E$1, 0) ), "")
</f>
        <v>-0.00372</v>
      </c>
      <c r="D826" s="12">
        <f t="array" ref="D826">IFERROR(
  INDEX(
    IR!$B$2:$E2026,                
    MATCH($A826, IR!$A$2:$A2026, 0), 
    MATCH(D$1, IR!$B$1:$E$1, 0) ), "")
</f>
        <v>-0.00331</v>
      </c>
      <c r="E826" s="12">
        <f t="array" ref="E826">IFERROR(
  INDEX(
    IR!$B$2:$E2026,                
    MATCH($A826, IR!$A$2:$A2026, 0), 
    MATCH(E$1, IR!$B$1:$E$1, 0) ), "")
</f>
        <v>-0.00272</v>
      </c>
      <c r="F826" s="12">
        <f t="array" ref="F826">IFERROR(
  INDEX(
    IR!$B$2:$E2026,                
    MATCH($A826, IR!$A$2:$A2026, 0), 
    MATCH(F$1, IR!$B$1:$E$1, 0) ), "")
</f>
        <v>-0.00161</v>
      </c>
      <c r="G826" s="25"/>
      <c r="H826" s="12">
        <f t="array" ref="H826">IFERROR(
  INDEX(
    SR!$B$2:$D2026,            
    MATCH($A826, SR!$A$2:$A2026, 0),  
    MATCH(H$1, SR!$B$1:$D$1, 0) ), "")
</f>
        <v>-0.001195</v>
      </c>
      <c r="I826" s="12">
        <f t="array" ref="I826">IFERROR(
  INDEX(
    SR!$B$2:$D2026,            
    MATCH($A826, SR!$A$2:$A2026, 0),  
    MATCH(I$1, SR!$B$1:$D$1, 0) ), "")
</f>
        <v>0.000228</v>
      </c>
      <c r="J826" s="12">
        <f t="array" ref="J826">IFERROR(
  INDEX(
    SR!$B$2:$D2026,            
    MATCH($A826, SR!$A$2:$A2026, 0),  
    MATCH(J$1, SR!$B$1:$D$1, 0) ), "")
</f>
        <v>0.003295</v>
      </c>
      <c r="K826" s="14"/>
      <c r="L826" s="9">
        <v>119.6</v>
      </c>
      <c r="M826" s="9">
        <v>24.31</v>
      </c>
      <c r="N826" s="9">
        <v>115.07</v>
      </c>
      <c r="O826" s="9">
        <v>118.19</v>
      </c>
      <c r="P826" s="9">
        <v>126.54</v>
      </c>
      <c r="Q826" s="9">
        <v>1421.085</v>
      </c>
      <c r="R826" s="14"/>
      <c r="S826" s="12">
        <f t="shared" si="2"/>
        <v>-0.001523094337</v>
      </c>
      <c r="T826" s="12">
        <f t="shared" si="3"/>
        <v>0.9984769057</v>
      </c>
      <c r="U826" s="16">
        <f t="shared" si="7"/>
        <v>100.7552912</v>
      </c>
      <c r="V826" s="17"/>
      <c r="W826" s="12">
        <f t="array" ref="W826">SQRT(252/20) *  SQRT( SUMSQ( LN(U805:U824 / U804:U823) )  - (1/20) * ( SUM( LN(U805:U824 / U804:U823) ) ^ 2 ) )</f>
        <v>0.01868693008</v>
      </c>
      <c r="X826" s="9">
        <f t="shared" si="4"/>
        <v>1.5</v>
      </c>
      <c r="Y826" s="14"/>
      <c r="Z826" s="12">
        <f t="shared" si="5"/>
        <v>0.9977205391</v>
      </c>
      <c r="AA826" s="16">
        <f t="shared" si="8"/>
        <v>101.3955985</v>
      </c>
      <c r="AB826" s="14"/>
      <c r="AC826" s="9">
        <f t="shared" si="6"/>
        <v>0</v>
      </c>
    </row>
    <row r="827">
      <c r="A827" s="8">
        <v>42926.0</v>
      </c>
      <c r="B827" s="14"/>
      <c r="C827" s="12">
        <f t="array" ref="C827">IFERROR(
  INDEX(
    IR!$B$2:$E2026,                
    MATCH($A827, IR!$A$2:$A2026, 0), 
    MATCH(C$1, IR!$B$1:$E$1, 0) ), "")
</f>
        <v>-0.00374</v>
      </c>
      <c r="D827" s="12">
        <f t="array" ref="D827">IFERROR(
  INDEX(
    IR!$B$2:$E2026,                
    MATCH($A827, IR!$A$2:$A2026, 0), 
    MATCH(D$1, IR!$B$1:$E$1, 0) ), "")
</f>
        <v>-0.00331</v>
      </c>
      <c r="E827" s="12">
        <f t="array" ref="E827">IFERROR(
  INDEX(
    IR!$B$2:$E2026,                
    MATCH($A827, IR!$A$2:$A2026, 0), 
    MATCH(E$1, IR!$B$1:$E$1, 0) ), "")
</f>
        <v>-0.00273</v>
      </c>
      <c r="F827" s="12">
        <f t="array" ref="F827">IFERROR(
  INDEX(
    IR!$B$2:$E2026,                
    MATCH($A827, IR!$A$2:$A2026, 0), 
    MATCH(F$1, IR!$B$1:$E$1, 0) ), "")
</f>
        <v>-0.00156</v>
      </c>
      <c r="G827" s="25"/>
      <c r="H827" s="12">
        <f t="array" ref="H827">IFERROR(
  INDEX(
    SR!$B$2:$D2026,            
    MATCH($A827, SR!$A$2:$A2026, 0),  
    MATCH(H$1, SR!$B$1:$D$1, 0) ), "")
</f>
        <v>-0.001215</v>
      </c>
      <c r="I827" s="12">
        <f t="array" ref="I827">IFERROR(
  INDEX(
    SR!$B$2:$D2026,            
    MATCH($A827, SR!$A$2:$A2026, 0),  
    MATCH(I$1, SR!$B$1:$D$1, 0) ), "")
</f>
        <v>0.000134</v>
      </c>
      <c r="J827" s="12">
        <f t="array" ref="J827">IFERROR(
  INDEX(
    SR!$B$2:$D2026,            
    MATCH($A827, SR!$A$2:$A2026, 0),  
    MATCH(J$1, SR!$B$1:$D$1, 0) ), "")
</f>
        <v>0.003165</v>
      </c>
      <c r="K827" s="14"/>
      <c r="L827" s="9">
        <v>119.74</v>
      </c>
      <c r="M827" s="9">
        <v>24.31</v>
      </c>
      <c r="N827" s="9">
        <v>115.1</v>
      </c>
      <c r="O827" s="9">
        <v>118.06</v>
      </c>
      <c r="P827" s="9">
        <v>126.44</v>
      </c>
      <c r="Q827" s="9">
        <v>1423.72</v>
      </c>
      <c r="R827" s="14"/>
      <c r="S827" s="12">
        <f t="shared" si="2"/>
        <v>0.0002326438442</v>
      </c>
      <c r="T827" s="12">
        <f t="shared" si="3"/>
        <v>1.000232644</v>
      </c>
      <c r="U827" s="16">
        <f t="shared" si="7"/>
        <v>100.7787313</v>
      </c>
      <c r="V827" s="17"/>
      <c r="W827" s="12">
        <f t="array" ref="W827">SQRT(252/20) *  SQRT( SUMSQ( LN(U806:U825 / U805:U824) )  - (1/20) * ( SUM( LN(U806:U825 / U805:U824) ) ^ 2 ) )</f>
        <v>0.01868748892</v>
      </c>
      <c r="X827" s="9">
        <f t="shared" si="4"/>
        <v>1.5</v>
      </c>
      <c r="Y827" s="14"/>
      <c r="Z827" s="12">
        <f t="shared" si="5"/>
        <v>1.000364466</v>
      </c>
      <c r="AA827" s="16">
        <f t="shared" si="8"/>
        <v>101.4325537</v>
      </c>
      <c r="AB827" s="14"/>
      <c r="AC827" s="9">
        <f t="shared" si="6"/>
        <v>0</v>
      </c>
    </row>
    <row r="828">
      <c r="A828" s="8">
        <v>42927.0</v>
      </c>
      <c r="B828" s="14"/>
      <c r="C828" s="12">
        <f t="array" ref="C828">IFERROR(
  INDEX(
    IR!$B$2:$E2026,                
    MATCH($A828, IR!$A$2:$A2026, 0), 
    MATCH(C$1, IR!$B$1:$E$1, 0) ), "")
</f>
        <v>-0.00374</v>
      </c>
      <c r="D828" s="12">
        <f t="array" ref="D828">IFERROR(
  INDEX(
    IR!$B$2:$E2026,                
    MATCH($A828, IR!$A$2:$A2026, 0), 
    MATCH(D$1, IR!$B$1:$E$1, 0) ), "")
</f>
        <v>-0.00331</v>
      </c>
      <c r="E828" s="12">
        <f t="array" ref="E828">IFERROR(
  INDEX(
    IR!$B$2:$E2026,                
    MATCH($A828, IR!$A$2:$A2026, 0), 
    MATCH(E$1, IR!$B$1:$E$1, 0) ), "")
</f>
        <v>-0.00273</v>
      </c>
      <c r="F828" s="12">
        <f t="array" ref="F828">IFERROR(
  INDEX(
    IR!$B$2:$E2026,                
    MATCH($A828, IR!$A$2:$A2026, 0), 
    MATCH(F$1, IR!$B$1:$E$1, 0) ), "")
</f>
        <v>-0.00155</v>
      </c>
      <c r="G828" s="25"/>
      <c r="H828" s="12">
        <f t="array" ref="H828">IFERROR(
  INDEX(
    SR!$B$2:$D2026,            
    MATCH($A828, SR!$A$2:$A2026, 0),  
    MATCH(H$1, SR!$B$1:$D$1, 0) ), "")
</f>
        <v>-0.001185</v>
      </c>
      <c r="I828" s="12">
        <f t="array" ref="I828">IFERROR(
  INDEX(
    SR!$B$2:$D2026,            
    MATCH($A828, SR!$A$2:$A2026, 0),  
    MATCH(I$1, SR!$B$1:$D$1, 0) ), "")
</f>
        <v>0.000159</v>
      </c>
      <c r="J828" s="12">
        <f t="array" ref="J828">IFERROR(
  INDEX(
    SR!$B$2:$D2026,            
    MATCH($A828, SR!$A$2:$A2026, 0),  
    MATCH(J$1, SR!$B$1:$D$1, 0) ), "")
</f>
        <v>0.00315</v>
      </c>
      <c r="K828" s="14"/>
      <c r="L828" s="9">
        <v>119.64</v>
      </c>
      <c r="M828" s="9">
        <v>24.3</v>
      </c>
      <c r="N828" s="9">
        <v>115.11</v>
      </c>
      <c r="O828" s="9">
        <v>118.36</v>
      </c>
      <c r="P828" s="9">
        <v>126.61</v>
      </c>
      <c r="Q828" s="9">
        <v>1426.616</v>
      </c>
      <c r="R828" s="14"/>
      <c r="S828" s="12">
        <f t="shared" si="2"/>
        <v>0.0007932335182</v>
      </c>
      <c r="T828" s="12">
        <f t="shared" si="3"/>
        <v>1.000793234</v>
      </c>
      <c r="U828" s="16">
        <f t="shared" si="7"/>
        <v>100.8586724</v>
      </c>
      <c r="V828" s="17"/>
      <c r="W828" s="12">
        <f t="array" ref="W828">SQRT(252/20) *  SQRT( SUMSQ( LN(U807:U826 / U806:U825) )  - (1/20) * ( SUM( LN(U807:U826 / U806:U825) ) ^ 2 ) )</f>
        <v>0.01904411557</v>
      </c>
      <c r="X828" s="9">
        <f t="shared" si="4"/>
        <v>1.5</v>
      </c>
      <c r="Y828" s="14"/>
      <c r="Z828" s="12">
        <f t="shared" si="5"/>
        <v>1.001195045</v>
      </c>
      <c r="AA828" s="16">
        <f t="shared" si="8"/>
        <v>101.5537701</v>
      </c>
      <c r="AB828" s="14"/>
      <c r="AC828" s="9">
        <f t="shared" si="6"/>
        <v>0</v>
      </c>
    </row>
    <row r="829">
      <c r="A829" s="8">
        <v>42928.0</v>
      </c>
      <c r="B829" s="14"/>
      <c r="C829" s="12">
        <f t="array" ref="C829">IFERROR(
  INDEX(
    IR!$B$2:$E2026,                
    MATCH($A829, IR!$A$2:$A2026, 0), 
    MATCH(C$1, IR!$B$1:$E$1, 0) ), "")
</f>
        <v>-0.00374</v>
      </c>
      <c r="D829" s="12">
        <f t="array" ref="D829">IFERROR(
  INDEX(
    IR!$B$2:$E2026,                
    MATCH($A829, IR!$A$2:$A2026, 0), 
    MATCH(D$1, IR!$B$1:$E$1, 0) ), "")
</f>
        <v>-0.00331</v>
      </c>
      <c r="E829" s="12">
        <f t="array" ref="E829">IFERROR(
  INDEX(
    IR!$B$2:$E2026,                
    MATCH($A829, IR!$A$2:$A2026, 0), 
    MATCH(E$1, IR!$B$1:$E$1, 0) ), "")
</f>
        <v>-0.00273</v>
      </c>
      <c r="F829" s="12">
        <f t="array" ref="F829">IFERROR(
  INDEX(
    IR!$B$2:$E2026,                
    MATCH($A829, IR!$A$2:$A2026, 0), 
    MATCH(F$1, IR!$B$1:$E$1, 0) ), "")
</f>
        <v>-0.00154</v>
      </c>
      <c r="G829" s="25"/>
      <c r="H829" s="12">
        <f t="array" ref="H829">IFERROR(
  INDEX(
    SR!$B$2:$D2026,            
    MATCH($A829, SR!$A$2:$A2026, 0),  
    MATCH(H$1, SR!$B$1:$D$1, 0) ), "")
</f>
        <v>-0.001259</v>
      </c>
      <c r="I829" s="12">
        <f t="array" ref="I829">IFERROR(
  INDEX(
    SR!$B$2:$D2026,            
    MATCH($A829, SR!$A$2:$A2026, 0),  
    MATCH(I$1, SR!$B$1:$D$1, 0) ), "")
</f>
        <v>0.000094</v>
      </c>
      <c r="J829" s="12">
        <f t="array" ref="J829">IFERROR(
  INDEX(
    SR!$B$2:$D2026,            
    MATCH($A829, SR!$A$2:$A2026, 0),  
    MATCH(J$1, SR!$B$1:$D$1, 0) ), "")
</f>
        <v>0.003043</v>
      </c>
      <c r="K829" s="14"/>
      <c r="L829" s="9">
        <v>120.09</v>
      </c>
      <c r="M829" s="9">
        <v>24.31</v>
      </c>
      <c r="N829" s="9">
        <v>115.12</v>
      </c>
      <c r="O829" s="9">
        <v>118.23</v>
      </c>
      <c r="P829" s="9">
        <v>126.5</v>
      </c>
      <c r="Q829" s="9">
        <v>1428.429</v>
      </c>
      <c r="R829" s="14"/>
      <c r="S829" s="12">
        <f t="shared" si="2"/>
        <v>0.0005937838046</v>
      </c>
      <c r="T829" s="12">
        <f t="shared" si="3"/>
        <v>1.000593784</v>
      </c>
      <c r="U829" s="16">
        <f t="shared" si="7"/>
        <v>100.9185606</v>
      </c>
      <c r="V829" s="17"/>
      <c r="W829" s="12">
        <f t="array" ref="W829">SQRT(252/20) *  SQRT( SUMSQ( LN(U808:U827 / U807:U826) )  - (1/20) * ( SUM( LN(U808:U827 / U807:U826) ) ^ 2 ) )</f>
        <v>0.01891744882</v>
      </c>
      <c r="X829" s="9">
        <f t="shared" si="4"/>
        <v>1.5</v>
      </c>
      <c r="Y829" s="14"/>
      <c r="Z829" s="12">
        <f t="shared" si="5"/>
        <v>1.00089587</v>
      </c>
      <c r="AA829" s="16">
        <f t="shared" si="8"/>
        <v>101.6447491</v>
      </c>
      <c r="AB829" s="14"/>
      <c r="AC829" s="9">
        <f t="shared" si="6"/>
        <v>0</v>
      </c>
    </row>
    <row r="830">
      <c r="A830" s="8">
        <v>42929.0</v>
      </c>
      <c r="B830" s="14"/>
      <c r="C830" s="12">
        <f t="array" ref="C830">IFERROR(
  INDEX(
    IR!$B$2:$E2026,                
    MATCH($A830, IR!$A$2:$A2026, 0), 
    MATCH(C$1, IR!$B$1:$E$1, 0) ), "")
</f>
        <v>-0.00373</v>
      </c>
      <c r="D830" s="12">
        <f t="array" ref="D830">IFERROR(
  INDEX(
    IR!$B$2:$E2026,                
    MATCH($A830, IR!$A$2:$A2026, 0), 
    MATCH(D$1, IR!$B$1:$E$1, 0) ), "")
</f>
        <v>-0.00331</v>
      </c>
      <c r="E830" s="12">
        <f t="array" ref="E830">IFERROR(
  INDEX(
    IR!$B$2:$E2026,                
    MATCH($A830, IR!$A$2:$A2026, 0), 
    MATCH(E$1, IR!$B$1:$E$1, 0) ), "")
</f>
        <v>-0.00273</v>
      </c>
      <c r="F830" s="12">
        <f t="array" ref="F830">IFERROR(
  INDEX(
    IR!$B$2:$E2026,                
    MATCH($A830, IR!$A$2:$A2026, 0), 
    MATCH(F$1, IR!$B$1:$E$1, 0) ), "")
</f>
        <v>-0.00151</v>
      </c>
      <c r="G830" s="25"/>
      <c r="H830" s="12">
        <f t="array" ref="H830">IFERROR(
  INDEX(
    SR!$B$2:$D2026,            
    MATCH($A830, SR!$A$2:$A2026, 0),  
    MATCH(H$1, SR!$B$1:$D$1, 0) ), "")
</f>
        <v>-0.00125</v>
      </c>
      <c r="I830" s="12">
        <f t="array" ref="I830">IFERROR(
  INDEX(
    SR!$B$2:$D2026,            
    MATCH($A830, SR!$A$2:$A2026, 0),  
    MATCH(I$1, SR!$B$1:$D$1, 0) ), "")
</f>
        <v>0.000007</v>
      </c>
      <c r="J830" s="12">
        <f t="array" ref="J830">IFERROR(
  INDEX(
    SR!$B$2:$D2026,            
    MATCH($A830, SR!$A$2:$A2026, 0),  
    MATCH(J$1, SR!$B$1:$D$1, 0) ), "")
</f>
        <v>0.00309</v>
      </c>
      <c r="K830" s="14"/>
      <c r="L830" s="9">
        <v>120.29</v>
      </c>
      <c r="M830" s="9">
        <v>24.32</v>
      </c>
      <c r="N830" s="9">
        <v>115.11</v>
      </c>
      <c r="O830" s="9">
        <v>119.1</v>
      </c>
      <c r="P830" s="9">
        <v>127.06</v>
      </c>
      <c r="Q830" s="9">
        <v>1436.538</v>
      </c>
      <c r="R830" s="14"/>
      <c r="S830" s="12">
        <f t="shared" si="2"/>
        <v>0.003241302036</v>
      </c>
      <c r="T830" s="12">
        <f t="shared" si="3"/>
        <v>1.003241302</v>
      </c>
      <c r="U830" s="16">
        <f t="shared" si="7"/>
        <v>101.2456681</v>
      </c>
      <c r="V830" s="17"/>
      <c r="W830" s="12">
        <f t="array" ref="W830">SQRT(252/20) *  SQRT( SUMSQ( LN(U809:U828 / U808:U827) )  - (1/20) * ( SUM( LN(U809:U828 / U808:U827) ) ^ 2 ) )</f>
        <v>0.01938149001</v>
      </c>
      <c r="X830" s="9">
        <f t="shared" si="4"/>
        <v>1.5</v>
      </c>
      <c r="Y830" s="14"/>
      <c r="Z830" s="12">
        <f t="shared" si="5"/>
        <v>1.004867147</v>
      </c>
      <c r="AA830" s="16">
        <f t="shared" si="8"/>
        <v>102.1394691</v>
      </c>
      <c r="AB830" s="14"/>
      <c r="AC830" s="9">
        <f t="shared" si="6"/>
        <v>0</v>
      </c>
    </row>
    <row r="831">
      <c r="A831" s="8">
        <v>42930.0</v>
      </c>
      <c r="B831" s="14"/>
      <c r="C831" s="12">
        <f t="array" ref="C831">IFERROR(
  INDEX(
    IR!$B$2:$E2026,                
    MATCH($A831, IR!$A$2:$A2026, 0), 
    MATCH(C$1, IR!$B$1:$E$1, 0) ), "")
</f>
        <v>-0.00373</v>
      </c>
      <c r="D831" s="12">
        <f t="array" ref="D831">IFERROR(
  INDEX(
    IR!$B$2:$E2026,                
    MATCH($A831, IR!$A$2:$A2026, 0), 
    MATCH(D$1, IR!$B$1:$E$1, 0) ), "")
</f>
        <v>-0.00331</v>
      </c>
      <c r="E831" s="12">
        <f t="array" ref="E831">IFERROR(
  INDEX(
    IR!$B$2:$E2026,                
    MATCH($A831, IR!$A$2:$A2026, 0), 
    MATCH(E$1, IR!$B$1:$E$1, 0) ), "")
</f>
        <v>-0.00273</v>
      </c>
      <c r="F831" s="12">
        <f t="array" ref="F831">IFERROR(
  INDEX(
    IR!$B$2:$E2026,                
    MATCH($A831, IR!$A$2:$A2026, 0), 
    MATCH(F$1, IR!$B$1:$E$1, 0) ), "")
</f>
        <v>-0.00151</v>
      </c>
      <c r="G831" s="25"/>
      <c r="H831" s="12">
        <f t="array" ref="H831">IFERROR(
  INDEX(
    SR!$B$2:$D2026,            
    MATCH($A831, SR!$A$2:$A2026, 0),  
    MATCH(H$1, SR!$B$1:$D$1, 0) ), "")
</f>
        <v>-0.001234</v>
      </c>
      <c r="I831" s="12">
        <f t="array" ref="I831">IFERROR(
  INDEX(
    SR!$B$2:$D2026,            
    MATCH($A831, SR!$A$2:$A2026, 0),  
    MATCH(I$1, SR!$B$1:$D$1, 0) ), "")
</f>
        <v>0.00018</v>
      </c>
      <c r="J831" s="12">
        <f t="array" ref="J831">IFERROR(
  INDEX(
    SR!$B$2:$D2026,            
    MATCH($A831, SR!$A$2:$A2026, 0),  
    MATCH(J$1, SR!$B$1:$D$1, 0) ), "")
</f>
        <v>0.003195</v>
      </c>
      <c r="K831" s="14"/>
      <c r="L831" s="23">
        <v>120.29</v>
      </c>
      <c r="M831" s="9">
        <v>24.32</v>
      </c>
      <c r="N831" s="9">
        <v>115.11</v>
      </c>
      <c r="O831" s="9">
        <v>119.07</v>
      </c>
      <c r="P831" s="9">
        <v>127.14</v>
      </c>
      <c r="Q831" s="9">
        <v>1438.005</v>
      </c>
      <c r="R831" s="14"/>
      <c r="S831" s="12">
        <f t="shared" si="2"/>
        <v>0.0002331654876</v>
      </c>
      <c r="T831" s="12">
        <f t="shared" si="3"/>
        <v>1.000233165</v>
      </c>
      <c r="U831" s="16">
        <f t="shared" si="7"/>
        <v>101.2692751</v>
      </c>
      <c r="V831" s="17"/>
      <c r="W831" s="12">
        <f t="array" ref="W831">SQRT(252/20) *  SQRT( SUMSQ( LN(U810:U829 / U809:U828) )  - (1/20) * ( SUM( LN(U810:U829 / U809:U828) ) ^ 2 ) )</f>
        <v>0.01961632897</v>
      </c>
      <c r="X831" s="9">
        <f t="shared" si="4"/>
        <v>1.5</v>
      </c>
      <c r="Y831" s="14"/>
      <c r="Z831" s="12">
        <f t="shared" si="5"/>
        <v>1.000354929</v>
      </c>
      <c r="AA831" s="16">
        <f t="shared" si="8"/>
        <v>102.1757214</v>
      </c>
      <c r="AB831" s="14"/>
      <c r="AC831" s="9">
        <f t="shared" si="6"/>
        <v>0</v>
      </c>
    </row>
    <row r="832">
      <c r="A832" s="8">
        <v>42933.0</v>
      </c>
      <c r="B832" s="14"/>
      <c r="C832" s="12">
        <f t="array" ref="C832">IFERROR(
  INDEX(
    IR!$B$2:$E2026,                
    MATCH($A832, IR!$A$2:$A2026, 0), 
    MATCH(C$1, IR!$B$1:$E$1, 0) ), "")
</f>
        <v>-0.00373</v>
      </c>
      <c r="D832" s="12">
        <f t="array" ref="D832">IFERROR(
  INDEX(
    IR!$B$2:$E2026,                
    MATCH($A832, IR!$A$2:$A2026, 0), 
    MATCH(D$1, IR!$B$1:$E$1, 0) ), "")
</f>
        <v>-0.0033</v>
      </c>
      <c r="E832" s="12">
        <f t="array" ref="E832">IFERROR(
  INDEX(
    IR!$B$2:$E2026,                
    MATCH($A832, IR!$A$2:$A2026, 0), 
    MATCH(E$1, IR!$B$1:$E$1, 0) ), "")
</f>
        <v>-0.00274</v>
      </c>
      <c r="F832" s="12">
        <f t="array" ref="F832">IFERROR(
  INDEX(
    IR!$B$2:$E2026,                
    MATCH($A832, IR!$A$2:$A2026, 0), 
    MATCH(F$1, IR!$B$1:$E$1, 0) ), "")
</f>
        <v>-0.00151</v>
      </c>
      <c r="G832" s="25"/>
      <c r="H832" s="12">
        <f t="array" ref="H832">IFERROR(
  INDEX(
    SR!$B$2:$D2026,            
    MATCH($A832, SR!$A$2:$A2026, 0),  
    MATCH(H$1, SR!$B$1:$D$1, 0) ), "")
</f>
        <v>-0.0013</v>
      </c>
      <c r="I832" s="12">
        <f t="array" ref="I832">IFERROR(
  INDEX(
    SR!$B$2:$D2026,            
    MATCH($A832, SR!$A$2:$A2026, 0),  
    MATCH(I$1, SR!$B$1:$D$1, 0) ), "")
</f>
        <v>0.000021</v>
      </c>
      <c r="J832" s="12">
        <f t="array" ref="J832">IFERROR(
  INDEX(
    SR!$B$2:$D2026,            
    MATCH($A832, SR!$A$2:$A2026, 0),  
    MATCH(J$1, SR!$B$1:$D$1, 0) ), "")
</f>
        <v>0.003095</v>
      </c>
      <c r="K832" s="14"/>
      <c r="L832" s="9">
        <v>120.45</v>
      </c>
      <c r="M832" s="9">
        <v>24.33</v>
      </c>
      <c r="N832" s="9">
        <v>115.13</v>
      </c>
      <c r="O832" s="9">
        <v>119.1</v>
      </c>
      <c r="P832" s="9">
        <v>127.27</v>
      </c>
      <c r="Q832" s="9">
        <v>1442.599</v>
      </c>
      <c r="R832" s="14"/>
      <c r="S832" s="12">
        <f t="shared" si="2"/>
        <v>0.001063927396</v>
      </c>
      <c r="T832" s="12">
        <f t="shared" si="3"/>
        <v>1.001063927</v>
      </c>
      <c r="U832" s="16">
        <f t="shared" si="7"/>
        <v>101.3770183</v>
      </c>
      <c r="V832" s="17"/>
      <c r="W832" s="12">
        <f t="array" ref="W832">SQRT(252/20) *  SQRT( SUMSQ( LN(U811:U830 / U810:U829) )  - (1/20) * ( SUM( LN(U811:U830 / U810:U829) ) ^ 2 ) )</f>
        <v>0.02294080603</v>
      </c>
      <c r="X832" s="9">
        <f t="shared" si="4"/>
        <v>1.5</v>
      </c>
      <c r="Y832" s="14"/>
      <c r="Z832" s="12">
        <f t="shared" si="5"/>
        <v>1.001611433</v>
      </c>
      <c r="AA832" s="16">
        <f t="shared" si="8"/>
        <v>102.3403707</v>
      </c>
      <c r="AB832" s="14"/>
      <c r="AC832" s="9">
        <f t="shared" si="6"/>
        <v>0</v>
      </c>
    </row>
    <row r="833">
      <c r="A833" s="8">
        <v>42934.0</v>
      </c>
      <c r="B833" s="14"/>
      <c r="C833" s="12">
        <f t="array" ref="C833">IFERROR(
  INDEX(
    IR!$B$2:$E2026,                
    MATCH($A833, IR!$A$2:$A2026, 0), 
    MATCH(C$1, IR!$B$1:$E$1, 0) ), "")
</f>
        <v>-0.00374</v>
      </c>
      <c r="D833" s="12">
        <f t="array" ref="D833">IFERROR(
  INDEX(
    IR!$B$2:$E2026,                
    MATCH($A833, IR!$A$2:$A2026, 0), 
    MATCH(D$1, IR!$B$1:$E$1, 0) ), "")
</f>
        <v>-0.00331</v>
      </c>
      <c r="E833" s="12">
        <f t="array" ref="E833">IFERROR(
  INDEX(
    IR!$B$2:$E2026,                
    MATCH($A833, IR!$A$2:$A2026, 0), 
    MATCH(E$1, IR!$B$1:$E$1, 0) ), "")
</f>
        <v>-0.00274</v>
      </c>
      <c r="F833" s="12">
        <f t="array" ref="F833">IFERROR(
  INDEX(
    IR!$B$2:$E2026,                
    MATCH($A833, IR!$A$2:$A2026, 0), 
    MATCH(F$1, IR!$B$1:$E$1, 0) ), "")
</f>
        <v>-0.00151</v>
      </c>
      <c r="G833" s="25"/>
      <c r="H833" s="12">
        <f t="array" ref="H833">IFERROR(
  INDEX(
    SR!$B$2:$D2026,            
    MATCH($A833, SR!$A$2:$A2026, 0),  
    MATCH(H$1, SR!$B$1:$D$1, 0) ), "")
</f>
        <v>-0.001365</v>
      </c>
      <c r="I833" s="12">
        <f t="array" ref="I833">IFERROR(
  INDEX(
    SR!$B$2:$D2026,            
    MATCH($A833, SR!$A$2:$A2026, 0),  
    MATCH(I$1, SR!$B$1:$D$1, 0) ), "")
</f>
        <v>-0.000054</v>
      </c>
      <c r="J833" s="12">
        <f t="array" ref="J833">IFERROR(
  INDEX(
    SR!$B$2:$D2026,            
    MATCH($A833, SR!$A$2:$A2026, 0),  
    MATCH(J$1, SR!$B$1:$D$1, 0) ), "")
</f>
        <v>0.002977</v>
      </c>
      <c r="K833" s="14"/>
      <c r="L833" s="9">
        <v>120.23</v>
      </c>
      <c r="M833" s="9">
        <v>24.31</v>
      </c>
      <c r="N833" s="9">
        <v>115.14</v>
      </c>
      <c r="O833" s="9">
        <v>119.07</v>
      </c>
      <c r="P833" s="9">
        <v>127.32</v>
      </c>
      <c r="Q833" s="9">
        <v>1441.816</v>
      </c>
      <c r="R833" s="14"/>
      <c r="S833" s="12">
        <f t="shared" si="2"/>
        <v>-0.0004937650606</v>
      </c>
      <c r="T833" s="12">
        <f t="shared" si="3"/>
        <v>0.9995062349</v>
      </c>
      <c r="U833" s="16">
        <f t="shared" si="7"/>
        <v>101.3269619</v>
      </c>
      <c r="V833" s="17"/>
      <c r="W833" s="12">
        <f t="array" ref="W833">SQRT(252/20) *  SQRT( SUMSQ( LN(U812:U831 / U811:U830) )  - (1/20) * ( SUM( LN(U812:U831 / U811:U830) ) ^ 2 ) )</f>
        <v>0.02299495159</v>
      </c>
      <c r="X833" s="9">
        <f t="shared" si="4"/>
        <v>1.5</v>
      </c>
      <c r="Y833" s="14"/>
      <c r="Z833" s="12">
        <f t="shared" si="5"/>
        <v>0.999264533</v>
      </c>
      <c r="AA833" s="16">
        <f t="shared" si="8"/>
        <v>102.2651027</v>
      </c>
      <c r="AB833" s="14"/>
      <c r="AC833" s="9">
        <f t="shared" si="6"/>
        <v>0</v>
      </c>
    </row>
    <row r="834">
      <c r="A834" s="8">
        <v>42935.0</v>
      </c>
      <c r="B834" s="14"/>
      <c r="C834" s="12">
        <f t="array" ref="C834">IFERROR(
  INDEX(
    IR!$B$2:$E2026,                
    MATCH($A834, IR!$A$2:$A2026, 0), 
    MATCH(C$1, IR!$B$1:$E$1, 0) ), "")
</f>
        <v>-0.00373</v>
      </c>
      <c r="D834" s="12">
        <f t="array" ref="D834">IFERROR(
  INDEX(
    IR!$B$2:$E2026,                
    MATCH($A834, IR!$A$2:$A2026, 0), 
    MATCH(D$1, IR!$B$1:$E$1, 0) ), "")
</f>
        <v>-0.00332</v>
      </c>
      <c r="E834" s="12">
        <f t="array" ref="E834">IFERROR(
  INDEX(
    IR!$B$2:$E2026,                
    MATCH($A834, IR!$A$2:$A2026, 0), 
    MATCH(E$1, IR!$B$1:$E$1, 0) ), "")
</f>
        <v>-0.00274</v>
      </c>
      <c r="F834" s="12">
        <f t="array" ref="F834">IFERROR(
  INDEX(
    IR!$B$2:$E2026,                
    MATCH($A834, IR!$A$2:$A2026, 0), 
    MATCH(F$1, IR!$B$1:$E$1, 0) ), "")
</f>
        <v>-0.00151</v>
      </c>
      <c r="G834" s="25"/>
      <c r="H834" s="12">
        <f t="array" ref="H834">IFERROR(
  INDEX(
    SR!$B$2:$D2026,            
    MATCH($A834, SR!$A$2:$A2026, 0),  
    MATCH(H$1, SR!$B$1:$D$1, 0) ), "")
</f>
        <v>-0.00146</v>
      </c>
      <c r="I834" s="12">
        <f t="array" ref="I834">IFERROR(
  INDEX(
    SR!$B$2:$D2026,            
    MATCH($A834, SR!$A$2:$A2026, 0),  
    MATCH(I$1, SR!$B$1:$D$1, 0) ), "")
</f>
        <v>-0.000138</v>
      </c>
      <c r="J834" s="12">
        <f t="array" ref="J834">IFERROR(
  INDEX(
    SR!$B$2:$D2026,            
    MATCH($A834, SR!$A$2:$A2026, 0),  
    MATCH(J$1, SR!$B$1:$D$1, 0) ), "")
</f>
        <v>0.002784</v>
      </c>
      <c r="K834" s="14"/>
      <c r="L834" s="9">
        <v>120.41</v>
      </c>
      <c r="M834" s="9">
        <v>24.33</v>
      </c>
      <c r="N834" s="9">
        <v>115.16</v>
      </c>
      <c r="O834" s="9">
        <v>118.66</v>
      </c>
      <c r="P834" s="9">
        <v>127.07</v>
      </c>
      <c r="Q834" s="9">
        <v>1441.234</v>
      </c>
      <c r="R834" s="14"/>
      <c r="S834" s="12">
        <f t="shared" si="2"/>
        <v>-0.0005526572084</v>
      </c>
      <c r="T834" s="12">
        <f t="shared" si="3"/>
        <v>0.9994473428</v>
      </c>
      <c r="U834" s="16">
        <f t="shared" si="7"/>
        <v>101.2709628</v>
      </c>
      <c r="V834" s="17"/>
      <c r="W834" s="12">
        <f t="array" ref="W834">SQRT(252/20) *  SQRT( SUMSQ( LN(U813:U832 / U812:U831) )  - (1/20) * ( SUM( LN(U813:U832 / U812:U831) ) ^ 2 ) )</f>
        <v>0.02293997632</v>
      </c>
      <c r="X834" s="9">
        <f t="shared" si="4"/>
        <v>1.5</v>
      </c>
      <c r="Y834" s="14"/>
      <c r="Z834" s="12">
        <f t="shared" si="5"/>
        <v>0.9991762086</v>
      </c>
      <c r="AA834" s="16">
        <f t="shared" si="8"/>
        <v>102.1808576</v>
      </c>
      <c r="AB834" s="14"/>
      <c r="AC834" s="9">
        <f t="shared" si="6"/>
        <v>0</v>
      </c>
    </row>
    <row r="835">
      <c r="A835" s="8">
        <v>42936.0</v>
      </c>
      <c r="B835" s="14"/>
      <c r="C835" s="12">
        <f t="array" ref="C835">IFERROR(
  INDEX(
    IR!$B$2:$E2026,                
    MATCH($A835, IR!$A$2:$A2026, 0), 
    MATCH(C$1, IR!$B$1:$E$1, 0) ), "")
</f>
        <v>-0.00374</v>
      </c>
      <c r="D835" s="12">
        <f t="array" ref="D835">IFERROR(
  INDEX(
    IR!$B$2:$E2026,                
    MATCH($A835, IR!$A$2:$A2026, 0), 
    MATCH(D$1, IR!$B$1:$E$1, 0) ), "")
</f>
        <v>-0.00332</v>
      </c>
      <c r="E835" s="12">
        <f t="array" ref="E835">IFERROR(
  INDEX(
    IR!$B$2:$E2026,                
    MATCH($A835, IR!$A$2:$A2026, 0), 
    MATCH(E$1, IR!$B$1:$E$1, 0) ), "")
</f>
        <v>-0.00274</v>
      </c>
      <c r="F835" s="12">
        <f t="array" ref="F835">IFERROR(
  INDEX(
    IR!$B$2:$E2026,                
    MATCH($A835, IR!$A$2:$A2026, 0), 
    MATCH(F$1, IR!$B$1:$E$1, 0) ), "")
</f>
        <v>-0.00151</v>
      </c>
      <c r="G835" s="25"/>
      <c r="H835" s="12">
        <f t="array" ref="H835">IFERROR(
  INDEX(
    SR!$B$2:$D2026,            
    MATCH($A835, SR!$A$2:$A2026, 0),  
    MATCH(H$1, SR!$B$1:$D$1, 0) ), "")
</f>
        <v>-0.001505</v>
      </c>
      <c r="I835" s="12">
        <f t="array" ref="I835">IFERROR(
  INDEX(
    SR!$B$2:$D2026,            
    MATCH($A835, SR!$A$2:$A2026, 0),  
    MATCH(I$1, SR!$B$1:$D$1, 0) ), "")
</f>
        <v>-0.00016</v>
      </c>
      <c r="J835" s="12">
        <f t="array" ref="J835">IFERROR(
  INDEX(
    SR!$B$2:$D2026,            
    MATCH($A835, SR!$A$2:$A2026, 0),  
    MATCH(J$1, SR!$B$1:$D$1, 0) ), "")
</f>
        <v>0.002751</v>
      </c>
      <c r="K835" s="14"/>
      <c r="L835" s="9">
        <v>120.3</v>
      </c>
      <c r="M835" s="9">
        <v>24.3</v>
      </c>
      <c r="N835" s="9">
        <v>115.14</v>
      </c>
      <c r="O835" s="9">
        <v>118.77</v>
      </c>
      <c r="P835" s="9">
        <v>127.37</v>
      </c>
      <c r="Q835" s="9">
        <v>1445.283</v>
      </c>
      <c r="R835" s="14"/>
      <c r="S835" s="12">
        <f t="shared" si="2"/>
        <v>0.0006295387102</v>
      </c>
      <c r="T835" s="12">
        <f t="shared" si="3"/>
        <v>1.000629539</v>
      </c>
      <c r="U835" s="16">
        <f t="shared" si="7"/>
        <v>101.3347168</v>
      </c>
      <c r="V835" s="17"/>
      <c r="W835" s="12">
        <f t="array" ref="W835">SQRT(252/20) *  SQRT( SUMSQ( LN(U814:U833 / U813:U832) )  - (1/20) * ( SUM( LN(U814:U833 / U813:U832) ) ^ 2 ) )</f>
        <v>0.02266665971</v>
      </c>
      <c r="X835" s="9">
        <f t="shared" si="4"/>
        <v>1.5</v>
      </c>
      <c r="Y835" s="14"/>
      <c r="Z835" s="12">
        <f t="shared" si="5"/>
        <v>1.000949489</v>
      </c>
      <c r="AA835" s="16">
        <f t="shared" si="8"/>
        <v>102.2778771</v>
      </c>
      <c r="AB835" s="14"/>
      <c r="AC835" s="9">
        <f t="shared" si="6"/>
        <v>0</v>
      </c>
    </row>
    <row r="836">
      <c r="A836" s="8">
        <v>42937.0</v>
      </c>
      <c r="B836" s="14"/>
      <c r="C836" s="12">
        <f t="array" ref="C836">IFERROR(
  INDEX(
    IR!$B$2:$E2026,                
    MATCH($A836, IR!$A$2:$A2026, 0), 
    MATCH(C$1, IR!$B$1:$E$1, 0) ), "")
</f>
        <v>-0.00374</v>
      </c>
      <c r="D836" s="12">
        <f t="array" ref="D836">IFERROR(
  INDEX(
    IR!$B$2:$E2026,                
    MATCH($A836, IR!$A$2:$A2026, 0), 
    MATCH(D$1, IR!$B$1:$E$1, 0) ), "")
</f>
        <v>-0.00331</v>
      </c>
      <c r="E836" s="12">
        <f t="array" ref="E836">IFERROR(
  INDEX(
    IR!$B$2:$E2026,                
    MATCH($A836, IR!$A$2:$A2026, 0), 
    MATCH(E$1, IR!$B$1:$E$1, 0) ), "")
</f>
        <v>-0.00272</v>
      </c>
      <c r="F836" s="12">
        <f t="array" ref="F836">IFERROR(
  INDEX(
    IR!$B$2:$E2026,                
    MATCH($A836, IR!$A$2:$A2026, 0), 
    MATCH(F$1, IR!$B$1:$E$1, 0) ), "")
</f>
        <v>-0.00152</v>
      </c>
      <c r="G836" s="25"/>
      <c r="H836" s="12">
        <f t="array" ref="H836">IFERROR(
  INDEX(
    SR!$B$2:$D2026,            
    MATCH($A836, SR!$A$2:$A2026, 0),  
    MATCH(H$1, SR!$B$1:$D$1, 0) ), "")
</f>
        <v>-0.001585</v>
      </c>
      <c r="I836" s="12">
        <f t="array" ref="I836">IFERROR(
  INDEX(
    SR!$B$2:$D2026,            
    MATCH($A836, SR!$A$2:$A2026, 0),  
    MATCH(I$1, SR!$B$1:$D$1, 0) ), "")
</f>
        <v>-0.00034</v>
      </c>
      <c r="J836" s="12">
        <f t="array" ref="J836">IFERROR(
  INDEX(
    SR!$B$2:$D2026,            
    MATCH($A836, SR!$A$2:$A2026, 0),  
    MATCH(J$1, SR!$B$1:$D$1, 0) ), "")
</f>
        <v>0.002501</v>
      </c>
      <c r="K836" s="14"/>
      <c r="L836" s="9">
        <v>119.87</v>
      </c>
      <c r="M836" s="9">
        <v>24.3</v>
      </c>
      <c r="N836" s="9">
        <v>115.15</v>
      </c>
      <c r="O836" s="9">
        <v>118.79</v>
      </c>
      <c r="P836" s="9">
        <v>127.16</v>
      </c>
      <c r="Q836" s="9">
        <v>1445.609</v>
      </c>
      <c r="R836" s="14"/>
      <c r="S836" s="12">
        <f t="shared" si="2"/>
        <v>-0.0007900500199</v>
      </c>
      <c r="T836" s="12">
        <f t="shared" si="3"/>
        <v>0.99920995</v>
      </c>
      <c r="U836" s="16">
        <f t="shared" si="7"/>
        <v>101.2546573</v>
      </c>
      <c r="V836" s="17"/>
      <c r="W836" s="12">
        <f t="array" ref="W836">SQRT(252/20) *  SQRT( SUMSQ( LN(U815:U834 / U814:U833) )  - (1/20) * ( SUM( LN(U815:U834 / U814:U833) ) ^ 2 ) )</f>
        <v>0.02181442463</v>
      </c>
      <c r="X836" s="9">
        <f t="shared" si="4"/>
        <v>1.5</v>
      </c>
      <c r="Y836" s="14"/>
      <c r="Z836" s="12">
        <f t="shared" si="5"/>
        <v>0.9988201194</v>
      </c>
      <c r="AA836" s="16">
        <f t="shared" si="8"/>
        <v>102.1572015</v>
      </c>
      <c r="AB836" s="14"/>
      <c r="AC836" s="9">
        <f t="shared" si="6"/>
        <v>0</v>
      </c>
    </row>
    <row r="837">
      <c r="A837" s="8">
        <v>42940.0</v>
      </c>
      <c r="B837" s="14"/>
      <c r="C837" s="12">
        <f t="array" ref="C837">IFERROR(
  INDEX(
    IR!$B$2:$E2026,                
    MATCH($A837, IR!$A$2:$A2026, 0), 
    MATCH(C$1, IR!$B$1:$E$1, 0) ), "")
</f>
        <v>-0.00374</v>
      </c>
      <c r="D837" s="12">
        <f t="array" ref="D837">IFERROR(
  INDEX(
    IR!$B$2:$E2026,                
    MATCH($A837, IR!$A$2:$A2026, 0), 
    MATCH(D$1, IR!$B$1:$E$1, 0) ), "")
</f>
        <v>-0.00329</v>
      </c>
      <c r="E837" s="12">
        <f t="array" ref="E837">IFERROR(
  INDEX(
    IR!$B$2:$E2026,                
    MATCH($A837, IR!$A$2:$A2026, 0), 
    MATCH(E$1, IR!$B$1:$E$1, 0) ), "")
</f>
        <v>-0.00271</v>
      </c>
      <c r="F837" s="12">
        <f t="array" ref="F837">IFERROR(
  INDEX(
    IR!$B$2:$E2026,                
    MATCH($A837, IR!$A$2:$A2026, 0), 
    MATCH(F$1, IR!$B$1:$E$1, 0) ), "")
</f>
        <v>-0.00153</v>
      </c>
      <c r="G837" s="25"/>
      <c r="H837" s="12">
        <f t="array" ref="H837">IFERROR(
  INDEX(
    SR!$B$2:$D2026,            
    MATCH($A837, SR!$A$2:$A2026, 0),  
    MATCH(H$1, SR!$B$1:$D$1, 0) ), "")
</f>
        <v>-0.0016</v>
      </c>
      <c r="I837" s="12">
        <f t="array" ref="I837">IFERROR(
  INDEX(
    SR!$B$2:$D2026,            
    MATCH($A837, SR!$A$2:$A2026, 0),  
    MATCH(I$1, SR!$B$1:$D$1, 0) ), "")
</f>
        <v>-0.00038</v>
      </c>
      <c r="J837" s="12">
        <f t="array" ref="J837">IFERROR(
  INDEX(
    SR!$B$2:$D2026,            
    MATCH($A837, SR!$A$2:$A2026, 0),  
    MATCH(J$1, SR!$B$1:$D$1, 0) ), "")
</f>
        <v>0.002517</v>
      </c>
      <c r="K837" s="14"/>
      <c r="L837" s="9">
        <v>119.84</v>
      </c>
      <c r="M837" s="9">
        <v>24.3</v>
      </c>
      <c r="N837" s="9">
        <v>115.18</v>
      </c>
      <c r="O837" s="9">
        <v>118.22</v>
      </c>
      <c r="P837" s="9">
        <v>126.98</v>
      </c>
      <c r="Q837" s="9">
        <v>1442.548</v>
      </c>
      <c r="R837" s="14"/>
      <c r="S837" s="12">
        <f t="shared" si="2"/>
        <v>-0.00138650888</v>
      </c>
      <c r="T837" s="12">
        <f t="shared" si="3"/>
        <v>0.9986134911</v>
      </c>
      <c r="U837" s="16">
        <f t="shared" si="7"/>
        <v>101.1142668</v>
      </c>
      <c r="V837" s="17"/>
      <c r="W837" s="12">
        <f t="array" ref="W837">SQRT(252/20) *  SQRT( SUMSQ( LN(U816:U835 / U815:U834) )  - (1/20) * ( SUM( LN(U816:U835 / U815:U834) ) ^ 2 ) )</f>
        <v>0.02172638975</v>
      </c>
      <c r="X837" s="9">
        <f t="shared" si="4"/>
        <v>1.5</v>
      </c>
      <c r="Y837" s="14"/>
      <c r="Z837" s="12">
        <f t="shared" si="5"/>
        <v>0.99793582</v>
      </c>
      <c r="AA837" s="16">
        <f t="shared" si="8"/>
        <v>101.9463306</v>
      </c>
      <c r="AB837" s="14"/>
      <c r="AC837" s="9">
        <f t="shared" si="6"/>
        <v>0</v>
      </c>
    </row>
    <row r="838">
      <c r="A838" s="8">
        <v>42941.0</v>
      </c>
      <c r="B838" s="14"/>
      <c r="C838" s="12">
        <f t="array" ref="C838">IFERROR(
  INDEX(
    IR!$B$2:$E2026,                
    MATCH($A838, IR!$A$2:$A2026, 0), 
    MATCH(C$1, IR!$B$1:$E$1, 0) ), "")
</f>
        <v>-0.00371</v>
      </c>
      <c r="D838" s="12">
        <f t="array" ref="D838">IFERROR(
  INDEX(
    IR!$B$2:$E2026,                
    MATCH($A838, IR!$A$2:$A2026, 0), 
    MATCH(D$1, IR!$B$1:$E$1, 0) ), "")
</f>
        <v>-0.00329</v>
      </c>
      <c r="E838" s="12">
        <f t="array" ref="E838">IFERROR(
  INDEX(
    IR!$B$2:$E2026,                
    MATCH($A838, IR!$A$2:$A2026, 0), 
    MATCH(E$1, IR!$B$1:$E$1, 0) ), "")
</f>
        <v>-0.00272</v>
      </c>
      <c r="F838" s="12">
        <f t="array" ref="F838">IFERROR(
  INDEX(
    IR!$B$2:$E2026,                
    MATCH($A838, IR!$A$2:$A2026, 0), 
    MATCH(F$1, IR!$B$1:$E$1, 0) ), "")
</f>
        <v>-0.00153</v>
      </c>
      <c r="G838" s="25"/>
      <c r="H838" s="12">
        <f t="array" ref="H838">IFERROR(
  INDEX(
    SR!$B$2:$D2026,            
    MATCH($A838, SR!$A$2:$A2026, 0),  
    MATCH(H$1, SR!$B$1:$D$1, 0) ), "")
</f>
        <v>-0.00154</v>
      </c>
      <c r="I838" s="12">
        <f t="array" ref="I838">IFERROR(
  INDEX(
    SR!$B$2:$D2026,            
    MATCH($A838, SR!$A$2:$A2026, 0),  
    MATCH(I$1, SR!$B$1:$D$1, 0) ), "")
</f>
        <v>-0.000289</v>
      </c>
      <c r="J838" s="12">
        <f t="array" ref="J838">IFERROR(
  INDEX(
    SR!$B$2:$D2026,            
    MATCH($A838, SR!$A$2:$A2026, 0),  
    MATCH(J$1, SR!$B$1:$D$1, 0) ), "")
</f>
        <v>0.002775</v>
      </c>
      <c r="K838" s="14"/>
      <c r="L838" s="9">
        <v>119.92</v>
      </c>
      <c r="M838" s="9">
        <v>24.3</v>
      </c>
      <c r="N838" s="9">
        <v>115.18</v>
      </c>
      <c r="O838" s="9">
        <v>118.05</v>
      </c>
      <c r="P838" s="9">
        <v>127.06</v>
      </c>
      <c r="Q838" s="9">
        <v>1443.27</v>
      </c>
      <c r="R838" s="14"/>
      <c r="S838" s="12">
        <f t="shared" si="2"/>
        <v>0.00006003996798</v>
      </c>
      <c r="T838" s="12">
        <f t="shared" si="3"/>
        <v>1.00006004</v>
      </c>
      <c r="U838" s="16">
        <f t="shared" si="7"/>
        <v>101.1203377</v>
      </c>
      <c r="V838" s="17"/>
      <c r="W838" s="12">
        <f t="array" ref="W838">SQRT(252/20) *  SQRT( SUMSQ( LN(U817:U836 / U816:U835) )  - (1/20) * ( SUM( LN(U817:U836 / U816:U835) ) ^ 2 ) )</f>
        <v>0.02181224055</v>
      </c>
      <c r="X838" s="9">
        <f t="shared" si="4"/>
        <v>1.5</v>
      </c>
      <c r="Y838" s="14"/>
      <c r="Z838" s="12">
        <f t="shared" si="5"/>
        <v>1.000095254</v>
      </c>
      <c r="AA838" s="16">
        <f t="shared" si="8"/>
        <v>101.9560414</v>
      </c>
      <c r="AB838" s="14"/>
      <c r="AC838" s="9">
        <f t="shared" si="6"/>
        <v>0</v>
      </c>
    </row>
    <row r="839">
      <c r="A839" s="8">
        <v>42942.0</v>
      </c>
      <c r="B839" s="14"/>
      <c r="C839" s="12">
        <f t="array" ref="C839">IFERROR(
  INDEX(
    IR!$B$2:$E2026,                
    MATCH($A839, IR!$A$2:$A2026, 0), 
    MATCH(C$1, IR!$B$1:$E$1, 0) ), "")
</f>
        <v>-0.00372</v>
      </c>
      <c r="D839" s="12">
        <f t="array" ref="D839">IFERROR(
  INDEX(
    IR!$B$2:$E2026,                
    MATCH($A839, IR!$A$2:$A2026, 0), 
    MATCH(D$1, IR!$B$1:$E$1, 0) ), "")
</f>
        <v>-0.0033</v>
      </c>
      <c r="E839" s="12">
        <f t="array" ref="E839">IFERROR(
  INDEX(
    IR!$B$2:$E2026,                
    MATCH($A839, IR!$A$2:$A2026, 0), 
    MATCH(E$1, IR!$B$1:$E$1, 0) ), "")
</f>
        <v>-0.00272</v>
      </c>
      <c r="F839" s="12">
        <f t="array" ref="F839">IFERROR(
  INDEX(
    IR!$B$2:$E2026,                
    MATCH($A839, IR!$A$2:$A2026, 0), 
    MATCH(F$1, IR!$B$1:$E$1, 0) ), "")
</f>
        <v>-0.00153</v>
      </c>
      <c r="G839" s="25"/>
      <c r="H839" s="12">
        <f t="array" ref="H839">IFERROR(
  INDEX(
    SR!$B$2:$D2026,            
    MATCH($A839, SR!$A$2:$A2026, 0),  
    MATCH(H$1, SR!$B$1:$D$1, 0) ), "")
</f>
        <v>-0.001565</v>
      </c>
      <c r="I839" s="12">
        <f t="array" ref="I839">IFERROR(
  INDEX(
    SR!$B$2:$D2026,            
    MATCH($A839, SR!$A$2:$A2026, 0),  
    MATCH(I$1, SR!$B$1:$D$1, 0) ), "")
</f>
        <v>-0.000325</v>
      </c>
      <c r="J839" s="12">
        <f t="array" ref="J839">IFERROR(
  INDEX(
    SR!$B$2:$D2026,            
    MATCH($A839, SR!$A$2:$A2026, 0),  
    MATCH(J$1, SR!$B$1:$D$1, 0) ), "")
</f>
        <v>0.00276</v>
      </c>
      <c r="K839" s="14"/>
      <c r="L839" s="9">
        <v>120.04</v>
      </c>
      <c r="M839" s="9">
        <v>24.31</v>
      </c>
      <c r="N839" s="9">
        <v>115.19</v>
      </c>
      <c r="O839" s="9">
        <v>118.13</v>
      </c>
      <c r="P839" s="9">
        <v>127.0</v>
      </c>
      <c r="Q839" s="9">
        <v>1442.634</v>
      </c>
      <c r="R839" s="14"/>
      <c r="S839" s="12">
        <f t="shared" si="2"/>
        <v>0.0002105059273</v>
      </c>
      <c r="T839" s="12">
        <f t="shared" si="3"/>
        <v>1.000210506</v>
      </c>
      <c r="U839" s="16">
        <f t="shared" si="7"/>
        <v>101.1416241</v>
      </c>
      <c r="V839" s="17"/>
      <c r="W839" s="12">
        <f t="array" ref="W839">SQRT(252/20) *  SQRT( SUMSQ( LN(U818:U837 / U817:U836) )  - (1/20) * ( SUM( LN(U818:U837 / U817:U836) ) ^ 2 ) )</f>
        <v>0.02210590627</v>
      </c>
      <c r="X839" s="9">
        <f t="shared" si="4"/>
        <v>1.5</v>
      </c>
      <c r="Y839" s="14"/>
      <c r="Z839" s="12">
        <f t="shared" si="5"/>
        <v>1.000320912</v>
      </c>
      <c r="AA839" s="16">
        <f t="shared" si="8"/>
        <v>101.9887603</v>
      </c>
      <c r="AB839" s="14"/>
      <c r="AC839" s="9">
        <f t="shared" si="6"/>
        <v>0</v>
      </c>
    </row>
    <row r="840">
      <c r="A840" s="8">
        <v>42943.0</v>
      </c>
      <c r="B840" s="14"/>
      <c r="C840" s="12">
        <f t="array" ref="C840">IFERROR(
  INDEX(
    IR!$B$2:$E2026,                
    MATCH($A840, IR!$A$2:$A2026, 0), 
    MATCH(C$1, IR!$B$1:$E$1, 0) ), "")
</f>
        <v>-0.00371</v>
      </c>
      <c r="D840" s="12">
        <f t="array" ref="D840">IFERROR(
  INDEX(
    IR!$B$2:$E2026,                
    MATCH($A840, IR!$A$2:$A2026, 0), 
    MATCH(D$1, IR!$B$1:$E$1, 0) ), "")
</f>
        <v>-0.00329</v>
      </c>
      <c r="E840" s="12">
        <f t="array" ref="E840">IFERROR(
  INDEX(
    IR!$B$2:$E2026,                
    MATCH($A840, IR!$A$2:$A2026, 0), 
    MATCH(E$1, IR!$B$1:$E$1, 0) ), "")
</f>
        <v>-0.00272</v>
      </c>
      <c r="F840" s="12">
        <f t="array" ref="F840">IFERROR(
  INDEX(
    IR!$B$2:$E2026,                
    MATCH($A840, IR!$A$2:$A2026, 0), 
    MATCH(F$1, IR!$B$1:$E$1, 0) ), "")
</f>
        <v>-0.00153</v>
      </c>
      <c r="G840" s="25"/>
      <c r="H840" s="12">
        <f t="array" ref="H840">IFERROR(
  INDEX(
    SR!$B$2:$D2026,            
    MATCH($A840, SR!$A$2:$A2026, 0),  
    MATCH(H$1, SR!$B$1:$D$1, 0) ), "")
</f>
        <v>-0.00158</v>
      </c>
      <c r="I840" s="12">
        <f t="array" ref="I840">IFERROR(
  INDEX(
    SR!$B$2:$D2026,            
    MATCH($A840, SR!$A$2:$A2026, 0),  
    MATCH(I$1, SR!$B$1:$D$1, 0) ), "")
</f>
        <v>-0.00031</v>
      </c>
      <c r="J840" s="12">
        <f t="array" ref="J840">IFERROR(
  INDEX(
    SR!$B$2:$D2026,            
    MATCH($A840, SR!$A$2:$A2026, 0),  
    MATCH(J$1, SR!$B$1:$D$1, 0) ), "")
</f>
        <v>0.00266</v>
      </c>
      <c r="K840" s="14"/>
      <c r="L840" s="9">
        <v>120.06</v>
      </c>
      <c r="M840" s="9">
        <v>24.31</v>
      </c>
      <c r="N840" s="9">
        <v>115.19</v>
      </c>
      <c r="O840" s="9">
        <v>118.37</v>
      </c>
      <c r="P840" s="9">
        <v>127.06</v>
      </c>
      <c r="Q840" s="9">
        <v>1445.817</v>
      </c>
      <c r="R840" s="14"/>
      <c r="S840" s="12">
        <f t="shared" si="2"/>
        <v>0.0008127443216</v>
      </c>
      <c r="T840" s="12">
        <f t="shared" si="3"/>
        <v>1.000812744</v>
      </c>
      <c r="U840" s="16">
        <f t="shared" si="7"/>
        <v>101.2238264</v>
      </c>
      <c r="V840" s="17"/>
      <c r="W840" s="12">
        <f t="array" ref="W840">SQRT(252/20) *  SQRT( SUMSQ( LN(U819:U838 / U818:U837) )  - (1/20) * ( SUM( LN(U819:U838 / U818:U837) ) ^ 2 ) )</f>
        <v>0.02210764203</v>
      </c>
      <c r="X840" s="9">
        <f t="shared" si="4"/>
        <v>1.5</v>
      </c>
      <c r="Y840" s="14"/>
      <c r="Z840" s="12">
        <f t="shared" si="5"/>
        <v>1.001224283</v>
      </c>
      <c r="AA840" s="16">
        <f t="shared" si="8"/>
        <v>102.1136235</v>
      </c>
      <c r="AB840" s="14"/>
      <c r="AC840" s="9">
        <f t="shared" si="6"/>
        <v>0</v>
      </c>
    </row>
    <row r="841">
      <c r="A841" s="8">
        <v>42944.0</v>
      </c>
      <c r="B841" s="14"/>
      <c r="C841" s="12">
        <f t="array" ref="C841">IFERROR(
  INDEX(
    IR!$B$2:$E2026,                
    MATCH($A841, IR!$A$2:$A2026, 0), 
    MATCH(C$1, IR!$B$1:$E$1, 0) ), "")
</f>
        <v>-0.00371</v>
      </c>
      <c r="D841" s="12">
        <f t="array" ref="D841">IFERROR(
  INDEX(
    IR!$B$2:$E2026,                
    MATCH($A841, IR!$A$2:$A2026, 0), 
    MATCH(D$1, IR!$B$1:$E$1, 0) ), "")
</f>
        <v>-0.00329</v>
      </c>
      <c r="E841" s="12">
        <f t="array" ref="E841">IFERROR(
  INDEX(
    IR!$B$2:$E2026,                
    MATCH($A841, IR!$A$2:$A2026, 0), 
    MATCH(E$1, IR!$B$1:$E$1, 0) ), "")
</f>
        <v>-0.00272</v>
      </c>
      <c r="F841" s="12">
        <f t="array" ref="F841">IFERROR(
  INDEX(
    IR!$B$2:$E2026,                
    MATCH($A841, IR!$A$2:$A2026, 0), 
    MATCH(F$1, IR!$B$1:$E$1, 0) ), "")
</f>
        <v>-0.00152</v>
      </c>
      <c r="G841" s="25"/>
      <c r="H841" s="12">
        <f t="array" ref="H841">IFERROR(
  INDEX(
    SR!$B$2:$D2026,            
    MATCH($A841, SR!$A$2:$A2026, 0),  
    MATCH(H$1, SR!$B$1:$D$1, 0) ), "")
</f>
        <v>-0.001545</v>
      </c>
      <c r="I841" s="12">
        <f t="array" ref="I841">IFERROR(
  INDEX(
    SR!$B$2:$D2026,            
    MATCH($A841, SR!$A$2:$A2026, 0),  
    MATCH(I$1, SR!$B$1:$D$1, 0) ), "")
</f>
        <v>-0.00026</v>
      </c>
      <c r="J841" s="12">
        <f t="array" ref="J841">IFERROR(
  INDEX(
    SR!$B$2:$D2026,            
    MATCH($A841, SR!$A$2:$A2026, 0),  
    MATCH(J$1, SR!$B$1:$D$1, 0) ), "")
</f>
        <v>0.00271</v>
      </c>
      <c r="K841" s="14"/>
      <c r="L841" s="9">
        <v>119.84</v>
      </c>
      <c r="M841" s="9">
        <v>24.3</v>
      </c>
      <c r="N841" s="9">
        <v>115.19</v>
      </c>
      <c r="O841" s="9">
        <v>118.03</v>
      </c>
      <c r="P841" s="9">
        <v>127.13</v>
      </c>
      <c r="Q841" s="9">
        <v>1442.648</v>
      </c>
      <c r="R841" s="14"/>
      <c r="S841" s="12">
        <f t="shared" si="2"/>
        <v>-0.001125941946</v>
      </c>
      <c r="T841" s="12">
        <f t="shared" si="3"/>
        <v>0.9988740581</v>
      </c>
      <c r="U841" s="16">
        <f t="shared" si="7"/>
        <v>101.1098543</v>
      </c>
      <c r="V841" s="17"/>
      <c r="W841" s="12">
        <f t="array" ref="W841">SQRT(252/20) *  SQRT( SUMSQ( LN(U820:U839 / U819:U838) )  - (1/20) * ( SUM( LN(U820:U839 / U819:U838) ) ^ 2 ) )</f>
        <v>0.01999738903</v>
      </c>
      <c r="X841" s="9">
        <f t="shared" si="4"/>
        <v>1.5</v>
      </c>
      <c r="Y841" s="14"/>
      <c r="Z841" s="12">
        <f t="shared" si="5"/>
        <v>0.9983162399</v>
      </c>
      <c r="AA841" s="16">
        <f t="shared" si="8"/>
        <v>101.9416886</v>
      </c>
      <c r="AB841" s="14"/>
      <c r="AC841" s="9">
        <f t="shared" si="6"/>
        <v>0</v>
      </c>
    </row>
    <row r="842">
      <c r="A842" s="8">
        <v>42947.0</v>
      </c>
      <c r="B842" s="14"/>
      <c r="C842" s="12">
        <f t="array" ref="C842">IFERROR(
  INDEX(
    IR!$B$2:$E2026,                
    MATCH($A842, IR!$A$2:$A2026, 0), 
    MATCH(C$1, IR!$B$1:$E$1, 0) ), "")
</f>
        <v>-0.0037</v>
      </c>
      <c r="D842" s="12">
        <f t="array" ref="D842">IFERROR(
  INDEX(
    IR!$B$2:$E2026,                
    MATCH($A842, IR!$A$2:$A2026, 0), 
    MATCH(D$1, IR!$B$1:$E$1, 0) ), "")
</f>
        <v>-0.0033</v>
      </c>
      <c r="E842" s="12">
        <f t="array" ref="E842">IFERROR(
  INDEX(
    IR!$B$2:$E2026,                
    MATCH($A842, IR!$A$2:$A2026, 0), 
    MATCH(E$1, IR!$B$1:$E$1, 0) ), "")
</f>
        <v>-0.00271</v>
      </c>
      <c r="F842" s="12">
        <f t="array" ref="F842">IFERROR(
  INDEX(
    IR!$B$2:$E2026,                
    MATCH($A842, IR!$A$2:$A2026, 0), 
    MATCH(F$1, IR!$B$1:$E$1, 0) ), "")
</f>
        <v>-0.00151</v>
      </c>
      <c r="G842" s="25"/>
      <c r="H842" s="12">
        <f t="array" ref="H842">IFERROR(
  INDEX(
    SR!$B$2:$D2026,            
    MATCH($A842, SR!$A$2:$A2026, 0),  
    MATCH(H$1, SR!$B$1:$D$1, 0) ), "")
</f>
        <v>-0.00153</v>
      </c>
      <c r="I842" s="12">
        <f t="array" ref="I842">IFERROR(
  INDEX(
    SR!$B$2:$D2026,            
    MATCH($A842, SR!$A$2:$A2026, 0),  
    MATCH(I$1, SR!$B$1:$D$1, 0) ), "")
</f>
        <v>-0.000218</v>
      </c>
      <c r="J842" s="12">
        <f t="array" ref="J842">IFERROR(
  INDEX(
    SR!$B$2:$D2026,            
    MATCH($A842, SR!$A$2:$A2026, 0),  
    MATCH(J$1, SR!$B$1:$D$1, 0) ), "")
</f>
        <v>0.0028</v>
      </c>
      <c r="K842" s="14"/>
      <c r="L842" s="9">
        <v>119.75</v>
      </c>
      <c r="M842" s="9">
        <v>24.29</v>
      </c>
      <c r="N842" s="9">
        <v>115.21</v>
      </c>
      <c r="O842" s="9">
        <v>117.85</v>
      </c>
      <c r="P842" s="9">
        <v>126.84</v>
      </c>
      <c r="Q842" s="9">
        <v>1440.376</v>
      </c>
      <c r="R842" s="14"/>
      <c r="S842" s="12">
        <f t="shared" si="2"/>
        <v>-0.00106139034</v>
      </c>
      <c r="T842" s="12">
        <f t="shared" si="3"/>
        <v>0.9989386097</v>
      </c>
      <c r="U842" s="16">
        <f t="shared" si="7"/>
        <v>101.0025372</v>
      </c>
      <c r="V842" s="17"/>
      <c r="W842" s="12">
        <f t="array" ref="W842">SQRT(252/20) *  SQRT( SUMSQ( LN(U821:U840 / U820:U839) )  - (1/20) * ( SUM( LN(U821:U840 / U820:U839) ) ^ 2 ) )</f>
        <v>0.02014265769</v>
      </c>
      <c r="X842" s="9">
        <f t="shared" si="4"/>
        <v>1.5</v>
      </c>
      <c r="Y842" s="14"/>
      <c r="Z842" s="12">
        <f t="shared" si="5"/>
        <v>0.9984233728</v>
      </c>
      <c r="AA842" s="16">
        <f t="shared" si="8"/>
        <v>101.7809646</v>
      </c>
      <c r="AB842" s="14"/>
      <c r="AC842" s="9">
        <f t="shared" si="6"/>
        <v>0</v>
      </c>
    </row>
    <row r="843">
      <c r="A843" s="8">
        <v>42948.0</v>
      </c>
      <c r="B843" s="14"/>
      <c r="C843" s="12">
        <f t="array" ref="C843">IFERROR(
  INDEX(
    IR!$B$2:$E2026,                
    MATCH($A843, IR!$A$2:$A2026, 0), 
    MATCH(C$1, IR!$B$1:$E$1, 0) ), "")
</f>
        <v>-0.00371</v>
      </c>
      <c r="D843" s="12">
        <f t="array" ref="D843">IFERROR(
  INDEX(
    IR!$B$2:$E2026,                
    MATCH($A843, IR!$A$2:$A2026, 0), 
    MATCH(D$1, IR!$B$1:$E$1, 0) ), "")
</f>
        <v>-0.00331</v>
      </c>
      <c r="E843" s="12">
        <f t="array" ref="E843">IFERROR(
  INDEX(
    IR!$B$2:$E2026,                
    MATCH($A843, IR!$A$2:$A2026, 0), 
    MATCH(E$1, IR!$B$1:$E$1, 0) ), "")
</f>
        <v>-0.00272</v>
      </c>
      <c r="F843" s="12">
        <f t="array" ref="F843">IFERROR(
  INDEX(
    IR!$B$2:$E2026,                
    MATCH($A843, IR!$A$2:$A2026, 0), 
    MATCH(F$1, IR!$B$1:$E$1, 0) ), "")
</f>
        <v>-0.00151</v>
      </c>
      <c r="G843" s="25"/>
      <c r="H843" s="12">
        <f t="array" ref="H843">IFERROR(
  INDEX(
    SR!$B$2:$D2026,            
    MATCH($A843, SR!$A$2:$A2026, 0),  
    MATCH(H$1, SR!$B$1:$D$1, 0) ), "")
</f>
        <v>-0.00162</v>
      </c>
      <c r="I843" s="12">
        <f t="array" ref="I843">IFERROR(
  INDEX(
    SR!$B$2:$D2026,            
    MATCH($A843, SR!$A$2:$A2026, 0),  
    MATCH(I$1, SR!$B$1:$D$1, 0) ), "")
</f>
        <v>-0.00042</v>
      </c>
      <c r="J843" s="12">
        <f t="array" ref="J843">IFERROR(
  INDEX(
    SR!$B$2:$D2026,            
    MATCH($A843, SR!$A$2:$A2026, 0),  
    MATCH(J$1, SR!$B$1:$D$1, 0) ), "")
</f>
        <v>0.00245</v>
      </c>
      <c r="K843" s="14"/>
      <c r="L843" s="9">
        <v>119.92</v>
      </c>
      <c r="M843" s="9">
        <v>24.29</v>
      </c>
      <c r="N843" s="9">
        <v>115.24</v>
      </c>
      <c r="O843" s="9">
        <v>117.74</v>
      </c>
      <c r="P843" s="9">
        <v>126.74</v>
      </c>
      <c r="Q843" s="9">
        <v>1438.896</v>
      </c>
      <c r="R843" s="14"/>
      <c r="S843" s="12">
        <f t="shared" si="2"/>
        <v>-0.0001782441216</v>
      </c>
      <c r="T843" s="12">
        <f t="shared" si="3"/>
        <v>0.9998217559</v>
      </c>
      <c r="U843" s="16">
        <f t="shared" si="7"/>
        <v>100.9845341</v>
      </c>
      <c r="V843" s="17"/>
      <c r="W843" s="12">
        <f t="array" ref="W843">SQRT(252/20) *  SQRT( SUMSQ( LN(U822:U841 / U821:U840) )  - (1/20) * ( SUM( LN(U822:U841 / U821:U840) ) ^ 2 ) )</f>
        <v>0.01618837313</v>
      </c>
      <c r="X843" s="9">
        <f t="shared" si="4"/>
        <v>1.5</v>
      </c>
      <c r="Y843" s="14"/>
      <c r="Z843" s="12">
        <f t="shared" si="5"/>
        <v>0.9997377727</v>
      </c>
      <c r="AA843" s="16">
        <f t="shared" si="8"/>
        <v>101.7542748</v>
      </c>
      <c r="AB843" s="14"/>
      <c r="AC843" s="9">
        <f t="shared" si="6"/>
        <v>0</v>
      </c>
    </row>
    <row r="844">
      <c r="A844" s="8">
        <v>42949.0</v>
      </c>
      <c r="B844" s="14"/>
      <c r="C844" s="12">
        <f t="array" ref="C844">IFERROR(
  INDEX(
    IR!$B$2:$E2026,                
    MATCH($A844, IR!$A$2:$A2026, 0), 
    MATCH(C$1, IR!$B$1:$E$1, 0) ), "")
</f>
        <v>-0.00373</v>
      </c>
      <c r="D844" s="12">
        <f t="array" ref="D844">IFERROR(
  INDEX(
    IR!$B$2:$E2026,                
    MATCH($A844, IR!$A$2:$A2026, 0), 
    MATCH(D$1, IR!$B$1:$E$1, 0) ), "")
</f>
        <v>-0.00331</v>
      </c>
      <c r="E844" s="12">
        <f t="array" ref="E844">IFERROR(
  INDEX(
    IR!$B$2:$E2026,                
    MATCH($A844, IR!$A$2:$A2026, 0), 
    MATCH(E$1, IR!$B$1:$E$1, 0) ), "")
</f>
        <v>-0.00273</v>
      </c>
      <c r="F844" s="12">
        <f t="array" ref="F844">IFERROR(
  INDEX(
    IR!$B$2:$E2026,                
    MATCH($A844, IR!$A$2:$A2026, 0), 
    MATCH(F$1, IR!$B$1:$E$1, 0) ), "")
</f>
        <v>-0.00153</v>
      </c>
      <c r="G844" s="25"/>
      <c r="H844" s="12">
        <f t="array" ref="H844">IFERROR(
  INDEX(
    SR!$B$2:$D2026,            
    MATCH($A844, SR!$A$2:$A2026, 0),  
    MATCH(H$1, SR!$B$1:$D$1, 0) ), "")
</f>
        <v>-0.00163</v>
      </c>
      <c r="I844" s="12">
        <f t="array" ref="I844">IFERROR(
  INDEX(
    SR!$B$2:$D2026,            
    MATCH($A844, SR!$A$2:$A2026, 0),  
    MATCH(I$1, SR!$B$1:$D$1, 0) ), "")
</f>
        <v>-0.000378</v>
      </c>
      <c r="J844" s="12">
        <f t="array" ref="J844">IFERROR(
  INDEX(
    SR!$B$2:$D2026,            
    MATCH($A844, SR!$A$2:$A2026, 0),  
    MATCH(J$1, SR!$B$1:$D$1, 0) ), "")
</f>
        <v>0.002401</v>
      </c>
      <c r="K844" s="14"/>
      <c r="L844" s="9">
        <v>119.89</v>
      </c>
      <c r="M844" s="9">
        <v>24.27</v>
      </c>
      <c r="N844" s="9">
        <v>115.23</v>
      </c>
      <c r="O844" s="9">
        <v>118.32</v>
      </c>
      <c r="P844" s="9">
        <v>126.92</v>
      </c>
      <c r="Q844" s="9">
        <v>1441.277</v>
      </c>
      <c r="R844" s="14"/>
      <c r="S844" s="12">
        <f t="shared" si="2"/>
        <v>0.001139834976</v>
      </c>
      <c r="T844" s="12">
        <f t="shared" si="3"/>
        <v>1.001139835</v>
      </c>
      <c r="U844" s="16">
        <f t="shared" si="7"/>
        <v>101.0996398</v>
      </c>
      <c r="V844" s="17"/>
      <c r="W844" s="12">
        <f t="array" ref="W844">SQRT(252/20) *  SQRT( SUMSQ( LN(U823:U842 / U822:U841) )  - (1/20) * ( SUM( LN(U823:U842 / U822:U841) ) ^ 2 ) )</f>
        <v>0.01665229575</v>
      </c>
      <c r="X844" s="9">
        <f t="shared" si="4"/>
        <v>1.5</v>
      </c>
      <c r="Y844" s="14"/>
      <c r="Z844" s="12">
        <f t="shared" si="5"/>
        <v>1.001714905</v>
      </c>
      <c r="AA844" s="16">
        <f t="shared" si="8"/>
        <v>101.9287738</v>
      </c>
      <c r="AB844" s="14"/>
      <c r="AC844" s="9">
        <f t="shared" si="6"/>
        <v>0</v>
      </c>
    </row>
    <row r="845">
      <c r="A845" s="8">
        <v>42950.0</v>
      </c>
      <c r="B845" s="14"/>
      <c r="C845" s="12">
        <f t="array" ref="C845">IFERROR(
  INDEX(
    IR!$B$2:$E2026,                
    MATCH($A845, IR!$A$2:$A2026, 0), 
    MATCH(C$1, IR!$B$1:$E$1, 0) ), "")
</f>
        <v>-0.00372</v>
      </c>
      <c r="D845" s="12">
        <f t="array" ref="D845">IFERROR(
  INDEX(
    IR!$B$2:$E2026,                
    MATCH($A845, IR!$A$2:$A2026, 0), 
    MATCH(D$1, IR!$B$1:$E$1, 0) ), "")
</f>
        <v>-0.00329</v>
      </c>
      <c r="E845" s="12">
        <f t="array" ref="E845">IFERROR(
  INDEX(
    IR!$B$2:$E2026,                
    MATCH($A845, IR!$A$2:$A2026, 0), 
    MATCH(E$1, IR!$B$1:$E$1, 0) ), "")
</f>
        <v>-0.00272</v>
      </c>
      <c r="F845" s="12">
        <f t="array" ref="F845">IFERROR(
  INDEX(
    IR!$B$2:$E2026,                
    MATCH($A845, IR!$A$2:$A2026, 0), 
    MATCH(F$1, IR!$B$1:$E$1, 0) ), "")
</f>
        <v>-0.00152</v>
      </c>
      <c r="G845" s="25"/>
      <c r="H845" s="12">
        <f t="array" ref="H845">IFERROR(
  INDEX(
    SR!$B$2:$D2026,            
    MATCH($A845, SR!$A$2:$A2026, 0),  
    MATCH(H$1, SR!$B$1:$D$1, 0) ), "")
</f>
        <v>-0.00163</v>
      </c>
      <c r="I845" s="12">
        <f t="array" ref="I845">IFERROR(
  INDEX(
    SR!$B$2:$D2026,            
    MATCH($A845, SR!$A$2:$A2026, 0),  
    MATCH(I$1, SR!$B$1:$D$1, 0) ), "")
</f>
        <v>-0.000487</v>
      </c>
      <c r="J845" s="12">
        <f t="array" ref="J845">IFERROR(
  INDEX(
    SR!$B$2:$D2026,            
    MATCH($A845, SR!$A$2:$A2026, 0),  
    MATCH(J$1, SR!$B$1:$D$1, 0) ), "")
</f>
        <v>0.00233</v>
      </c>
      <c r="K845" s="14"/>
      <c r="L845" s="9">
        <v>119.92</v>
      </c>
      <c r="M845" s="9">
        <v>24.27</v>
      </c>
      <c r="N845" s="9">
        <v>115.21</v>
      </c>
      <c r="O845" s="9">
        <v>118.03</v>
      </c>
      <c r="P845" s="9">
        <v>126.93</v>
      </c>
      <c r="Q845" s="9">
        <v>1436.658</v>
      </c>
      <c r="R845" s="14"/>
      <c r="S845" s="12">
        <f t="shared" si="2"/>
        <v>-0.0009166744573</v>
      </c>
      <c r="T845" s="12">
        <f t="shared" si="3"/>
        <v>0.9990833255</v>
      </c>
      <c r="U845" s="16">
        <f t="shared" si="7"/>
        <v>101.0069644</v>
      </c>
      <c r="V845" s="17"/>
      <c r="W845" s="12">
        <f t="array" ref="W845">SQRT(252/20) *  SQRT( SUMSQ( LN(U824:U843 / U823:U842) )  - (1/20) * ( SUM( LN(U824:U843 / U823:U842) ) ^ 2 ) )</f>
        <v>0.01653192587</v>
      </c>
      <c r="X845" s="9">
        <f t="shared" si="4"/>
        <v>1.5</v>
      </c>
      <c r="Y845" s="14"/>
      <c r="Z845" s="12">
        <f t="shared" si="5"/>
        <v>0.9986301689</v>
      </c>
      <c r="AA845" s="16">
        <f t="shared" si="8"/>
        <v>101.7891486</v>
      </c>
      <c r="AB845" s="14"/>
      <c r="AC845" s="9">
        <f t="shared" si="6"/>
        <v>0</v>
      </c>
    </row>
    <row r="846">
      <c r="A846" s="8">
        <v>42951.0</v>
      </c>
      <c r="B846" s="14"/>
      <c r="C846" s="12">
        <f t="array" ref="C846">IFERROR(
  INDEX(
    IR!$B$2:$E2026,                
    MATCH($A846, IR!$A$2:$A2026, 0), 
    MATCH(C$1, IR!$B$1:$E$1, 0) ), "")
</f>
        <v>-0.00372</v>
      </c>
      <c r="D846" s="12">
        <f t="array" ref="D846">IFERROR(
  INDEX(
    IR!$B$2:$E2026,                
    MATCH($A846, IR!$A$2:$A2026, 0), 
    MATCH(D$1, IR!$B$1:$E$1, 0) ), "")
</f>
        <v>-0.00329</v>
      </c>
      <c r="E846" s="12">
        <f t="array" ref="E846">IFERROR(
  INDEX(
    IR!$B$2:$E2026,                
    MATCH($A846, IR!$A$2:$A2026, 0), 
    MATCH(E$1, IR!$B$1:$E$1, 0) ), "")
</f>
        <v>-0.00271</v>
      </c>
      <c r="F846" s="12">
        <f t="array" ref="F846">IFERROR(
  INDEX(
    IR!$B$2:$E2026,                
    MATCH($A846, IR!$A$2:$A2026, 0), 
    MATCH(F$1, IR!$B$1:$E$1, 0) ), "")
</f>
        <v>-0.00151</v>
      </c>
      <c r="G846" s="25"/>
      <c r="H846" s="12">
        <f t="array" ref="H846">IFERROR(
  INDEX(
    SR!$B$2:$D2026,            
    MATCH($A846, SR!$A$2:$A2026, 0),  
    MATCH(H$1, SR!$B$1:$D$1, 0) ), "")
</f>
        <v>-0.00159</v>
      </c>
      <c r="I846" s="12">
        <f t="array" ref="I846">IFERROR(
  INDEX(
    SR!$B$2:$D2026,            
    MATCH($A846, SR!$A$2:$A2026, 0),  
    MATCH(I$1, SR!$B$1:$D$1, 0) ), "")
</f>
        <v>-0.00041</v>
      </c>
      <c r="J846" s="12">
        <f t="array" ref="J846">IFERROR(
  INDEX(
    SR!$B$2:$D2026,            
    MATCH($A846, SR!$A$2:$A2026, 0),  
    MATCH(J$1, SR!$B$1:$D$1, 0) ), "")
</f>
        <v>0.002375</v>
      </c>
      <c r="K846" s="14"/>
      <c r="L846" s="9">
        <v>120.1</v>
      </c>
      <c r="M846" s="9">
        <v>24.28</v>
      </c>
      <c r="N846" s="9">
        <v>115.23</v>
      </c>
      <c r="O846" s="9">
        <v>118.2</v>
      </c>
      <c r="P846" s="9">
        <v>126.78</v>
      </c>
      <c r="Q846" s="9">
        <v>1436.651</v>
      </c>
      <c r="R846" s="14"/>
      <c r="S846" s="12">
        <f t="shared" si="2"/>
        <v>0.0003898957697</v>
      </c>
      <c r="T846" s="12">
        <f t="shared" si="3"/>
        <v>1.000389896</v>
      </c>
      <c r="U846" s="16">
        <f t="shared" si="7"/>
        <v>101.0463466</v>
      </c>
      <c r="V846" s="17"/>
      <c r="W846" s="12">
        <f t="array" ref="W846">SQRT(252/20) *  SQRT( SUMSQ( LN(U825:U844 / U824:U843) )  - (1/20) * ( SUM( LN(U825:U844 / U824:U843) ) ^ 2 ) )</f>
        <v>0.01697042133</v>
      </c>
      <c r="X846" s="9">
        <f t="shared" si="4"/>
        <v>1.5</v>
      </c>
      <c r="Y846" s="14"/>
      <c r="Z846" s="12">
        <f t="shared" si="5"/>
        <v>1.00059001</v>
      </c>
      <c r="AA846" s="16">
        <f t="shared" si="8"/>
        <v>101.8492052</v>
      </c>
      <c r="AB846" s="14"/>
      <c r="AC846" s="9">
        <f t="shared" si="6"/>
        <v>0</v>
      </c>
    </row>
    <row r="847">
      <c r="A847" s="8">
        <v>42954.0</v>
      </c>
      <c r="B847" s="14"/>
      <c r="C847" s="12">
        <f t="array" ref="C847">IFERROR(
  INDEX(
    IR!$B$2:$E2026,                
    MATCH($A847, IR!$A$2:$A2026, 0), 
    MATCH(C$1, IR!$B$1:$E$1, 0) ), "")
</f>
        <v>-0.00374</v>
      </c>
      <c r="D847" s="12">
        <f t="array" ref="D847">IFERROR(
  INDEX(
    IR!$B$2:$E2026,                
    MATCH($A847, IR!$A$2:$A2026, 0), 
    MATCH(D$1, IR!$B$1:$E$1, 0) ), "")
</f>
        <v>-0.00328</v>
      </c>
      <c r="E847" s="12">
        <f t="array" ref="E847">IFERROR(
  INDEX(
    IR!$B$2:$E2026,                
    MATCH($A847, IR!$A$2:$A2026, 0), 
    MATCH(E$1, IR!$B$1:$E$1, 0) ), "")
</f>
        <v>-0.0027</v>
      </c>
      <c r="F847" s="12">
        <f t="array" ref="F847">IFERROR(
  INDEX(
    IR!$B$2:$E2026,                
    MATCH($A847, IR!$A$2:$A2026, 0), 
    MATCH(F$1, IR!$B$1:$E$1, 0) ), "")
</f>
        <v>-0.00152</v>
      </c>
      <c r="G847" s="25"/>
      <c r="H847" s="12">
        <f t="array" ref="H847">IFERROR(
  INDEX(
    SR!$B$2:$D2026,            
    MATCH($A847, SR!$A$2:$A2026, 0),  
    MATCH(H$1, SR!$B$1:$D$1, 0) ), "")
</f>
        <v>-0.00159</v>
      </c>
      <c r="I847" s="12">
        <f t="array" ref="I847">IFERROR(
  INDEX(
    SR!$B$2:$D2026,            
    MATCH($A847, SR!$A$2:$A2026, 0),  
    MATCH(I$1, SR!$B$1:$D$1, 0) ), "")
</f>
        <v>-0.000426</v>
      </c>
      <c r="J847" s="12">
        <f t="array" ref="J847">IFERROR(
  INDEX(
    SR!$B$2:$D2026,            
    MATCH($A847, SR!$A$2:$A2026, 0),  
    MATCH(J$1, SR!$B$1:$D$1, 0) ), "")
</f>
        <v>0.00234</v>
      </c>
      <c r="K847" s="14"/>
      <c r="L847" s="9">
        <v>120.12</v>
      </c>
      <c r="M847" s="9">
        <v>24.27</v>
      </c>
      <c r="N847" s="9">
        <v>115.26</v>
      </c>
      <c r="O847" s="9">
        <v>118.55</v>
      </c>
      <c r="P847" s="9">
        <v>126.92</v>
      </c>
      <c r="Q847" s="9">
        <v>1438.635</v>
      </c>
      <c r="R847" s="14"/>
      <c r="S847" s="12">
        <f t="shared" si="2"/>
        <v>0.0009100011275</v>
      </c>
      <c r="T847" s="12">
        <f t="shared" si="3"/>
        <v>1.000910001</v>
      </c>
      <c r="U847" s="16">
        <f t="shared" si="7"/>
        <v>101.1382988</v>
      </c>
      <c r="V847" s="17"/>
      <c r="W847" s="12">
        <f t="array" ref="W847">SQRT(252/20) *  SQRT( SUMSQ( LN(U826:U845 / U825:U844) )  - (1/20) * ( SUM( LN(U826:U845 / U825:U844) ) ^ 2 ) )</f>
        <v>0.01729498729</v>
      </c>
      <c r="X847" s="9">
        <f t="shared" si="4"/>
        <v>1.5</v>
      </c>
      <c r="Y847" s="14"/>
      <c r="Z847" s="12">
        <f t="shared" si="5"/>
        <v>1.001380502</v>
      </c>
      <c r="AA847" s="16">
        <f t="shared" si="8"/>
        <v>101.9898082</v>
      </c>
      <c r="AB847" s="14"/>
      <c r="AC847" s="9">
        <f t="shared" si="6"/>
        <v>0</v>
      </c>
    </row>
    <row r="848">
      <c r="A848" s="8">
        <v>42955.0</v>
      </c>
      <c r="B848" s="14"/>
      <c r="C848" s="12">
        <f t="array" ref="C848">IFERROR(
  INDEX(
    IR!$B$2:$E2026,                
    MATCH($A848, IR!$A$2:$A2026, 0), 
    MATCH(C$1, IR!$B$1:$E$1, 0) ), "")
</f>
        <v>-0.00374</v>
      </c>
      <c r="D848" s="12">
        <f t="array" ref="D848">IFERROR(
  INDEX(
    IR!$B$2:$E2026,                
    MATCH($A848, IR!$A$2:$A2026, 0), 
    MATCH(D$1, IR!$B$1:$E$1, 0) ), "")
</f>
        <v>-0.00328</v>
      </c>
      <c r="E848" s="12">
        <f t="array" ref="E848">IFERROR(
  INDEX(
    IR!$B$2:$E2026,                
    MATCH($A848, IR!$A$2:$A2026, 0), 
    MATCH(E$1, IR!$B$1:$E$1, 0) ), "")
</f>
        <v>-0.00269</v>
      </c>
      <c r="F848" s="12">
        <f t="array" ref="F848">IFERROR(
  INDEX(
    IR!$B$2:$E2026,                
    MATCH($A848, IR!$A$2:$A2026, 0), 
    MATCH(F$1, IR!$B$1:$E$1, 0) ), "")
</f>
        <v>-0.00152</v>
      </c>
      <c r="G848" s="25"/>
      <c r="H848" s="12">
        <f t="array" ref="H848">IFERROR(
  INDEX(
    SR!$B$2:$D2026,            
    MATCH($A848, SR!$A$2:$A2026, 0),  
    MATCH(H$1, SR!$B$1:$D$1, 0) ), "")
</f>
        <v>-0.001547</v>
      </c>
      <c r="I848" s="12">
        <f t="array" ref="I848">IFERROR(
  INDEX(
    SR!$B$2:$D2026,            
    MATCH($A848, SR!$A$2:$A2026, 0),  
    MATCH(I$1, SR!$B$1:$D$1, 0) ), "")
</f>
        <v>-0.000432</v>
      </c>
      <c r="J848" s="12">
        <f t="array" ref="J848">IFERROR(
  INDEX(
    SR!$B$2:$D2026,            
    MATCH($A848, SR!$A$2:$A2026, 0),  
    MATCH(J$1, SR!$B$1:$D$1, 0) ), "")
</f>
        <v>0.00238</v>
      </c>
      <c r="K848" s="14"/>
      <c r="L848" s="9">
        <v>120.12</v>
      </c>
      <c r="M848" s="9">
        <v>24.28</v>
      </c>
      <c r="N848" s="9">
        <v>115.27</v>
      </c>
      <c r="O848" s="9">
        <v>118.47</v>
      </c>
      <c r="P848" s="9">
        <v>126.99</v>
      </c>
      <c r="Q848" s="9">
        <v>1441.451</v>
      </c>
      <c r="R848" s="14"/>
      <c r="S848" s="12">
        <f t="shared" si="2"/>
        <v>0.0003888586257</v>
      </c>
      <c r="T848" s="12">
        <f t="shared" si="3"/>
        <v>1.000388859</v>
      </c>
      <c r="U848" s="16">
        <f t="shared" si="7"/>
        <v>101.1776273</v>
      </c>
      <c r="V848" s="17"/>
      <c r="W848" s="12">
        <f t="array" ref="W848">SQRT(252/20) *  SQRT( SUMSQ( LN(U827:U846 / U826:U845) )  - (1/20) * ( SUM( LN(U827:U846 / U826:U845) ) ^ 2 ) )</f>
        <v>0.01634344846</v>
      </c>
      <c r="X848" s="9">
        <f t="shared" si="4"/>
        <v>1.5</v>
      </c>
      <c r="Y848" s="14"/>
      <c r="Z848" s="12">
        <f t="shared" si="5"/>
        <v>1.000588482</v>
      </c>
      <c r="AA848" s="16">
        <f t="shared" si="8"/>
        <v>102.0498274</v>
      </c>
      <c r="AB848" s="14"/>
      <c r="AC848" s="9">
        <f t="shared" si="6"/>
        <v>0</v>
      </c>
    </row>
    <row r="849">
      <c r="A849" s="8">
        <v>42956.0</v>
      </c>
      <c r="B849" s="14"/>
      <c r="C849" s="12">
        <f t="array" ref="C849">IFERROR(
  INDEX(
    IR!$B$2:$E2026,                
    MATCH($A849, IR!$A$2:$A2026, 0), 
    MATCH(C$1, IR!$B$1:$E$1, 0) ), "")
</f>
        <v>-0.00374</v>
      </c>
      <c r="D849" s="12">
        <f t="array" ref="D849">IFERROR(
  INDEX(
    IR!$B$2:$E2026,                
    MATCH($A849, IR!$A$2:$A2026, 0), 
    MATCH(D$1, IR!$B$1:$E$1, 0) ), "")
</f>
        <v>-0.00328</v>
      </c>
      <c r="E849" s="12">
        <f t="array" ref="E849">IFERROR(
  INDEX(
    IR!$B$2:$E2026,                
    MATCH($A849, IR!$A$2:$A2026, 0), 
    MATCH(E$1, IR!$B$1:$E$1, 0) ), "")
</f>
        <v>-0.00271</v>
      </c>
      <c r="F849" s="12">
        <f t="array" ref="F849">IFERROR(
  INDEX(
    IR!$B$2:$E2026,                
    MATCH($A849, IR!$A$2:$A2026, 0), 
    MATCH(F$1, IR!$B$1:$E$1, 0) ), "")
</f>
        <v>-0.00153</v>
      </c>
      <c r="G849" s="25"/>
      <c r="H849" s="12">
        <f t="array" ref="H849">IFERROR(
  INDEX(
    SR!$B$2:$D2026,            
    MATCH($A849, SR!$A$2:$A2026, 0),  
    MATCH(H$1, SR!$B$1:$D$1, 0) ), "")
</f>
        <v>-0.00164</v>
      </c>
      <c r="I849" s="12">
        <f t="array" ref="I849">IFERROR(
  INDEX(
    SR!$B$2:$D2026,            
    MATCH($A849, SR!$A$2:$A2026, 0),  
    MATCH(I$1, SR!$B$1:$D$1, 0) ), "")
</f>
        <v>-0.000471</v>
      </c>
      <c r="J849" s="12">
        <f t="array" ref="J849">IFERROR(
  INDEX(
    SR!$B$2:$D2026,            
    MATCH($A849, SR!$A$2:$A2026, 0),  
    MATCH(J$1, SR!$B$1:$D$1, 0) ), "")
</f>
        <v>0.002163</v>
      </c>
      <c r="K849" s="14"/>
      <c r="L849" s="9">
        <v>119.71</v>
      </c>
      <c r="M849" s="9">
        <v>24.28</v>
      </c>
      <c r="N849" s="9">
        <v>115.26</v>
      </c>
      <c r="O849" s="9">
        <v>118.51</v>
      </c>
      <c r="P849" s="9">
        <v>127.01</v>
      </c>
      <c r="Q849" s="9">
        <v>1440.249</v>
      </c>
      <c r="R849" s="14"/>
      <c r="S849" s="12">
        <f t="shared" si="2"/>
        <v>-0.0006396203524</v>
      </c>
      <c r="T849" s="12">
        <f t="shared" si="3"/>
        <v>0.9993603796</v>
      </c>
      <c r="U849" s="16">
        <f t="shared" si="7"/>
        <v>101.1129121</v>
      </c>
      <c r="V849" s="17"/>
      <c r="W849" s="12">
        <f t="array" ref="W849">SQRT(252/20) *  SQRT( SUMSQ( LN(U828:U847 / U827:U846) )  - (1/20) * ( SUM( LN(U828:U847 / U827:U846) ) ^ 2 ) )</f>
        <v>0.01655602311</v>
      </c>
      <c r="X849" s="9">
        <f t="shared" si="4"/>
        <v>1.5</v>
      </c>
      <c r="Y849" s="14"/>
      <c r="Z849" s="12">
        <f t="shared" si="5"/>
        <v>0.9990457639</v>
      </c>
      <c r="AA849" s="16">
        <f t="shared" si="8"/>
        <v>101.9524478</v>
      </c>
      <c r="AB849" s="14"/>
      <c r="AC849" s="9">
        <f t="shared" si="6"/>
        <v>0</v>
      </c>
    </row>
    <row r="850">
      <c r="A850" s="8">
        <v>42957.0</v>
      </c>
      <c r="B850" s="14"/>
      <c r="C850" s="12">
        <f t="array" ref="C850">IFERROR(
  INDEX(
    IR!$B$2:$E2026,                
    MATCH($A850, IR!$A$2:$A2026, 0), 
    MATCH(C$1, IR!$B$1:$E$1, 0) ), "")
</f>
        <v>-0.00373</v>
      </c>
      <c r="D850" s="12">
        <f t="array" ref="D850">IFERROR(
  INDEX(
    IR!$B$2:$E2026,                
    MATCH($A850, IR!$A$2:$A2026, 0), 
    MATCH(D$1, IR!$B$1:$E$1, 0) ), "")
</f>
        <v>-0.00329</v>
      </c>
      <c r="E850" s="12">
        <f t="array" ref="E850">IFERROR(
  INDEX(
    IR!$B$2:$E2026,                
    MATCH($A850, IR!$A$2:$A2026, 0), 
    MATCH(E$1, IR!$B$1:$E$1, 0) ), "")
</f>
        <v>-0.00271</v>
      </c>
      <c r="F850" s="12">
        <f t="array" ref="F850">IFERROR(
  INDEX(
    IR!$B$2:$E2026,                
    MATCH($A850, IR!$A$2:$A2026, 0), 
    MATCH(F$1, IR!$B$1:$E$1, 0) ), "")
</f>
        <v>-0.00154</v>
      </c>
      <c r="G850" s="25"/>
      <c r="H850" s="12">
        <f t="array" ref="H850">IFERROR(
  INDEX(
    SR!$B$2:$D2026,            
    MATCH($A850, SR!$A$2:$A2026, 0),  
    MATCH(H$1, SR!$B$1:$D$1, 0) ), "")
</f>
        <v>-0.001696</v>
      </c>
      <c r="I850" s="12">
        <f t="array" ref="I850">IFERROR(
  INDEX(
    SR!$B$2:$D2026,            
    MATCH($A850, SR!$A$2:$A2026, 0),  
    MATCH(I$1, SR!$B$1:$D$1, 0) ), "")
</f>
        <v>-0.00069</v>
      </c>
      <c r="J850" s="12">
        <f t="array" ref="J850">IFERROR(
  INDEX(
    SR!$B$2:$D2026,            
    MATCH($A850, SR!$A$2:$A2026, 0),  
    MATCH(J$1, SR!$B$1:$D$1, 0) ), "")
</f>
        <v>0.002052</v>
      </c>
      <c r="K850" s="14"/>
      <c r="L850" s="9">
        <v>119.42</v>
      </c>
      <c r="M850" s="9">
        <v>24.28</v>
      </c>
      <c r="N850" s="9">
        <v>115.25</v>
      </c>
      <c r="O850" s="9">
        <v>118.14</v>
      </c>
      <c r="P850" s="9">
        <v>126.73</v>
      </c>
      <c r="Q850" s="9">
        <v>1435.393</v>
      </c>
      <c r="R850" s="14"/>
      <c r="S850" s="12">
        <f t="shared" si="2"/>
        <v>-0.001867518475</v>
      </c>
      <c r="T850" s="12">
        <f t="shared" si="3"/>
        <v>0.9981324815</v>
      </c>
      <c r="U850" s="16">
        <f t="shared" si="7"/>
        <v>100.9240818</v>
      </c>
      <c r="V850" s="17"/>
      <c r="W850" s="12">
        <f t="array" ref="W850">SQRT(252/20) *  SQRT( SUMSQ( LN(U829:U848 / U828:U847) )  - (1/20) * ( SUM( LN(U829:U848 / U828:U847) ) ^ 2 ) )</f>
        <v>0.01642544434</v>
      </c>
      <c r="X850" s="9">
        <f t="shared" si="4"/>
        <v>1.5</v>
      </c>
      <c r="Y850" s="14"/>
      <c r="Z850" s="12">
        <f t="shared" si="5"/>
        <v>0.9972039167</v>
      </c>
      <c r="AA850" s="16">
        <f t="shared" si="8"/>
        <v>101.6673802</v>
      </c>
      <c r="AB850" s="14"/>
      <c r="AC850" s="9">
        <f t="shared" si="6"/>
        <v>0</v>
      </c>
    </row>
    <row r="851">
      <c r="A851" s="8">
        <v>42958.0</v>
      </c>
      <c r="B851" s="14"/>
      <c r="C851" s="12">
        <f t="array" ref="C851">IFERROR(
  INDEX(
    IR!$B$2:$E2026,                
    MATCH($A851, IR!$A$2:$A2026, 0), 
    MATCH(C$1, IR!$B$1:$E$1, 0) ), "")
</f>
        <v>-0.00372</v>
      </c>
      <c r="D851" s="12">
        <f t="array" ref="D851">IFERROR(
  INDEX(
    IR!$B$2:$E2026,                
    MATCH($A851, IR!$A$2:$A2026, 0), 
    MATCH(D$1, IR!$B$1:$E$1, 0) ), "")
</f>
        <v>-0.00329</v>
      </c>
      <c r="E851" s="12">
        <f t="array" ref="E851">IFERROR(
  INDEX(
    IR!$B$2:$E2026,                
    MATCH($A851, IR!$A$2:$A2026, 0), 
    MATCH(E$1, IR!$B$1:$E$1, 0) ), "")
</f>
        <v>-0.00271</v>
      </c>
      <c r="F851" s="12">
        <f t="array" ref="F851">IFERROR(
  INDEX(
    IR!$B$2:$E2026,                
    MATCH($A851, IR!$A$2:$A2026, 0), 
    MATCH(F$1, IR!$B$1:$E$1, 0) ), "")
</f>
        <v>-0.00156</v>
      </c>
      <c r="G851" s="25"/>
      <c r="H851" s="12">
        <f t="array" ref="H851">IFERROR(
  INDEX(
    SR!$B$2:$D2026,            
    MATCH($A851, SR!$A$2:$A2026, 0),  
    MATCH(H$1, SR!$B$1:$D$1, 0) ), "")
</f>
        <v>-0.001775</v>
      </c>
      <c r="I851" s="12">
        <f t="array" ref="I851">IFERROR(
  INDEX(
    SR!$B$2:$D2026,            
    MATCH($A851, SR!$A$2:$A2026, 0),  
    MATCH(I$1, SR!$B$1:$D$1, 0) ), "")
</f>
        <v>-0.000704</v>
      </c>
      <c r="J851" s="12">
        <f t="array" ref="J851">IFERROR(
  INDEX(
    SR!$B$2:$D2026,            
    MATCH($A851, SR!$A$2:$A2026, 0),  
    MATCH(J$1, SR!$B$1:$D$1, 0) ), "")
</f>
        <v>0.001905</v>
      </c>
      <c r="K851" s="14"/>
      <c r="L851" s="9">
        <v>119.07</v>
      </c>
      <c r="M851" s="9">
        <v>24.27</v>
      </c>
      <c r="N851" s="9">
        <v>115.23</v>
      </c>
      <c r="O851" s="9">
        <v>117.67</v>
      </c>
      <c r="P851" s="9">
        <v>126.19</v>
      </c>
      <c r="Q851" s="9">
        <v>1424.572</v>
      </c>
      <c r="R851" s="14"/>
      <c r="S851" s="12">
        <f t="shared" si="2"/>
        <v>-0.003215182565</v>
      </c>
      <c r="T851" s="12">
        <f t="shared" si="3"/>
        <v>0.9967848174</v>
      </c>
      <c r="U851" s="16">
        <f t="shared" si="7"/>
        <v>100.5995925</v>
      </c>
      <c r="V851" s="17"/>
      <c r="W851" s="12">
        <f t="array" ref="W851">SQRT(252/20) *  SQRT( SUMSQ( LN(U830:U849 / U829:U848) )  - (1/20) * ( SUM( LN(U830:U849 / U829:U848) ) ^ 2 ) )</f>
        <v>0.01656689611</v>
      </c>
      <c r="X851" s="9">
        <f t="shared" si="4"/>
        <v>1.5</v>
      </c>
      <c r="Y851" s="14"/>
      <c r="Z851" s="12">
        <f t="shared" si="5"/>
        <v>0.9951824067</v>
      </c>
      <c r="AA851" s="16">
        <f t="shared" si="8"/>
        <v>101.1775882</v>
      </c>
      <c r="AB851" s="14"/>
      <c r="AC851" s="9">
        <f t="shared" si="6"/>
        <v>0</v>
      </c>
    </row>
    <row r="852">
      <c r="A852" s="8">
        <v>42961.0</v>
      </c>
      <c r="B852" s="14"/>
      <c r="C852" s="12">
        <f t="array" ref="C852">IFERROR(
  INDEX(
    IR!$B$2:$E2026,                
    MATCH($A852, IR!$A$2:$A2026, 0), 
    MATCH(C$1, IR!$B$1:$E$1, 0) ), "")
</f>
        <v>-0.00372</v>
      </c>
      <c r="D852" s="12">
        <f t="array" ref="D852">IFERROR(
  INDEX(
    IR!$B$2:$E2026,                
    MATCH($A852, IR!$A$2:$A2026, 0), 
    MATCH(D$1, IR!$B$1:$E$1, 0) ), "")
</f>
        <v>-0.00329</v>
      </c>
      <c r="E852" s="12">
        <f t="array" ref="E852">IFERROR(
  INDEX(
    IR!$B$2:$E2026,                
    MATCH($A852, IR!$A$2:$A2026, 0), 
    MATCH(E$1, IR!$B$1:$E$1, 0) ), "")
</f>
        <v>-0.00271</v>
      </c>
      <c r="F852" s="12">
        <f t="array" ref="F852">IFERROR(
  INDEX(
    IR!$B$2:$E2026,                
    MATCH($A852, IR!$A$2:$A2026, 0), 
    MATCH(F$1, IR!$B$1:$E$1, 0) ), "")
</f>
        <v>-0.00158</v>
      </c>
      <c r="G852" s="25"/>
      <c r="H852" s="12">
        <f t="array" ref="H852">IFERROR(
  INDEX(
    SR!$B$2:$D2026,            
    MATCH($A852, SR!$A$2:$A2026, 0),  
    MATCH(H$1, SR!$B$1:$D$1, 0) ), "")
</f>
        <v>-0.00177</v>
      </c>
      <c r="I852" s="12">
        <f t="array" ref="I852">IFERROR(
  INDEX(
    SR!$B$2:$D2026,            
    MATCH($A852, SR!$A$2:$A2026, 0),  
    MATCH(I$1, SR!$B$1:$D$1, 0) ), "")
</f>
        <v>-0.000645</v>
      </c>
      <c r="J852" s="12">
        <f t="array" ref="J852">IFERROR(
  INDEX(
    SR!$B$2:$D2026,            
    MATCH($A852, SR!$A$2:$A2026, 0),  
    MATCH(J$1, SR!$B$1:$D$1, 0) ), "")
</f>
        <v>0.00203</v>
      </c>
      <c r="K852" s="14"/>
      <c r="L852" s="9">
        <v>119.36</v>
      </c>
      <c r="M852" s="9">
        <v>24.27</v>
      </c>
      <c r="N852" s="9">
        <v>115.27</v>
      </c>
      <c r="O852" s="9">
        <v>117.57</v>
      </c>
      <c r="P852" s="9">
        <v>125.78</v>
      </c>
      <c r="Q852" s="9">
        <v>1422.814</v>
      </c>
      <c r="R852" s="14"/>
      <c r="S852" s="12">
        <f t="shared" si="2"/>
        <v>-0.0004250007308</v>
      </c>
      <c r="T852" s="12">
        <f t="shared" si="3"/>
        <v>0.9995749993</v>
      </c>
      <c r="U852" s="16">
        <f t="shared" si="7"/>
        <v>100.5568376</v>
      </c>
      <c r="V852" s="17"/>
      <c r="W852" s="12">
        <f t="array" ref="W852">SQRT(252/20) *  SQRT( SUMSQ( LN(U831:U850 / U830:U849) )  - (1/20) * ( SUM( LN(U831:U850 / U830:U849) ) ^ 2 ) )</f>
        <v>0.01350910304</v>
      </c>
      <c r="X852" s="9">
        <f t="shared" si="4"/>
        <v>1.5</v>
      </c>
      <c r="Y852" s="14"/>
      <c r="Z852" s="12">
        <f t="shared" si="5"/>
        <v>0.9993779989</v>
      </c>
      <c r="AA852" s="16">
        <f t="shared" si="8"/>
        <v>101.1146556</v>
      </c>
      <c r="AB852" s="14"/>
      <c r="AC852" s="9">
        <f t="shared" si="6"/>
        <v>0</v>
      </c>
    </row>
    <row r="853">
      <c r="A853" s="8">
        <v>42963.0</v>
      </c>
      <c r="B853" s="14"/>
      <c r="C853" s="12">
        <f t="array" ref="C853">IFERROR(
  INDEX(
    IR!$B$2:$E2026,                
    MATCH($A853, IR!$A$2:$A2026, 0), 
    MATCH(C$1, IR!$B$1:$E$1, 0) ), "")
</f>
        <v>-0.00371</v>
      </c>
      <c r="D853" s="12">
        <f t="array" ref="D853">IFERROR(
  INDEX(
    IR!$B$2:$E2026,                
    MATCH($A853, IR!$A$2:$A2026, 0), 
    MATCH(D$1, IR!$B$1:$E$1, 0) ), "")
</f>
        <v>-0.00329</v>
      </c>
      <c r="E853" s="12">
        <f t="array" ref="E853">IFERROR(
  INDEX(
    IR!$B$2:$E2026,                
    MATCH($A853, IR!$A$2:$A2026, 0), 
    MATCH(E$1, IR!$B$1:$E$1, 0) ), "")
</f>
        <v>-0.00271</v>
      </c>
      <c r="F853" s="12">
        <f t="array" ref="F853">IFERROR(
  INDEX(
    IR!$B$2:$E2026,                
    MATCH($A853, IR!$A$2:$A2026, 0), 
    MATCH(F$1, IR!$B$1:$E$1, 0) ), "")
</f>
        <v>-0.00157</v>
      </c>
      <c r="G853" s="25"/>
      <c r="H853" s="12">
        <f t="array" ref="H853">IFERROR(
  INDEX(
    SR!$B$2:$D2026,            
    MATCH($A853, SR!$A$2:$A2026, 0),  
    MATCH(H$1, SR!$B$1:$D$1, 0) ), "")
</f>
        <v>-0.001685</v>
      </c>
      <c r="I853" s="12">
        <f t="array" ref="I853">IFERROR(
  INDEX(
    SR!$B$2:$D2026,            
    MATCH($A853, SR!$A$2:$A2026, 0),  
    MATCH(I$1, SR!$B$1:$D$1, 0) ), "")
</f>
        <v>-0.000651</v>
      </c>
      <c r="J853" s="12">
        <f t="array" ref="J853">IFERROR(
  INDEX(
    SR!$B$2:$D2026,            
    MATCH($A853, SR!$A$2:$A2026, 0),  
    MATCH(J$1, SR!$B$1:$D$1, 0) ), "")
</f>
        <v>0.00221</v>
      </c>
      <c r="K853" s="14"/>
      <c r="L853" s="9">
        <v>119.6</v>
      </c>
      <c r="M853" s="9">
        <v>24.28</v>
      </c>
      <c r="N853" s="9">
        <v>115.28</v>
      </c>
      <c r="O853" s="9">
        <v>118.16</v>
      </c>
      <c r="P853" s="9">
        <v>126.45</v>
      </c>
      <c r="Q853" s="9">
        <v>1427.319</v>
      </c>
      <c r="R853" s="14"/>
      <c r="S853" s="12">
        <f t="shared" si="2"/>
        <v>0.002669384683</v>
      </c>
      <c r="T853" s="12">
        <f t="shared" si="3"/>
        <v>1.002669385</v>
      </c>
      <c r="U853" s="16">
        <f t="shared" si="7"/>
        <v>100.8252625</v>
      </c>
      <c r="V853" s="17"/>
      <c r="W853" s="12">
        <f t="array" ref="W853">SQRT(252/20) *  SQRT( SUMSQ( LN(U832:U851 / U831:U850) )  - (1/20) * ( SUM( LN(U832:U851 / U831:U850) ) ^ 2 ) )</f>
        <v>0.01706238809</v>
      </c>
      <c r="X853" s="9">
        <f t="shared" si="4"/>
        <v>1.5</v>
      </c>
      <c r="Y853" s="14"/>
      <c r="Z853" s="12">
        <f t="shared" si="5"/>
        <v>1.00401441</v>
      </c>
      <c r="AA853" s="16">
        <f t="shared" si="8"/>
        <v>101.5205713</v>
      </c>
      <c r="AB853" s="14"/>
      <c r="AC853" s="9">
        <f t="shared" si="6"/>
        <v>0</v>
      </c>
    </row>
    <row r="854">
      <c r="A854" s="8">
        <v>42964.0</v>
      </c>
      <c r="B854" s="14"/>
      <c r="C854" s="12">
        <f t="array" ref="C854">IFERROR(
  INDEX(
    IR!$B$2:$E2026,                
    MATCH($A854, IR!$A$2:$A2026, 0), 
    MATCH(C$1, IR!$B$1:$E$1, 0) ), "")
</f>
        <v>-0.00371</v>
      </c>
      <c r="D854" s="12">
        <f t="array" ref="D854">IFERROR(
  INDEX(
    IR!$B$2:$E2026,                
    MATCH($A854, IR!$A$2:$A2026, 0), 
    MATCH(D$1, IR!$B$1:$E$1, 0) ), "")
</f>
        <v>-0.00329</v>
      </c>
      <c r="E854" s="12">
        <f t="array" ref="E854">IFERROR(
  INDEX(
    IR!$B$2:$E2026,                
    MATCH($A854, IR!$A$2:$A2026, 0), 
    MATCH(E$1, IR!$B$1:$E$1, 0) ), "")
</f>
        <v>-0.00271</v>
      </c>
      <c r="F854" s="12">
        <f t="array" ref="F854">IFERROR(
  INDEX(
    IR!$B$2:$E2026,                
    MATCH($A854, IR!$A$2:$A2026, 0), 
    MATCH(F$1, IR!$B$1:$E$1, 0) ), "")
</f>
        <v>-0.00158</v>
      </c>
      <c r="G854" s="25"/>
      <c r="H854" s="12">
        <f t="array" ref="H854">IFERROR(
  INDEX(
    SR!$B$2:$D2026,            
    MATCH($A854, SR!$A$2:$A2026, 0),  
    MATCH(H$1, SR!$B$1:$D$1, 0) ), "")
</f>
        <v>-0.00172</v>
      </c>
      <c r="I854" s="12">
        <f t="array" ref="I854">IFERROR(
  INDEX(
    SR!$B$2:$D2026,            
    MATCH($A854, SR!$A$2:$A2026, 0),  
    MATCH(I$1, SR!$B$1:$D$1, 0) ), "")
</f>
        <v>-0.000666</v>
      </c>
      <c r="J854" s="12">
        <f t="array" ref="J854">IFERROR(
  INDEX(
    SR!$B$2:$D2026,            
    MATCH($A854, SR!$A$2:$A2026, 0),  
    MATCH(J$1, SR!$B$1:$D$1, 0) ), "")
</f>
        <v>0.002053</v>
      </c>
      <c r="K854" s="14"/>
      <c r="L854" s="9">
        <v>119.46</v>
      </c>
      <c r="M854" s="9">
        <v>24.27</v>
      </c>
      <c r="N854" s="9">
        <v>115.25</v>
      </c>
      <c r="O854" s="9">
        <v>118.44</v>
      </c>
      <c r="P854" s="9">
        <v>126.6</v>
      </c>
      <c r="Q854" s="9">
        <v>1429.688</v>
      </c>
      <c r="R854" s="14"/>
      <c r="S854" s="12">
        <f t="shared" si="2"/>
        <v>0.0005621072508</v>
      </c>
      <c r="T854" s="12">
        <f t="shared" si="3"/>
        <v>1.000562107</v>
      </c>
      <c r="U854" s="16">
        <f t="shared" si="7"/>
        <v>100.8819371</v>
      </c>
      <c r="V854" s="17"/>
      <c r="W854" s="12">
        <f t="array" ref="W854">SQRT(252/20) *  SQRT( SUMSQ( LN(U833:U852 / U832:U851) )  - (1/20) * ( SUM( LN(U833:U852 / U832:U851) ) ^ 2 ) )</f>
        <v>0.01628850932</v>
      </c>
      <c r="X854" s="9">
        <f t="shared" si="4"/>
        <v>1.5</v>
      </c>
      <c r="Y854" s="14"/>
      <c r="Z854" s="12">
        <f t="shared" si="5"/>
        <v>1.000848314</v>
      </c>
      <c r="AA854" s="16">
        <f t="shared" si="8"/>
        <v>101.6066926</v>
      </c>
      <c r="AB854" s="14"/>
      <c r="AC854" s="9">
        <f t="shared" si="6"/>
        <v>0</v>
      </c>
    </row>
    <row r="855">
      <c r="A855" s="8">
        <v>42965.0</v>
      </c>
      <c r="B855" s="14"/>
      <c r="C855" s="12">
        <f t="array" ref="C855">IFERROR(
  INDEX(
    IR!$B$2:$E2026,                
    MATCH($A855, IR!$A$2:$A2026, 0), 
    MATCH(C$1, IR!$B$1:$E$1, 0) ), "")
</f>
        <v>-0.00371</v>
      </c>
      <c r="D855" s="12">
        <f t="array" ref="D855">IFERROR(
  INDEX(
    IR!$B$2:$E2026,                
    MATCH($A855, IR!$A$2:$A2026, 0), 
    MATCH(D$1, IR!$B$1:$E$1, 0) ), "")
</f>
        <v>-0.00329</v>
      </c>
      <c r="E855" s="12">
        <f t="array" ref="E855">IFERROR(
  INDEX(
    IR!$B$2:$E2026,                
    MATCH($A855, IR!$A$2:$A2026, 0), 
    MATCH(E$1, IR!$B$1:$E$1, 0) ), "")
</f>
        <v>-0.00271</v>
      </c>
      <c r="F855" s="12">
        <f t="array" ref="F855">IFERROR(
  INDEX(
    IR!$B$2:$E2026,                
    MATCH($A855, IR!$A$2:$A2026, 0), 
    MATCH(F$1, IR!$B$1:$E$1, 0) ), "")
</f>
        <v>-0.00158</v>
      </c>
      <c r="G855" s="25"/>
      <c r="H855" s="12">
        <f t="array" ref="H855">IFERROR(
  INDEX(
    SR!$B$2:$D2026,            
    MATCH($A855, SR!$A$2:$A2026, 0),  
    MATCH(H$1, SR!$B$1:$D$1, 0) ), "")
</f>
        <v>-0.00171</v>
      </c>
      <c r="I855" s="12">
        <f t="array" ref="I855">IFERROR(
  INDEX(
    SR!$B$2:$D2026,            
    MATCH($A855, SR!$A$2:$A2026, 0),  
    MATCH(I$1, SR!$B$1:$D$1, 0) ), "")
</f>
        <v>-0.00063</v>
      </c>
      <c r="J855" s="12">
        <f t="array" ref="J855">IFERROR(
  INDEX(
    SR!$B$2:$D2026,            
    MATCH($A855, SR!$A$2:$A2026, 0),  
    MATCH(J$1, SR!$B$1:$D$1, 0) ), "")
</f>
        <v>0.002087</v>
      </c>
      <c r="K855" s="14"/>
      <c r="L855" s="9">
        <v>119.23</v>
      </c>
      <c r="M855" s="9">
        <v>24.27</v>
      </c>
      <c r="N855" s="9">
        <v>115.25</v>
      </c>
      <c r="O855" s="9">
        <v>118.28</v>
      </c>
      <c r="P855" s="9">
        <v>126.32</v>
      </c>
      <c r="Q855" s="9">
        <v>1423.328</v>
      </c>
      <c r="R855" s="14"/>
      <c r="S855" s="12">
        <f t="shared" si="2"/>
        <v>-0.001655855593</v>
      </c>
      <c r="T855" s="12">
        <f t="shared" si="3"/>
        <v>0.9983441444</v>
      </c>
      <c r="U855" s="16">
        <f t="shared" si="7"/>
        <v>100.7148912</v>
      </c>
      <c r="V855" s="17"/>
      <c r="W855" s="12">
        <f t="array" ref="W855">SQRT(252/20) *  SQRT( SUMSQ( LN(U834:U853 / U833:U852) )  - (1/20) * ( SUM( LN(U834:U853 / U833:U852) ) ^ 2 ) )</f>
        <v>0.01943802451</v>
      </c>
      <c r="X855" s="9">
        <f t="shared" si="4"/>
        <v>1.5</v>
      </c>
      <c r="Y855" s="14"/>
      <c r="Z855" s="12">
        <f t="shared" si="5"/>
        <v>0.9975213694</v>
      </c>
      <c r="AA855" s="16">
        <f t="shared" si="8"/>
        <v>101.3548471</v>
      </c>
      <c r="AB855" s="14"/>
      <c r="AC855" s="9">
        <f t="shared" si="6"/>
        <v>0</v>
      </c>
    </row>
    <row r="856">
      <c r="A856" s="8">
        <v>42968.0</v>
      </c>
      <c r="B856" s="14"/>
      <c r="C856" s="12">
        <f t="array" ref="C856">IFERROR(
  INDEX(
    IR!$B$2:$E2026,                
    MATCH($A856, IR!$A$2:$A2026, 0), 
    MATCH(C$1, IR!$B$1:$E$1, 0) ), "")
</f>
        <v>-0.00371</v>
      </c>
      <c r="D856" s="12">
        <f t="array" ref="D856">IFERROR(
  INDEX(
    IR!$B$2:$E2026,                
    MATCH($A856, IR!$A$2:$A2026, 0), 
    MATCH(D$1, IR!$B$1:$E$1, 0) ), "")
</f>
        <v>-0.00329</v>
      </c>
      <c r="E856" s="12">
        <f t="array" ref="E856">IFERROR(
  INDEX(
    IR!$B$2:$E2026,                
    MATCH($A856, IR!$A$2:$A2026, 0), 
    MATCH(E$1, IR!$B$1:$E$1, 0) ), "")
</f>
        <v>-0.00271</v>
      </c>
      <c r="F856" s="12">
        <f t="array" ref="F856">IFERROR(
  INDEX(
    IR!$B$2:$E2026,                
    MATCH($A856, IR!$A$2:$A2026, 0), 
    MATCH(F$1, IR!$B$1:$E$1, 0) ), "")
</f>
        <v>-0.00158</v>
      </c>
      <c r="G856" s="25"/>
      <c r="H856" s="12">
        <f t="array" ref="H856">IFERROR(
  INDEX(
    SR!$B$2:$D2026,            
    MATCH($A856, SR!$A$2:$A2026, 0),  
    MATCH(H$1, SR!$B$1:$D$1, 0) ), "")
</f>
        <v>-0.00177</v>
      </c>
      <c r="I856" s="12">
        <f t="array" ref="I856">IFERROR(
  INDEX(
    SR!$B$2:$D2026,            
    MATCH($A856, SR!$A$2:$A2026, 0),  
    MATCH(I$1, SR!$B$1:$D$1, 0) ), "")
</f>
        <v>-0.00071</v>
      </c>
      <c r="J856" s="12">
        <f t="array" ref="J856">IFERROR(
  INDEX(
    SR!$B$2:$D2026,            
    MATCH($A856, SR!$A$2:$A2026, 0),  
    MATCH(J$1, SR!$B$1:$D$1, 0) ), "")
</f>
        <v>0.00192</v>
      </c>
      <c r="K856" s="14"/>
      <c r="L856" s="9">
        <v>119.11</v>
      </c>
      <c r="M856" s="9">
        <v>24.26</v>
      </c>
      <c r="N856" s="9">
        <v>115.27</v>
      </c>
      <c r="O856" s="9">
        <v>118.17</v>
      </c>
      <c r="P856" s="9">
        <v>126.22</v>
      </c>
      <c r="Q856" s="9">
        <v>1421.296</v>
      </c>
      <c r="R856" s="14"/>
      <c r="S856" s="12">
        <f t="shared" si="2"/>
        <v>-0.0007322215712</v>
      </c>
      <c r="T856" s="12">
        <f t="shared" si="3"/>
        <v>0.9992677784</v>
      </c>
      <c r="U856" s="16">
        <f t="shared" si="7"/>
        <v>100.6411456</v>
      </c>
      <c r="V856" s="17"/>
      <c r="W856" s="12">
        <f t="array" ref="W856">SQRT(252/20) *  SQRT( SUMSQ( LN(U835:U854 / U834:U853) )  - (1/20) * ( SUM( LN(U835:U854 / U834:U853) ) ^ 2 ) )</f>
        <v>0.01959984992</v>
      </c>
      <c r="X856" s="9">
        <f t="shared" si="4"/>
        <v>1.5</v>
      </c>
      <c r="Y856" s="14"/>
      <c r="Z856" s="12">
        <f t="shared" si="5"/>
        <v>0.998917126</v>
      </c>
      <c r="AA856" s="16">
        <f t="shared" si="8"/>
        <v>101.2450926</v>
      </c>
      <c r="AB856" s="14"/>
      <c r="AC856" s="9">
        <f t="shared" si="6"/>
        <v>0</v>
      </c>
    </row>
    <row r="857">
      <c r="A857" s="8">
        <v>42969.0</v>
      </c>
      <c r="B857" s="14"/>
      <c r="C857" s="12">
        <f t="array" ref="C857">IFERROR(
  INDEX(
    IR!$B$2:$E2026,                
    MATCH($A857, IR!$A$2:$A2026, 0), 
    MATCH(C$1, IR!$B$1:$E$1, 0) ), "")
</f>
        <v>-0.00371</v>
      </c>
      <c r="D857" s="12">
        <f t="array" ref="D857">IFERROR(
  INDEX(
    IR!$B$2:$E2026,                
    MATCH($A857, IR!$A$2:$A2026, 0), 
    MATCH(D$1, IR!$B$1:$E$1, 0) ), "")
</f>
        <v>-0.00328</v>
      </c>
      <c r="E857" s="12">
        <f t="array" ref="E857">IFERROR(
  INDEX(
    IR!$B$2:$E2026,                
    MATCH($A857, IR!$A$2:$A2026, 0), 
    MATCH(E$1, IR!$B$1:$E$1, 0) ), "")
</f>
        <v>-0.00273</v>
      </c>
      <c r="F857" s="12">
        <f t="array" ref="F857">IFERROR(
  INDEX(
    IR!$B$2:$E2026,                
    MATCH($A857, IR!$A$2:$A2026, 0), 
    MATCH(F$1, IR!$B$1:$E$1, 0) ), "")
</f>
        <v>-0.00158</v>
      </c>
      <c r="G857" s="25"/>
      <c r="H857" s="12">
        <f t="array" ref="H857">IFERROR(
  INDEX(
    SR!$B$2:$D2026,            
    MATCH($A857, SR!$A$2:$A2026, 0),  
    MATCH(H$1, SR!$B$1:$D$1, 0) ), "")
</f>
        <v>-0.00179</v>
      </c>
      <c r="I857" s="12">
        <f t="array" ref="I857">IFERROR(
  INDEX(
    SR!$B$2:$D2026,            
    MATCH($A857, SR!$A$2:$A2026, 0),  
    MATCH(I$1, SR!$B$1:$D$1, 0) ), "")
</f>
        <v>-0.00073</v>
      </c>
      <c r="J857" s="12">
        <f t="array" ref="J857">IFERROR(
  INDEX(
    SR!$B$2:$D2026,            
    MATCH($A857, SR!$A$2:$A2026, 0),  
    MATCH(J$1, SR!$B$1:$D$1, 0) ), "")
</f>
        <v>0.001911</v>
      </c>
      <c r="K857" s="14"/>
      <c r="L857" s="9">
        <v>119.36</v>
      </c>
      <c r="M857" s="9">
        <v>24.27</v>
      </c>
      <c r="N857" s="9">
        <v>115.18</v>
      </c>
      <c r="O857" s="9">
        <v>117.82</v>
      </c>
      <c r="P857" s="9">
        <v>126.08</v>
      </c>
      <c r="Q857" s="9">
        <v>1419.656</v>
      </c>
      <c r="R857" s="14"/>
      <c r="S857" s="12">
        <f t="shared" si="2"/>
        <v>-0.000582309051</v>
      </c>
      <c r="T857" s="12">
        <f t="shared" si="3"/>
        <v>0.9994176909</v>
      </c>
      <c r="U857" s="16">
        <f t="shared" si="7"/>
        <v>100.5825413</v>
      </c>
      <c r="V857" s="17"/>
      <c r="W857" s="12">
        <f t="array" ref="W857">SQRT(252/20) *  SQRT( SUMSQ( LN(U836:U855 / U835:U854) )  - (1/20) * ( SUM( LN(U836:U855 / U835:U854) ) ^ 2 ) )</f>
        <v>0.01998463593</v>
      </c>
      <c r="X857" s="9">
        <f t="shared" si="4"/>
        <v>1.5</v>
      </c>
      <c r="Y857" s="14"/>
      <c r="Z857" s="12">
        <f t="shared" si="5"/>
        <v>0.9991316892</v>
      </c>
      <c r="AA857" s="16">
        <f t="shared" si="8"/>
        <v>101.1571804</v>
      </c>
      <c r="AB857" s="14"/>
      <c r="AC857" s="9">
        <f t="shared" si="6"/>
        <v>0</v>
      </c>
    </row>
    <row r="858">
      <c r="A858" s="8">
        <v>42970.0</v>
      </c>
      <c r="B858" s="14"/>
      <c r="C858" s="12">
        <f t="array" ref="C858">IFERROR(
  INDEX(
    IR!$B$2:$E2026,                
    MATCH($A858, IR!$A$2:$A2026, 0), 
    MATCH(C$1, IR!$B$1:$E$1, 0) ), "")
</f>
        <v>-0.00371</v>
      </c>
      <c r="D858" s="12">
        <f t="array" ref="D858">IFERROR(
  INDEX(
    IR!$B$2:$E2026,                
    MATCH($A858, IR!$A$2:$A2026, 0), 
    MATCH(D$1, IR!$B$1:$E$1, 0) ), "")
</f>
        <v>-0.00329</v>
      </c>
      <c r="E858" s="12">
        <f t="array" ref="E858">IFERROR(
  INDEX(
    IR!$B$2:$E2026,                
    MATCH($A858, IR!$A$2:$A2026, 0), 
    MATCH(E$1, IR!$B$1:$E$1, 0) ), "")
</f>
        <v>-0.00273</v>
      </c>
      <c r="F858" s="12">
        <f t="array" ref="F858">IFERROR(
  INDEX(
    IR!$B$2:$E2026,                
    MATCH($A858, IR!$A$2:$A2026, 0), 
    MATCH(F$1, IR!$B$1:$E$1, 0) ), "")
</f>
        <v>-0.00159</v>
      </c>
      <c r="G858" s="25"/>
      <c r="H858" s="12">
        <f t="array" ref="H858">IFERROR(
  INDEX(
    SR!$B$2:$D2026,            
    MATCH($A858, SR!$A$2:$A2026, 0),  
    MATCH(H$1, SR!$B$1:$D$1, 0) ), "")
</f>
        <v>-0.001785</v>
      </c>
      <c r="I858" s="12">
        <f t="array" ref="I858">IFERROR(
  INDEX(
    SR!$B$2:$D2026,            
    MATCH($A858, SR!$A$2:$A2026, 0),  
    MATCH(I$1, SR!$B$1:$D$1, 0) ), "")
</f>
        <v>-0.000775</v>
      </c>
      <c r="J858" s="12">
        <f t="array" ref="J858">IFERROR(
  INDEX(
    SR!$B$2:$D2026,            
    MATCH($A858, SR!$A$2:$A2026, 0),  
    MATCH(J$1, SR!$B$1:$D$1, 0) ), "")
</f>
        <v>0.001772</v>
      </c>
      <c r="K858" s="14"/>
      <c r="L858" s="9">
        <v>119.29</v>
      </c>
      <c r="M858" s="9">
        <v>24.26</v>
      </c>
      <c r="N858" s="9">
        <v>115.22</v>
      </c>
      <c r="O858" s="9">
        <v>118.21</v>
      </c>
      <c r="P858" s="9">
        <v>126.46</v>
      </c>
      <c r="Q858" s="9">
        <v>1425.165</v>
      </c>
      <c r="R858" s="14"/>
      <c r="S858" s="12">
        <f t="shared" si="2"/>
        <v>0.001591984675</v>
      </c>
      <c r="T858" s="12">
        <f t="shared" si="3"/>
        <v>1.001591985</v>
      </c>
      <c r="U858" s="16">
        <f t="shared" si="7"/>
        <v>100.7426672</v>
      </c>
      <c r="V858" s="17"/>
      <c r="W858" s="12">
        <f t="array" ref="W858">SQRT(252/20) *  SQRT( SUMSQ( LN(U837:U856 / U836:U855) )  - (1/20) * ( SUM( LN(U837:U856 / U836:U855) ) ^ 2 ) )</f>
        <v>0.01996798685</v>
      </c>
      <c r="X858" s="9">
        <f t="shared" si="4"/>
        <v>1.5</v>
      </c>
      <c r="Y858" s="14"/>
      <c r="Z858" s="12">
        <f t="shared" si="5"/>
        <v>1.00239313</v>
      </c>
      <c r="AA858" s="16">
        <f t="shared" si="8"/>
        <v>101.3992627</v>
      </c>
      <c r="AB858" s="14"/>
      <c r="AC858" s="9">
        <f t="shared" si="6"/>
        <v>0</v>
      </c>
    </row>
    <row r="859">
      <c r="A859" s="8">
        <v>42971.0</v>
      </c>
      <c r="B859" s="14"/>
      <c r="C859" s="12">
        <f t="array" ref="C859">IFERROR(
  INDEX(
    IR!$B$2:$E2026,                
    MATCH($A859, IR!$A$2:$A2026, 0), 
    MATCH(C$1, IR!$B$1:$E$1, 0) ), "")
</f>
        <v>-0.00371</v>
      </c>
      <c r="D859" s="12">
        <f t="array" ref="D859">IFERROR(
  INDEX(
    IR!$B$2:$E2026,                
    MATCH($A859, IR!$A$2:$A2026, 0), 
    MATCH(D$1, IR!$B$1:$E$1, 0) ), "")
</f>
        <v>-0.00329</v>
      </c>
      <c r="E859" s="12">
        <f t="array" ref="E859">IFERROR(
  INDEX(
    IR!$B$2:$E2026,                
    MATCH($A859, IR!$A$2:$A2026, 0), 
    MATCH(E$1, IR!$B$1:$E$1, 0) ), "")
</f>
        <v>-0.00272</v>
      </c>
      <c r="F859" s="12">
        <f t="array" ref="F859">IFERROR(
  INDEX(
    IR!$B$2:$E2026,                
    MATCH($A859, IR!$A$2:$A2026, 0), 
    MATCH(F$1, IR!$B$1:$E$1, 0) ), "")
</f>
        <v>-0.00159</v>
      </c>
      <c r="G859" s="25"/>
      <c r="H859" s="12">
        <f t="array" ref="H859">IFERROR(
  INDEX(
    SR!$B$2:$D2026,            
    MATCH($A859, SR!$A$2:$A2026, 0),  
    MATCH(H$1, SR!$B$1:$D$1, 0) ), "")
</f>
        <v>-0.00179</v>
      </c>
      <c r="I859" s="12">
        <f t="array" ref="I859">IFERROR(
  INDEX(
    SR!$B$2:$D2026,            
    MATCH($A859, SR!$A$2:$A2026, 0),  
    MATCH(I$1, SR!$B$1:$D$1, 0) ), "")
</f>
        <v>-0.000745</v>
      </c>
      <c r="J859" s="12">
        <f t="array" ref="J859">IFERROR(
  INDEX(
    SR!$B$2:$D2026,            
    MATCH($A859, SR!$A$2:$A2026, 0),  
    MATCH(J$1, SR!$B$1:$D$1, 0) ), "")
</f>
        <v>0.001825</v>
      </c>
      <c r="K859" s="14"/>
      <c r="L859" s="9">
        <v>118.66</v>
      </c>
      <c r="M859" s="9">
        <v>24.26</v>
      </c>
      <c r="N859" s="9">
        <v>115.21</v>
      </c>
      <c r="O859" s="9">
        <v>118.17</v>
      </c>
      <c r="P859" s="9">
        <v>126.31</v>
      </c>
      <c r="Q859" s="9">
        <v>1425.229</v>
      </c>
      <c r="R859" s="14"/>
      <c r="S859" s="12">
        <f t="shared" si="2"/>
        <v>-0.001140815241</v>
      </c>
      <c r="T859" s="12">
        <f t="shared" si="3"/>
        <v>0.9988591848</v>
      </c>
      <c r="U859" s="16">
        <f t="shared" si="7"/>
        <v>100.6277384</v>
      </c>
      <c r="V859" s="17"/>
      <c r="W859" s="12">
        <f t="array" ref="W859">SQRT(252/20) *  SQRT( SUMSQ( LN(U838:U857 / U837:U856) )  - (1/20) * ( SUM( LN(U838:U857 / U837:U856) ) ^ 2 ) )</f>
        <v>0.01960855985</v>
      </c>
      <c r="X859" s="9">
        <f t="shared" si="4"/>
        <v>1.5</v>
      </c>
      <c r="Y859" s="14"/>
      <c r="Z859" s="12">
        <f t="shared" si="5"/>
        <v>0.9982939299</v>
      </c>
      <c r="AA859" s="16">
        <f t="shared" si="8"/>
        <v>101.2262684</v>
      </c>
      <c r="AB859" s="14"/>
      <c r="AC859" s="9">
        <f t="shared" si="6"/>
        <v>0</v>
      </c>
    </row>
    <row r="860">
      <c r="A860" s="8">
        <v>42972.0</v>
      </c>
      <c r="B860" s="14"/>
      <c r="C860" s="12">
        <f t="array" ref="C860">IFERROR(
  INDEX(
    IR!$B$2:$E2026,                
    MATCH($A860, IR!$A$2:$A2026, 0), 
    MATCH(C$1, IR!$B$1:$E$1, 0) ), "")
</f>
        <v>-0.00371</v>
      </c>
      <c r="D860" s="12">
        <f t="array" ref="D860">IFERROR(
  INDEX(
    IR!$B$2:$E2026,                
    MATCH($A860, IR!$A$2:$A2026, 0), 
    MATCH(D$1, IR!$B$1:$E$1, 0) ), "")
</f>
        <v>-0.00329</v>
      </c>
      <c r="E860" s="12">
        <f t="array" ref="E860">IFERROR(
  INDEX(
    IR!$B$2:$E2026,                
    MATCH($A860, IR!$A$2:$A2026, 0), 
    MATCH(E$1, IR!$B$1:$E$1, 0) ), "")
</f>
        <v>-0.00272</v>
      </c>
      <c r="F860" s="12">
        <f t="array" ref="F860">IFERROR(
  INDEX(
    IR!$B$2:$E2026,                
    MATCH($A860, IR!$A$2:$A2026, 0), 
    MATCH(F$1, IR!$B$1:$E$1, 0) ), "")
</f>
        <v>-0.00159</v>
      </c>
      <c r="G860" s="25"/>
      <c r="H860" s="12">
        <f t="array" ref="H860">IFERROR(
  INDEX(
    SR!$B$2:$D2026,            
    MATCH($A860, SR!$A$2:$A2026, 0),  
    MATCH(H$1, SR!$B$1:$D$1, 0) ), "")
</f>
        <v>-0.00178</v>
      </c>
      <c r="I860" s="12">
        <f t="array" ref="I860">IFERROR(
  INDEX(
    SR!$B$2:$D2026,            
    MATCH($A860, SR!$A$2:$A2026, 0),  
    MATCH(I$1, SR!$B$1:$D$1, 0) ), "")
</f>
        <v>-0.000658</v>
      </c>
      <c r="J860" s="12">
        <f t="array" ref="J860">IFERROR(
  INDEX(
    SR!$B$2:$D2026,            
    MATCH($A860, SR!$A$2:$A2026, 0),  
    MATCH(J$1, SR!$B$1:$D$1, 0) ), "")
</f>
        <v>0.0018</v>
      </c>
      <c r="K860" s="14"/>
      <c r="L860" s="9">
        <v>118.63</v>
      </c>
      <c r="M860" s="9">
        <v>24.25</v>
      </c>
      <c r="N860" s="9">
        <v>115.21</v>
      </c>
      <c r="O860" s="9">
        <v>118.14</v>
      </c>
      <c r="P860" s="9">
        <v>126.36</v>
      </c>
      <c r="Q860" s="9">
        <v>1425.185</v>
      </c>
      <c r="R860" s="14"/>
      <c r="S860" s="12">
        <f t="shared" si="2"/>
        <v>-0.0000922855999</v>
      </c>
      <c r="T860" s="12">
        <f t="shared" si="3"/>
        <v>0.9999077144</v>
      </c>
      <c r="U860" s="16">
        <f t="shared" si="7"/>
        <v>100.6184519</v>
      </c>
      <c r="V860" s="17"/>
      <c r="W860" s="12">
        <f t="array" ref="W860">SQRT(252/20) *  SQRT( SUMSQ( LN(U839:U858 / U838:U857) )  - (1/20) * ( SUM( LN(U839:U858 / U838:U857) ) ^ 2 ) )</f>
        <v>0.0206161564</v>
      </c>
      <c r="X860" s="9">
        <f t="shared" si="4"/>
        <v>1.5</v>
      </c>
      <c r="Y860" s="14"/>
      <c r="Z860" s="12">
        <f t="shared" si="5"/>
        <v>0.9998667244</v>
      </c>
      <c r="AA860" s="16">
        <f t="shared" si="8"/>
        <v>101.2127774</v>
      </c>
      <c r="AB860" s="14"/>
      <c r="AC860" s="9">
        <f t="shared" si="6"/>
        <v>0</v>
      </c>
    </row>
    <row r="861">
      <c r="A861" s="8">
        <v>42975.0</v>
      </c>
      <c r="B861" s="14"/>
      <c r="C861" s="12">
        <f t="array" ref="C861">IFERROR(
  INDEX(
    IR!$B$2:$E2026,                
    MATCH($A861, IR!$A$2:$A2026, 0), 
    MATCH(C$1, IR!$B$1:$E$1, 0) ), "")
</f>
        <v>-0.00372</v>
      </c>
      <c r="D861" s="12">
        <f t="array" ref="D861">IFERROR(
  INDEX(
    IR!$B$2:$E2026,                
    MATCH($A861, IR!$A$2:$A2026, 0), 
    MATCH(D$1, IR!$B$1:$E$1, 0) ), "")
</f>
        <v>-0.00329</v>
      </c>
      <c r="E861" s="12">
        <f t="array" ref="E861">IFERROR(
  INDEX(
    IR!$B$2:$E2026,                
    MATCH($A861, IR!$A$2:$A2026, 0), 
    MATCH(E$1, IR!$B$1:$E$1, 0) ), "")
</f>
        <v>-0.00273</v>
      </c>
      <c r="F861" s="12">
        <f t="array" ref="F861">IFERROR(
  INDEX(
    IR!$B$2:$E2026,                
    MATCH($A861, IR!$A$2:$A2026, 0), 
    MATCH(F$1, IR!$B$1:$E$1, 0) ), "")
</f>
        <v>-0.00159</v>
      </c>
      <c r="G861" s="25"/>
      <c r="H861" s="12">
        <f t="array" ref="H861">IFERROR(
  INDEX(
    SR!$B$2:$D2026,            
    MATCH($A861, SR!$A$2:$A2026, 0),  
    MATCH(H$1, SR!$B$1:$D$1, 0) ), "")
</f>
        <v>-0.00181</v>
      </c>
      <c r="I861" s="12">
        <f t="array" ref="I861">IFERROR(
  INDEX(
    SR!$B$2:$D2026,            
    MATCH($A861, SR!$A$2:$A2026, 0),  
    MATCH(I$1, SR!$B$1:$D$1, 0) ), "")
</f>
        <v>-0.000703</v>
      </c>
      <c r="J861" s="12">
        <f t="array" ref="J861">IFERROR(
  INDEX(
    SR!$B$2:$D2026,            
    MATCH($A861, SR!$A$2:$A2026, 0),  
    MATCH(J$1, SR!$B$1:$D$1, 0) ), "")
</f>
        <v>0.00174</v>
      </c>
      <c r="K861" s="14"/>
      <c r="L861" s="9">
        <v>118.6</v>
      </c>
      <c r="M861" s="9">
        <v>24.24</v>
      </c>
      <c r="N861" s="9">
        <v>115.23</v>
      </c>
      <c r="O861" s="9">
        <v>118.12</v>
      </c>
      <c r="P861" s="9">
        <v>126.34</v>
      </c>
      <c r="Q861" s="23">
        <v>1425.185</v>
      </c>
      <c r="R861" s="14"/>
      <c r="S861" s="12">
        <f t="shared" si="2"/>
        <v>-0.000136483856</v>
      </c>
      <c r="T861" s="12">
        <f t="shared" si="3"/>
        <v>0.9998635161</v>
      </c>
      <c r="U861" s="16">
        <f t="shared" si="7"/>
        <v>100.6047191</v>
      </c>
      <c r="V861" s="17"/>
      <c r="W861" s="12">
        <f t="array" ref="W861">SQRT(252/20) *  SQRT( SUMSQ( LN(U840:U859 / U839:U858) )  - (1/20) * ( SUM( LN(U840:U859 / U839:U858) ) ^ 2 ) )</f>
        <v>0.02081728161</v>
      </c>
      <c r="X861" s="9">
        <f t="shared" si="4"/>
        <v>1.5</v>
      </c>
      <c r="Y861" s="14"/>
      <c r="Z861" s="12">
        <f t="shared" si="5"/>
        <v>0.9998107325</v>
      </c>
      <c r="AA861" s="16">
        <f t="shared" si="8"/>
        <v>101.1936211</v>
      </c>
      <c r="AB861" s="14"/>
      <c r="AC861" s="9">
        <f t="shared" si="6"/>
        <v>0</v>
      </c>
    </row>
    <row r="862">
      <c r="A862" s="8">
        <v>42976.0</v>
      </c>
      <c r="B862" s="14"/>
      <c r="C862" s="12">
        <f t="array" ref="C862">IFERROR(
  INDEX(
    IR!$B$2:$E2026,                
    MATCH($A862, IR!$A$2:$A2026, 0), 
    MATCH(C$1, IR!$B$1:$E$1, 0) ), "")
</f>
        <v>-0.00372</v>
      </c>
      <c r="D862" s="12">
        <f t="array" ref="D862">IFERROR(
  INDEX(
    IR!$B$2:$E2026,                
    MATCH($A862, IR!$A$2:$A2026, 0), 
    MATCH(D$1, IR!$B$1:$E$1, 0) ), "")
</f>
        <v>-0.0033</v>
      </c>
      <c r="E862" s="12">
        <f t="array" ref="E862">IFERROR(
  INDEX(
    IR!$B$2:$E2026,                
    MATCH($A862, IR!$A$2:$A2026, 0), 
    MATCH(E$1, IR!$B$1:$E$1, 0) ), "")
</f>
        <v>-0.00273</v>
      </c>
      <c r="F862" s="12">
        <f t="array" ref="F862">IFERROR(
  INDEX(
    IR!$B$2:$E2026,                
    MATCH($A862, IR!$A$2:$A2026, 0), 
    MATCH(F$1, IR!$B$1:$E$1, 0) ), "")
</f>
        <v>-0.0016</v>
      </c>
      <c r="G862" s="25"/>
      <c r="H862" s="12">
        <f t="array" ref="H862">IFERROR(
  INDEX(
    SR!$B$2:$D2026,            
    MATCH($A862, SR!$A$2:$A2026, 0),  
    MATCH(H$1, SR!$B$1:$D$1, 0) ), "")
</f>
        <v>-0.00187</v>
      </c>
      <c r="I862" s="12">
        <f t="array" ref="I862">IFERROR(
  INDEX(
    SR!$B$2:$D2026,            
    MATCH($A862, SR!$A$2:$A2026, 0),  
    MATCH(I$1, SR!$B$1:$D$1, 0) ), "")
</f>
        <v>-0.00086</v>
      </c>
      <c r="J862" s="12">
        <f t="array" ref="J862">IFERROR(
  INDEX(
    SR!$B$2:$D2026,            
    MATCH($A862, SR!$A$2:$A2026, 0),  
    MATCH(J$1, SR!$B$1:$D$1, 0) ), "")
</f>
        <v>0.00153</v>
      </c>
      <c r="K862" s="14"/>
      <c r="L862" s="9">
        <v>118.28</v>
      </c>
      <c r="M862" s="9">
        <v>24.23</v>
      </c>
      <c r="N862" s="9">
        <v>115.24</v>
      </c>
      <c r="O862" s="9">
        <v>117.97</v>
      </c>
      <c r="P862" s="9">
        <v>126.22</v>
      </c>
      <c r="Q862" s="9">
        <v>1424.224</v>
      </c>
      <c r="R862" s="14"/>
      <c r="S862" s="12">
        <f t="shared" si="2"/>
        <v>-0.0009859920225</v>
      </c>
      <c r="T862" s="12">
        <f t="shared" si="3"/>
        <v>0.999014008</v>
      </c>
      <c r="U862" s="16">
        <f t="shared" si="7"/>
        <v>100.5055237</v>
      </c>
      <c r="V862" s="17"/>
      <c r="W862" s="12">
        <f t="array" ref="W862">SQRT(252/20) *  SQRT( SUMSQ( LN(U841:U860 / U840:U859) )  - (1/20) * ( SUM( LN(U841:U860 / U840:U859) ) ^ 2 ) )</f>
        <v>0.02046529028</v>
      </c>
      <c r="X862" s="9">
        <f t="shared" si="4"/>
        <v>1.5</v>
      </c>
      <c r="Y862" s="14"/>
      <c r="Z862" s="12">
        <f t="shared" si="5"/>
        <v>0.9985261786</v>
      </c>
      <c r="AA862" s="16">
        <f t="shared" si="8"/>
        <v>101.0444798</v>
      </c>
      <c r="AB862" s="14"/>
      <c r="AC862" s="9">
        <f t="shared" si="6"/>
        <v>0</v>
      </c>
    </row>
    <row r="863">
      <c r="A863" s="8">
        <v>42977.0</v>
      </c>
      <c r="B863" s="14"/>
      <c r="C863" s="12">
        <f t="array" ref="C863">IFERROR(
  INDEX(
    IR!$B$2:$E2026,                
    MATCH($A863, IR!$A$2:$A2026, 0), 
    MATCH(C$1, IR!$B$1:$E$1, 0) ), "")
</f>
        <v>-0.00372</v>
      </c>
      <c r="D863" s="12">
        <f t="array" ref="D863">IFERROR(
  INDEX(
    IR!$B$2:$E2026,                
    MATCH($A863, IR!$A$2:$A2026, 0), 
    MATCH(D$1, IR!$B$1:$E$1, 0) ), "")
</f>
        <v>-0.0033</v>
      </c>
      <c r="E863" s="12">
        <f t="array" ref="E863">IFERROR(
  INDEX(
    IR!$B$2:$E2026,                
    MATCH($A863, IR!$A$2:$A2026, 0), 
    MATCH(E$1, IR!$B$1:$E$1, 0) ), "")
</f>
        <v>-0.00273</v>
      </c>
      <c r="F863" s="12">
        <f t="array" ref="F863">IFERROR(
  INDEX(
    IR!$B$2:$E2026,                
    MATCH($A863, IR!$A$2:$A2026, 0), 
    MATCH(F$1, IR!$B$1:$E$1, 0) ), "")
</f>
        <v>-0.00161</v>
      </c>
      <c r="G863" s="25"/>
      <c r="H863" s="12">
        <f t="array" ref="H863">IFERROR(
  INDEX(
    SR!$B$2:$D2026,            
    MATCH($A863, SR!$A$2:$A2026, 0),  
    MATCH(H$1, SR!$B$1:$D$1, 0) ), "")
</f>
        <v>-0.00186</v>
      </c>
      <c r="I863" s="12">
        <f t="array" ref="I863">IFERROR(
  INDEX(
    SR!$B$2:$D2026,            
    MATCH($A863, SR!$A$2:$A2026, 0),  
    MATCH(I$1, SR!$B$1:$D$1, 0) ), "")
</f>
        <v>-0.00086</v>
      </c>
      <c r="J863" s="12">
        <f t="array" ref="J863">IFERROR(
  INDEX(
    SR!$B$2:$D2026,            
    MATCH($A863, SR!$A$2:$A2026, 0),  
    MATCH(J$1, SR!$B$1:$D$1, 0) ), "")
</f>
        <v>0.001603</v>
      </c>
      <c r="K863" s="14"/>
      <c r="L863" s="9">
        <v>118.36</v>
      </c>
      <c r="M863" s="9">
        <v>24.24</v>
      </c>
      <c r="N863" s="9">
        <v>115.26</v>
      </c>
      <c r="O863" s="9">
        <v>117.46</v>
      </c>
      <c r="P863" s="9">
        <v>126.09</v>
      </c>
      <c r="Q863" s="9">
        <v>1423.436</v>
      </c>
      <c r="R863" s="14"/>
      <c r="S863" s="12">
        <f t="shared" si="2"/>
        <v>-0.0007737025659</v>
      </c>
      <c r="T863" s="12">
        <f t="shared" si="3"/>
        <v>0.9992262974</v>
      </c>
      <c r="U863" s="16">
        <f t="shared" si="7"/>
        <v>100.4277623</v>
      </c>
      <c r="V863" s="17"/>
      <c r="W863" s="12">
        <f t="array" ref="W863">SQRT(252/20) *  SQRT( SUMSQ( LN(U842:U861 / U841:U860) )  - (1/20) * ( SUM( LN(U842:U861 / U841:U860) ) ^ 2 ) )</f>
        <v>0.02024689744</v>
      </c>
      <c r="X863" s="9">
        <f t="shared" si="4"/>
        <v>1.5</v>
      </c>
      <c r="Y863" s="14"/>
      <c r="Z863" s="12">
        <f t="shared" si="5"/>
        <v>0.9988446128</v>
      </c>
      <c r="AA863" s="16">
        <f t="shared" si="8"/>
        <v>100.9277343</v>
      </c>
      <c r="AB863" s="14"/>
      <c r="AC863" s="9">
        <f t="shared" si="6"/>
        <v>0</v>
      </c>
    </row>
    <row r="864">
      <c r="A864" s="8">
        <v>42978.0</v>
      </c>
      <c r="B864" s="14"/>
      <c r="C864" s="12">
        <f t="array" ref="C864">IFERROR(
  INDEX(
    IR!$B$2:$E2026,                
    MATCH($A864, IR!$A$2:$A2026, 0), 
    MATCH(C$1, IR!$B$1:$E$1, 0) ), "")
</f>
        <v>-0.00373</v>
      </c>
      <c r="D864" s="12">
        <f t="array" ref="D864">IFERROR(
  INDEX(
    IR!$B$2:$E2026,                
    MATCH($A864, IR!$A$2:$A2026, 0), 
    MATCH(D$1, IR!$B$1:$E$1, 0) ), "")
</f>
        <v>-0.00329</v>
      </c>
      <c r="E864" s="12">
        <f t="array" ref="E864">IFERROR(
  INDEX(
    IR!$B$2:$E2026,                
    MATCH($A864, IR!$A$2:$A2026, 0), 
    MATCH(E$1, IR!$B$1:$E$1, 0) ), "")
</f>
        <v>-0.00273</v>
      </c>
      <c r="F864" s="12">
        <f t="array" ref="F864">IFERROR(
  INDEX(
    IR!$B$2:$E2026,                
    MATCH($A864, IR!$A$2:$A2026, 0), 
    MATCH(F$1, IR!$B$1:$E$1, 0) ), "")
</f>
        <v>-0.00161</v>
      </c>
      <c r="G864" s="25"/>
      <c r="H864" s="12">
        <f t="array" ref="H864">IFERROR(
  INDEX(
    SR!$B$2:$D2026,            
    MATCH($A864, SR!$A$2:$A2026, 0),  
    MATCH(H$1, SR!$B$1:$D$1, 0) ), "")
</f>
        <v>-0.001885</v>
      </c>
      <c r="I864" s="12">
        <f t="array" ref="I864">IFERROR(
  INDEX(
    SR!$B$2:$D2026,            
    MATCH($A864, SR!$A$2:$A2026, 0),  
    MATCH(I$1, SR!$B$1:$D$1, 0) ), "")
</f>
        <v>-0.000908</v>
      </c>
      <c r="J864" s="12">
        <f t="array" ref="J864">IFERROR(
  INDEX(
    SR!$B$2:$D2026,            
    MATCH($A864, SR!$A$2:$A2026, 0),  
    MATCH(J$1, SR!$B$1:$D$1, 0) ), "")
</f>
        <v>0.00161</v>
      </c>
      <c r="K864" s="14"/>
      <c r="L864" s="9">
        <v>118.57</v>
      </c>
      <c r="M864" s="9">
        <v>24.25</v>
      </c>
      <c r="N864" s="9">
        <v>115.25</v>
      </c>
      <c r="O864" s="9">
        <v>117.65</v>
      </c>
      <c r="P864" s="9">
        <v>126.22</v>
      </c>
      <c r="Q864" s="9">
        <v>1427.279</v>
      </c>
      <c r="R864" s="14"/>
      <c r="S864" s="12">
        <f t="shared" si="2"/>
        <v>0.001241176043</v>
      </c>
      <c r="T864" s="12">
        <f t="shared" si="3"/>
        <v>1.001241176</v>
      </c>
      <c r="U864" s="16">
        <f t="shared" si="7"/>
        <v>100.5524108</v>
      </c>
      <c r="V864" s="17"/>
      <c r="W864" s="12">
        <f t="array" ref="W864">SQRT(252/20) *  SQRT( SUMSQ( LN(U843:U862 / U842:U861) )  - (1/20) * ( SUM( LN(U843:U862 / U842:U861) ) ^ 2 ) )</f>
        <v>0.02021043099</v>
      </c>
      <c r="X864" s="9">
        <f t="shared" si="4"/>
        <v>1.5</v>
      </c>
      <c r="Y864" s="14"/>
      <c r="Z864" s="12">
        <f t="shared" si="5"/>
        <v>1.001866931</v>
      </c>
      <c r="AA864" s="16">
        <f t="shared" si="8"/>
        <v>101.1161594</v>
      </c>
      <c r="AB864" s="14"/>
      <c r="AC864" s="9">
        <f t="shared" si="6"/>
        <v>0</v>
      </c>
    </row>
    <row r="865">
      <c r="A865" s="8">
        <v>42979.0</v>
      </c>
      <c r="B865" s="14"/>
      <c r="C865" s="12">
        <f t="array" ref="C865">IFERROR(
  INDEX(
    IR!$B$2:$E2026,                
    MATCH($A865, IR!$A$2:$A2026, 0), 
    MATCH(C$1, IR!$B$1:$E$1, 0) ), "")
</f>
        <v>-0.00373</v>
      </c>
      <c r="D865" s="12">
        <f t="array" ref="D865">IFERROR(
  INDEX(
    IR!$B$2:$E2026,                
    MATCH($A865, IR!$A$2:$A2026, 0), 
    MATCH(D$1, IR!$B$1:$E$1, 0) ), "")
</f>
        <v>-0.00329</v>
      </c>
      <c r="E865" s="12">
        <f t="array" ref="E865">IFERROR(
  INDEX(
    IR!$B$2:$E2026,                
    MATCH($A865, IR!$A$2:$A2026, 0), 
    MATCH(E$1, IR!$B$1:$E$1, 0) ), "")
</f>
        <v>-0.00273</v>
      </c>
      <c r="F865" s="12">
        <f t="array" ref="F865">IFERROR(
  INDEX(
    IR!$B$2:$E2026,                
    MATCH($A865, IR!$A$2:$A2026, 0), 
    MATCH(F$1, IR!$B$1:$E$1, 0) ), "")
</f>
        <v>-0.00161</v>
      </c>
      <c r="G865" s="25"/>
      <c r="H865" s="12">
        <f t="array" ref="H865">IFERROR(
  INDEX(
    SR!$B$2:$D2026,            
    MATCH($A865, SR!$A$2:$A2026, 0),  
    MATCH(H$1, SR!$B$1:$D$1, 0) ), "")
</f>
        <v>-0.00188</v>
      </c>
      <c r="I865" s="12">
        <f t="array" ref="I865">IFERROR(
  INDEX(
    SR!$B$2:$D2026,            
    MATCH($A865, SR!$A$2:$A2026, 0),  
    MATCH(I$1, SR!$B$1:$D$1, 0) ), "")
</f>
        <v>-0.00088</v>
      </c>
      <c r="J865" s="12">
        <f t="array" ref="J865">IFERROR(
  INDEX(
    SR!$B$2:$D2026,            
    MATCH($A865, SR!$A$2:$A2026, 0),  
    MATCH(J$1, SR!$B$1:$D$1, 0) ), "")
</f>
        <v>0.00162</v>
      </c>
      <c r="K865" s="14"/>
      <c r="L865" s="9">
        <v>118.73</v>
      </c>
      <c r="M865" s="9">
        <v>24.25</v>
      </c>
      <c r="N865" s="9">
        <v>115.26</v>
      </c>
      <c r="O865" s="9">
        <v>118.05</v>
      </c>
      <c r="P865" s="9">
        <v>126.32</v>
      </c>
      <c r="Q865" s="9">
        <v>1430.49</v>
      </c>
      <c r="R865" s="14"/>
      <c r="S865" s="12">
        <f t="shared" si="2"/>
        <v>0.001312716359</v>
      </c>
      <c r="T865" s="12">
        <f t="shared" si="3"/>
        <v>1.001312716</v>
      </c>
      <c r="U865" s="16">
        <f t="shared" si="7"/>
        <v>100.6844076</v>
      </c>
      <c r="V865" s="17"/>
      <c r="W865" s="12">
        <f t="array" ref="W865">SQRT(252/20) *  SQRT( SUMSQ( LN(U844:U863 / U843:U862) )  - (1/20) * ( SUM( LN(U844:U863 / U843:U862) ) ^ 2 ) )</f>
        <v>0.02028997525</v>
      </c>
      <c r="X865" s="9">
        <f t="shared" si="4"/>
        <v>1.5</v>
      </c>
      <c r="Y865" s="14"/>
      <c r="Z865" s="12">
        <f t="shared" si="5"/>
        <v>1.001974255</v>
      </c>
      <c r="AA865" s="16">
        <f t="shared" si="8"/>
        <v>101.3157885</v>
      </c>
      <c r="AB865" s="14"/>
      <c r="AC865" s="9">
        <f t="shared" si="6"/>
        <v>0</v>
      </c>
    </row>
    <row r="866">
      <c r="A866" s="8">
        <v>42982.0</v>
      </c>
      <c r="B866" s="14"/>
      <c r="C866" s="12">
        <f t="array" ref="C866">IFERROR(
  INDEX(
    IR!$B$2:$E2026,                
    MATCH($A866, IR!$A$2:$A2026, 0), 
    MATCH(C$1, IR!$B$1:$E$1, 0) ), "")
</f>
        <v>-0.00372</v>
      </c>
      <c r="D866" s="12">
        <f t="array" ref="D866">IFERROR(
  INDEX(
    IR!$B$2:$E2026,                
    MATCH($A866, IR!$A$2:$A2026, 0), 
    MATCH(D$1, IR!$B$1:$E$1, 0) ), "")
</f>
        <v>-0.00329</v>
      </c>
      <c r="E866" s="12">
        <f t="array" ref="E866">IFERROR(
  INDEX(
    IR!$B$2:$E2026,                
    MATCH($A866, IR!$A$2:$A2026, 0), 
    MATCH(E$1, IR!$B$1:$E$1, 0) ), "")
</f>
        <v>-0.00274</v>
      </c>
      <c r="F866" s="12">
        <f t="array" ref="F866">IFERROR(
  INDEX(
    IR!$B$2:$E2026,                
    MATCH($A866, IR!$A$2:$A2026, 0), 
    MATCH(F$1, IR!$B$1:$E$1, 0) ), "")
</f>
        <v>-0.00161</v>
      </c>
      <c r="G866" s="25"/>
      <c r="H866" s="12">
        <f t="array" ref="H866">IFERROR(
  INDEX(
    SR!$B$2:$D2026,            
    MATCH($A866, SR!$A$2:$A2026, 0),  
    MATCH(H$1, SR!$B$1:$D$1, 0) ), "")
</f>
        <v>-0.00191</v>
      </c>
      <c r="I866" s="12">
        <f t="array" ref="I866">IFERROR(
  INDEX(
    SR!$B$2:$D2026,            
    MATCH($A866, SR!$A$2:$A2026, 0),  
    MATCH(I$1, SR!$B$1:$D$1, 0) ), "")
</f>
        <v>-0.00093</v>
      </c>
      <c r="J866" s="12">
        <f t="array" ref="J866">IFERROR(
  INDEX(
    SR!$B$2:$D2026,            
    MATCH($A866, SR!$A$2:$A2026, 0),  
    MATCH(J$1, SR!$B$1:$D$1, 0) ), "")
</f>
        <v>0.00151</v>
      </c>
      <c r="K866" s="14"/>
      <c r="L866" s="9">
        <v>118.66</v>
      </c>
      <c r="M866" s="9">
        <v>24.24</v>
      </c>
      <c r="N866" s="9">
        <v>115.28</v>
      </c>
      <c r="O866" s="9">
        <v>118.01</v>
      </c>
      <c r="P866" s="9">
        <v>126.48</v>
      </c>
      <c r="Q866" s="9">
        <v>1433.03</v>
      </c>
      <c r="R866" s="14"/>
      <c r="S866" s="12">
        <f t="shared" si="2"/>
        <v>0.0003125487198</v>
      </c>
      <c r="T866" s="12">
        <f t="shared" si="3"/>
        <v>1.000312549</v>
      </c>
      <c r="U866" s="16">
        <f t="shared" si="7"/>
        <v>100.7158764</v>
      </c>
      <c r="V866" s="17"/>
      <c r="W866" s="12">
        <f t="array" ref="W866">SQRT(252/20) *  SQRT( SUMSQ( LN(U845:U864 / U844:U863) )  - (1/20) * ( SUM( LN(U845:U864 / U844:U863) ) ^ 2 ) )</f>
        <v>0.02038177227</v>
      </c>
      <c r="X866" s="9">
        <f t="shared" si="4"/>
        <v>1.5</v>
      </c>
      <c r="Y866" s="14"/>
      <c r="Z866" s="12">
        <f t="shared" si="5"/>
        <v>1.000484365</v>
      </c>
      <c r="AA866" s="16">
        <f t="shared" si="8"/>
        <v>101.3648623</v>
      </c>
      <c r="AB866" s="14"/>
      <c r="AC866" s="9">
        <f t="shared" si="6"/>
        <v>0</v>
      </c>
    </row>
    <row r="867">
      <c r="A867" s="8">
        <v>42983.0</v>
      </c>
      <c r="B867" s="14"/>
      <c r="C867" s="12">
        <f t="array" ref="C867">IFERROR(
  INDEX(
    IR!$B$2:$E2026,                
    MATCH($A867, IR!$A$2:$A2026, 0), 
    MATCH(C$1, IR!$B$1:$E$1, 0) ), "")
</f>
        <v>-0.00372</v>
      </c>
      <c r="D867" s="12">
        <f t="array" ref="D867">IFERROR(
  INDEX(
    IR!$B$2:$E2026,                
    MATCH($A867, IR!$A$2:$A2026, 0), 
    MATCH(D$1, IR!$B$1:$E$1, 0) ), "")
</f>
        <v>-0.00329</v>
      </c>
      <c r="E867" s="12">
        <f t="array" ref="E867">IFERROR(
  INDEX(
    IR!$B$2:$E2026,                
    MATCH($A867, IR!$A$2:$A2026, 0), 
    MATCH(E$1, IR!$B$1:$E$1, 0) ), "")
</f>
        <v>-0.00274</v>
      </c>
      <c r="F867" s="12">
        <f t="array" ref="F867">IFERROR(
  INDEX(
    IR!$B$2:$E2026,                
    MATCH($A867, IR!$A$2:$A2026, 0), 
    MATCH(F$1, IR!$B$1:$E$1, 0) ), "")
</f>
        <v>-0.00161</v>
      </c>
      <c r="G867" s="25"/>
      <c r="H867" s="12">
        <f t="array" ref="H867">IFERROR(
  INDEX(
    SR!$B$2:$D2026,            
    MATCH($A867, SR!$A$2:$A2026, 0),  
    MATCH(H$1, SR!$B$1:$D$1, 0) ), "")
</f>
        <v>-0.002055</v>
      </c>
      <c r="I867" s="12">
        <f t="array" ref="I867">IFERROR(
  INDEX(
    SR!$B$2:$D2026,            
    MATCH($A867, SR!$A$2:$A2026, 0),  
    MATCH(I$1, SR!$B$1:$D$1, 0) ), "")
</f>
        <v>-0.001186</v>
      </c>
      <c r="J867" s="12">
        <f t="array" ref="J867">IFERROR(
  INDEX(
    SR!$B$2:$D2026,            
    MATCH($A867, SR!$A$2:$A2026, 0),  
    MATCH(J$1, SR!$B$1:$D$1, 0) ), "")
</f>
        <v>0.001315</v>
      </c>
      <c r="K867" s="14"/>
      <c r="L867" s="9">
        <v>118.53</v>
      </c>
      <c r="M867" s="9">
        <v>24.26</v>
      </c>
      <c r="N867" s="9">
        <v>115.27</v>
      </c>
      <c r="O867" s="9">
        <v>117.97</v>
      </c>
      <c r="P867" s="9">
        <v>126.34</v>
      </c>
      <c r="Q867" s="9">
        <v>1432.705</v>
      </c>
      <c r="R867" s="14"/>
      <c r="S867" s="12">
        <f t="shared" si="2"/>
        <v>-0.0003381991632</v>
      </c>
      <c r="T867" s="12">
        <f t="shared" si="3"/>
        <v>0.9996618008</v>
      </c>
      <c r="U867" s="16">
        <f t="shared" si="7"/>
        <v>100.6818144</v>
      </c>
      <c r="V867" s="17"/>
      <c r="W867" s="12">
        <f t="array" ref="W867">SQRT(252/20) *  SQRT( SUMSQ( LN(U846:U865 / U845:U864) )  - (1/20) * ( SUM( LN(U846:U865 / U845:U864) ) ^ 2 ) )</f>
        <v>0.0209431697</v>
      </c>
      <c r="X867" s="9">
        <f t="shared" si="4"/>
        <v>1.5</v>
      </c>
      <c r="Y867" s="14"/>
      <c r="Z867" s="12">
        <f t="shared" si="5"/>
        <v>0.9994978679</v>
      </c>
      <c r="AA867" s="16">
        <f t="shared" si="8"/>
        <v>101.3139637</v>
      </c>
      <c r="AB867" s="14"/>
      <c r="AC867" s="9">
        <f t="shared" si="6"/>
        <v>0</v>
      </c>
    </row>
    <row r="868">
      <c r="A868" s="8">
        <v>42984.0</v>
      </c>
      <c r="B868" s="14"/>
      <c r="C868" s="12">
        <f t="array" ref="C868">IFERROR(
  INDEX(
    IR!$B$2:$E2026,                
    MATCH($A868, IR!$A$2:$A2026, 0), 
    MATCH(C$1, IR!$B$1:$E$1, 0) ), "")
</f>
        <v>-0.00371</v>
      </c>
      <c r="D868" s="12">
        <f t="array" ref="D868">IFERROR(
  INDEX(
    IR!$B$2:$E2026,                
    MATCH($A868, IR!$A$2:$A2026, 0), 
    MATCH(D$1, IR!$B$1:$E$1, 0) ), "")
</f>
        <v>-0.00329</v>
      </c>
      <c r="E868" s="12">
        <f t="array" ref="E868">IFERROR(
  INDEX(
    IR!$B$2:$E2026,                
    MATCH($A868, IR!$A$2:$A2026, 0), 
    MATCH(E$1, IR!$B$1:$E$1, 0) ), "")
</f>
        <v>-0.00274</v>
      </c>
      <c r="F868" s="12">
        <f t="array" ref="F868">IFERROR(
  INDEX(
    IR!$B$2:$E2026,                
    MATCH($A868, IR!$A$2:$A2026, 0), 
    MATCH(F$1, IR!$B$1:$E$1, 0) ), "")
</f>
        <v>-0.00163</v>
      </c>
      <c r="G868" s="25"/>
      <c r="H868" s="12">
        <f t="array" ref="H868">IFERROR(
  INDEX(
    SR!$B$2:$D2026,            
    MATCH($A868, SR!$A$2:$A2026, 0),  
    MATCH(H$1, SR!$B$1:$D$1, 0) ), "")
</f>
        <v>-0.00193</v>
      </c>
      <c r="I868" s="12">
        <f t="array" ref="I868">IFERROR(
  INDEX(
    SR!$B$2:$D2026,            
    MATCH($A868, SR!$A$2:$A2026, 0),  
    MATCH(I$1, SR!$B$1:$D$1, 0) ), "")
</f>
        <v>-0.00089</v>
      </c>
      <c r="J868" s="12">
        <f t="array" ref="J868">IFERROR(
  INDEX(
    SR!$B$2:$D2026,            
    MATCH($A868, SR!$A$2:$A2026, 0),  
    MATCH(J$1, SR!$B$1:$D$1, 0) ), "")
</f>
        <v>0.001481</v>
      </c>
      <c r="K868" s="14"/>
      <c r="L868" s="9">
        <v>118.57</v>
      </c>
      <c r="M868" s="9">
        <v>24.25</v>
      </c>
      <c r="N868" s="9">
        <v>115.28</v>
      </c>
      <c r="O868" s="9">
        <v>118.32</v>
      </c>
      <c r="P868" s="9">
        <v>126.09</v>
      </c>
      <c r="Q868" s="9">
        <v>1429.347</v>
      </c>
      <c r="R868" s="14"/>
      <c r="S868" s="12">
        <f t="shared" si="2"/>
        <v>-0.0002240998975</v>
      </c>
      <c r="T868" s="12">
        <f t="shared" si="3"/>
        <v>0.9997759001</v>
      </c>
      <c r="U868" s="16">
        <f t="shared" si="7"/>
        <v>100.6592516</v>
      </c>
      <c r="V868" s="17"/>
      <c r="W868" s="12">
        <f t="array" ref="W868">SQRT(252/20) *  SQRT( SUMSQ( LN(U847:U866 / U846:U865) )  - (1/20) * ( SUM( LN(U847:U866 / U846:U865) ) ^ 2 ) )</f>
        <v>0.02091929156</v>
      </c>
      <c r="X868" s="9">
        <f t="shared" si="4"/>
        <v>1.5</v>
      </c>
      <c r="Y868" s="14"/>
      <c r="Z868" s="12">
        <f t="shared" si="5"/>
        <v>0.9996690168</v>
      </c>
      <c r="AA868" s="16">
        <f t="shared" si="8"/>
        <v>101.2804305</v>
      </c>
      <c r="AB868" s="14"/>
      <c r="AC868" s="9">
        <f t="shared" si="6"/>
        <v>0</v>
      </c>
    </row>
    <row r="869">
      <c r="A869" s="8">
        <v>42985.0</v>
      </c>
      <c r="B869" s="14"/>
      <c r="C869" s="12">
        <f t="array" ref="C869">IFERROR(
  INDEX(
    IR!$B$2:$E2026,                
    MATCH($A869, IR!$A$2:$A2026, 0), 
    MATCH(C$1, IR!$B$1:$E$1, 0) ), "")
</f>
        <v>-0.00372</v>
      </c>
      <c r="D869" s="12">
        <f t="array" ref="D869">IFERROR(
  INDEX(
    IR!$B$2:$E2026,                
    MATCH($A869, IR!$A$2:$A2026, 0), 
    MATCH(D$1, IR!$B$1:$E$1, 0) ), "")
</f>
        <v>-0.0033</v>
      </c>
      <c r="E869" s="12">
        <f t="array" ref="E869">IFERROR(
  INDEX(
    IR!$B$2:$E2026,                
    MATCH($A869, IR!$A$2:$A2026, 0), 
    MATCH(E$1, IR!$B$1:$E$1, 0) ), "")
</f>
        <v>-0.00273</v>
      </c>
      <c r="F869" s="12">
        <f t="array" ref="F869">IFERROR(
  INDEX(
    IR!$B$2:$E2026,                
    MATCH($A869, IR!$A$2:$A2026, 0), 
    MATCH(F$1, IR!$B$1:$E$1, 0) ), "")
</f>
        <v>-0.00162</v>
      </c>
      <c r="G869" s="25"/>
      <c r="H869" s="12">
        <f t="array" ref="H869">IFERROR(
  INDEX(
    SR!$B$2:$D2026,            
    MATCH($A869, SR!$A$2:$A2026, 0),  
    MATCH(H$1, SR!$B$1:$D$1, 0) ), "")
</f>
        <v>-0.00203</v>
      </c>
      <c r="I869" s="12">
        <f t="array" ref="I869">IFERROR(
  INDEX(
    SR!$B$2:$D2026,            
    MATCH($A869, SR!$A$2:$A2026, 0),  
    MATCH(I$1, SR!$B$1:$D$1, 0) ), "")
</f>
        <v>-0.001152</v>
      </c>
      <c r="J869" s="12">
        <f t="array" ref="J869">IFERROR(
  INDEX(
    SR!$B$2:$D2026,            
    MATCH($A869, SR!$A$2:$A2026, 0),  
    MATCH(J$1, SR!$B$1:$D$1, 0) ), "")
</f>
        <v>0.00136</v>
      </c>
      <c r="K869" s="14"/>
      <c r="L869" s="9">
        <v>118.74</v>
      </c>
      <c r="M869" s="9">
        <v>24.24</v>
      </c>
      <c r="N869" s="9">
        <v>115.28</v>
      </c>
      <c r="O869" s="9">
        <v>118.23</v>
      </c>
      <c r="P869" s="9">
        <v>126.21</v>
      </c>
      <c r="Q869" s="9">
        <v>1429.009</v>
      </c>
      <c r="R869" s="14"/>
      <c r="S869" s="12">
        <f t="shared" si="2"/>
        <v>0.0001625715452</v>
      </c>
      <c r="T869" s="12">
        <f t="shared" si="3"/>
        <v>1.000162572</v>
      </c>
      <c r="U869" s="16">
        <f t="shared" si="7"/>
        <v>100.6756159</v>
      </c>
      <c r="V869" s="17"/>
      <c r="W869" s="12">
        <f t="array" ref="W869">SQRT(252/20) *  SQRT( SUMSQ( LN(U848:U867 / U847:U866) )  - (1/20) * ( SUM( LN(U848:U867 / U847:U866) ) ^ 2 ) )</f>
        <v>0.02055486047</v>
      </c>
      <c r="X869" s="9">
        <f t="shared" si="4"/>
        <v>1.5</v>
      </c>
      <c r="Y869" s="14"/>
      <c r="Z869" s="12">
        <f t="shared" si="5"/>
        <v>1.00024901</v>
      </c>
      <c r="AA869" s="16">
        <f t="shared" si="8"/>
        <v>101.3056504</v>
      </c>
      <c r="AB869" s="14"/>
      <c r="AC869" s="9">
        <f t="shared" si="6"/>
        <v>0</v>
      </c>
    </row>
    <row r="870">
      <c r="A870" s="8">
        <v>42986.0</v>
      </c>
      <c r="B870" s="14"/>
      <c r="C870" s="12">
        <f t="array" ref="C870">IFERROR(
  INDEX(
    IR!$B$2:$E2026,                
    MATCH($A870, IR!$A$2:$A2026, 0), 
    MATCH(C$1, IR!$B$1:$E$1, 0) ), "")
</f>
        <v>-0.00372</v>
      </c>
      <c r="D870" s="12">
        <f t="array" ref="D870">IFERROR(
  INDEX(
    IR!$B$2:$E2026,                
    MATCH($A870, IR!$A$2:$A2026, 0), 
    MATCH(D$1, IR!$B$1:$E$1, 0) ), "")
</f>
        <v>-0.00331</v>
      </c>
      <c r="E870" s="12">
        <f t="array" ref="E870">IFERROR(
  INDEX(
    IR!$B$2:$E2026,                
    MATCH($A870, IR!$A$2:$A2026, 0), 
    MATCH(E$1, IR!$B$1:$E$1, 0) ), "")
</f>
        <v>-0.00275</v>
      </c>
      <c r="F870" s="12">
        <f t="array" ref="F870">IFERROR(
  INDEX(
    IR!$B$2:$E2026,                
    MATCH($A870, IR!$A$2:$A2026, 0), 
    MATCH(F$1, IR!$B$1:$E$1, 0) ), "")
</f>
        <v>-0.00166</v>
      </c>
      <c r="G870" s="25"/>
      <c r="H870" s="12">
        <f t="array" ref="H870">IFERROR(
  INDEX(
    SR!$B$2:$D2026,            
    MATCH($A870, SR!$A$2:$A2026, 0),  
    MATCH(H$1, SR!$B$1:$D$1, 0) ), "")
</f>
        <v>-0.001975</v>
      </c>
      <c r="I870" s="12">
        <f t="array" ref="I870">IFERROR(
  INDEX(
    SR!$B$2:$D2026,            
    MATCH($A870, SR!$A$2:$A2026, 0),  
    MATCH(I$1, SR!$B$1:$D$1, 0) ), "")
</f>
        <v>-0.00106</v>
      </c>
      <c r="J870" s="12">
        <f t="array" ref="J870">IFERROR(
  INDEX(
    SR!$B$2:$D2026,            
    MATCH($A870, SR!$A$2:$A2026, 0),  
    MATCH(J$1, SR!$B$1:$D$1, 0) ), "")
</f>
        <v>0.00143</v>
      </c>
      <c r="K870" s="14"/>
      <c r="L870" s="9">
        <v>118.86</v>
      </c>
      <c r="M870" s="9">
        <v>24.24</v>
      </c>
      <c r="N870" s="9">
        <v>115.27</v>
      </c>
      <c r="O870" s="9">
        <v>118.61</v>
      </c>
      <c r="P870" s="9">
        <v>126.25</v>
      </c>
      <c r="Q870" s="9">
        <v>1430.072</v>
      </c>
      <c r="R870" s="14"/>
      <c r="S870" s="12">
        <f t="shared" si="2"/>
        <v>0.0008661852401</v>
      </c>
      <c r="T870" s="12">
        <f t="shared" si="3"/>
        <v>1.000866185</v>
      </c>
      <c r="U870" s="16">
        <f t="shared" si="7"/>
        <v>100.7628196</v>
      </c>
      <c r="V870" s="17"/>
      <c r="W870" s="12">
        <f t="array" ref="W870">SQRT(252/20) *  SQRT( SUMSQ( LN(U849:U868 / U848:U867) )  - (1/20) * ( SUM( LN(U849:U868 / U848:U867) ) ^ 2 ) )</f>
        <v>0.02043283023</v>
      </c>
      <c r="X870" s="9">
        <f t="shared" si="4"/>
        <v>1.5</v>
      </c>
      <c r="Y870" s="14"/>
      <c r="Z870" s="12">
        <f t="shared" si="5"/>
        <v>1.001304445</v>
      </c>
      <c r="AA870" s="16">
        <f t="shared" si="8"/>
        <v>101.437798</v>
      </c>
      <c r="AB870" s="14"/>
      <c r="AC870" s="9">
        <f t="shared" si="6"/>
        <v>0</v>
      </c>
    </row>
    <row r="871">
      <c r="A871" s="8">
        <v>42989.0</v>
      </c>
      <c r="B871" s="14"/>
      <c r="C871" s="12">
        <f t="array" ref="C871">IFERROR(
  INDEX(
    IR!$B$2:$E2026,                
    MATCH($A871, IR!$A$2:$A2026, 0), 
    MATCH(C$1, IR!$B$1:$E$1, 0) ), "")
</f>
        <v>-0.00373</v>
      </c>
      <c r="D871" s="12">
        <f t="array" ref="D871">IFERROR(
  INDEX(
    IR!$B$2:$E2026,                
    MATCH($A871, IR!$A$2:$A2026, 0), 
    MATCH(D$1, IR!$B$1:$E$1, 0) ), "")
</f>
        <v>-0.00331</v>
      </c>
      <c r="E871" s="12">
        <f t="array" ref="E871">IFERROR(
  INDEX(
    IR!$B$2:$E2026,                
    MATCH($A871, IR!$A$2:$A2026, 0), 
    MATCH(E$1, IR!$B$1:$E$1, 0) ), "")
</f>
        <v>-0.00274</v>
      </c>
      <c r="F871" s="12">
        <f t="array" ref="F871">IFERROR(
  INDEX(
    IR!$B$2:$E2026,                
    MATCH($A871, IR!$A$2:$A2026, 0), 
    MATCH(F$1, IR!$B$1:$E$1, 0) ), "")
</f>
        <v>-0.00168</v>
      </c>
      <c r="G871" s="25"/>
      <c r="H871" s="12">
        <f t="array" ref="H871">IFERROR(
  INDEX(
    SR!$B$2:$D2026,            
    MATCH($A871, SR!$A$2:$A2026, 0),  
    MATCH(H$1, SR!$B$1:$D$1, 0) ), "")
</f>
        <v>-0.00199</v>
      </c>
      <c r="I871" s="12">
        <f t="array" ref="I871">IFERROR(
  INDEX(
    SR!$B$2:$D2026,            
    MATCH($A871, SR!$A$2:$A2026, 0),  
    MATCH(I$1, SR!$B$1:$D$1, 0) ), "")
</f>
        <v>-0.000996</v>
      </c>
      <c r="J871" s="12">
        <f t="array" ref="J871">IFERROR(
  INDEX(
    SR!$B$2:$D2026,            
    MATCH($A871, SR!$A$2:$A2026, 0),  
    MATCH(J$1, SR!$B$1:$D$1, 0) ), "")
</f>
        <v>0.001532</v>
      </c>
      <c r="K871" s="14"/>
      <c r="L871" s="9">
        <v>119.19</v>
      </c>
      <c r="M871" s="9">
        <v>24.24</v>
      </c>
      <c r="N871" s="9">
        <v>115.3</v>
      </c>
      <c r="O871" s="9">
        <v>118.53</v>
      </c>
      <c r="P871" s="9">
        <v>126.21</v>
      </c>
      <c r="Q871" s="9">
        <v>1429.223</v>
      </c>
      <c r="R871" s="14"/>
      <c r="S871" s="12">
        <f t="shared" si="2"/>
        <v>0.0002417849592</v>
      </c>
      <c r="T871" s="12">
        <f t="shared" si="3"/>
        <v>1.000241785</v>
      </c>
      <c r="U871" s="16">
        <f t="shared" si="7"/>
        <v>100.7871826</v>
      </c>
      <c r="V871" s="17"/>
      <c r="W871" s="12">
        <f t="array" ref="W871">SQRT(252/20) *  SQRT( SUMSQ( LN(U850:U869 / U849:U868) )  - (1/20) * ( SUM( LN(U850:U869 / U849:U868) ) ^ 2 ) )</f>
        <v>0.02043190826</v>
      </c>
      <c r="X871" s="9">
        <f t="shared" si="4"/>
        <v>1.5</v>
      </c>
      <c r="Y871" s="14"/>
      <c r="Z871" s="12">
        <f t="shared" si="5"/>
        <v>1.000378177</v>
      </c>
      <c r="AA871" s="16">
        <f t="shared" si="8"/>
        <v>101.4761595</v>
      </c>
      <c r="AB871" s="14"/>
      <c r="AC871" s="9">
        <f t="shared" si="6"/>
        <v>0</v>
      </c>
    </row>
    <row r="872">
      <c r="A872" s="8">
        <v>42990.0</v>
      </c>
      <c r="B872" s="14"/>
      <c r="C872" s="12">
        <f t="array" ref="C872">IFERROR(
  INDEX(
    IR!$B$2:$E2026,                
    MATCH($A872, IR!$A$2:$A2026, 0), 
    MATCH(C$1, IR!$B$1:$E$1, 0) ), "")
</f>
        <v>-0.00372</v>
      </c>
      <c r="D872" s="12">
        <f t="array" ref="D872">IFERROR(
  INDEX(
    IR!$B$2:$E2026,                
    MATCH($A872, IR!$A$2:$A2026, 0), 
    MATCH(D$1, IR!$B$1:$E$1, 0) ), "")
</f>
        <v>-0.0033</v>
      </c>
      <c r="E872" s="12">
        <f t="array" ref="E872">IFERROR(
  INDEX(
    IR!$B$2:$E2026,                
    MATCH($A872, IR!$A$2:$A2026, 0), 
    MATCH(E$1, IR!$B$1:$E$1, 0) ), "")
</f>
        <v>-0.00272</v>
      </c>
      <c r="F872" s="12">
        <f t="array" ref="F872">IFERROR(
  INDEX(
    IR!$B$2:$E2026,                
    MATCH($A872, IR!$A$2:$A2026, 0), 
    MATCH(F$1, IR!$B$1:$E$1, 0) ), "")
</f>
        <v>-0.00169</v>
      </c>
      <c r="G872" s="25"/>
      <c r="H872" s="12">
        <f t="array" ref="H872">IFERROR(
  INDEX(
    SR!$B$2:$D2026,            
    MATCH($A872, SR!$A$2:$A2026, 0),  
    MATCH(H$1, SR!$B$1:$D$1, 0) ), "")
</f>
        <v>-0.001895</v>
      </c>
      <c r="I872" s="12">
        <f t="array" ref="I872">IFERROR(
  INDEX(
    SR!$B$2:$D2026,            
    MATCH($A872, SR!$A$2:$A2026, 0),  
    MATCH(I$1, SR!$B$1:$D$1, 0) ), "")
</f>
        <v>-0.00084</v>
      </c>
      <c r="J872" s="12">
        <f t="array" ref="J872">IFERROR(
  INDEX(
    SR!$B$2:$D2026,            
    MATCH($A872, SR!$A$2:$A2026, 0),  
    MATCH(J$1, SR!$B$1:$D$1, 0) ), "")
</f>
        <v>0.001862</v>
      </c>
      <c r="K872" s="14"/>
      <c r="L872" s="9">
        <v>119.28</v>
      </c>
      <c r="M872" s="9">
        <v>24.25</v>
      </c>
      <c r="N872" s="9">
        <v>115.31</v>
      </c>
      <c r="O872" s="9">
        <v>118.58</v>
      </c>
      <c r="P872" s="9">
        <v>126.6</v>
      </c>
      <c r="Q872" s="9">
        <v>1435.119</v>
      </c>
      <c r="R872" s="14"/>
      <c r="S872" s="12">
        <f t="shared" si="2"/>
        <v>0.001481754583</v>
      </c>
      <c r="T872" s="12">
        <f t="shared" si="3"/>
        <v>1.001481755</v>
      </c>
      <c r="U872" s="16">
        <f t="shared" si="7"/>
        <v>100.9365244</v>
      </c>
      <c r="V872" s="17"/>
      <c r="W872" s="12">
        <f t="array" ref="W872">SQRT(252/20) *  SQRT( SUMSQ( LN(U851:U870 / U850:U869) )  - (1/20) * ( SUM( LN(U851:U870 / U850:U869) ) ^ 2 ) )</f>
        <v>0.01982689143</v>
      </c>
      <c r="X872" s="9">
        <f t="shared" si="4"/>
        <v>1.5</v>
      </c>
      <c r="Y872" s="14"/>
      <c r="Z872" s="12">
        <f t="shared" si="5"/>
        <v>1.002227812</v>
      </c>
      <c r="AA872" s="16">
        <f t="shared" si="8"/>
        <v>101.7022293</v>
      </c>
      <c r="AB872" s="14"/>
      <c r="AC872" s="9">
        <f t="shared" si="6"/>
        <v>0</v>
      </c>
    </row>
    <row r="873">
      <c r="A873" s="8">
        <v>42991.0</v>
      </c>
      <c r="B873" s="14"/>
      <c r="C873" s="12">
        <f t="array" ref="C873">IFERROR(
  INDEX(
    IR!$B$2:$E2026,                
    MATCH($A873, IR!$A$2:$A2026, 0), 
    MATCH(C$1, IR!$B$1:$E$1, 0) ), "")
</f>
        <v>-0.00373</v>
      </c>
      <c r="D873" s="12">
        <f t="array" ref="D873">IFERROR(
  INDEX(
    IR!$B$2:$E2026,                
    MATCH($A873, IR!$A$2:$A2026, 0), 
    MATCH(D$1, IR!$B$1:$E$1, 0) ), "")
</f>
        <v>-0.00329</v>
      </c>
      <c r="E873" s="12">
        <f t="array" ref="E873">IFERROR(
  INDEX(
    IR!$B$2:$E2026,                
    MATCH($A873, IR!$A$2:$A2026, 0), 
    MATCH(E$1, IR!$B$1:$E$1, 0) ), "")
</f>
        <v>-0.00272</v>
      </c>
      <c r="F873" s="12">
        <f t="array" ref="F873">IFERROR(
  INDEX(
    IR!$B$2:$E2026,                
    MATCH($A873, IR!$A$2:$A2026, 0), 
    MATCH(F$1, IR!$B$1:$E$1, 0) ), "")
</f>
        <v>-0.00169</v>
      </c>
      <c r="G873" s="25"/>
      <c r="H873" s="12">
        <f t="array" ref="H873">IFERROR(
  INDEX(
    SR!$B$2:$D2026,            
    MATCH($A873, SR!$A$2:$A2026, 0),  
    MATCH(H$1, SR!$B$1:$D$1, 0) ), "")
</f>
        <v>-0.00188</v>
      </c>
      <c r="I873" s="12">
        <f t="array" ref="I873">IFERROR(
  INDEX(
    SR!$B$2:$D2026,            
    MATCH($A873, SR!$A$2:$A2026, 0),  
    MATCH(I$1, SR!$B$1:$D$1, 0) ), "")
</f>
        <v>-0.000872</v>
      </c>
      <c r="J873" s="12">
        <f t="array" ref="J873">IFERROR(
  INDEX(
    SR!$B$2:$D2026,            
    MATCH($A873, SR!$A$2:$A2026, 0),  
    MATCH(J$1, SR!$B$1:$D$1, 0) ), "")
</f>
        <v>0.001841</v>
      </c>
      <c r="K873" s="14"/>
      <c r="L873" s="9">
        <v>119.3</v>
      </c>
      <c r="M873" s="9">
        <v>24.24</v>
      </c>
      <c r="N873" s="9">
        <v>115.3</v>
      </c>
      <c r="O873" s="9">
        <v>118.39</v>
      </c>
      <c r="P873" s="9">
        <v>126.84</v>
      </c>
      <c r="Q873" s="9">
        <v>1436.691</v>
      </c>
      <c r="R873" s="14"/>
      <c r="S873" s="12">
        <f t="shared" si="2"/>
        <v>0.0001762722373</v>
      </c>
      <c r="T873" s="12">
        <f t="shared" si="3"/>
        <v>1.000176272</v>
      </c>
      <c r="U873" s="16">
        <f t="shared" si="7"/>
        <v>100.9543168</v>
      </c>
      <c r="V873" s="17"/>
      <c r="W873" s="12">
        <f t="array" ref="W873">SQRT(252/20) *  SQRT( SUMSQ( LN(U852:U871 / U851:U870) )  - (1/20) * ( SUM( LN(U852:U871 / U851:U870) ) ^ 2 ) )</f>
        <v>0.01620479266</v>
      </c>
      <c r="X873" s="9">
        <f t="shared" si="4"/>
        <v>1.5</v>
      </c>
      <c r="Y873" s="14"/>
      <c r="Z873" s="12">
        <f t="shared" si="5"/>
        <v>1.000269575</v>
      </c>
      <c r="AA873" s="16">
        <f t="shared" si="8"/>
        <v>101.7296457</v>
      </c>
      <c r="AB873" s="14"/>
      <c r="AC873" s="9">
        <f t="shared" si="6"/>
        <v>0</v>
      </c>
    </row>
    <row r="874">
      <c r="A874" s="8">
        <v>42992.0</v>
      </c>
      <c r="B874" s="14"/>
      <c r="C874" s="12">
        <f t="array" ref="C874">IFERROR(
  INDEX(
    IR!$B$2:$E2026,                
    MATCH($A874, IR!$A$2:$A2026, 0), 
    MATCH(C$1, IR!$B$1:$E$1, 0) ), "")
</f>
        <v>-0.00371</v>
      </c>
      <c r="D874" s="12">
        <f t="array" ref="D874">IFERROR(
  INDEX(
    IR!$B$2:$E2026,                
    MATCH($A874, IR!$A$2:$A2026, 0), 
    MATCH(D$1, IR!$B$1:$E$1, 0) ), "")
</f>
        <v>-0.00329</v>
      </c>
      <c r="E874" s="12">
        <f t="array" ref="E874">IFERROR(
  INDEX(
    IR!$B$2:$E2026,                
    MATCH($A874, IR!$A$2:$A2026, 0), 
    MATCH(E$1, IR!$B$1:$E$1, 0) ), "")
</f>
        <v>-0.00272</v>
      </c>
      <c r="F874" s="12">
        <f t="array" ref="F874">IFERROR(
  INDEX(
    IR!$B$2:$E2026,                
    MATCH($A874, IR!$A$2:$A2026, 0), 
    MATCH(F$1, IR!$B$1:$E$1, 0) ), "")
</f>
        <v>-0.00171</v>
      </c>
      <c r="G874" s="25"/>
      <c r="H874" s="12">
        <f t="array" ref="H874">IFERROR(
  INDEX(
    SR!$B$2:$D2026,            
    MATCH($A874, SR!$A$2:$A2026, 0),  
    MATCH(H$1, SR!$B$1:$D$1, 0) ), "")
</f>
        <v>-0.001821</v>
      </c>
      <c r="I874" s="12">
        <f t="array" ref="I874">IFERROR(
  INDEX(
    SR!$B$2:$D2026,            
    MATCH($A874, SR!$A$2:$A2026, 0),  
    MATCH(I$1, SR!$B$1:$D$1, 0) ), "")
</f>
        <v>-0.000696</v>
      </c>
      <c r="J874" s="12">
        <f t="array" ref="J874">IFERROR(
  INDEX(
    SR!$B$2:$D2026,            
    MATCH($A874, SR!$A$2:$A2026, 0),  
    MATCH(J$1, SR!$B$1:$D$1, 0) ), "")
</f>
        <v>0.002011</v>
      </c>
      <c r="K874" s="14"/>
      <c r="L874" s="9">
        <v>119.36</v>
      </c>
      <c r="M874" s="9">
        <v>24.25</v>
      </c>
      <c r="N874" s="9">
        <v>115.28</v>
      </c>
      <c r="O874" s="9">
        <v>118.4</v>
      </c>
      <c r="P874" s="9">
        <v>126.96</v>
      </c>
      <c r="Q874" s="9">
        <v>1437.517</v>
      </c>
      <c r="R874" s="14"/>
      <c r="S874" s="12">
        <f t="shared" si="2"/>
        <v>0.000391148851</v>
      </c>
      <c r="T874" s="12">
        <f t="shared" si="3"/>
        <v>1.000391149</v>
      </c>
      <c r="U874" s="16">
        <f t="shared" si="7"/>
        <v>100.9938049</v>
      </c>
      <c r="V874" s="17"/>
      <c r="W874" s="12">
        <f t="array" ref="W874">SQRT(252/20) *  SQRT( SUMSQ( LN(U853:U872 / U852:U871) )  - (1/20) * ( SUM( LN(U853:U872 / U852:U871) ) ^ 2 ) )</f>
        <v>0.01676843685</v>
      </c>
      <c r="X874" s="9">
        <f t="shared" si="4"/>
        <v>1.5</v>
      </c>
      <c r="Y874" s="14"/>
      <c r="Z874" s="12">
        <f t="shared" si="5"/>
        <v>1.000591904</v>
      </c>
      <c r="AA874" s="16">
        <f t="shared" si="8"/>
        <v>101.7898599</v>
      </c>
      <c r="AB874" s="14"/>
      <c r="AC874" s="9">
        <f t="shared" si="6"/>
        <v>0</v>
      </c>
    </row>
    <row r="875">
      <c r="A875" s="8">
        <v>42993.0</v>
      </c>
      <c r="B875" s="14"/>
      <c r="C875" s="12">
        <f t="array" ref="C875">IFERROR(
  INDEX(
    IR!$B$2:$E2026,                
    MATCH($A875, IR!$A$2:$A2026, 0), 
    MATCH(C$1, IR!$B$1:$E$1, 0) ), "")
</f>
        <v>-0.00371</v>
      </c>
      <c r="D875" s="12">
        <f t="array" ref="D875">IFERROR(
  INDEX(
    IR!$B$2:$E2026,                
    MATCH($A875, IR!$A$2:$A2026, 0), 
    MATCH(D$1, IR!$B$1:$E$1, 0) ), "")
</f>
        <v>-0.00329</v>
      </c>
      <c r="E875" s="12">
        <f t="array" ref="E875">IFERROR(
  INDEX(
    IR!$B$2:$E2026,                
    MATCH($A875, IR!$A$2:$A2026, 0), 
    MATCH(E$1, IR!$B$1:$E$1, 0) ), "")
</f>
        <v>-0.00271</v>
      </c>
      <c r="F875" s="12">
        <f t="array" ref="F875">IFERROR(
  INDEX(
    IR!$B$2:$E2026,                
    MATCH($A875, IR!$A$2:$A2026, 0), 
    MATCH(F$1, IR!$B$1:$E$1, 0) ), "")
</f>
        <v>-0.00171</v>
      </c>
      <c r="G875" s="25"/>
      <c r="H875" s="12">
        <f t="array" ref="H875">IFERROR(
  INDEX(
    SR!$B$2:$D2026,            
    MATCH($A875, SR!$A$2:$A2026, 0),  
    MATCH(H$1, SR!$B$1:$D$1, 0) ), "")
</f>
        <v>-0.00175</v>
      </c>
      <c r="I875" s="12">
        <f t="array" ref="I875">IFERROR(
  INDEX(
    SR!$B$2:$D2026,            
    MATCH($A875, SR!$A$2:$A2026, 0),  
    MATCH(I$1, SR!$B$1:$D$1, 0) ), "")
</f>
        <v>-0.000565</v>
      </c>
      <c r="J875" s="12">
        <f t="array" ref="J875">IFERROR(
  INDEX(
    SR!$B$2:$D2026,            
    MATCH($A875, SR!$A$2:$A2026, 0),  
    MATCH(J$1, SR!$B$1:$D$1, 0) ), "")
</f>
        <v>0.0022</v>
      </c>
      <c r="K875" s="14"/>
      <c r="L875" s="9">
        <v>119.35</v>
      </c>
      <c r="M875" s="9">
        <v>24.24</v>
      </c>
      <c r="N875" s="9">
        <v>115.28</v>
      </c>
      <c r="O875" s="9">
        <v>118.37</v>
      </c>
      <c r="P875" s="9">
        <v>126.94</v>
      </c>
      <c r="Q875" s="9">
        <v>1438.059</v>
      </c>
      <c r="R875" s="14"/>
      <c r="S875" s="12">
        <f t="shared" si="2"/>
        <v>-0.00008826372549</v>
      </c>
      <c r="T875" s="12">
        <f t="shared" si="3"/>
        <v>0.9999117363</v>
      </c>
      <c r="U875" s="16">
        <f t="shared" si="7"/>
        <v>100.9848908</v>
      </c>
      <c r="V875" s="17"/>
      <c r="W875" s="12">
        <f t="array" ref="W875">SQRT(252/20) *  SQRT( SUMSQ( LN(U854:U873 / U853:U872) )  - (1/20) * ( SUM( LN(U854:U873 / U853:U872) ) ^ 2 ) )</f>
        <v>0.01414020917</v>
      </c>
      <c r="X875" s="9">
        <f t="shared" si="4"/>
        <v>1.5</v>
      </c>
      <c r="Y875" s="14"/>
      <c r="Z875" s="12">
        <f t="shared" si="5"/>
        <v>0.9998727572</v>
      </c>
      <c r="AA875" s="16">
        <f t="shared" si="8"/>
        <v>101.7769078</v>
      </c>
      <c r="AB875" s="14"/>
      <c r="AC875" s="9">
        <f t="shared" si="6"/>
        <v>0</v>
      </c>
    </row>
    <row r="876">
      <c r="A876" s="8">
        <v>42996.0</v>
      </c>
      <c r="B876" s="14"/>
      <c r="C876" s="12">
        <f t="array" ref="C876">IFERROR(
  INDEX(
    IR!$B$2:$E2026,                
    MATCH($A876, IR!$A$2:$A2026, 0), 
    MATCH(C$1, IR!$B$1:$E$1, 0) ), "")
</f>
        <v>-0.00373</v>
      </c>
      <c r="D876" s="12">
        <f t="array" ref="D876">IFERROR(
  INDEX(
    IR!$B$2:$E2026,                
    MATCH($A876, IR!$A$2:$A2026, 0), 
    MATCH(D$1, IR!$B$1:$E$1, 0) ), "")
</f>
        <v>-0.00329</v>
      </c>
      <c r="E876" s="12">
        <f t="array" ref="E876">IFERROR(
  INDEX(
    IR!$B$2:$E2026,                
    MATCH($A876, IR!$A$2:$A2026, 0), 
    MATCH(E$1, IR!$B$1:$E$1, 0) ), "")
</f>
        <v>-0.00271</v>
      </c>
      <c r="F876" s="12">
        <f t="array" ref="F876">IFERROR(
  INDEX(
    IR!$B$2:$E2026,                
    MATCH($A876, IR!$A$2:$A2026, 0), 
    MATCH(F$1, IR!$B$1:$E$1, 0) ), "")
</f>
        <v>-0.00171</v>
      </c>
      <c r="G876" s="25"/>
      <c r="H876" s="12">
        <f t="array" ref="H876">IFERROR(
  INDEX(
    SR!$B$2:$D2026,            
    MATCH($A876, SR!$A$2:$A2026, 0),  
    MATCH(H$1, SR!$B$1:$D$1, 0) ), "")
</f>
        <v>-0.001725</v>
      </c>
      <c r="I876" s="12">
        <f t="array" ref="I876">IFERROR(
  INDEX(
    SR!$B$2:$D2026,            
    MATCH($A876, SR!$A$2:$A2026, 0),  
    MATCH(I$1, SR!$B$1:$D$1, 0) ), "")
</f>
        <v>-0.00052</v>
      </c>
      <c r="J876" s="12">
        <f t="array" ref="J876">IFERROR(
  INDEX(
    SR!$B$2:$D2026,            
    MATCH($A876, SR!$A$2:$A2026, 0),  
    MATCH(J$1, SR!$B$1:$D$1, 0) ), "")
</f>
        <v>0.002335</v>
      </c>
      <c r="K876" s="14"/>
      <c r="L876" s="9">
        <v>119.46</v>
      </c>
      <c r="M876" s="9">
        <v>24.24</v>
      </c>
      <c r="N876" s="9">
        <v>115.31</v>
      </c>
      <c r="O876" s="9">
        <v>118.16</v>
      </c>
      <c r="P876" s="9">
        <v>126.86</v>
      </c>
      <c r="Q876" s="9">
        <v>1438.943</v>
      </c>
      <c r="R876" s="14"/>
      <c r="S876" s="12">
        <f t="shared" si="2"/>
        <v>-0.0001011821409</v>
      </c>
      <c r="T876" s="12">
        <f t="shared" si="3"/>
        <v>0.9998988179</v>
      </c>
      <c r="U876" s="16">
        <f t="shared" si="7"/>
        <v>100.974673</v>
      </c>
      <c r="V876" s="17"/>
      <c r="W876" s="12">
        <f t="array" ref="W876">SQRT(252/20) *  SQRT( SUMSQ( LN(U855:U874 / U854:U873) )  - (1/20) * ( SUM( LN(U855:U874 / U854:U873) ) ^ 2 ) )</f>
        <v>0.01407659855</v>
      </c>
      <c r="X876" s="9">
        <f t="shared" si="4"/>
        <v>1.5</v>
      </c>
      <c r="Y876" s="14"/>
      <c r="Z876" s="12">
        <f t="shared" si="5"/>
        <v>0.9998636851</v>
      </c>
      <c r="AA876" s="16">
        <f t="shared" si="8"/>
        <v>101.7630341</v>
      </c>
      <c r="AB876" s="14"/>
      <c r="AC876" s="9">
        <f t="shared" si="6"/>
        <v>0</v>
      </c>
    </row>
    <row r="877">
      <c r="A877" s="8">
        <v>42997.0</v>
      </c>
      <c r="B877" s="14"/>
      <c r="C877" s="12">
        <f t="array" ref="C877">IFERROR(
  INDEX(
    IR!$B$2:$E2026,                
    MATCH($A877, IR!$A$2:$A2026, 0), 
    MATCH(C$1, IR!$B$1:$E$1, 0) ), "")
</f>
        <v>-0.00373</v>
      </c>
      <c r="D877" s="12">
        <f t="array" ref="D877">IFERROR(
  INDEX(
    IR!$B$2:$E2026,                
    MATCH($A877, IR!$A$2:$A2026, 0), 
    MATCH(D$1, IR!$B$1:$E$1, 0) ), "")
</f>
        <v>-0.0033</v>
      </c>
      <c r="E877" s="12">
        <f t="array" ref="E877">IFERROR(
  INDEX(
    IR!$B$2:$E2026,                
    MATCH($A877, IR!$A$2:$A2026, 0), 
    MATCH(E$1, IR!$B$1:$E$1, 0) ), "")
</f>
        <v>-0.00272</v>
      </c>
      <c r="F877" s="12">
        <f t="array" ref="F877">IFERROR(
  INDEX(
    IR!$B$2:$E2026,                
    MATCH($A877, IR!$A$2:$A2026, 0), 
    MATCH(F$1, IR!$B$1:$E$1, 0) ), "")
</f>
        <v>-0.00171</v>
      </c>
      <c r="G877" s="25"/>
      <c r="H877" s="12">
        <f t="array" ref="H877">IFERROR(
  INDEX(
    SR!$B$2:$D2026,            
    MATCH($A877, SR!$A$2:$A2026, 0),  
    MATCH(H$1, SR!$B$1:$D$1, 0) ), "")
</f>
        <v>-0.00174</v>
      </c>
      <c r="I877" s="12">
        <f t="array" ref="I877">IFERROR(
  INDEX(
    SR!$B$2:$D2026,            
    MATCH($A877, SR!$A$2:$A2026, 0),  
    MATCH(I$1, SR!$B$1:$D$1, 0) ), "")
</f>
        <v>-0.00056</v>
      </c>
      <c r="J877" s="12">
        <f t="array" ref="J877">IFERROR(
  INDEX(
    SR!$B$2:$D2026,            
    MATCH($A877, SR!$A$2:$A2026, 0),  
    MATCH(J$1, SR!$B$1:$D$1, 0) ), "")
</f>
        <v>0.002241</v>
      </c>
      <c r="K877" s="14"/>
      <c r="L877" s="9">
        <v>119.49</v>
      </c>
      <c r="M877" s="9">
        <v>24.24</v>
      </c>
      <c r="N877" s="9">
        <v>115.31</v>
      </c>
      <c r="O877" s="9">
        <v>118.11</v>
      </c>
      <c r="P877" s="9">
        <v>127.0</v>
      </c>
      <c r="Q877" s="9">
        <v>1442.909</v>
      </c>
      <c r="R877" s="14"/>
      <c r="S877" s="12">
        <f t="shared" si="2"/>
        <v>0.0006146536988</v>
      </c>
      <c r="T877" s="12">
        <f t="shared" si="3"/>
        <v>1.000614654</v>
      </c>
      <c r="U877" s="16">
        <f t="shared" si="7"/>
        <v>101.0367374</v>
      </c>
      <c r="V877" s="17"/>
      <c r="W877" s="12">
        <f t="array" ref="W877">SQRT(252/20) *  SQRT( SUMSQ( LN(U856:U875 / U855:U874) )  - (1/20) * ( SUM( LN(U856:U875 / U855:U874) ) ^ 2 ) )</f>
        <v>0.01264524845</v>
      </c>
      <c r="X877" s="9">
        <f t="shared" si="4"/>
        <v>1.5</v>
      </c>
      <c r="Y877" s="14"/>
      <c r="Z877" s="12">
        <f t="shared" si="5"/>
        <v>1.000927161</v>
      </c>
      <c r="AA877" s="16">
        <f t="shared" si="8"/>
        <v>101.8573849</v>
      </c>
      <c r="AB877" s="14"/>
      <c r="AC877" s="9">
        <f t="shared" si="6"/>
        <v>0</v>
      </c>
    </row>
    <row r="878">
      <c r="A878" s="8">
        <v>42998.0</v>
      </c>
      <c r="B878" s="14"/>
      <c r="C878" s="12">
        <f t="array" ref="C878">IFERROR(
  INDEX(
    IR!$B$2:$E2026,                
    MATCH($A878, IR!$A$2:$A2026, 0), 
    MATCH(C$1, IR!$B$1:$E$1, 0) ), "")
</f>
        <v>-0.00373</v>
      </c>
      <c r="D878" s="12">
        <f t="array" ref="D878">IFERROR(
  INDEX(
    IR!$B$2:$E2026,                
    MATCH($A878, IR!$A$2:$A2026, 0), 
    MATCH(D$1, IR!$B$1:$E$1, 0) ), "")
</f>
        <v>-0.00329</v>
      </c>
      <c r="E878" s="12">
        <f t="array" ref="E878">IFERROR(
  INDEX(
    IR!$B$2:$E2026,                
    MATCH($A878, IR!$A$2:$A2026, 0), 
    MATCH(E$1, IR!$B$1:$E$1, 0) ), "")
</f>
        <v>-0.00271</v>
      </c>
      <c r="F878" s="12">
        <f t="array" ref="F878">IFERROR(
  INDEX(
    IR!$B$2:$E2026,                
    MATCH($A878, IR!$A$2:$A2026, 0), 
    MATCH(F$1, IR!$B$1:$E$1, 0) ), "")
</f>
        <v>-0.00171</v>
      </c>
      <c r="G878" s="25"/>
      <c r="H878" s="12">
        <f t="array" ref="H878">IFERROR(
  INDEX(
    SR!$B$2:$D2026,            
    MATCH($A878, SR!$A$2:$A2026, 0),  
    MATCH(H$1, SR!$B$1:$D$1, 0) ), "")
</f>
        <v>-0.00175</v>
      </c>
      <c r="I878" s="12">
        <f t="array" ref="I878">IFERROR(
  INDEX(
    SR!$B$2:$D2026,            
    MATCH($A878, SR!$A$2:$A2026, 0),  
    MATCH(I$1, SR!$B$1:$D$1, 0) ), "")
</f>
        <v>-0.000643</v>
      </c>
      <c r="J878" s="12">
        <f t="array" ref="J878">IFERROR(
  INDEX(
    SR!$B$2:$D2026,            
    MATCH($A878, SR!$A$2:$A2026, 0),  
    MATCH(J$1, SR!$B$1:$D$1, 0) ), "")
</f>
        <v>0.00221</v>
      </c>
      <c r="K878" s="14"/>
      <c r="L878" s="9">
        <v>119.37</v>
      </c>
      <c r="M878" s="9">
        <v>24.24</v>
      </c>
      <c r="N878" s="9">
        <v>115.3</v>
      </c>
      <c r="O878" s="9">
        <v>118.12</v>
      </c>
      <c r="P878" s="9">
        <v>127.13</v>
      </c>
      <c r="Q878" s="9">
        <v>1442.082</v>
      </c>
      <c r="R878" s="14"/>
      <c r="S878" s="12">
        <f t="shared" si="2"/>
        <v>-0.00009266187834</v>
      </c>
      <c r="T878" s="12">
        <f t="shared" si="3"/>
        <v>0.9999073381</v>
      </c>
      <c r="U878" s="16">
        <f t="shared" si="7"/>
        <v>101.0273752</v>
      </c>
      <c r="V878" s="17"/>
      <c r="W878" s="12">
        <f t="array" ref="W878">SQRT(252/20) *  SQRT( SUMSQ( LN(U857:U876 / U856:U875) )  - (1/20) * ( SUM( LN(U857:U876 / U856:U875) ) ^ 2 ) )</f>
        <v>0.01228373825</v>
      </c>
      <c r="X878" s="9">
        <f t="shared" si="4"/>
        <v>1.5</v>
      </c>
      <c r="Y878" s="14"/>
      <c r="Z878" s="12">
        <f t="shared" si="5"/>
        <v>0.9998661877</v>
      </c>
      <c r="AA878" s="16">
        <f t="shared" si="8"/>
        <v>101.8437551</v>
      </c>
      <c r="AB878" s="14"/>
      <c r="AC878" s="9">
        <f t="shared" si="6"/>
        <v>0</v>
      </c>
    </row>
    <row r="879">
      <c r="A879" s="8">
        <v>42999.0</v>
      </c>
      <c r="B879" s="14"/>
      <c r="C879" s="12">
        <f t="array" ref="C879">IFERROR(
  INDEX(
    IR!$B$2:$E2026,                
    MATCH($A879, IR!$A$2:$A2026, 0), 
    MATCH(C$1, IR!$B$1:$E$1, 0) ), "")
</f>
        <v>-0.00373</v>
      </c>
      <c r="D879" s="12">
        <f t="array" ref="D879">IFERROR(
  INDEX(
    IR!$B$2:$E2026,                
    MATCH($A879, IR!$A$2:$A2026, 0), 
    MATCH(D$1, IR!$B$1:$E$1, 0) ), "")
</f>
        <v>-0.0033</v>
      </c>
      <c r="E879" s="12">
        <f t="array" ref="E879">IFERROR(
  INDEX(
    IR!$B$2:$E2026,                
    MATCH($A879, IR!$A$2:$A2026, 0), 
    MATCH(E$1, IR!$B$1:$E$1, 0) ), "")
</f>
        <v>-0.00272</v>
      </c>
      <c r="F879" s="12">
        <f t="array" ref="F879">IFERROR(
  INDEX(
    IR!$B$2:$E2026,                
    MATCH($A879, IR!$A$2:$A2026, 0), 
    MATCH(F$1, IR!$B$1:$E$1, 0) ), "")
</f>
        <v>-0.00171</v>
      </c>
      <c r="G879" s="25"/>
      <c r="H879" s="12">
        <f t="array" ref="H879">IFERROR(
  INDEX(
    SR!$B$2:$D2026,            
    MATCH($A879, SR!$A$2:$A2026, 0),  
    MATCH(H$1, SR!$B$1:$D$1, 0) ), "")
</f>
        <v>-0.001711</v>
      </c>
      <c r="I879" s="12">
        <f t="array" ref="I879">IFERROR(
  INDEX(
    SR!$B$2:$D2026,            
    MATCH($A879, SR!$A$2:$A2026, 0),  
    MATCH(I$1, SR!$B$1:$D$1, 0) ), "")
</f>
        <v>-0.000503</v>
      </c>
      <c r="J879" s="12">
        <f t="array" ref="J879">IFERROR(
  INDEX(
    SR!$B$2:$D2026,            
    MATCH($A879, SR!$A$2:$A2026, 0),  
    MATCH(J$1, SR!$B$1:$D$1, 0) ), "")
</f>
        <v>0.00239</v>
      </c>
      <c r="K879" s="14"/>
      <c r="L879" s="9">
        <v>119.3</v>
      </c>
      <c r="M879" s="9">
        <v>24.24</v>
      </c>
      <c r="N879" s="9">
        <v>115.29</v>
      </c>
      <c r="O879" s="9">
        <v>117.98</v>
      </c>
      <c r="P879" s="9">
        <v>127.27</v>
      </c>
      <c r="Q879" s="9">
        <v>1440.347</v>
      </c>
      <c r="R879" s="14"/>
      <c r="S879" s="12">
        <f t="shared" si="2"/>
        <v>-0.000326700338</v>
      </c>
      <c r="T879" s="12">
        <f t="shared" si="3"/>
        <v>0.9996732997</v>
      </c>
      <c r="U879" s="16">
        <f t="shared" si="7"/>
        <v>100.9943695</v>
      </c>
      <c r="V879" s="17"/>
      <c r="W879" s="12">
        <f t="array" ref="W879">SQRT(252/20) *  SQRT( SUMSQ( LN(U858:U877 / U857:U876) )  - (1/20) * ( SUM( LN(U858:U877 / U857:U876) ) ^ 2 ) )</f>
        <v>0.01206151977</v>
      </c>
      <c r="X879" s="9">
        <f t="shared" si="4"/>
        <v>1.5</v>
      </c>
      <c r="Y879" s="14"/>
      <c r="Z879" s="12">
        <f t="shared" si="5"/>
        <v>0.99951513</v>
      </c>
      <c r="AA879" s="16">
        <f t="shared" si="8"/>
        <v>101.7943741</v>
      </c>
      <c r="AB879" s="14"/>
      <c r="AC879" s="9">
        <f t="shared" si="6"/>
        <v>0</v>
      </c>
    </row>
    <row r="880">
      <c r="A880" s="8">
        <v>43000.0</v>
      </c>
      <c r="B880" s="14"/>
      <c r="C880" s="12">
        <f t="array" ref="C880">IFERROR(
  INDEX(
    IR!$B$2:$E2026,                
    MATCH($A880, IR!$A$2:$A2026, 0), 
    MATCH(C$1, IR!$B$1:$E$1, 0) ), "")
</f>
        <v>-0.00372</v>
      </c>
      <c r="D880" s="12">
        <f t="array" ref="D880">IFERROR(
  INDEX(
    IR!$B$2:$E2026,                
    MATCH($A880, IR!$A$2:$A2026, 0), 
    MATCH(D$1, IR!$B$1:$E$1, 0) ), "")
</f>
        <v>-0.00329</v>
      </c>
      <c r="E880" s="12">
        <f t="array" ref="E880">IFERROR(
  INDEX(
    IR!$B$2:$E2026,                
    MATCH($A880, IR!$A$2:$A2026, 0), 
    MATCH(E$1, IR!$B$1:$E$1, 0) ), "")
</f>
        <v>-0.00271</v>
      </c>
      <c r="F880" s="12">
        <f t="array" ref="F880">IFERROR(
  INDEX(
    IR!$B$2:$E2026,                
    MATCH($A880, IR!$A$2:$A2026, 0), 
    MATCH(F$1, IR!$B$1:$E$1, 0) ), "")
</f>
        <v>-0.00171</v>
      </c>
      <c r="G880" s="25"/>
      <c r="H880" s="12">
        <f t="array" ref="H880">IFERROR(
  INDEX(
    SR!$B$2:$D2026,            
    MATCH($A880, SR!$A$2:$A2026, 0),  
    MATCH(H$1, SR!$B$1:$D$1, 0) ), "")
</f>
        <v>-0.00169</v>
      </c>
      <c r="I880" s="12">
        <f t="array" ref="I880">IFERROR(
  INDEX(
    SR!$B$2:$D2026,            
    MATCH($A880, SR!$A$2:$A2026, 0),  
    MATCH(I$1, SR!$B$1:$D$1, 0) ), "")
</f>
        <v>-0.000382</v>
      </c>
      <c r="J880" s="12">
        <f t="array" ref="J880">IFERROR(
  INDEX(
    SR!$B$2:$D2026,            
    MATCH($A880, SR!$A$2:$A2026, 0),  
    MATCH(J$1, SR!$B$1:$D$1, 0) ), "")
</f>
        <v>0.0024</v>
      </c>
      <c r="K880" s="14"/>
      <c r="L880" s="9">
        <v>119.32</v>
      </c>
      <c r="M880" s="9">
        <v>24.24</v>
      </c>
      <c r="N880" s="9">
        <v>115.29</v>
      </c>
      <c r="O880" s="9">
        <v>118.05</v>
      </c>
      <c r="P880" s="9">
        <v>127.23</v>
      </c>
      <c r="Q880" s="9">
        <v>1437.611</v>
      </c>
      <c r="R880" s="14"/>
      <c r="S880" s="12">
        <f t="shared" si="2"/>
        <v>-0.0002422379658</v>
      </c>
      <c r="T880" s="12">
        <f t="shared" si="3"/>
        <v>0.999757762</v>
      </c>
      <c r="U880" s="16">
        <f t="shared" si="7"/>
        <v>100.9699048</v>
      </c>
      <c r="V880" s="17"/>
      <c r="W880" s="12">
        <f t="array" ref="W880">SQRT(252/20) *  SQRT( SUMSQ( LN(U859:U878 / U858:U877) )  - (1/20) * ( SUM( LN(U859:U878 / U858:U877) ) ^ 2 ) )</f>
        <v>0.01102164879</v>
      </c>
      <c r="X880" s="9">
        <f t="shared" si="4"/>
        <v>1.5</v>
      </c>
      <c r="Y880" s="14"/>
      <c r="Z880" s="12">
        <f t="shared" si="5"/>
        <v>0.9996418236</v>
      </c>
      <c r="AA880" s="16">
        <f t="shared" si="8"/>
        <v>101.7579138</v>
      </c>
      <c r="AB880" s="14"/>
      <c r="AC880" s="9">
        <f t="shared" si="6"/>
        <v>0</v>
      </c>
    </row>
    <row r="881">
      <c r="A881" s="8">
        <v>43003.0</v>
      </c>
      <c r="B881" s="14"/>
      <c r="C881" s="12">
        <f t="array" ref="C881">IFERROR(
  INDEX(
    IR!$B$2:$E2026,                
    MATCH($A881, IR!$A$2:$A2026, 0), 
    MATCH(C$1, IR!$B$1:$E$1, 0) ), "")
</f>
        <v>-0.00371</v>
      </c>
      <c r="D881" s="12">
        <f t="array" ref="D881">IFERROR(
  INDEX(
    IR!$B$2:$E2026,                
    MATCH($A881, IR!$A$2:$A2026, 0), 
    MATCH(D$1, IR!$B$1:$E$1, 0) ), "")
</f>
        <v>-0.00329</v>
      </c>
      <c r="E881" s="12">
        <f t="array" ref="E881">IFERROR(
  INDEX(
    IR!$B$2:$E2026,                
    MATCH($A881, IR!$A$2:$A2026, 0), 
    MATCH(E$1, IR!$B$1:$E$1, 0) ), "")
</f>
        <v>-0.00272</v>
      </c>
      <c r="F881" s="12">
        <f t="array" ref="F881">IFERROR(
  INDEX(
    IR!$B$2:$E2026,                
    MATCH($A881, IR!$A$2:$A2026, 0), 
    MATCH(F$1, IR!$B$1:$E$1, 0) ), "")
</f>
        <v>-0.00171</v>
      </c>
      <c r="G881" s="25"/>
      <c r="H881" s="12">
        <f t="array" ref="H881">IFERROR(
  INDEX(
    SR!$B$2:$D2026,            
    MATCH($A881, SR!$A$2:$A2026, 0),  
    MATCH(H$1, SR!$B$1:$D$1, 0) ), "")
</f>
        <v>-0.001785</v>
      </c>
      <c r="I881" s="12">
        <f t="array" ref="I881">IFERROR(
  INDEX(
    SR!$B$2:$D2026,            
    MATCH($A881, SR!$A$2:$A2026, 0),  
    MATCH(I$1, SR!$B$1:$D$1, 0) ), "")
</f>
        <v>-0.00064</v>
      </c>
      <c r="J881" s="12">
        <f t="array" ref="J881">IFERROR(
  INDEX(
    SR!$B$2:$D2026,            
    MATCH($A881, SR!$A$2:$A2026, 0),  
    MATCH(J$1, SR!$B$1:$D$1, 0) ), "")
</f>
        <v>0.0021</v>
      </c>
      <c r="K881" s="14"/>
      <c r="L881" s="9">
        <v>119.12</v>
      </c>
      <c r="M881" s="9">
        <v>24.26</v>
      </c>
      <c r="N881" s="9">
        <v>115.29</v>
      </c>
      <c r="O881" s="9">
        <v>118.08</v>
      </c>
      <c r="P881" s="9">
        <v>127.25</v>
      </c>
      <c r="Q881" s="9">
        <v>1436.619</v>
      </c>
      <c r="R881" s="14"/>
      <c r="S881" s="12">
        <f t="shared" si="2"/>
        <v>-0.0001882921613</v>
      </c>
      <c r="T881" s="12">
        <f t="shared" si="3"/>
        <v>0.9998117078</v>
      </c>
      <c r="U881" s="16">
        <f t="shared" si="7"/>
        <v>100.950893</v>
      </c>
      <c r="V881" s="17"/>
      <c r="W881" s="12">
        <f t="array" ref="W881">SQRT(252/20) *  SQRT( SUMSQ( LN(U860:U879 / U859:U878) )  - (1/20) * ( SUM( LN(U860:U879 / U859:U878) ) ^ 2 ) )</f>
        <v>0.01015331164</v>
      </c>
      <c r="X881" s="9">
        <f t="shared" si="4"/>
        <v>1.5</v>
      </c>
      <c r="Y881" s="14"/>
      <c r="Z881" s="12">
        <f t="shared" si="5"/>
        <v>0.9997330618</v>
      </c>
      <c r="AA881" s="16">
        <f t="shared" si="8"/>
        <v>101.7307507</v>
      </c>
      <c r="AB881" s="14"/>
      <c r="AC881" s="9">
        <f t="shared" si="6"/>
        <v>0</v>
      </c>
    </row>
    <row r="882">
      <c r="A882" s="8">
        <v>43004.0</v>
      </c>
      <c r="B882" s="14"/>
      <c r="C882" s="12">
        <f t="array" ref="C882">IFERROR(
  INDEX(
    IR!$B$2:$E2026,                
    MATCH($A882, IR!$A$2:$A2026, 0), 
    MATCH(C$1, IR!$B$1:$E$1, 0) ), "")
</f>
        <v>-0.00371</v>
      </c>
      <c r="D882" s="12">
        <f t="array" ref="D882">IFERROR(
  INDEX(
    IR!$B$2:$E2026,                
    MATCH($A882, IR!$A$2:$A2026, 0), 
    MATCH(D$1, IR!$B$1:$E$1, 0) ), "")
</f>
        <v>-0.00329</v>
      </c>
      <c r="E882" s="12">
        <f t="array" ref="E882">IFERROR(
  INDEX(
    IR!$B$2:$E2026,                
    MATCH($A882, IR!$A$2:$A2026, 0), 
    MATCH(E$1, IR!$B$1:$E$1, 0) ), "")
</f>
        <v>-0.00273</v>
      </c>
      <c r="F882" s="12">
        <f t="array" ref="F882">IFERROR(
  INDEX(
    IR!$B$2:$E2026,                
    MATCH($A882, IR!$A$2:$A2026, 0), 
    MATCH(F$1, IR!$B$1:$E$1, 0) ), "")
</f>
        <v>-0.00171</v>
      </c>
      <c r="G882" s="25"/>
      <c r="H882" s="12">
        <f t="array" ref="H882">IFERROR(
  INDEX(
    SR!$B$2:$D2026,            
    MATCH($A882, SR!$A$2:$A2026, 0),  
    MATCH(H$1, SR!$B$1:$D$1, 0) ), "")
</f>
        <v>-0.00174</v>
      </c>
      <c r="I882" s="12">
        <f t="array" ref="I882">IFERROR(
  INDEX(
    SR!$B$2:$D2026,            
    MATCH($A882, SR!$A$2:$A2026, 0),  
    MATCH(I$1, SR!$B$1:$D$1, 0) ), "")
</f>
        <v>-0.0006</v>
      </c>
      <c r="J882" s="12">
        <f t="array" ref="J882">IFERROR(
  INDEX(
    SR!$B$2:$D2026,            
    MATCH($A882, SR!$A$2:$A2026, 0),  
    MATCH(J$1, SR!$B$1:$D$1, 0) ), "")
</f>
        <v>0.00217</v>
      </c>
      <c r="K882" s="14"/>
      <c r="L882" s="9">
        <v>119.12</v>
      </c>
      <c r="M882" s="9">
        <v>24.26</v>
      </c>
      <c r="N882" s="9">
        <v>115.3</v>
      </c>
      <c r="O882" s="9">
        <v>118.32</v>
      </c>
      <c r="P882" s="9">
        <v>127.23</v>
      </c>
      <c r="Q882" s="9">
        <v>1433.497</v>
      </c>
      <c r="R882" s="14"/>
      <c r="S882" s="12">
        <f t="shared" si="2"/>
        <v>-0.00003538170372</v>
      </c>
      <c r="T882" s="12">
        <f t="shared" si="3"/>
        <v>0.9999646183</v>
      </c>
      <c r="U882" s="16">
        <f t="shared" si="7"/>
        <v>100.9473212</v>
      </c>
      <c r="V882" s="17"/>
      <c r="W882" s="12">
        <f t="array" ref="W882">SQRT(252/20) *  SQRT( SUMSQ( LN(U861:U880 / U860:U879) )  - (1/20) * ( SUM( LN(U861:U880 / U860:U879) ) ^ 2 ) )</f>
        <v>0.0102173891</v>
      </c>
      <c r="X882" s="9">
        <f t="shared" si="4"/>
        <v>1.5</v>
      </c>
      <c r="Y882" s="14"/>
      <c r="Z882" s="12">
        <f t="shared" si="5"/>
        <v>0.9999520802</v>
      </c>
      <c r="AA882" s="16">
        <f t="shared" si="8"/>
        <v>101.7258758</v>
      </c>
      <c r="AB882" s="14"/>
      <c r="AC882" s="9">
        <f t="shared" si="6"/>
        <v>0</v>
      </c>
    </row>
    <row r="883">
      <c r="A883" s="8">
        <v>43005.0</v>
      </c>
      <c r="B883" s="14"/>
      <c r="C883" s="12">
        <f t="array" ref="C883">IFERROR(
  INDEX(
    IR!$B$2:$E2026,                
    MATCH($A883, IR!$A$2:$A2026, 0), 
    MATCH(C$1, IR!$B$1:$E$1, 0) ), "")
</f>
        <v>-0.00372</v>
      </c>
      <c r="D883" s="12">
        <f t="array" ref="D883">IFERROR(
  INDEX(
    IR!$B$2:$E2026,                
    MATCH($A883, IR!$A$2:$A2026, 0), 
    MATCH(D$1, IR!$B$1:$E$1, 0) ), "")
</f>
        <v>-0.00329</v>
      </c>
      <c r="E883" s="12">
        <f t="array" ref="E883">IFERROR(
  INDEX(
    IR!$B$2:$E2026,                
    MATCH($A883, IR!$A$2:$A2026, 0), 
    MATCH(E$1, IR!$B$1:$E$1, 0) ), "")
</f>
        <v>-0.00273</v>
      </c>
      <c r="F883" s="12">
        <f t="array" ref="F883">IFERROR(
  INDEX(
    IR!$B$2:$E2026,                
    MATCH($A883, IR!$A$2:$A2026, 0), 
    MATCH(F$1, IR!$B$1:$E$1, 0) ), "")
</f>
        <v>-0.00171</v>
      </c>
      <c r="G883" s="25"/>
      <c r="H883" s="12">
        <f t="array" ref="H883">IFERROR(
  INDEX(
    SR!$B$2:$D2026,            
    MATCH($A883, SR!$A$2:$A2026, 0),  
    MATCH(H$1, SR!$B$1:$D$1, 0) ), "")
</f>
        <v>-0.00167</v>
      </c>
      <c r="I883" s="12">
        <f t="array" ref="I883">IFERROR(
  INDEX(
    SR!$B$2:$D2026,            
    MATCH($A883, SR!$A$2:$A2026, 0),  
    MATCH(I$1, SR!$B$1:$D$1, 0) ), "")
</f>
        <v>-0.000454</v>
      </c>
      <c r="J883" s="12">
        <f t="array" ref="J883">IFERROR(
  INDEX(
    SR!$B$2:$D2026,            
    MATCH($A883, SR!$A$2:$A2026, 0),  
    MATCH(J$1, SR!$B$1:$D$1, 0) ), "")
</f>
        <v>0.002468</v>
      </c>
      <c r="K883" s="14"/>
      <c r="L883" s="9">
        <v>119.12</v>
      </c>
      <c r="M883" s="9">
        <v>24.26</v>
      </c>
      <c r="N883" s="9">
        <v>115.29</v>
      </c>
      <c r="O883" s="9">
        <v>118.23</v>
      </c>
      <c r="P883" s="9">
        <v>127.27</v>
      </c>
      <c r="Q883" s="9">
        <v>1433.759</v>
      </c>
      <c r="R883" s="14"/>
      <c r="S883" s="12">
        <f t="shared" si="2"/>
        <v>-0.00005832808651</v>
      </c>
      <c r="T883" s="12">
        <f t="shared" si="3"/>
        <v>0.9999416719</v>
      </c>
      <c r="U883" s="16">
        <f t="shared" si="7"/>
        <v>100.9414331</v>
      </c>
      <c r="V883" s="17"/>
      <c r="W883" s="12">
        <f t="array" ref="W883">SQRT(252/20) *  SQRT( SUMSQ( LN(U862:U881 / U861:U880) )  - (1/20) * ( SUM( LN(U862:U881 / U861:U880) ) ^ 2 ) )</f>
        <v>0.01023880178</v>
      </c>
      <c r="X883" s="9">
        <f t="shared" si="4"/>
        <v>1.5</v>
      </c>
      <c r="Y883" s="14"/>
      <c r="Z883" s="12">
        <f t="shared" si="5"/>
        <v>0.9999176606</v>
      </c>
      <c r="AA883" s="16">
        <f t="shared" si="8"/>
        <v>101.7174997</v>
      </c>
      <c r="AB883" s="14"/>
      <c r="AC883" s="9">
        <f t="shared" si="6"/>
        <v>0</v>
      </c>
    </row>
    <row r="884">
      <c r="A884" s="8">
        <v>43006.0</v>
      </c>
      <c r="B884" s="14"/>
      <c r="C884" s="12">
        <f t="array" ref="C884">IFERROR(
  INDEX(
    IR!$B$2:$E2026,                
    MATCH($A884, IR!$A$2:$A2026, 0), 
    MATCH(C$1, IR!$B$1:$E$1, 0) ), "")
</f>
        <v>-0.00372</v>
      </c>
      <c r="D884" s="12">
        <f t="array" ref="D884">IFERROR(
  INDEX(
    IR!$B$2:$E2026,                
    MATCH($A884, IR!$A$2:$A2026, 0), 
    MATCH(D$1, IR!$B$1:$E$1, 0) ), "")
</f>
        <v>-0.00329</v>
      </c>
      <c r="E884" s="12">
        <f t="array" ref="E884">IFERROR(
  INDEX(
    IR!$B$2:$E2026,                
    MATCH($A884, IR!$A$2:$A2026, 0), 
    MATCH(E$1, IR!$B$1:$E$1, 0) ), "")
</f>
        <v>-0.00273</v>
      </c>
      <c r="F884" s="12">
        <f t="array" ref="F884">IFERROR(
  INDEX(
    IR!$B$2:$E2026,                
    MATCH($A884, IR!$A$2:$A2026, 0), 
    MATCH(F$1, IR!$B$1:$E$1, 0) ), "")
</f>
        <v>-0.00172</v>
      </c>
      <c r="G884" s="25"/>
      <c r="H884" s="12">
        <f t="array" ref="H884">IFERROR(
  INDEX(
    SR!$B$2:$D2026,            
    MATCH($A884, SR!$A$2:$A2026, 0),  
    MATCH(H$1, SR!$B$1:$D$1, 0) ), "")
</f>
        <v>-0.00166</v>
      </c>
      <c r="I884" s="12">
        <f t="array" ref="I884">IFERROR(
  INDEX(
    SR!$B$2:$D2026,            
    MATCH($A884, SR!$A$2:$A2026, 0),  
    MATCH(I$1, SR!$B$1:$D$1, 0) ), "")
</f>
        <v>-0.000449</v>
      </c>
      <c r="J884" s="12">
        <f t="array" ref="J884">IFERROR(
  INDEX(
    SR!$B$2:$D2026,            
    MATCH($A884, SR!$A$2:$A2026, 0),  
    MATCH(J$1, SR!$B$1:$D$1, 0) ), "")
</f>
        <v>0.00249</v>
      </c>
      <c r="K884" s="14"/>
      <c r="L884" s="9">
        <v>119.08</v>
      </c>
      <c r="M884" s="9">
        <v>24.25</v>
      </c>
      <c r="N884" s="9">
        <v>115.28</v>
      </c>
      <c r="O884" s="9">
        <v>117.98</v>
      </c>
      <c r="P884" s="9">
        <v>127.51</v>
      </c>
      <c r="Q884" s="9">
        <v>1437.081</v>
      </c>
      <c r="R884" s="14"/>
      <c r="S884" s="12">
        <f t="shared" si="2"/>
        <v>0.000209062083</v>
      </c>
      <c r="T884" s="12">
        <f t="shared" si="3"/>
        <v>1.000209062</v>
      </c>
      <c r="U884" s="16">
        <f t="shared" si="7"/>
        <v>100.9625361</v>
      </c>
      <c r="V884" s="17"/>
      <c r="W884" s="12">
        <f t="array" ref="W884">SQRT(252/20) *  SQRT( SUMSQ( LN(U863:U882 / U862:U881) )  - (1/20) * ( SUM( LN(U863:U882 / U862:U881) ) ^ 2 ) )</f>
        <v>0.009375549047</v>
      </c>
      <c r="X884" s="9">
        <f t="shared" si="4"/>
        <v>1.5</v>
      </c>
      <c r="Y884" s="14"/>
      <c r="Z884" s="12">
        <f t="shared" si="5"/>
        <v>1.00031876</v>
      </c>
      <c r="AA884" s="16">
        <f t="shared" si="8"/>
        <v>101.7499232</v>
      </c>
      <c r="AB884" s="14"/>
      <c r="AC884" s="9">
        <f t="shared" si="6"/>
        <v>0</v>
      </c>
    </row>
    <row r="885">
      <c r="A885" s="8">
        <v>43007.0</v>
      </c>
      <c r="B885" s="14"/>
      <c r="C885" s="12">
        <f t="array" ref="C885">IFERROR(
  INDEX(
    IR!$B$2:$E2026,                
    MATCH($A885, IR!$A$2:$A2026, 0), 
    MATCH(C$1, IR!$B$1:$E$1, 0) ), "")
</f>
        <v>-0.00372</v>
      </c>
      <c r="D885" s="12">
        <f t="array" ref="D885">IFERROR(
  INDEX(
    IR!$B$2:$E2026,                
    MATCH($A885, IR!$A$2:$A2026, 0), 
    MATCH(D$1, IR!$B$1:$E$1, 0) ), "")
</f>
        <v>-0.00329</v>
      </c>
      <c r="E885" s="12">
        <f t="array" ref="E885">IFERROR(
  INDEX(
    IR!$B$2:$E2026,                
    MATCH($A885, IR!$A$2:$A2026, 0), 
    MATCH(E$1, IR!$B$1:$E$1, 0) ), "")
</f>
        <v>-0.00273</v>
      </c>
      <c r="F885" s="12">
        <f t="array" ref="F885">IFERROR(
  INDEX(
    IR!$B$2:$E2026,                
    MATCH($A885, IR!$A$2:$A2026, 0), 
    MATCH(F$1, IR!$B$1:$E$1, 0) ), "")
</f>
        <v>-0.00172</v>
      </c>
      <c r="G885" s="25"/>
      <c r="H885" s="12">
        <f t="array" ref="H885">IFERROR(
  INDEX(
    SR!$B$2:$D2026,            
    MATCH($A885, SR!$A$2:$A2026, 0),  
    MATCH(H$1, SR!$B$1:$D$1, 0) ), "")
</f>
        <v>-0.001655</v>
      </c>
      <c r="I885" s="12">
        <f t="array" ref="I885">IFERROR(
  INDEX(
    SR!$B$2:$D2026,            
    MATCH($A885, SR!$A$2:$A2026, 0),  
    MATCH(I$1, SR!$B$1:$D$1, 0) ), "")
</f>
        <v>-0.000435</v>
      </c>
      <c r="J885" s="12">
        <f t="array" ref="J885">IFERROR(
  INDEX(
    SR!$B$2:$D2026,            
    MATCH($A885, SR!$A$2:$A2026, 0),  
    MATCH(J$1, SR!$B$1:$D$1, 0) ), "")
</f>
        <v>0.002493</v>
      </c>
      <c r="K885" s="14"/>
      <c r="L885" s="9">
        <v>119.26</v>
      </c>
      <c r="M885" s="9">
        <v>24.24</v>
      </c>
      <c r="N885" s="9">
        <v>115.32</v>
      </c>
      <c r="O885" s="9">
        <v>117.99</v>
      </c>
      <c r="P885" s="9">
        <v>127.44</v>
      </c>
      <c r="Q885" s="9">
        <v>1438.505</v>
      </c>
      <c r="R885" s="14"/>
      <c r="S885" s="12">
        <f t="shared" si="2"/>
        <v>0.0003287809103</v>
      </c>
      <c r="T885" s="12">
        <f t="shared" si="3"/>
        <v>1.000328781</v>
      </c>
      <c r="U885" s="16">
        <f t="shared" si="7"/>
        <v>100.9957307</v>
      </c>
      <c r="V885" s="17"/>
      <c r="W885" s="12">
        <f t="array" ref="W885">SQRT(252/20) *  SQRT( SUMSQ( LN(U864:U883 / U863:U882) )  - (1/20) * ( SUM( LN(U864:U883 / U863:U882) ) ^ 2 ) )</f>
        <v>0.008724536892</v>
      </c>
      <c r="X885" s="9">
        <f t="shared" si="4"/>
        <v>1.5</v>
      </c>
      <c r="Y885" s="14"/>
      <c r="Z885" s="12">
        <f t="shared" si="5"/>
        <v>1.000498338</v>
      </c>
      <c r="AA885" s="16">
        <f t="shared" si="8"/>
        <v>101.800629</v>
      </c>
      <c r="AB885" s="14"/>
      <c r="AC885" s="9">
        <f t="shared" si="6"/>
        <v>0</v>
      </c>
    </row>
    <row r="886">
      <c r="A886" s="8">
        <v>43010.0</v>
      </c>
      <c r="B886" s="14"/>
      <c r="C886" s="12">
        <f t="array" ref="C886">IFERROR(
  INDEX(
    IR!$B$2:$E2026,                
    MATCH($A886, IR!$A$2:$A2026, 0), 
    MATCH(C$1, IR!$B$1:$E$1, 0) ), "")
</f>
        <v>-0.00373</v>
      </c>
      <c r="D886" s="12">
        <f t="array" ref="D886">IFERROR(
  INDEX(
    IR!$B$2:$E2026,                
    MATCH($A886, IR!$A$2:$A2026, 0), 
    MATCH(D$1, IR!$B$1:$E$1, 0) ), "")
</f>
        <v>-0.00329</v>
      </c>
      <c r="E886" s="12">
        <f t="array" ref="E886">IFERROR(
  INDEX(
    IR!$B$2:$E2026,                
    MATCH($A886, IR!$A$2:$A2026, 0), 
    MATCH(E$1, IR!$B$1:$E$1, 0) ), "")
</f>
        <v>-0.00272</v>
      </c>
      <c r="F886" s="12">
        <f t="array" ref="F886">IFERROR(
  INDEX(
    IR!$B$2:$E2026,                
    MATCH($A886, IR!$A$2:$A2026, 0), 
    MATCH(F$1, IR!$B$1:$E$1, 0) ), "")
</f>
        <v>-0.00172</v>
      </c>
      <c r="G886" s="25"/>
      <c r="H886" s="12">
        <f t="array" ref="H886">IFERROR(
  INDEX(
    SR!$B$2:$D2026,            
    MATCH($A886, SR!$A$2:$A2026, 0),  
    MATCH(H$1, SR!$B$1:$D$1, 0) ), "")
</f>
        <v>-0.001682</v>
      </c>
      <c r="I886" s="12">
        <f t="array" ref="I886">IFERROR(
  INDEX(
    SR!$B$2:$D2026,            
    MATCH($A886, SR!$A$2:$A2026, 0),  
    MATCH(I$1, SR!$B$1:$D$1, 0) ), "")
</f>
        <v>-0.00044</v>
      </c>
      <c r="J886" s="12">
        <f t="array" ref="J886">IFERROR(
  INDEX(
    SR!$B$2:$D2026,            
    MATCH($A886, SR!$A$2:$A2026, 0),  
    MATCH(J$1, SR!$B$1:$D$1, 0) ), "")
</f>
        <v>0.00244</v>
      </c>
      <c r="K886" s="14"/>
      <c r="L886" s="9">
        <v>119.31</v>
      </c>
      <c r="M886" s="9">
        <v>24.25</v>
      </c>
      <c r="N886" s="9">
        <v>115.33</v>
      </c>
      <c r="O886" s="9">
        <v>118.14</v>
      </c>
      <c r="P886" s="9">
        <v>127.8</v>
      </c>
      <c r="Q886" s="9">
        <v>1441.707</v>
      </c>
      <c r="R886" s="14"/>
      <c r="S886" s="12">
        <f t="shared" si="2"/>
        <v>0.001206503807</v>
      </c>
      <c r="T886" s="12">
        <f t="shared" si="3"/>
        <v>1.001206504</v>
      </c>
      <c r="U886" s="16">
        <f t="shared" si="7"/>
        <v>101.1175824</v>
      </c>
      <c r="V886" s="17"/>
      <c r="W886" s="12">
        <f t="array" ref="W886">SQRT(252/20) *  SQRT( SUMSQ( LN(U865:U884 / U864:U883) )  - (1/20) * ( SUM( LN(U865:U884 / U864:U883) ) ^ 2 ) )</f>
        <v>0.007952447545</v>
      </c>
      <c r="X886" s="9">
        <f t="shared" si="4"/>
        <v>1.5</v>
      </c>
      <c r="Y886" s="14"/>
      <c r="Z886" s="12">
        <f t="shared" si="5"/>
        <v>1.001825256</v>
      </c>
      <c r="AA886" s="16">
        <f t="shared" si="8"/>
        <v>101.9864412</v>
      </c>
      <c r="AB886" s="14"/>
      <c r="AC886" s="9">
        <f t="shared" si="6"/>
        <v>0</v>
      </c>
    </row>
    <row r="887">
      <c r="A887" s="8">
        <v>43011.0</v>
      </c>
      <c r="B887" s="14"/>
      <c r="C887" s="12">
        <f t="array" ref="C887">IFERROR(
  INDEX(
    IR!$B$2:$E2026,                
    MATCH($A887, IR!$A$2:$A2026, 0), 
    MATCH(C$1, IR!$B$1:$E$1, 0) ), "")
</f>
        <v>-0.00373</v>
      </c>
      <c r="D887" s="12">
        <f t="array" ref="D887">IFERROR(
  INDEX(
    IR!$B$2:$E2026,                
    MATCH($A887, IR!$A$2:$A2026, 0), 
    MATCH(D$1, IR!$B$1:$E$1, 0) ), "")
</f>
        <v>-0.0033</v>
      </c>
      <c r="E887" s="12">
        <f t="array" ref="E887">IFERROR(
  INDEX(
    IR!$B$2:$E2026,                
    MATCH($A887, IR!$A$2:$A2026, 0), 
    MATCH(E$1, IR!$B$1:$E$1, 0) ), "")
</f>
        <v>-0.00273</v>
      </c>
      <c r="F887" s="12">
        <f t="array" ref="F887">IFERROR(
  INDEX(
    IR!$B$2:$E2026,                
    MATCH($A887, IR!$A$2:$A2026, 0), 
    MATCH(F$1, IR!$B$1:$E$1, 0) ), "")
</f>
        <v>-0.00171</v>
      </c>
      <c r="G887" s="25"/>
      <c r="H887" s="12">
        <f t="array" ref="H887">IFERROR(
  INDEX(
    SR!$B$2:$D2026,            
    MATCH($A887, SR!$A$2:$A2026, 0),  
    MATCH(H$1, SR!$B$1:$D$1, 0) ), "")
</f>
        <v>-0.001695</v>
      </c>
      <c r="I887" s="12">
        <f t="array" ref="I887">IFERROR(
  INDEX(
    SR!$B$2:$D2026,            
    MATCH($A887, SR!$A$2:$A2026, 0),  
    MATCH(I$1, SR!$B$1:$D$1, 0) ), "")
</f>
        <v>-0.00046</v>
      </c>
      <c r="J887" s="12">
        <f t="array" ref="J887">IFERROR(
  INDEX(
    SR!$B$2:$D2026,            
    MATCH($A887, SR!$A$2:$A2026, 0),  
    MATCH(J$1, SR!$B$1:$D$1, 0) ), "")
</f>
        <v>0.002444</v>
      </c>
      <c r="K887" s="14"/>
      <c r="L887" s="9">
        <v>119.35</v>
      </c>
      <c r="M887" s="9">
        <v>24.25</v>
      </c>
      <c r="N887" s="9">
        <v>115.33</v>
      </c>
      <c r="O887" s="9">
        <v>118.16</v>
      </c>
      <c r="P887" s="9">
        <v>128.07</v>
      </c>
      <c r="Q887" s="9">
        <v>1445.76</v>
      </c>
      <c r="R887" s="14"/>
      <c r="S887" s="12">
        <f t="shared" si="2"/>
        <v>0.000904665667</v>
      </c>
      <c r="T887" s="12">
        <f t="shared" si="3"/>
        <v>1.000904666</v>
      </c>
      <c r="U887" s="16">
        <f t="shared" si="7"/>
        <v>101.20906</v>
      </c>
      <c r="V887" s="17"/>
      <c r="W887" s="12">
        <f t="array" ref="W887">SQRT(252/20) *  SQRT( SUMSQ( LN(U866:U885 / U865:U884) )  - (1/20) * ( SUM( LN(U866:U885 / U865:U884) ) ^ 2 ) )</f>
        <v>0.006881288025</v>
      </c>
      <c r="X887" s="9">
        <f t="shared" si="4"/>
        <v>1.5</v>
      </c>
      <c r="Y887" s="14"/>
      <c r="Z887" s="12">
        <f t="shared" si="5"/>
        <v>1.001362179</v>
      </c>
      <c r="AA887" s="16">
        <f t="shared" si="8"/>
        <v>102.125365</v>
      </c>
      <c r="AB887" s="14"/>
      <c r="AC887" s="9">
        <f t="shared" si="6"/>
        <v>0</v>
      </c>
    </row>
    <row r="888">
      <c r="A888" s="8">
        <v>43012.0</v>
      </c>
      <c r="B888" s="14"/>
      <c r="C888" s="12">
        <f t="array" ref="C888">IFERROR(
  INDEX(
    IR!$B$2:$E2026,                
    MATCH($A888, IR!$A$2:$A2026, 0), 
    MATCH(C$1, IR!$B$1:$E$1, 0) ), "")
</f>
        <v>-0.00373</v>
      </c>
      <c r="D888" s="12">
        <f t="array" ref="D888">IFERROR(
  INDEX(
    IR!$B$2:$E2026,                
    MATCH($A888, IR!$A$2:$A2026, 0), 
    MATCH(D$1, IR!$B$1:$E$1, 0) ), "")
</f>
        <v>-0.00329</v>
      </c>
      <c r="E888" s="12">
        <f t="array" ref="E888">IFERROR(
  INDEX(
    IR!$B$2:$E2026,                
    MATCH($A888, IR!$A$2:$A2026, 0), 
    MATCH(E$1, IR!$B$1:$E$1, 0) ), "")
</f>
        <v>-0.00273</v>
      </c>
      <c r="F888" s="12">
        <f t="array" ref="F888">IFERROR(
  INDEX(
    IR!$B$2:$E2026,                
    MATCH($A888, IR!$A$2:$A2026, 0), 
    MATCH(F$1, IR!$B$1:$E$1, 0) ), "")
</f>
        <v>-0.00168</v>
      </c>
      <c r="G888" s="25"/>
      <c r="H888" s="12">
        <f t="array" ref="H888">IFERROR(
  INDEX(
    SR!$B$2:$D2026,            
    MATCH($A888, SR!$A$2:$A2026, 0),  
    MATCH(H$1, SR!$B$1:$D$1, 0) ), "")
</f>
        <v>-0.001695</v>
      </c>
      <c r="I888" s="12">
        <f t="array" ref="I888">IFERROR(
  INDEX(
    SR!$B$2:$D2026,            
    MATCH($A888, SR!$A$2:$A2026, 0),  
    MATCH(I$1, SR!$B$1:$D$1, 0) ), "")
</f>
        <v>-0.00046</v>
      </c>
      <c r="J888" s="12">
        <f t="array" ref="J888">IFERROR(
  INDEX(
    SR!$B$2:$D2026,            
    MATCH($A888, SR!$A$2:$A2026, 0),  
    MATCH(J$1, SR!$B$1:$D$1, 0) ), "")
</f>
        <v>0.002411</v>
      </c>
      <c r="K888" s="14"/>
      <c r="L888" s="9">
        <v>119.29</v>
      </c>
      <c r="M888" s="9">
        <v>24.25</v>
      </c>
      <c r="N888" s="9">
        <v>115.34</v>
      </c>
      <c r="O888" s="9">
        <v>118.18</v>
      </c>
      <c r="P888" s="9">
        <v>128.24</v>
      </c>
      <c r="Q888" s="9">
        <v>1447.838</v>
      </c>
      <c r="R888" s="14"/>
      <c r="S888" s="12">
        <f t="shared" si="2"/>
        <v>0.0004196345424</v>
      </c>
      <c r="T888" s="12">
        <f t="shared" si="3"/>
        <v>1.000419635</v>
      </c>
      <c r="U888" s="16">
        <f t="shared" si="7"/>
        <v>101.2515308</v>
      </c>
      <c r="V888" s="17"/>
      <c r="W888" s="12">
        <f t="array" ref="W888">SQRT(252/20) *  SQRT( SUMSQ( LN(U867:U886 / U866:U885) )  - (1/20) * ( SUM( LN(U867:U886 / U866:U885) ) ^ 2 ) )</f>
        <v>0.007775809582</v>
      </c>
      <c r="X888" s="9">
        <f t="shared" si="4"/>
        <v>1.5</v>
      </c>
      <c r="Y888" s="14"/>
      <c r="Z888" s="12">
        <f t="shared" si="5"/>
        <v>1.000634632</v>
      </c>
      <c r="AA888" s="16">
        <f t="shared" si="8"/>
        <v>102.1901771</v>
      </c>
      <c r="AB888" s="14"/>
      <c r="AC888" s="9">
        <f t="shared" si="6"/>
        <v>0</v>
      </c>
    </row>
    <row r="889">
      <c r="A889" s="8">
        <v>43013.0</v>
      </c>
      <c r="B889" s="14"/>
      <c r="C889" s="12">
        <f t="array" ref="C889">IFERROR(
  INDEX(
    IR!$B$2:$E2026,                
    MATCH($A889, IR!$A$2:$A2026, 0), 
    MATCH(C$1, IR!$B$1:$E$1, 0) ), "")
</f>
        <v>-0.00372</v>
      </c>
      <c r="D889" s="12">
        <f t="array" ref="D889">IFERROR(
  INDEX(
    IR!$B$2:$E2026,                
    MATCH($A889, IR!$A$2:$A2026, 0), 
    MATCH(D$1, IR!$B$1:$E$1, 0) ), "")
</f>
        <v>-0.00329</v>
      </c>
      <c r="E889" s="12">
        <f t="array" ref="E889">IFERROR(
  INDEX(
    IR!$B$2:$E2026,                
    MATCH($A889, IR!$A$2:$A2026, 0), 
    MATCH(E$1, IR!$B$1:$E$1, 0) ), "")
</f>
        <v>-0.00272</v>
      </c>
      <c r="F889" s="12">
        <f t="array" ref="F889">IFERROR(
  INDEX(
    IR!$B$2:$E2026,                
    MATCH($A889, IR!$A$2:$A2026, 0), 
    MATCH(F$1, IR!$B$1:$E$1, 0) ), "")
</f>
        <v>-0.00171</v>
      </c>
      <c r="G889" s="25"/>
      <c r="H889" s="12">
        <f t="array" ref="H889">IFERROR(
  INDEX(
    SR!$B$2:$D2026,            
    MATCH($A889, SR!$A$2:$A2026, 0),  
    MATCH(H$1, SR!$B$1:$D$1, 0) ), "")
</f>
        <v>-0.001686</v>
      </c>
      <c r="I889" s="12">
        <f t="array" ref="I889">IFERROR(
  INDEX(
    SR!$B$2:$D2026,            
    MATCH($A889, SR!$A$2:$A2026, 0),  
    MATCH(I$1, SR!$B$1:$D$1, 0) ), "")
</f>
        <v>-0.000446</v>
      </c>
      <c r="J889" s="12">
        <f t="array" ref="J889">IFERROR(
  INDEX(
    SR!$B$2:$D2026,            
    MATCH($A889, SR!$A$2:$A2026, 0),  
    MATCH(J$1, SR!$B$1:$D$1, 0) ), "")
</f>
        <v>0.00239</v>
      </c>
      <c r="K889" s="14"/>
      <c r="L889" s="9">
        <v>119.35</v>
      </c>
      <c r="M889" s="9">
        <v>24.25</v>
      </c>
      <c r="N889" s="9">
        <v>115.32</v>
      </c>
      <c r="O889" s="9">
        <v>118.21</v>
      </c>
      <c r="P889" s="9">
        <v>128.37</v>
      </c>
      <c r="Q889" s="9">
        <v>1448.655</v>
      </c>
      <c r="R889" s="14"/>
      <c r="S889" s="12">
        <f t="shared" si="2"/>
        <v>0.0003601522558</v>
      </c>
      <c r="T889" s="12">
        <f t="shared" si="3"/>
        <v>1.000360152</v>
      </c>
      <c r="U889" s="16">
        <f t="shared" si="7"/>
        <v>101.2879968</v>
      </c>
      <c r="V889" s="17"/>
      <c r="W889" s="12">
        <f t="array" ref="W889">SQRT(252/20) *  SQRT( SUMSQ( LN(U868:U887 / U867:U886) )  - (1/20) * ( SUM( LN(U868:U887 / U867:U886) ) ^ 2 ) )</f>
        <v>0.007881614932</v>
      </c>
      <c r="X889" s="9">
        <f t="shared" si="4"/>
        <v>1.5</v>
      </c>
      <c r="Y889" s="14"/>
      <c r="Z889" s="12">
        <f t="shared" si="5"/>
        <v>1.000545409</v>
      </c>
      <c r="AA889" s="16">
        <f t="shared" si="8"/>
        <v>102.2459125</v>
      </c>
      <c r="AB889" s="14"/>
      <c r="AC889" s="9">
        <f t="shared" si="6"/>
        <v>0</v>
      </c>
    </row>
    <row r="890">
      <c r="A890" s="8">
        <v>43014.0</v>
      </c>
      <c r="B890" s="14"/>
      <c r="C890" s="12">
        <f t="array" ref="C890">IFERROR(
  INDEX(
    IR!$B$2:$E2026,                
    MATCH($A890, IR!$A$2:$A2026, 0), 
    MATCH(C$1, IR!$B$1:$E$1, 0) ), "")
</f>
        <v>-0.00373</v>
      </c>
      <c r="D890" s="12">
        <f t="array" ref="D890">IFERROR(
  INDEX(
    IR!$B$2:$E2026,                
    MATCH($A890, IR!$A$2:$A2026, 0), 
    MATCH(D$1, IR!$B$1:$E$1, 0) ), "")
</f>
        <v>-0.00329</v>
      </c>
      <c r="E890" s="12">
        <f t="array" ref="E890">IFERROR(
  INDEX(
    IR!$B$2:$E2026,                
    MATCH($A890, IR!$A$2:$A2026, 0), 
    MATCH(E$1, IR!$B$1:$E$1, 0) ), "")
</f>
        <v>-0.00273</v>
      </c>
      <c r="F890" s="12">
        <f t="array" ref="F890">IFERROR(
  INDEX(
    IR!$B$2:$E2026,                
    MATCH($A890, IR!$A$2:$A2026, 0), 
    MATCH(F$1, IR!$B$1:$E$1, 0) ), "")
</f>
        <v>-0.00173</v>
      </c>
      <c r="G890" s="25"/>
      <c r="H890" s="12">
        <f t="array" ref="H890">IFERROR(
  INDEX(
    SR!$B$2:$D2026,            
    MATCH($A890, SR!$A$2:$A2026, 0),  
    MATCH(H$1, SR!$B$1:$D$1, 0) ), "")
</f>
        <v>-0.00165</v>
      </c>
      <c r="I890" s="12">
        <f t="array" ref="I890">IFERROR(
  INDEX(
    SR!$B$2:$D2026,            
    MATCH($A890, SR!$A$2:$A2026, 0),  
    MATCH(I$1, SR!$B$1:$D$1, 0) ), "")
</f>
        <v>-0.00035</v>
      </c>
      <c r="J890" s="12">
        <f t="array" ref="J890">IFERROR(
  INDEX(
    SR!$B$2:$D2026,            
    MATCH($A890, SR!$A$2:$A2026, 0),  
    MATCH(J$1, SR!$B$1:$D$1, 0) ), "")
</f>
        <v>0.002501</v>
      </c>
      <c r="K890" s="14"/>
      <c r="L890" s="9">
        <v>119.29</v>
      </c>
      <c r="M890" s="9">
        <v>24.24</v>
      </c>
      <c r="N890" s="9">
        <v>115.32</v>
      </c>
      <c r="O890" s="9">
        <v>118.33</v>
      </c>
      <c r="P890" s="9">
        <v>128.58</v>
      </c>
      <c r="Q890" s="9">
        <v>1449.767</v>
      </c>
      <c r="R890" s="14"/>
      <c r="S890" s="12">
        <f t="shared" si="2"/>
        <v>0.0004171687136</v>
      </c>
      <c r="T890" s="12">
        <f t="shared" si="3"/>
        <v>1.000417169</v>
      </c>
      <c r="U890" s="16">
        <f t="shared" si="7"/>
        <v>101.330251</v>
      </c>
      <c r="V890" s="17"/>
      <c r="W890" s="12">
        <f t="array" ref="W890">SQRT(252/20) *  SQRT( SUMSQ( LN(U869:U888 / U868:U887) )  - (1/20) * ( SUM( LN(U869:U888 / U868:U887) ) ^ 2 ) )</f>
        <v>0.007694653715</v>
      </c>
      <c r="X890" s="9">
        <f t="shared" si="4"/>
        <v>1.5</v>
      </c>
      <c r="Y890" s="14"/>
      <c r="Z890" s="12">
        <f t="shared" si="5"/>
        <v>1.00063092</v>
      </c>
      <c r="AA890" s="16">
        <f t="shared" si="8"/>
        <v>102.3104215</v>
      </c>
      <c r="AB890" s="14"/>
      <c r="AC890" s="9">
        <f t="shared" si="6"/>
        <v>0</v>
      </c>
    </row>
    <row r="891">
      <c r="A891" s="8">
        <v>43017.0</v>
      </c>
      <c r="B891" s="14"/>
      <c r="C891" s="12">
        <f t="array" ref="C891">IFERROR(
  INDEX(
    IR!$B$2:$E2026,                
    MATCH($A891, IR!$A$2:$A2026, 0), 
    MATCH(C$1, IR!$B$1:$E$1, 0) ), "")
</f>
        <v>-0.00373</v>
      </c>
      <c r="D891" s="12">
        <f t="array" ref="D891">IFERROR(
  INDEX(
    IR!$B$2:$E2026,                
    MATCH($A891, IR!$A$2:$A2026, 0), 
    MATCH(D$1, IR!$B$1:$E$1, 0) ), "")
</f>
        <v>-0.00329</v>
      </c>
      <c r="E891" s="12">
        <f t="array" ref="E891">IFERROR(
  INDEX(
    IR!$B$2:$E2026,                
    MATCH($A891, IR!$A$2:$A2026, 0), 
    MATCH(E$1, IR!$B$1:$E$1, 0) ), "")
</f>
        <v>-0.00274</v>
      </c>
      <c r="F891" s="12">
        <f t="array" ref="F891">IFERROR(
  INDEX(
    IR!$B$2:$E2026,                
    MATCH($A891, IR!$A$2:$A2026, 0), 
    MATCH(F$1, IR!$B$1:$E$1, 0) ), "")
</f>
        <v>-0.00176</v>
      </c>
      <c r="G891" s="25"/>
      <c r="H891" s="12">
        <f t="array" ref="H891">IFERROR(
  INDEX(
    SR!$B$2:$D2026,            
    MATCH($A891, SR!$A$2:$A2026, 0),  
    MATCH(H$1, SR!$B$1:$D$1, 0) ), "")
</f>
        <v>-0.001736</v>
      </c>
      <c r="I891" s="12">
        <f t="array" ref="I891">IFERROR(
  INDEX(
    SR!$B$2:$D2026,            
    MATCH($A891, SR!$A$2:$A2026, 0),  
    MATCH(I$1, SR!$B$1:$D$1, 0) ), "")
</f>
        <v>-0.00046</v>
      </c>
      <c r="J891" s="12">
        <f t="array" ref="J891">IFERROR(
  INDEX(
    SR!$B$2:$D2026,            
    MATCH($A891, SR!$A$2:$A2026, 0),  
    MATCH(J$1, SR!$B$1:$D$1, 0) ), "")
</f>
        <v>0.0024</v>
      </c>
      <c r="K891" s="14"/>
      <c r="L891" s="9">
        <v>119.33</v>
      </c>
      <c r="M891" s="9">
        <v>24.24</v>
      </c>
      <c r="N891" s="9">
        <v>115.31</v>
      </c>
      <c r="O891" s="9">
        <v>118.17</v>
      </c>
      <c r="P891" s="9">
        <v>128.5</v>
      </c>
      <c r="Q891" s="9">
        <v>1450.068</v>
      </c>
      <c r="R891" s="14"/>
      <c r="S891" s="12">
        <f t="shared" si="2"/>
        <v>-0.0002528963428</v>
      </c>
      <c r="T891" s="12">
        <f t="shared" si="3"/>
        <v>0.9997471037</v>
      </c>
      <c r="U891" s="16">
        <f t="shared" si="7"/>
        <v>101.3046249</v>
      </c>
      <c r="V891" s="17"/>
      <c r="W891" s="12">
        <f t="array" ref="W891">SQRT(252/20) *  SQRT( SUMSQ( LN(U870:U889 / U869:U888) )  - (1/20) * ( SUM( LN(U870:U889 / U869:U888) ) ^ 2 ) )</f>
        <v>0.007682691723</v>
      </c>
      <c r="X891" s="9">
        <f t="shared" si="4"/>
        <v>1.5</v>
      </c>
      <c r="Y891" s="14"/>
      <c r="Z891" s="12">
        <f t="shared" si="5"/>
        <v>0.9996361972</v>
      </c>
      <c r="AA891" s="16">
        <f t="shared" si="8"/>
        <v>102.2732006</v>
      </c>
      <c r="AB891" s="14"/>
      <c r="AC891" s="9">
        <f t="shared" si="6"/>
        <v>0</v>
      </c>
    </row>
    <row r="892">
      <c r="A892" s="8">
        <v>43018.0</v>
      </c>
      <c r="B892" s="14"/>
      <c r="C892" s="12">
        <f t="array" ref="C892">IFERROR(
  INDEX(
    IR!$B$2:$E2026,                
    MATCH($A892, IR!$A$2:$A2026, 0), 
    MATCH(C$1, IR!$B$1:$E$1, 0) ), "")
</f>
        <v>-0.00371</v>
      </c>
      <c r="D892" s="12">
        <f t="array" ref="D892">IFERROR(
  INDEX(
    IR!$B$2:$E2026,                
    MATCH($A892, IR!$A$2:$A2026, 0), 
    MATCH(D$1, IR!$B$1:$E$1, 0) ), "")
</f>
        <v>-0.00329</v>
      </c>
      <c r="E892" s="12">
        <f t="array" ref="E892">IFERROR(
  INDEX(
    IR!$B$2:$E2026,                
    MATCH($A892, IR!$A$2:$A2026, 0), 
    MATCH(E$1, IR!$B$1:$E$1, 0) ), "")
</f>
        <v>-0.00274</v>
      </c>
      <c r="F892" s="12">
        <f t="array" ref="F892">IFERROR(
  INDEX(
    IR!$B$2:$E2026,                
    MATCH($A892, IR!$A$2:$A2026, 0), 
    MATCH(F$1, IR!$B$1:$E$1, 0) ), "")
</f>
        <v>-0.00181</v>
      </c>
      <c r="G892" s="25"/>
      <c r="H892" s="12">
        <f t="array" ref="H892">IFERROR(
  INDEX(
    SR!$B$2:$D2026,            
    MATCH($A892, SR!$A$2:$A2026, 0),  
    MATCH(H$1, SR!$B$1:$D$1, 0) ), "")
</f>
        <v>-0.00173</v>
      </c>
      <c r="I892" s="12">
        <f t="array" ref="I892">IFERROR(
  INDEX(
    SR!$B$2:$D2026,            
    MATCH($A892, SR!$A$2:$A2026, 0),  
    MATCH(I$1, SR!$B$1:$D$1, 0) ), "")
</f>
        <v>-0.000542</v>
      </c>
      <c r="J892" s="12">
        <f t="array" ref="J892">IFERROR(
  INDEX(
    SR!$B$2:$D2026,            
    MATCH($A892, SR!$A$2:$A2026, 0),  
    MATCH(J$1, SR!$B$1:$D$1, 0) ), "")
</f>
        <v>0.00237</v>
      </c>
      <c r="K892" s="14"/>
      <c r="L892" s="9">
        <v>119.35</v>
      </c>
      <c r="M892" s="9">
        <v>24.23</v>
      </c>
      <c r="N892" s="9">
        <v>115.33</v>
      </c>
      <c r="O892" s="9">
        <v>118.34</v>
      </c>
      <c r="P892" s="9">
        <v>128.47</v>
      </c>
      <c r="Q892" s="9">
        <v>1449.395</v>
      </c>
      <c r="R892" s="14"/>
      <c r="S892" s="12">
        <f t="shared" si="2"/>
        <v>0.0001114977672</v>
      </c>
      <c r="T892" s="12">
        <f t="shared" si="3"/>
        <v>1.000111498</v>
      </c>
      <c r="U892" s="16">
        <f t="shared" si="7"/>
        <v>101.3159202</v>
      </c>
      <c r="V892" s="17"/>
      <c r="W892" s="12">
        <f t="array" ref="W892">SQRT(252/20) *  SQRT( SUMSQ( LN(U871:U890 / U870:U889) )  - (1/20) * ( SUM( LN(U871:U890 / U870:U889) ) ^ 2 ) )</f>
        <v>0.007421063751</v>
      </c>
      <c r="X892" s="9">
        <f t="shared" si="4"/>
        <v>1.5</v>
      </c>
      <c r="Y892" s="14"/>
      <c r="Z892" s="12">
        <f t="shared" si="5"/>
        <v>1.000172427</v>
      </c>
      <c r="AA892" s="16">
        <f t="shared" si="8"/>
        <v>102.2908353</v>
      </c>
      <c r="AB892" s="14"/>
      <c r="AC892" s="9">
        <f t="shared" si="6"/>
        <v>0</v>
      </c>
    </row>
    <row r="893">
      <c r="A893" s="8">
        <v>43019.0</v>
      </c>
      <c r="B893" s="14"/>
      <c r="C893" s="12">
        <f t="array" ref="C893">IFERROR(
  INDEX(
    IR!$B$2:$E2026,                
    MATCH($A893, IR!$A$2:$A2026, 0), 
    MATCH(C$1, IR!$B$1:$E$1, 0) ), "")
</f>
        <v>-0.00372</v>
      </c>
      <c r="D893" s="12">
        <f t="array" ref="D893">IFERROR(
  INDEX(
    IR!$B$2:$E2026,                
    MATCH($A893, IR!$A$2:$A2026, 0), 
    MATCH(D$1, IR!$B$1:$E$1, 0) ), "")
</f>
        <v>-0.00329</v>
      </c>
      <c r="E893" s="12">
        <f t="array" ref="E893">IFERROR(
  INDEX(
    IR!$B$2:$E2026,                
    MATCH($A893, IR!$A$2:$A2026, 0), 
    MATCH(E$1, IR!$B$1:$E$1, 0) ), "")
</f>
        <v>-0.00274</v>
      </c>
      <c r="F893" s="12">
        <f t="array" ref="F893">IFERROR(
  INDEX(
    IR!$B$2:$E2026,                
    MATCH($A893, IR!$A$2:$A2026, 0), 
    MATCH(F$1, IR!$B$1:$E$1, 0) ), "")
</f>
        <v>-0.00181</v>
      </c>
      <c r="G893" s="25"/>
      <c r="H893" s="12">
        <f t="array" ref="H893">IFERROR(
  INDEX(
    SR!$B$2:$D2026,            
    MATCH($A893, SR!$A$2:$A2026, 0),  
    MATCH(H$1, SR!$B$1:$D$1, 0) ), "")
</f>
        <v>-0.00168</v>
      </c>
      <c r="I893" s="12">
        <f t="array" ref="I893">IFERROR(
  INDEX(
    SR!$B$2:$D2026,            
    MATCH($A893, SR!$A$2:$A2026, 0),  
    MATCH(I$1, SR!$B$1:$D$1, 0) ), "")
</f>
        <v>-0.0004</v>
      </c>
      <c r="J893" s="12">
        <f t="array" ref="J893">IFERROR(
  INDEX(
    SR!$B$2:$D2026,            
    MATCH($A893, SR!$A$2:$A2026, 0),  
    MATCH(J$1, SR!$B$1:$D$1, 0) ), "")
</f>
        <v>0.002545</v>
      </c>
      <c r="K893" s="14"/>
      <c r="L893" s="9">
        <v>119.53</v>
      </c>
      <c r="M893" s="9">
        <v>24.22</v>
      </c>
      <c r="N893" s="9">
        <v>115.34</v>
      </c>
      <c r="O893" s="9">
        <v>118.24</v>
      </c>
      <c r="P893" s="9">
        <v>128.59</v>
      </c>
      <c r="Q893" s="9">
        <v>1448.693</v>
      </c>
      <c r="R893" s="14"/>
      <c r="S893" s="12">
        <f t="shared" si="2"/>
        <v>0.000131044578</v>
      </c>
      <c r="T893" s="12">
        <f t="shared" si="3"/>
        <v>1.000131045</v>
      </c>
      <c r="U893" s="16">
        <f t="shared" si="7"/>
        <v>101.3291971</v>
      </c>
      <c r="V893" s="17"/>
      <c r="W893" s="12">
        <f t="array" ref="W893">SQRT(252/20) *  SQRT( SUMSQ( LN(U872:U891 / U871:U890) )  - (1/20) * ( SUM( LN(U872:U891 / U871:U890) ) ^ 2 ) )</f>
        <v>0.007647734725</v>
      </c>
      <c r="X893" s="9">
        <f t="shared" si="4"/>
        <v>1.5</v>
      </c>
      <c r="Y893" s="14"/>
      <c r="Z893" s="12">
        <f t="shared" si="5"/>
        <v>1.00020172</v>
      </c>
      <c r="AA893" s="16">
        <f t="shared" si="8"/>
        <v>102.3114694</v>
      </c>
      <c r="AB893" s="14"/>
      <c r="AC893" s="9">
        <f t="shared" si="6"/>
        <v>0</v>
      </c>
    </row>
    <row r="894">
      <c r="A894" s="8">
        <v>43020.0</v>
      </c>
      <c r="B894" s="14"/>
      <c r="C894" s="12">
        <f t="array" ref="C894">IFERROR(
  INDEX(
    IR!$B$2:$E2026,                
    MATCH($A894, IR!$A$2:$A2026, 0), 
    MATCH(C$1, IR!$B$1:$E$1, 0) ), "")
</f>
        <v>-0.00372</v>
      </c>
      <c r="D894" s="12">
        <f t="array" ref="D894">IFERROR(
  INDEX(
    IR!$B$2:$E2026,                
    MATCH($A894, IR!$A$2:$A2026, 0), 
    MATCH(D$1, IR!$B$1:$E$1, 0) ), "")
</f>
        <v>-0.00329</v>
      </c>
      <c r="E894" s="12">
        <f t="array" ref="E894">IFERROR(
  INDEX(
    IR!$B$2:$E2026,                
    MATCH($A894, IR!$A$2:$A2026, 0), 
    MATCH(E$1, IR!$B$1:$E$1, 0) ), "")
</f>
        <v>-0.00274</v>
      </c>
      <c r="F894" s="12">
        <f t="array" ref="F894">IFERROR(
  INDEX(
    IR!$B$2:$E2026,                
    MATCH($A894, IR!$A$2:$A2026, 0), 
    MATCH(F$1, IR!$B$1:$E$1, 0) ), "")
</f>
        <v>-0.00181</v>
      </c>
      <c r="G894" s="25"/>
      <c r="H894" s="12">
        <f t="array" ref="H894">IFERROR(
  INDEX(
    SR!$B$2:$D2026,            
    MATCH($A894, SR!$A$2:$A2026, 0),  
    MATCH(H$1, SR!$B$1:$D$1, 0) ), "")
</f>
        <v>-0.00172</v>
      </c>
      <c r="I894" s="12">
        <f t="array" ref="I894">IFERROR(
  INDEX(
    SR!$B$2:$D2026,            
    MATCH($A894, SR!$A$2:$A2026, 0),  
    MATCH(I$1, SR!$B$1:$D$1, 0) ), "")
</f>
        <v>-0.000505</v>
      </c>
      <c r="J894" s="12">
        <f t="array" ref="J894">IFERROR(
  INDEX(
    SR!$B$2:$D2026,            
    MATCH($A894, SR!$A$2:$A2026, 0),  
    MATCH(J$1, SR!$B$1:$D$1, 0) ), "")
</f>
        <v>0.002375</v>
      </c>
      <c r="K894" s="14"/>
      <c r="L894" s="9">
        <v>119.63</v>
      </c>
      <c r="M894" s="9">
        <v>24.22</v>
      </c>
      <c r="N894" s="9">
        <v>115.33</v>
      </c>
      <c r="O894" s="9">
        <v>118.33</v>
      </c>
      <c r="P894" s="9">
        <v>128.67</v>
      </c>
      <c r="Q894" s="9">
        <v>1448.437</v>
      </c>
      <c r="R894" s="14"/>
      <c r="S894" s="12">
        <f t="shared" si="2"/>
        <v>0.0003259343877</v>
      </c>
      <c r="T894" s="12">
        <f t="shared" si="3"/>
        <v>1.000325934</v>
      </c>
      <c r="U894" s="16">
        <f t="shared" si="7"/>
        <v>101.3622237</v>
      </c>
      <c r="V894" s="17"/>
      <c r="W894" s="12">
        <f t="array" ref="W894">SQRT(252/20) *  SQRT( SUMSQ( LN(U873:U892 / U872:U891) )  - (1/20) * ( SUM( LN(U873:U892 / U872:U891) ) ^ 2 ) )</f>
        <v>0.00621885483</v>
      </c>
      <c r="X894" s="9">
        <f t="shared" si="4"/>
        <v>1.5</v>
      </c>
      <c r="Y894" s="14"/>
      <c r="Z894" s="12">
        <f t="shared" si="5"/>
        <v>1.000494068</v>
      </c>
      <c r="AA894" s="16">
        <f t="shared" si="8"/>
        <v>102.3620182</v>
      </c>
      <c r="AB894" s="14"/>
      <c r="AC894" s="9">
        <f t="shared" si="6"/>
        <v>0</v>
      </c>
    </row>
    <row r="895">
      <c r="A895" s="8">
        <v>43021.0</v>
      </c>
      <c r="B895" s="14"/>
      <c r="C895" s="12">
        <f t="array" ref="C895">IFERROR(
  INDEX(
    IR!$B$2:$E2026,                
    MATCH($A895, IR!$A$2:$A2026, 0), 
    MATCH(C$1, IR!$B$1:$E$1, 0) ), "")
</f>
        <v>-0.00371</v>
      </c>
      <c r="D895" s="12">
        <f t="array" ref="D895">IFERROR(
  INDEX(
    IR!$B$2:$E2026,                
    MATCH($A895, IR!$A$2:$A2026, 0), 
    MATCH(D$1, IR!$B$1:$E$1, 0) ), "")
</f>
        <v>-0.00329</v>
      </c>
      <c r="E895" s="12">
        <f t="array" ref="E895">IFERROR(
  INDEX(
    IR!$B$2:$E2026,                
    MATCH($A895, IR!$A$2:$A2026, 0), 
    MATCH(E$1, IR!$B$1:$E$1, 0) ), "")
</f>
        <v>-0.00274</v>
      </c>
      <c r="F895" s="12">
        <f t="array" ref="F895">IFERROR(
  INDEX(
    IR!$B$2:$E2026,                
    MATCH($A895, IR!$A$2:$A2026, 0), 
    MATCH(F$1, IR!$B$1:$E$1, 0) ), "")
</f>
        <v>-0.00181</v>
      </c>
      <c r="G895" s="25"/>
      <c r="H895" s="12">
        <f t="array" ref="H895">IFERROR(
  INDEX(
    SR!$B$2:$D2026,            
    MATCH($A895, SR!$A$2:$A2026, 0),  
    MATCH(H$1, SR!$B$1:$D$1, 0) ), "")
</f>
        <v>-0.00182</v>
      </c>
      <c r="I895" s="12">
        <f t="array" ref="I895">IFERROR(
  INDEX(
    SR!$B$2:$D2026,            
    MATCH($A895, SR!$A$2:$A2026, 0),  
    MATCH(I$1, SR!$B$1:$D$1, 0) ), "")
</f>
        <v>-0.000655</v>
      </c>
      <c r="J895" s="12">
        <f t="array" ref="J895">IFERROR(
  INDEX(
    SR!$B$2:$D2026,            
    MATCH($A895, SR!$A$2:$A2026, 0),  
    MATCH(J$1, SR!$B$1:$D$1, 0) ), "")
</f>
        <v>0.00216</v>
      </c>
      <c r="K895" s="14"/>
      <c r="L895" s="9">
        <v>119.63</v>
      </c>
      <c r="M895" s="9">
        <v>24.24</v>
      </c>
      <c r="N895" s="9">
        <v>115.33</v>
      </c>
      <c r="O895" s="9">
        <v>118.45</v>
      </c>
      <c r="P895" s="9">
        <v>128.73</v>
      </c>
      <c r="Q895" s="9">
        <v>1447.864</v>
      </c>
      <c r="R895" s="14"/>
      <c r="S895" s="12">
        <f t="shared" si="2"/>
        <v>0.000318264272</v>
      </c>
      <c r="T895" s="12">
        <f t="shared" si="3"/>
        <v>1.000318264</v>
      </c>
      <c r="U895" s="16">
        <f t="shared" si="7"/>
        <v>101.3944837</v>
      </c>
      <c r="V895" s="17"/>
      <c r="W895" s="12">
        <f t="array" ref="W895">SQRT(252/20) *  SQRT( SUMSQ( LN(U874:U893 / U873:U892) )  - (1/20) * ( SUM( LN(U874:U893 / U873:U892) ) ^ 2 ) )</f>
        <v>0.006221860077</v>
      </c>
      <c r="X895" s="9">
        <f t="shared" si="4"/>
        <v>1.5</v>
      </c>
      <c r="Y895" s="14"/>
      <c r="Z895" s="12">
        <f t="shared" si="5"/>
        <v>1.000482563</v>
      </c>
      <c r="AA895" s="16">
        <f t="shared" si="8"/>
        <v>102.4114144</v>
      </c>
      <c r="AB895" s="14"/>
      <c r="AC895" s="9">
        <f t="shared" si="6"/>
        <v>0</v>
      </c>
    </row>
    <row r="896">
      <c r="A896" s="8">
        <v>43024.0</v>
      </c>
      <c r="B896" s="14"/>
      <c r="C896" s="12">
        <f t="array" ref="C896">IFERROR(
  INDEX(
    IR!$B$2:$E2026,                
    MATCH($A896, IR!$A$2:$A2026, 0), 
    MATCH(C$1, IR!$B$1:$E$1, 0) ), "")
</f>
        <v>-0.00371</v>
      </c>
      <c r="D896" s="12">
        <f t="array" ref="D896">IFERROR(
  INDEX(
    IR!$B$2:$E2026,                
    MATCH($A896, IR!$A$2:$A2026, 0), 
    MATCH(D$1, IR!$B$1:$E$1, 0) ), "")
</f>
        <v>-0.00329</v>
      </c>
      <c r="E896" s="12">
        <f t="array" ref="E896">IFERROR(
  INDEX(
    IR!$B$2:$E2026,                
    MATCH($A896, IR!$A$2:$A2026, 0), 
    MATCH(E$1, IR!$B$1:$E$1, 0) ), "")
</f>
        <v>-0.00274</v>
      </c>
      <c r="F896" s="12">
        <f t="array" ref="F896">IFERROR(
  INDEX(
    IR!$B$2:$E2026,                
    MATCH($A896, IR!$A$2:$A2026, 0), 
    MATCH(F$1, IR!$B$1:$E$1, 0) ), "")
</f>
        <v>-0.00182</v>
      </c>
      <c r="G896" s="25"/>
      <c r="H896" s="12">
        <f t="array" ref="H896">IFERROR(
  INDEX(
    SR!$B$2:$D2026,            
    MATCH($A896, SR!$A$2:$A2026, 0),  
    MATCH(H$1, SR!$B$1:$D$1, 0) ), "")
</f>
        <v>-0.0019</v>
      </c>
      <c r="I896" s="12">
        <f t="array" ref="I896">IFERROR(
  INDEX(
    SR!$B$2:$D2026,            
    MATCH($A896, SR!$A$2:$A2026, 0),  
    MATCH(I$1, SR!$B$1:$D$1, 0) ), "")
</f>
        <v>-0.0007</v>
      </c>
      <c r="J896" s="12">
        <f t="array" ref="J896">IFERROR(
  INDEX(
    SR!$B$2:$D2026,            
    MATCH($A896, SR!$A$2:$A2026, 0),  
    MATCH(J$1, SR!$B$1:$D$1, 0) ), "")
</f>
        <v>0.001955</v>
      </c>
      <c r="K896" s="14"/>
      <c r="L896" s="9">
        <v>119.64</v>
      </c>
      <c r="M896" s="9">
        <v>24.24</v>
      </c>
      <c r="N896" s="9">
        <v>115.36</v>
      </c>
      <c r="O896" s="9">
        <v>118.68</v>
      </c>
      <c r="P896" s="9">
        <v>128.86</v>
      </c>
      <c r="Q896" s="9">
        <v>1449.397</v>
      </c>
      <c r="R896" s="14"/>
      <c r="S896" s="12">
        <f t="shared" si="2"/>
        <v>0.0007255036854</v>
      </c>
      <c r="T896" s="12">
        <f t="shared" si="3"/>
        <v>1.000725504</v>
      </c>
      <c r="U896" s="16">
        <f t="shared" si="7"/>
        <v>101.4680458</v>
      </c>
      <c r="V896" s="17"/>
      <c r="W896" s="12">
        <f t="array" ref="W896">SQRT(252/20) *  SQRT( SUMSQ( LN(U875:U894 / U874:U893) )  - (1/20) * ( SUM( LN(U875:U894 / U874:U893) ) ^ 2 ) )</f>
        <v>0.006198742449</v>
      </c>
      <c r="X896" s="9">
        <f t="shared" si="4"/>
        <v>1.5</v>
      </c>
      <c r="Y896" s="14"/>
      <c r="Z896" s="12">
        <f t="shared" si="5"/>
        <v>1.001103714</v>
      </c>
      <c r="AA896" s="16">
        <f t="shared" si="8"/>
        <v>102.5244473</v>
      </c>
      <c r="AB896" s="14"/>
      <c r="AC896" s="9">
        <f t="shared" si="6"/>
        <v>0</v>
      </c>
    </row>
    <row r="897">
      <c r="A897" s="8">
        <v>43025.0</v>
      </c>
      <c r="B897" s="14"/>
      <c r="C897" s="12">
        <f t="array" ref="C897">IFERROR(
  INDEX(
    IR!$B$2:$E2026,                
    MATCH($A897, IR!$A$2:$A2026, 0), 
    MATCH(C$1, IR!$B$1:$E$1, 0) ), "")
</f>
        <v>-0.00373</v>
      </c>
      <c r="D897" s="12">
        <f t="array" ref="D897">IFERROR(
  INDEX(
    IR!$B$2:$E2026,                
    MATCH($A897, IR!$A$2:$A2026, 0), 
    MATCH(D$1, IR!$B$1:$E$1, 0) ), "")
</f>
        <v>-0.00329</v>
      </c>
      <c r="E897" s="12">
        <f t="array" ref="E897">IFERROR(
  INDEX(
    IR!$B$2:$E2026,                
    MATCH($A897, IR!$A$2:$A2026, 0), 
    MATCH(E$1, IR!$B$1:$E$1, 0) ), "")
</f>
        <v>-0.00274</v>
      </c>
      <c r="F897" s="12">
        <f t="array" ref="F897">IFERROR(
  INDEX(
    IR!$B$2:$E2026,                
    MATCH($A897, IR!$A$2:$A2026, 0), 
    MATCH(F$1, IR!$B$1:$E$1, 0) ), "")
</f>
        <v>-0.00183</v>
      </c>
      <c r="G897" s="25"/>
      <c r="H897" s="12">
        <f t="array" ref="H897">IFERROR(
  INDEX(
    SR!$B$2:$D2026,            
    MATCH($A897, SR!$A$2:$A2026, 0),  
    MATCH(H$1, SR!$B$1:$D$1, 0) ), "")
</f>
        <v>-0.00188</v>
      </c>
      <c r="I897" s="12">
        <f t="array" ref="I897">IFERROR(
  INDEX(
    SR!$B$2:$D2026,            
    MATCH($A897, SR!$A$2:$A2026, 0),  
    MATCH(I$1, SR!$B$1:$D$1, 0) ), "")
</f>
        <v>-0.00075</v>
      </c>
      <c r="J897" s="12">
        <f t="array" ref="J897">IFERROR(
  INDEX(
    SR!$B$2:$D2026,            
    MATCH($A897, SR!$A$2:$A2026, 0),  
    MATCH(J$1, SR!$B$1:$D$1, 0) ), "")
</f>
        <v>0.001932</v>
      </c>
      <c r="K897" s="14"/>
      <c r="L897" s="9">
        <v>119.54</v>
      </c>
      <c r="M897" s="9">
        <v>24.25</v>
      </c>
      <c r="N897" s="9">
        <v>115.36</v>
      </c>
      <c r="O897" s="9">
        <v>118.71</v>
      </c>
      <c r="P897" s="9">
        <v>129.02</v>
      </c>
      <c r="Q897" s="9">
        <v>1448.839</v>
      </c>
      <c r="R897" s="14"/>
      <c r="S897" s="12">
        <f t="shared" si="2"/>
        <v>0.0001142742428</v>
      </c>
      <c r="T897" s="12">
        <f t="shared" si="3"/>
        <v>1.000114274</v>
      </c>
      <c r="U897" s="16">
        <f t="shared" si="7"/>
        <v>101.479641</v>
      </c>
      <c r="V897" s="17"/>
      <c r="W897" s="12">
        <f t="array" ref="W897">SQRT(252/20) *  SQRT( SUMSQ( LN(U876:U895 / U875:U894) )  - (1/20) * ( SUM( LN(U876:U895 / U875:U894) ) ^ 2 ) )</f>
        <v>0.00613457994</v>
      </c>
      <c r="X897" s="9">
        <f t="shared" si="4"/>
        <v>1.5</v>
      </c>
      <c r="Y897" s="14"/>
      <c r="Z897" s="12">
        <f t="shared" si="5"/>
        <v>1.000176564</v>
      </c>
      <c r="AA897" s="16">
        <f t="shared" si="8"/>
        <v>102.5425494</v>
      </c>
      <c r="AB897" s="14"/>
      <c r="AC897" s="9">
        <f t="shared" si="6"/>
        <v>0</v>
      </c>
    </row>
    <row r="898">
      <c r="A898" s="8">
        <v>43026.0</v>
      </c>
      <c r="B898" s="14"/>
      <c r="C898" s="12">
        <f t="array" ref="C898">IFERROR(
  INDEX(
    IR!$B$2:$E2026,                
    MATCH($A898, IR!$A$2:$A2026, 0), 
    MATCH(C$1, IR!$B$1:$E$1, 0) ), "")
</f>
        <v>-0.00373</v>
      </c>
      <c r="D898" s="12">
        <f t="array" ref="D898">IFERROR(
  INDEX(
    IR!$B$2:$E2026,                
    MATCH($A898, IR!$A$2:$A2026, 0), 
    MATCH(D$1, IR!$B$1:$E$1, 0) ), "")
</f>
        <v>-0.00329</v>
      </c>
      <c r="E898" s="12">
        <f t="array" ref="E898">IFERROR(
  INDEX(
    IR!$B$2:$E2026,                
    MATCH($A898, IR!$A$2:$A2026, 0), 
    MATCH(E$1, IR!$B$1:$E$1, 0) ), "")
</f>
        <v>-0.00274</v>
      </c>
      <c r="F898" s="12">
        <f t="array" ref="F898">IFERROR(
  INDEX(
    IR!$B$2:$E2026,                
    MATCH($A898, IR!$A$2:$A2026, 0), 
    MATCH(F$1, IR!$B$1:$E$1, 0) ), "")
</f>
        <v>-0.00183</v>
      </c>
      <c r="G898" s="25"/>
      <c r="H898" s="12">
        <f t="array" ref="H898">IFERROR(
  INDEX(
    SR!$B$2:$D2026,            
    MATCH($A898, SR!$A$2:$A2026, 0),  
    MATCH(H$1, SR!$B$1:$D$1, 0) ), "")
</f>
        <v>-0.00186</v>
      </c>
      <c r="I898" s="12">
        <f t="array" ref="I898">IFERROR(
  INDEX(
    SR!$B$2:$D2026,            
    MATCH($A898, SR!$A$2:$A2026, 0),  
    MATCH(I$1, SR!$B$1:$D$1, 0) ), "")
</f>
        <v>-0.00067</v>
      </c>
      <c r="J898" s="12">
        <f t="array" ref="J898">IFERROR(
  INDEX(
    SR!$B$2:$D2026,            
    MATCH($A898, SR!$A$2:$A2026, 0),  
    MATCH(J$1, SR!$B$1:$D$1, 0) ), "")
</f>
        <v>0.002131</v>
      </c>
      <c r="K898" s="14"/>
      <c r="L898" s="9">
        <v>119.56</v>
      </c>
      <c r="M898" s="9">
        <v>24.24</v>
      </c>
      <c r="N898" s="9">
        <v>115.36</v>
      </c>
      <c r="O898" s="9">
        <v>118.83</v>
      </c>
      <c r="P898" s="9">
        <v>128.9</v>
      </c>
      <c r="Q898" s="9">
        <v>1448.965</v>
      </c>
      <c r="R898" s="14"/>
      <c r="S898" s="12">
        <f t="shared" si="2"/>
        <v>-0.00001287256139</v>
      </c>
      <c r="T898" s="12">
        <f t="shared" si="3"/>
        <v>0.9999871274</v>
      </c>
      <c r="U898" s="16">
        <f t="shared" si="7"/>
        <v>101.4783347</v>
      </c>
      <c r="V898" s="17"/>
      <c r="W898" s="12">
        <f t="array" ref="W898">SQRT(252/20) *  SQRT( SUMSQ( LN(U877:U896 / U876:U895) )  - (1/20) * ( SUM( LN(U877:U896 / U876:U895) ) ^ 2 ) )</f>
        <v>0.006283797084</v>
      </c>
      <c r="X898" s="9">
        <f t="shared" si="4"/>
        <v>1.5</v>
      </c>
      <c r="Y898" s="14"/>
      <c r="Z898" s="12">
        <f t="shared" si="5"/>
        <v>0.9999858717</v>
      </c>
      <c r="AA898" s="16">
        <f t="shared" si="8"/>
        <v>102.5411007</v>
      </c>
      <c r="AB898" s="14"/>
      <c r="AC898" s="9">
        <f t="shared" si="6"/>
        <v>0</v>
      </c>
    </row>
    <row r="899">
      <c r="A899" s="8">
        <v>43027.0</v>
      </c>
      <c r="B899" s="14"/>
      <c r="C899" s="12">
        <f t="array" ref="C899">IFERROR(
  INDEX(
    IR!$B$2:$E2026,                
    MATCH($A899, IR!$A$2:$A2026, 0), 
    MATCH(C$1, IR!$B$1:$E$1, 0) ), "")
</f>
        <v>-0.00373</v>
      </c>
      <c r="D899" s="12">
        <f t="array" ref="D899">IFERROR(
  INDEX(
    IR!$B$2:$E2026,                
    MATCH($A899, IR!$A$2:$A2026, 0), 
    MATCH(D$1, IR!$B$1:$E$1, 0) ), "")
</f>
        <v>-0.00329</v>
      </c>
      <c r="E899" s="12">
        <f t="array" ref="E899">IFERROR(
  INDEX(
    IR!$B$2:$E2026,                
    MATCH($A899, IR!$A$2:$A2026, 0), 
    MATCH(E$1, IR!$B$1:$E$1, 0) ), "")
</f>
        <v>-0.00274</v>
      </c>
      <c r="F899" s="12">
        <f t="array" ref="F899">IFERROR(
  INDEX(
    IR!$B$2:$E2026,                
    MATCH($A899, IR!$A$2:$A2026, 0), 
    MATCH(F$1, IR!$B$1:$E$1, 0) ), "")
</f>
        <v>-0.00183</v>
      </c>
      <c r="G899" s="25"/>
      <c r="H899" s="12">
        <f t="array" ref="H899">IFERROR(
  INDEX(
    SR!$B$2:$D2026,            
    MATCH($A899, SR!$A$2:$A2026, 0),  
    MATCH(H$1, SR!$B$1:$D$1, 0) ), "")
</f>
        <v>-0.00187</v>
      </c>
      <c r="I899" s="12">
        <f t="array" ref="I899">IFERROR(
  INDEX(
    SR!$B$2:$D2026,            
    MATCH($A899, SR!$A$2:$A2026, 0),  
    MATCH(I$1, SR!$B$1:$D$1, 0) ), "")
</f>
        <v>-0.00066</v>
      </c>
      <c r="J899" s="12">
        <f t="array" ref="J899">IFERROR(
  INDEX(
    SR!$B$2:$D2026,            
    MATCH($A899, SR!$A$2:$A2026, 0),  
    MATCH(J$1, SR!$B$1:$D$1, 0) ), "")
</f>
        <v>0.002141</v>
      </c>
      <c r="K899" s="14"/>
      <c r="L899" s="9">
        <v>119.4</v>
      </c>
      <c r="M899" s="9">
        <v>24.22</v>
      </c>
      <c r="N899" s="9">
        <v>115.34</v>
      </c>
      <c r="O899" s="9">
        <v>118.72</v>
      </c>
      <c r="P899" s="9">
        <v>129.03</v>
      </c>
      <c r="Q899" s="9">
        <v>1448.521</v>
      </c>
      <c r="R899" s="14"/>
      <c r="S899" s="12">
        <f t="shared" si="2"/>
        <v>-0.0004265728042</v>
      </c>
      <c r="T899" s="12">
        <f t="shared" si="3"/>
        <v>0.9995734272</v>
      </c>
      <c r="U899" s="16">
        <f t="shared" si="7"/>
        <v>101.4350468</v>
      </c>
      <c r="V899" s="17"/>
      <c r="W899" s="12">
        <f t="array" ref="W899">SQRT(252/20) *  SQRT( SUMSQ( LN(U878:U897 / U877:U896) )  - (1/20) * ( SUM( LN(U878:U897 / U877:U896) ) ^ 2 ) )</f>
        <v>0.006148789867</v>
      </c>
      <c r="X899" s="9">
        <f t="shared" si="4"/>
        <v>1.5</v>
      </c>
      <c r="Y899" s="14"/>
      <c r="Z899" s="12">
        <f t="shared" si="5"/>
        <v>0.9993653213</v>
      </c>
      <c r="AA899" s="16">
        <f t="shared" si="8"/>
        <v>102.47602</v>
      </c>
      <c r="AB899" s="14"/>
      <c r="AC899" s="9">
        <f t="shared" si="6"/>
        <v>0</v>
      </c>
    </row>
    <row r="900">
      <c r="A900" s="8">
        <v>43028.0</v>
      </c>
      <c r="B900" s="14"/>
      <c r="C900" s="12">
        <f t="array" ref="C900">IFERROR(
  INDEX(
    IR!$B$2:$E2026,                
    MATCH($A900, IR!$A$2:$A2026, 0), 
    MATCH(C$1, IR!$B$1:$E$1, 0) ), "")
</f>
        <v>-0.00373</v>
      </c>
      <c r="D900" s="12">
        <f t="array" ref="D900">IFERROR(
  INDEX(
    IR!$B$2:$E2026,                
    MATCH($A900, IR!$A$2:$A2026, 0), 
    MATCH(D$1, IR!$B$1:$E$1, 0) ), "")
</f>
        <v>-0.00329</v>
      </c>
      <c r="E900" s="12">
        <f t="array" ref="E900">IFERROR(
  INDEX(
    IR!$B$2:$E2026,                
    MATCH($A900, IR!$A$2:$A2026, 0), 
    MATCH(E$1, IR!$B$1:$E$1, 0) ), "")
</f>
        <v>-0.00274</v>
      </c>
      <c r="F900" s="12">
        <f t="array" ref="F900">IFERROR(
  INDEX(
    IR!$B$2:$E2026,                
    MATCH($A900, IR!$A$2:$A2026, 0), 
    MATCH(F$1, IR!$B$1:$E$1, 0) ), "")
</f>
        <v>-0.00183</v>
      </c>
      <c r="G900" s="25"/>
      <c r="H900" s="12">
        <f t="array" ref="H900">IFERROR(
  INDEX(
    SR!$B$2:$D2026,            
    MATCH($A900, SR!$A$2:$A2026, 0),  
    MATCH(H$1, SR!$B$1:$D$1, 0) ), "")
</f>
        <v>-0.0018</v>
      </c>
      <c r="I900" s="12">
        <f t="array" ref="I900">IFERROR(
  INDEX(
    SR!$B$2:$D2026,            
    MATCH($A900, SR!$A$2:$A2026, 0),  
    MATCH(I$1, SR!$B$1:$D$1, 0) ), "")
</f>
        <v>-0.00049</v>
      </c>
      <c r="J900" s="12">
        <f t="array" ref="J900">IFERROR(
  INDEX(
    SR!$B$2:$D2026,            
    MATCH($A900, SR!$A$2:$A2026, 0),  
    MATCH(J$1, SR!$B$1:$D$1, 0) ), "")
</f>
        <v>0.002431</v>
      </c>
      <c r="K900" s="14"/>
      <c r="L900" s="9">
        <v>119.27</v>
      </c>
      <c r="M900" s="9">
        <v>24.23</v>
      </c>
      <c r="N900" s="9">
        <v>115.35</v>
      </c>
      <c r="O900" s="9">
        <v>118.53</v>
      </c>
      <c r="P900" s="9">
        <v>128.79</v>
      </c>
      <c r="Q900" s="9">
        <v>1447.231</v>
      </c>
      <c r="R900" s="14"/>
      <c r="S900" s="12">
        <f t="shared" si="2"/>
        <v>-0.0008231256306</v>
      </c>
      <c r="T900" s="12">
        <f t="shared" si="3"/>
        <v>0.9991768744</v>
      </c>
      <c r="U900" s="16">
        <f t="shared" si="7"/>
        <v>101.351553</v>
      </c>
      <c r="V900" s="17"/>
      <c r="W900" s="12">
        <f t="array" ref="W900">SQRT(252/20) *  SQRT( SUMSQ( LN(U879:U898 / U878:U897) )  - (1/20) * ( SUM( LN(U879:U898 / U878:U897) ) ^ 2 ) )</f>
        <v>0.006103911438</v>
      </c>
      <c r="X900" s="9">
        <f t="shared" si="4"/>
        <v>1.5</v>
      </c>
      <c r="Y900" s="14"/>
      <c r="Z900" s="12">
        <f t="shared" si="5"/>
        <v>0.9987704921</v>
      </c>
      <c r="AA900" s="16">
        <f t="shared" si="8"/>
        <v>102.3500249</v>
      </c>
      <c r="AB900" s="14"/>
      <c r="AC900" s="9">
        <f t="shared" si="6"/>
        <v>0</v>
      </c>
    </row>
    <row r="901">
      <c r="A901" s="8">
        <v>43031.0</v>
      </c>
      <c r="B901" s="14"/>
      <c r="C901" s="12">
        <f t="array" ref="C901">IFERROR(
  INDEX(
    IR!$B$2:$E2026,                
    MATCH($A901, IR!$A$2:$A2026, 0), 
    MATCH(C$1, IR!$B$1:$E$1, 0) ), "")
</f>
        <v>-0.00373</v>
      </c>
      <c r="D901" s="12">
        <f t="array" ref="D901">IFERROR(
  INDEX(
    IR!$B$2:$E2026,                
    MATCH($A901, IR!$A$2:$A2026, 0), 
    MATCH(D$1, IR!$B$1:$E$1, 0) ), "")
</f>
        <v>-0.00329</v>
      </c>
      <c r="E901" s="12">
        <f t="array" ref="E901">IFERROR(
  INDEX(
    IR!$B$2:$E2026,                
    MATCH($A901, IR!$A$2:$A2026, 0), 
    MATCH(E$1, IR!$B$1:$E$1, 0) ), "")
</f>
        <v>-0.00274</v>
      </c>
      <c r="F901" s="12">
        <f t="array" ref="F901">IFERROR(
  INDEX(
    IR!$B$2:$E2026,                
    MATCH($A901, IR!$A$2:$A2026, 0), 
    MATCH(F$1, IR!$B$1:$E$1, 0) ), "")
</f>
        <v>-0.00183</v>
      </c>
      <c r="G901" s="25"/>
      <c r="H901" s="12">
        <f t="array" ref="H901">IFERROR(
  INDEX(
    SR!$B$2:$D2026,            
    MATCH($A901, SR!$A$2:$A2026, 0),  
    MATCH(H$1, SR!$B$1:$D$1, 0) ), "")
</f>
        <v>-0.001845</v>
      </c>
      <c r="I901" s="12">
        <f t="array" ref="I901">IFERROR(
  INDEX(
    SR!$B$2:$D2026,            
    MATCH($A901, SR!$A$2:$A2026, 0),  
    MATCH(I$1, SR!$B$1:$D$1, 0) ), "")
</f>
        <v>-0.000616</v>
      </c>
      <c r="J901" s="12">
        <f t="array" ref="J901">IFERROR(
  INDEX(
    SR!$B$2:$D2026,            
    MATCH($A901, SR!$A$2:$A2026, 0),  
    MATCH(J$1, SR!$B$1:$D$1, 0) ), "")
</f>
        <v>0.0023</v>
      </c>
      <c r="K901" s="14"/>
      <c r="L901" s="9">
        <v>119.42</v>
      </c>
      <c r="M901" s="9">
        <v>24.24</v>
      </c>
      <c r="N901" s="9">
        <v>115.37</v>
      </c>
      <c r="O901" s="9">
        <v>118.35</v>
      </c>
      <c r="P901" s="9">
        <v>128.89</v>
      </c>
      <c r="Q901" s="9">
        <v>1447.749</v>
      </c>
      <c r="R901" s="14"/>
      <c r="S901" s="12">
        <f t="shared" si="2"/>
        <v>0.0002431930538</v>
      </c>
      <c r="T901" s="12">
        <f t="shared" si="3"/>
        <v>1.000243193</v>
      </c>
      <c r="U901" s="16">
        <f t="shared" si="7"/>
        <v>101.376201</v>
      </c>
      <c r="V901" s="17"/>
      <c r="W901" s="12">
        <f t="array" ref="W901">SQRT(252/20) *  SQRT( SUMSQ( LN(U880:U899 / U879:U898) )  - (1/20) * ( SUM( LN(U880:U899 / U879:U898) ) ^ 2 ) )</f>
        <v>0.006225799019</v>
      </c>
      <c r="X901" s="9">
        <f t="shared" si="4"/>
        <v>1.5</v>
      </c>
      <c r="Y901" s="14"/>
      <c r="Z901" s="12">
        <f t="shared" si="5"/>
        <v>1.000380331</v>
      </c>
      <c r="AA901" s="16">
        <f t="shared" si="8"/>
        <v>102.3889519</v>
      </c>
      <c r="AB901" s="14"/>
      <c r="AC901" s="9">
        <f t="shared" si="6"/>
        <v>0</v>
      </c>
    </row>
    <row r="902">
      <c r="A902" s="8">
        <v>43032.0</v>
      </c>
      <c r="B902" s="14"/>
      <c r="C902" s="12">
        <f t="array" ref="C902">IFERROR(
  INDEX(
    IR!$B$2:$E2026,                
    MATCH($A902, IR!$A$2:$A2026, 0), 
    MATCH(C$1, IR!$B$1:$E$1, 0) ), "")
</f>
        <v>-0.00372</v>
      </c>
      <c r="D902" s="12">
        <f t="array" ref="D902">IFERROR(
  INDEX(
    IR!$B$2:$E2026,                
    MATCH($A902, IR!$A$2:$A2026, 0), 
    MATCH(D$1, IR!$B$1:$E$1, 0) ), "")
</f>
        <v>-0.0033</v>
      </c>
      <c r="E902" s="12">
        <f t="array" ref="E902">IFERROR(
  INDEX(
    IR!$B$2:$E2026,                
    MATCH($A902, IR!$A$2:$A2026, 0), 
    MATCH(E$1, IR!$B$1:$E$1, 0) ), "")
</f>
        <v>-0.00274</v>
      </c>
      <c r="F902" s="12">
        <f t="array" ref="F902">IFERROR(
  INDEX(
    IR!$B$2:$E2026,                
    MATCH($A902, IR!$A$2:$A2026, 0), 
    MATCH(F$1, IR!$B$1:$E$1, 0) ), "")
</f>
        <v>-0.00183</v>
      </c>
      <c r="G902" s="25"/>
      <c r="H902" s="12">
        <f t="array" ref="H902">IFERROR(
  INDEX(
    SR!$B$2:$D2026,            
    MATCH($A902, SR!$A$2:$A2026, 0),  
    MATCH(H$1, SR!$B$1:$D$1, 0) ), "")
</f>
        <v>-0.00177</v>
      </c>
      <c r="I902" s="12">
        <f t="array" ref="I902">IFERROR(
  INDEX(
    SR!$B$2:$D2026,            
    MATCH($A902, SR!$A$2:$A2026, 0),  
    MATCH(I$1, SR!$B$1:$D$1, 0) ), "")
</f>
        <v>-0.000464</v>
      </c>
      <c r="J902" s="12">
        <f t="array" ref="J902">IFERROR(
  INDEX(
    SR!$B$2:$D2026,            
    MATCH($A902, SR!$A$2:$A2026, 0),  
    MATCH(J$1, SR!$B$1:$D$1, 0) ), "")
</f>
        <v>0.002545</v>
      </c>
      <c r="K902" s="14"/>
      <c r="L902" s="9">
        <v>119.58</v>
      </c>
      <c r="M902" s="9">
        <v>24.23</v>
      </c>
      <c r="N902" s="9">
        <v>115.35</v>
      </c>
      <c r="O902" s="9">
        <v>118.52</v>
      </c>
      <c r="P902" s="9">
        <v>128.88</v>
      </c>
      <c r="Q902" s="9">
        <v>1446.54</v>
      </c>
      <c r="R902" s="14"/>
      <c r="S902" s="12">
        <f t="shared" si="2"/>
        <v>0.000212773796</v>
      </c>
      <c r="T902" s="12">
        <f t="shared" si="3"/>
        <v>1.000212774</v>
      </c>
      <c r="U902" s="16">
        <f t="shared" si="7"/>
        <v>101.3977712</v>
      </c>
      <c r="V902" s="17"/>
      <c r="W902" s="12">
        <f t="array" ref="W902">SQRT(252/20) *  SQRT( SUMSQ( LN(U881:U900 / U880:U899) )  - (1/20) * ( SUM( LN(U881:U900 / U880:U899) ) ^ 2 ) )</f>
        <v>0.007038508681</v>
      </c>
      <c r="X902" s="9">
        <f t="shared" si="4"/>
        <v>1.5</v>
      </c>
      <c r="Y902" s="14"/>
      <c r="Z902" s="12">
        <f t="shared" si="5"/>
        <v>1.000324341</v>
      </c>
      <c r="AA902" s="16">
        <f t="shared" si="8"/>
        <v>102.4221608</v>
      </c>
      <c r="AB902" s="14"/>
      <c r="AC902" s="9">
        <f t="shared" si="6"/>
        <v>0</v>
      </c>
    </row>
    <row r="903">
      <c r="A903" s="8">
        <v>43033.0</v>
      </c>
      <c r="B903" s="14"/>
      <c r="C903" s="12">
        <f t="array" ref="C903">IFERROR(
  INDEX(
    IR!$B$2:$E2026,                
    MATCH($A903, IR!$A$2:$A2026, 0), 
    MATCH(C$1, IR!$B$1:$E$1, 0) ), "")
</f>
        <v>-0.00373</v>
      </c>
      <c r="D903" s="12">
        <f t="array" ref="D903">IFERROR(
  INDEX(
    IR!$B$2:$E2026,                
    MATCH($A903, IR!$A$2:$A2026, 0), 
    MATCH(D$1, IR!$B$1:$E$1, 0) ), "")
</f>
        <v>-0.00331</v>
      </c>
      <c r="E903" s="12">
        <f t="array" ref="E903">IFERROR(
  INDEX(
    IR!$B$2:$E2026,                
    MATCH($A903, IR!$A$2:$A2026, 0), 
    MATCH(E$1, IR!$B$1:$E$1, 0) ), "")
</f>
        <v>-0.00274</v>
      </c>
      <c r="F903" s="12">
        <f t="array" ref="F903">IFERROR(
  INDEX(
    IR!$B$2:$E2026,                
    MATCH($A903, IR!$A$2:$A2026, 0), 
    MATCH(F$1, IR!$B$1:$E$1, 0) ), "")
</f>
        <v>-0.00183</v>
      </c>
      <c r="G903" s="25"/>
      <c r="H903" s="12">
        <f t="array" ref="H903">IFERROR(
  INDEX(
    SR!$B$2:$D2026,            
    MATCH($A903, SR!$A$2:$A2026, 0),  
    MATCH(H$1, SR!$B$1:$D$1, 0) ), "")
</f>
        <v>-0.00174</v>
      </c>
      <c r="I903" s="12">
        <f t="array" ref="I903">IFERROR(
  INDEX(
    SR!$B$2:$D2026,            
    MATCH($A903, SR!$A$2:$A2026, 0),  
    MATCH(I$1, SR!$B$1:$D$1, 0) ), "")
</f>
        <v>-0.000397</v>
      </c>
      <c r="J903" s="12">
        <f t="array" ref="J903">IFERROR(
  INDEX(
    SR!$B$2:$D2026,            
    MATCH($A903, SR!$A$2:$A2026, 0),  
    MATCH(J$1, SR!$B$1:$D$1, 0) ), "")
</f>
        <v>0.002645</v>
      </c>
      <c r="K903" s="14"/>
      <c r="L903" s="9">
        <v>119.45</v>
      </c>
      <c r="M903" s="9">
        <v>24.22</v>
      </c>
      <c r="N903" s="9">
        <v>115.33</v>
      </c>
      <c r="O903" s="9">
        <v>118.4</v>
      </c>
      <c r="P903" s="9">
        <v>128.93</v>
      </c>
      <c r="Q903" s="9">
        <v>1447.368</v>
      </c>
      <c r="R903" s="14"/>
      <c r="S903" s="12">
        <f t="shared" si="2"/>
        <v>-0.0002873884667</v>
      </c>
      <c r="T903" s="12">
        <f t="shared" si="3"/>
        <v>0.9997126115</v>
      </c>
      <c r="U903" s="16">
        <f t="shared" si="7"/>
        <v>101.3686306</v>
      </c>
      <c r="V903" s="17"/>
      <c r="W903" s="12">
        <f t="array" ref="W903">SQRT(252/20) *  SQRT( SUMSQ( LN(U882:U901 / U881:U900) )  - (1/20) * ( SUM( LN(U882:U901 / U881:U900) ) ^ 2 ) )</f>
        <v>0.006904381412</v>
      </c>
      <c r="X903" s="9">
        <f t="shared" si="4"/>
        <v>1.5</v>
      </c>
      <c r="Y903" s="14"/>
      <c r="Z903" s="12">
        <f t="shared" si="5"/>
        <v>0.999574084</v>
      </c>
      <c r="AA903" s="16">
        <f t="shared" si="8"/>
        <v>102.3785376</v>
      </c>
      <c r="AB903" s="14"/>
      <c r="AC903" s="9">
        <f t="shared" si="6"/>
        <v>0</v>
      </c>
    </row>
    <row r="904">
      <c r="A904" s="8">
        <v>43034.0</v>
      </c>
      <c r="B904" s="14"/>
      <c r="C904" s="12">
        <f t="array" ref="C904">IFERROR(
  INDEX(
    IR!$B$2:$E2026,                
    MATCH($A904, IR!$A$2:$A2026, 0), 
    MATCH(C$1, IR!$B$1:$E$1, 0) ), "")
</f>
        <v>-0.00371</v>
      </c>
      <c r="D904" s="12">
        <f t="array" ref="D904">IFERROR(
  INDEX(
    IR!$B$2:$E2026,                
    MATCH($A904, IR!$A$2:$A2026, 0), 
    MATCH(D$1, IR!$B$1:$E$1, 0) ), "")
</f>
        <v>-0.00331</v>
      </c>
      <c r="E904" s="12">
        <f t="array" ref="E904">IFERROR(
  INDEX(
    IR!$B$2:$E2026,                
    MATCH($A904, IR!$A$2:$A2026, 0), 
    MATCH(E$1, IR!$B$1:$E$1, 0) ), "")
</f>
        <v>-0.00274</v>
      </c>
      <c r="F904" s="12">
        <f t="array" ref="F904">IFERROR(
  INDEX(
    IR!$B$2:$E2026,                
    MATCH($A904, IR!$A$2:$A2026, 0), 
    MATCH(F$1, IR!$B$1:$E$1, 0) ), "")
</f>
        <v>-0.00183</v>
      </c>
      <c r="G904" s="25"/>
      <c r="H904" s="12">
        <f t="array" ref="H904">IFERROR(
  INDEX(
    SR!$B$2:$D2026,            
    MATCH($A904, SR!$A$2:$A2026, 0),  
    MATCH(H$1, SR!$B$1:$D$1, 0) ), "")
</f>
        <v>-0.001915</v>
      </c>
      <c r="I904" s="12">
        <f t="array" ref="I904">IFERROR(
  INDEX(
    SR!$B$2:$D2026,            
    MATCH($A904, SR!$A$2:$A2026, 0),  
    MATCH(I$1, SR!$B$1:$D$1, 0) ), "")
</f>
        <v>-0.00067</v>
      </c>
      <c r="J904" s="12">
        <f t="array" ref="J904">IFERROR(
  INDEX(
    SR!$B$2:$D2026,            
    MATCH($A904, SR!$A$2:$A2026, 0),  
    MATCH(J$1, SR!$B$1:$D$1, 0) ), "")
</f>
        <v>0.002221</v>
      </c>
      <c r="K904" s="14"/>
      <c r="L904" s="9">
        <v>119.97</v>
      </c>
      <c r="M904" s="9">
        <v>24.23</v>
      </c>
      <c r="N904" s="9">
        <v>115.29</v>
      </c>
      <c r="O904" s="9">
        <v>118.03</v>
      </c>
      <c r="P904" s="9">
        <v>128.73</v>
      </c>
      <c r="Q904" s="9">
        <v>1443.32</v>
      </c>
      <c r="R904" s="14"/>
      <c r="S904" s="12">
        <f t="shared" si="2"/>
        <v>-0.000509024965</v>
      </c>
      <c r="T904" s="12">
        <f t="shared" si="3"/>
        <v>0.999490975</v>
      </c>
      <c r="U904" s="16">
        <f t="shared" si="7"/>
        <v>101.3170315</v>
      </c>
      <c r="V904" s="17"/>
      <c r="W904" s="12">
        <f t="array" ref="W904">SQRT(252/20) *  SQRT( SUMSQ( LN(U883:U902 / U882:U901) )  - (1/20) * ( SUM( LN(U883:U902 / U882:U901) ) ^ 2 ) )</f>
        <v>0.00684629886</v>
      </c>
      <c r="X904" s="9">
        <f t="shared" si="4"/>
        <v>1.5</v>
      </c>
      <c r="Y904" s="14"/>
      <c r="Z904" s="12">
        <f t="shared" si="5"/>
        <v>0.9992416431</v>
      </c>
      <c r="AA904" s="16">
        <f t="shared" si="8"/>
        <v>102.3008981</v>
      </c>
      <c r="AB904" s="14"/>
      <c r="AC904" s="9">
        <f t="shared" si="6"/>
        <v>0</v>
      </c>
    </row>
    <row r="905">
      <c r="A905" s="8">
        <v>43035.0</v>
      </c>
      <c r="B905" s="14"/>
      <c r="C905" s="12">
        <f t="array" ref="C905">IFERROR(
  INDEX(
    IR!$B$2:$E2026,                
    MATCH($A905, IR!$A$2:$A2026, 0), 
    MATCH(C$1, IR!$B$1:$E$1, 0) ), "")
</f>
        <v>-0.00372</v>
      </c>
      <c r="D905" s="12">
        <f t="array" ref="D905">IFERROR(
  INDEX(
    IR!$B$2:$E2026,                
    MATCH($A905, IR!$A$2:$A2026, 0), 
    MATCH(D$1, IR!$B$1:$E$1, 0) ), "")
</f>
        <v>-0.00331</v>
      </c>
      <c r="E905" s="12">
        <f t="array" ref="E905">IFERROR(
  INDEX(
    IR!$B$2:$E2026,                
    MATCH($A905, IR!$A$2:$A2026, 0), 
    MATCH(E$1, IR!$B$1:$E$1, 0) ), "")
</f>
        <v>-0.00275</v>
      </c>
      <c r="F905" s="12">
        <f t="array" ref="F905">IFERROR(
  INDEX(
    IR!$B$2:$E2026,                
    MATCH($A905, IR!$A$2:$A2026, 0), 
    MATCH(F$1, IR!$B$1:$E$1, 0) ), "")
</f>
        <v>-0.00184</v>
      </c>
      <c r="G905" s="25"/>
      <c r="H905" s="12">
        <f t="array" ref="H905">IFERROR(
  INDEX(
    SR!$B$2:$D2026,            
    MATCH($A905, SR!$A$2:$A2026, 0),  
    MATCH(H$1, SR!$B$1:$D$1, 0) ), "")
</f>
        <v>-0.001965</v>
      </c>
      <c r="I905" s="12">
        <f t="array" ref="I905">IFERROR(
  INDEX(
    SR!$B$2:$D2026,            
    MATCH($A905, SR!$A$2:$A2026, 0),  
    MATCH(I$1, SR!$B$1:$D$1, 0) ), "")
</f>
        <v>-0.00077</v>
      </c>
      <c r="J905" s="12">
        <f t="array" ref="J905">IFERROR(
  INDEX(
    SR!$B$2:$D2026,            
    MATCH($A905, SR!$A$2:$A2026, 0),  
    MATCH(J$1, SR!$B$1:$D$1, 0) ), "")
</f>
        <v>0.002067</v>
      </c>
      <c r="K905" s="14"/>
      <c r="L905" s="9">
        <v>120.11</v>
      </c>
      <c r="M905" s="9">
        <v>24.25</v>
      </c>
      <c r="N905" s="9">
        <v>115.3</v>
      </c>
      <c r="O905" s="9">
        <v>118.87</v>
      </c>
      <c r="P905" s="9">
        <v>129.15</v>
      </c>
      <c r="Q905" s="9">
        <v>1446.793</v>
      </c>
      <c r="R905" s="14"/>
      <c r="S905" s="12">
        <f t="shared" si="2"/>
        <v>0.00247672538</v>
      </c>
      <c r="T905" s="12">
        <f t="shared" si="3"/>
        <v>1.002476725</v>
      </c>
      <c r="U905" s="16">
        <f t="shared" si="7"/>
        <v>101.5679659</v>
      </c>
      <c r="V905" s="17"/>
      <c r="W905" s="12">
        <f t="array" ref="W905">SQRT(252/20) *  SQRT( SUMSQ( LN(U884:U903 / U883:U902) )  - (1/20) * ( SUM( LN(U884:U903 / U883:U902) ) ^ 2 ) )</f>
        <v>0.007008713135</v>
      </c>
      <c r="X905" s="9">
        <f t="shared" si="4"/>
        <v>1.5</v>
      </c>
      <c r="Y905" s="14"/>
      <c r="Z905" s="12">
        <f t="shared" si="5"/>
        <v>1.003720241</v>
      </c>
      <c r="AA905" s="16">
        <f t="shared" si="8"/>
        <v>102.6814821</v>
      </c>
      <c r="AB905" s="14"/>
      <c r="AC905" s="9">
        <f t="shared" si="6"/>
        <v>0</v>
      </c>
    </row>
    <row r="906">
      <c r="A906" s="8">
        <v>43038.0</v>
      </c>
      <c r="B906" s="14"/>
      <c r="C906" s="12">
        <f t="array" ref="C906">IFERROR(
  INDEX(
    IR!$B$2:$E2026,                
    MATCH($A906, IR!$A$2:$A2026, 0), 
    MATCH(C$1, IR!$B$1:$E$1, 0) ), "")
</f>
        <v>-0.00372</v>
      </c>
      <c r="D906" s="12">
        <f t="array" ref="D906">IFERROR(
  INDEX(
    IR!$B$2:$E2026,                
    MATCH($A906, IR!$A$2:$A2026, 0), 
    MATCH(D$1, IR!$B$1:$E$1, 0) ), "")
</f>
        <v>-0.00331</v>
      </c>
      <c r="E906" s="12">
        <f t="array" ref="E906">IFERROR(
  INDEX(
    IR!$B$2:$E2026,                
    MATCH($A906, IR!$A$2:$A2026, 0), 
    MATCH(E$1, IR!$B$1:$E$1, 0) ), "")
</f>
        <v>-0.00276</v>
      </c>
      <c r="F906" s="12">
        <f t="array" ref="F906">IFERROR(
  INDEX(
    IR!$B$2:$E2026,                
    MATCH($A906, IR!$A$2:$A2026, 0), 
    MATCH(F$1, IR!$B$1:$E$1, 0) ), "")
</f>
        <v>-0.00185</v>
      </c>
      <c r="G906" s="25"/>
      <c r="H906" s="12">
        <f t="array" ref="H906">IFERROR(
  INDEX(
    SR!$B$2:$D2026,            
    MATCH($A906, SR!$A$2:$A2026, 0),  
    MATCH(H$1, SR!$B$1:$D$1, 0) ), "")
</f>
        <v>-0.001985</v>
      </c>
      <c r="I906" s="12">
        <f t="array" ref="I906">IFERROR(
  INDEX(
    SR!$B$2:$D2026,            
    MATCH($A906, SR!$A$2:$A2026, 0),  
    MATCH(I$1, SR!$B$1:$D$1, 0) ), "")
</f>
        <v>-0.000822</v>
      </c>
      <c r="J906" s="12">
        <f t="array" ref="J906">IFERROR(
  INDEX(
    SR!$B$2:$D2026,            
    MATCH($A906, SR!$A$2:$A2026, 0),  
    MATCH(J$1, SR!$B$1:$D$1, 0) ), "")
</f>
        <v>0.00197</v>
      </c>
      <c r="K906" s="14"/>
      <c r="L906" s="9">
        <v>120.29</v>
      </c>
      <c r="M906" s="9">
        <v>24.25</v>
      </c>
      <c r="N906" s="9">
        <v>115.34</v>
      </c>
      <c r="O906" s="9">
        <v>119.24</v>
      </c>
      <c r="P906" s="9">
        <v>129.84</v>
      </c>
      <c r="Q906" s="9">
        <v>1448.876</v>
      </c>
      <c r="R906" s="14"/>
      <c r="S906" s="12">
        <f t="shared" si="2"/>
        <v>0.001956119983</v>
      </c>
      <c r="T906" s="12">
        <f t="shared" si="3"/>
        <v>1.00195612</v>
      </c>
      <c r="U906" s="16">
        <f t="shared" si="7"/>
        <v>101.7666451</v>
      </c>
      <c r="V906" s="17"/>
      <c r="W906" s="12">
        <f t="array" ref="W906">SQRT(252/20) *  SQRT( SUMSQ( LN(U885:U904 / U884:U903) )  - (1/20) * ( SUM( LN(U885:U904 / U884:U903) ) ^ 2 ) )</f>
        <v>0.007438722849</v>
      </c>
      <c r="X906" s="9">
        <f t="shared" si="4"/>
        <v>1.5</v>
      </c>
      <c r="Y906" s="14"/>
      <c r="Z906" s="12">
        <f t="shared" si="5"/>
        <v>1.00294968</v>
      </c>
      <c r="AA906" s="16">
        <f t="shared" si="8"/>
        <v>102.9843596</v>
      </c>
      <c r="AB906" s="14"/>
      <c r="AC906" s="9">
        <f t="shared" si="6"/>
        <v>0</v>
      </c>
    </row>
    <row r="907">
      <c r="A907" s="8">
        <v>43039.0</v>
      </c>
      <c r="B907" s="14"/>
      <c r="C907" s="12">
        <f t="array" ref="C907">IFERROR(
  INDEX(
    IR!$B$2:$E2026,                
    MATCH($A907, IR!$A$2:$A2026, 0), 
    MATCH(C$1, IR!$B$1:$E$1, 0) ), "")
</f>
        <v>-0.00372</v>
      </c>
      <c r="D907" s="12">
        <f t="array" ref="D907">IFERROR(
  INDEX(
    IR!$B$2:$E2026,                
    MATCH($A907, IR!$A$2:$A2026, 0), 
    MATCH(D$1, IR!$B$1:$E$1, 0) ), "")
</f>
        <v>-0.00331</v>
      </c>
      <c r="E907" s="12">
        <f t="array" ref="E907">IFERROR(
  INDEX(
    IR!$B$2:$E2026,                
    MATCH($A907, IR!$A$2:$A2026, 0), 
    MATCH(E$1, IR!$B$1:$E$1, 0) ), "")
</f>
        <v>-0.00276</v>
      </c>
      <c r="F907" s="12">
        <f t="array" ref="F907">IFERROR(
  INDEX(
    IR!$B$2:$E2026,                
    MATCH($A907, IR!$A$2:$A2026, 0), 
    MATCH(F$1, IR!$B$1:$E$1, 0) ), "")
</f>
        <v>-0.00185</v>
      </c>
      <c r="G907" s="25"/>
      <c r="H907" s="12">
        <f t="array" ref="H907">IFERROR(
  INDEX(
    SR!$B$2:$D2026,            
    MATCH($A907, SR!$A$2:$A2026, 0),  
    MATCH(H$1, SR!$B$1:$D$1, 0) ), "")
</f>
        <v>-0.001975</v>
      </c>
      <c r="I907" s="12">
        <f t="array" ref="I907">IFERROR(
  INDEX(
    SR!$B$2:$D2026,            
    MATCH($A907, SR!$A$2:$A2026, 0),  
    MATCH(I$1, SR!$B$1:$D$1, 0) ), "")
</f>
        <v>-0.000841</v>
      </c>
      <c r="J907" s="12">
        <f t="array" ref="J907">IFERROR(
  INDEX(
    SR!$B$2:$D2026,            
    MATCH($A907, SR!$A$2:$A2026, 0),  
    MATCH(J$1, SR!$B$1:$D$1, 0) ), "")
</f>
        <v>0.001946</v>
      </c>
      <c r="K907" s="14"/>
      <c r="L907" s="9">
        <v>120.4</v>
      </c>
      <c r="M907" s="9">
        <v>24.24</v>
      </c>
      <c r="N907" s="9">
        <v>115.33</v>
      </c>
      <c r="O907" s="9">
        <v>119.48</v>
      </c>
      <c r="P907" s="9">
        <v>129.92</v>
      </c>
      <c r="Q907" s="9">
        <v>1454.1483</v>
      </c>
      <c r="R907" s="14"/>
      <c r="S907" s="12">
        <f t="shared" si="2"/>
        <v>0.001113779258</v>
      </c>
      <c r="T907" s="12">
        <f t="shared" si="3"/>
        <v>1.001113779</v>
      </c>
      <c r="U907" s="16">
        <f t="shared" si="7"/>
        <v>101.8799906</v>
      </c>
      <c r="V907" s="17"/>
      <c r="W907" s="12">
        <f t="array" ref="W907">SQRT(252/20) *  SQRT( SUMSQ( LN(U886:U905 / U885:U904) )  - (1/20) * ( SUM( LN(U886:U905 / U885:U904) ) ^ 2 ) )</f>
        <v>0.01089501619</v>
      </c>
      <c r="X907" s="9">
        <f t="shared" si="4"/>
        <v>1.5</v>
      </c>
      <c r="Y907" s="14"/>
      <c r="Z907" s="12">
        <f t="shared" si="5"/>
        <v>1.001675836</v>
      </c>
      <c r="AA907" s="16">
        <f t="shared" si="8"/>
        <v>103.1569445</v>
      </c>
      <c r="AB907" s="14"/>
      <c r="AC907" s="9">
        <f t="shared" si="6"/>
        <v>0</v>
      </c>
    </row>
    <row r="908">
      <c r="A908" s="8">
        <v>43041.0</v>
      </c>
      <c r="B908" s="14"/>
      <c r="C908" s="12">
        <f t="array" ref="C908">IFERROR(
  INDEX(
    IR!$B$2:$E2026,                
    MATCH($A908, IR!$A$2:$A2026, 0), 
    MATCH(C$1, IR!$B$1:$E$1, 0) ), "")
</f>
        <v>-0.00372</v>
      </c>
      <c r="D908" s="12">
        <f t="array" ref="D908">IFERROR(
  INDEX(
    IR!$B$2:$E2026,                
    MATCH($A908, IR!$A$2:$A2026, 0), 
    MATCH(D$1, IR!$B$1:$E$1, 0) ), "")
</f>
        <v>-0.00329</v>
      </c>
      <c r="E908" s="12">
        <f t="array" ref="E908">IFERROR(
  INDEX(
    IR!$B$2:$E2026,                
    MATCH($A908, IR!$A$2:$A2026, 0), 
    MATCH(E$1, IR!$B$1:$E$1, 0) ), "")
</f>
        <v>-0.00276</v>
      </c>
      <c r="F908" s="12">
        <f t="array" ref="F908">IFERROR(
  INDEX(
    IR!$B$2:$E2026,                
    MATCH($A908, IR!$A$2:$A2026, 0), 
    MATCH(F$1, IR!$B$1:$E$1, 0) ), "")
</f>
        <v>-0.00189</v>
      </c>
      <c r="G908" s="25"/>
      <c r="H908" s="12">
        <f t="array" ref="H908">IFERROR(
  INDEX(
    SR!$B$2:$D2026,            
    MATCH($A908, SR!$A$2:$A2026, 0),  
    MATCH(H$1, SR!$B$1:$D$1, 0) ), "")
</f>
        <v>-0.00199</v>
      </c>
      <c r="I908" s="12">
        <f t="array" ref="I908">IFERROR(
  INDEX(
    SR!$B$2:$D2026,            
    MATCH($A908, SR!$A$2:$A2026, 0),  
    MATCH(I$1, SR!$B$1:$D$1, 0) ), "")
</f>
        <v>-0.000821</v>
      </c>
      <c r="J908" s="12">
        <f t="array" ref="J908">IFERROR(
  INDEX(
    SR!$B$2:$D2026,            
    MATCH($A908, SR!$A$2:$A2026, 0),  
    MATCH(J$1, SR!$B$1:$D$1, 0) ), "")
</f>
        <v>0.001984</v>
      </c>
      <c r="K908" s="14"/>
      <c r="L908" s="9">
        <v>120.62</v>
      </c>
      <c r="M908" s="9">
        <v>24.24</v>
      </c>
      <c r="N908" s="9">
        <v>115.32</v>
      </c>
      <c r="O908" s="9">
        <v>119.65</v>
      </c>
      <c r="P908" s="9">
        <v>130.56</v>
      </c>
      <c r="Q908" s="9">
        <v>1458.859</v>
      </c>
      <c r="R908" s="14"/>
      <c r="S908" s="12">
        <f t="shared" si="2"/>
        <v>0.001887729724</v>
      </c>
      <c r="T908" s="12">
        <f t="shared" si="3"/>
        <v>1.00188773</v>
      </c>
      <c r="U908" s="16">
        <f t="shared" si="7"/>
        <v>102.0723125</v>
      </c>
      <c r="V908" s="17"/>
      <c r="W908" s="12">
        <f t="array" ref="W908">SQRT(252/20) *  SQRT( SUMSQ( LN(U887:U906 / U886:U905) )  - (1/20) * ( SUM( LN(U887:U906 / U886:U905) ) ^ 2 ) )</f>
        <v>0.01195072825</v>
      </c>
      <c r="X908" s="9">
        <f t="shared" si="4"/>
        <v>1.5</v>
      </c>
      <c r="Y908" s="14"/>
      <c r="Z908" s="12">
        <f t="shared" si="5"/>
        <v>1.002841928</v>
      </c>
      <c r="AA908" s="16">
        <f t="shared" si="8"/>
        <v>103.4501091</v>
      </c>
      <c r="AB908" s="14"/>
      <c r="AC908" s="9">
        <f t="shared" si="6"/>
        <v>0</v>
      </c>
    </row>
    <row r="909">
      <c r="A909" s="8">
        <v>43042.0</v>
      </c>
      <c r="B909" s="14"/>
      <c r="C909" s="12">
        <f t="array" ref="C909">IFERROR(
  INDEX(
    IR!$B$2:$E2026,                
    MATCH($A909, IR!$A$2:$A2026, 0), 
    MATCH(C$1, IR!$B$1:$E$1, 0) ), "")
</f>
        <v>-0.00372</v>
      </c>
      <c r="D909" s="12">
        <f t="array" ref="D909">IFERROR(
  INDEX(
    IR!$B$2:$E2026,                
    MATCH($A909, IR!$A$2:$A2026, 0), 
    MATCH(D$1, IR!$B$1:$E$1, 0) ), "")
</f>
        <v>-0.00329</v>
      </c>
      <c r="E909" s="12">
        <f t="array" ref="E909">IFERROR(
  INDEX(
    IR!$B$2:$E2026,                
    MATCH($A909, IR!$A$2:$A2026, 0), 
    MATCH(E$1, IR!$B$1:$E$1, 0) ), "")
</f>
        <v>-0.00276</v>
      </c>
      <c r="F909" s="12">
        <f t="array" ref="F909">IFERROR(
  INDEX(
    IR!$B$2:$E2026,                
    MATCH($A909, IR!$A$2:$A2026, 0), 
    MATCH(F$1, IR!$B$1:$E$1, 0) ), "")
</f>
        <v>-0.00191</v>
      </c>
      <c r="G909" s="25"/>
      <c r="H909" s="12">
        <f t="array" ref="H909">IFERROR(
  INDEX(
    SR!$B$2:$D2026,            
    MATCH($A909, SR!$A$2:$A2026, 0),  
    MATCH(H$1, SR!$B$1:$D$1, 0) ), "")
</f>
        <v>-0.00199</v>
      </c>
      <c r="I909" s="12">
        <f t="array" ref="I909">IFERROR(
  INDEX(
    SR!$B$2:$D2026,            
    MATCH($A909, SR!$A$2:$A2026, 0),  
    MATCH(I$1, SR!$B$1:$D$1, 0) ), "")
</f>
        <v>-0.000831</v>
      </c>
      <c r="J909" s="12">
        <f t="array" ref="J909">IFERROR(
  INDEX(
    SR!$B$2:$D2026,            
    MATCH($A909, SR!$A$2:$A2026, 0),  
    MATCH(J$1, SR!$B$1:$D$1, 0) ), "")
</f>
        <v>0.00197</v>
      </c>
      <c r="K909" s="14"/>
      <c r="L909" s="9">
        <v>120.77</v>
      </c>
      <c r="M909" s="9">
        <v>24.25</v>
      </c>
      <c r="N909" s="9">
        <v>115.32</v>
      </c>
      <c r="O909" s="9">
        <v>120.12</v>
      </c>
      <c r="P909" s="9">
        <v>130.41</v>
      </c>
      <c r="Q909" s="9">
        <v>1456.026</v>
      </c>
      <c r="R909" s="14"/>
      <c r="S909" s="12">
        <f t="shared" si="2"/>
        <v>0.0004152086067</v>
      </c>
      <c r="T909" s="12">
        <f t="shared" si="3"/>
        <v>1.000415209</v>
      </c>
      <c r="U909" s="16">
        <f t="shared" si="7"/>
        <v>102.1146938</v>
      </c>
      <c r="V909" s="17"/>
      <c r="W909" s="12">
        <f t="array" ref="W909">SQRT(252/20) *  SQRT( SUMSQ( LN(U888:U907 / U887:U906) )  - (1/20) * ( SUM( LN(U888:U907 / U887:U906) ) ^ 2 ) )</f>
        <v>0.01210034874</v>
      </c>
      <c r="X909" s="9">
        <f t="shared" si="4"/>
        <v>1.5</v>
      </c>
      <c r="Y909" s="14"/>
      <c r="Z909" s="12">
        <f t="shared" si="5"/>
        <v>1.00062798</v>
      </c>
      <c r="AA909" s="16">
        <f t="shared" si="8"/>
        <v>103.5150736</v>
      </c>
      <c r="AB909" s="14"/>
      <c r="AC909" s="9">
        <f t="shared" si="6"/>
        <v>0</v>
      </c>
    </row>
    <row r="910">
      <c r="A910" s="8">
        <v>43045.0</v>
      </c>
      <c r="B910" s="14"/>
      <c r="C910" s="12">
        <f t="array" ref="C910">IFERROR(
  INDEX(
    IR!$B$2:$E2026,                
    MATCH($A910, IR!$A$2:$A2026, 0), 
    MATCH(C$1, IR!$B$1:$E$1, 0) ), "")
</f>
        <v>-0.00371</v>
      </c>
      <c r="D910" s="12">
        <f t="array" ref="D910">IFERROR(
  INDEX(
    IR!$B$2:$E2026,                
    MATCH($A910, IR!$A$2:$A2026, 0), 
    MATCH(D$1, IR!$B$1:$E$1, 0) ), "")
</f>
        <v>-0.00329</v>
      </c>
      <c r="E910" s="12">
        <f t="array" ref="E910">IFERROR(
  INDEX(
    IR!$B$2:$E2026,                
    MATCH($A910, IR!$A$2:$A2026, 0), 
    MATCH(E$1, IR!$B$1:$E$1, 0) ), "")
</f>
        <v>-0.00276</v>
      </c>
      <c r="F910" s="12">
        <f t="array" ref="F910">IFERROR(
  INDEX(
    IR!$B$2:$E2026,                
    MATCH($A910, IR!$A$2:$A2026, 0), 
    MATCH(F$1, IR!$B$1:$E$1, 0) ), "")
</f>
        <v>-0.00191</v>
      </c>
      <c r="G910" s="25"/>
      <c r="H910" s="12">
        <f t="array" ref="H910">IFERROR(
  INDEX(
    SR!$B$2:$D2026,            
    MATCH($A910, SR!$A$2:$A2026, 0),  
    MATCH(H$1, SR!$B$1:$D$1, 0) ), "")
</f>
        <v>-0.00205</v>
      </c>
      <c r="I910" s="12">
        <f t="array" ref="I910">IFERROR(
  INDEX(
    SR!$B$2:$D2026,            
    MATCH($A910, SR!$A$2:$A2026, 0),  
    MATCH(I$1, SR!$B$1:$D$1, 0) ), "")
</f>
        <v>-0.000828</v>
      </c>
      <c r="J910" s="12">
        <f t="array" ref="J910">IFERROR(
  INDEX(
    SR!$B$2:$D2026,            
    MATCH($A910, SR!$A$2:$A2026, 0),  
    MATCH(J$1, SR!$B$1:$D$1, 0) ), "")
</f>
        <v>0.001795</v>
      </c>
      <c r="K910" s="14"/>
      <c r="L910" s="9">
        <v>120.77</v>
      </c>
      <c r="M910" s="9">
        <v>24.26</v>
      </c>
      <c r="N910" s="9">
        <v>115.28</v>
      </c>
      <c r="O910" s="9">
        <v>120.23</v>
      </c>
      <c r="P910" s="9">
        <v>130.5</v>
      </c>
      <c r="Q910" s="9">
        <v>1459.627</v>
      </c>
      <c r="R910" s="14"/>
      <c r="S910" s="12">
        <f t="shared" si="2"/>
        <v>0.0006907314108</v>
      </c>
      <c r="T910" s="12">
        <f t="shared" si="3"/>
        <v>1.000690731</v>
      </c>
      <c r="U910" s="16">
        <f t="shared" si="7"/>
        <v>102.1852277</v>
      </c>
      <c r="V910" s="17"/>
      <c r="W910" s="12">
        <f t="array" ref="W910">SQRT(252/20) *  SQRT( SUMSQ( LN(U889:U908 / U888:U907) )  - (1/20) * ( SUM( LN(U889:U908 / U888:U907) ) ^ 2 ) )</f>
        <v>0.01324589002</v>
      </c>
      <c r="X910" s="9">
        <f t="shared" si="4"/>
        <v>1.5</v>
      </c>
      <c r="Y910" s="14"/>
      <c r="Z910" s="12">
        <f t="shared" si="5"/>
        <v>1.001051597</v>
      </c>
      <c r="AA910" s="16">
        <f t="shared" si="8"/>
        <v>103.6239298</v>
      </c>
      <c r="AB910" s="14"/>
      <c r="AC910" s="9">
        <f t="shared" si="6"/>
        <v>0</v>
      </c>
    </row>
    <row r="911">
      <c r="A911" s="8">
        <v>43046.0</v>
      </c>
      <c r="B911" s="14"/>
      <c r="C911" s="12">
        <f t="array" ref="C911">IFERROR(
  INDEX(
    IR!$B$2:$E2026,                
    MATCH($A911, IR!$A$2:$A2026, 0), 
    MATCH(C$1, IR!$B$1:$E$1, 0) ), "")
</f>
        <v>-0.00372</v>
      </c>
      <c r="D911" s="12">
        <f t="array" ref="D911">IFERROR(
  INDEX(
    IR!$B$2:$E2026,                
    MATCH($A911, IR!$A$2:$A2026, 0), 
    MATCH(D$1, IR!$B$1:$E$1, 0) ), "")
</f>
        <v>-0.00329</v>
      </c>
      <c r="E911" s="12">
        <f t="array" ref="E911">IFERROR(
  INDEX(
    IR!$B$2:$E2026,                
    MATCH($A911, IR!$A$2:$A2026, 0), 
    MATCH(E$1, IR!$B$1:$E$1, 0) ), "")
</f>
        <v>-0.00275</v>
      </c>
      <c r="F911" s="12">
        <f t="array" ref="F911">IFERROR(
  INDEX(
    IR!$B$2:$E2026,                
    MATCH($A911, IR!$A$2:$A2026, 0), 
    MATCH(F$1, IR!$B$1:$E$1, 0) ), "")
</f>
        <v>-0.0019</v>
      </c>
      <c r="G911" s="25"/>
      <c r="H911" s="12">
        <f t="array" ref="H911">IFERROR(
  INDEX(
    SR!$B$2:$D2026,            
    MATCH($A911, SR!$A$2:$A2026, 0),  
    MATCH(H$1, SR!$B$1:$D$1, 0) ), "")
</f>
        <v>-0.002045</v>
      </c>
      <c r="I911" s="12">
        <f t="array" ref="I911">IFERROR(
  INDEX(
    SR!$B$2:$D2026,            
    MATCH($A911, SR!$A$2:$A2026, 0),  
    MATCH(I$1, SR!$B$1:$D$1, 0) ), "")
</f>
        <v>-0.000915</v>
      </c>
      <c r="J911" s="12">
        <f t="array" ref="J911">IFERROR(
  INDEX(
    SR!$B$2:$D2026,            
    MATCH($A911, SR!$A$2:$A2026, 0),  
    MATCH(J$1, SR!$B$1:$D$1, 0) ), "")
</f>
        <v>0.001765</v>
      </c>
      <c r="K911" s="14"/>
      <c r="L911" s="9">
        <v>120.66</v>
      </c>
      <c r="M911" s="9">
        <v>24.25</v>
      </c>
      <c r="N911" s="9">
        <v>115.26</v>
      </c>
      <c r="O911" s="9">
        <v>120.22</v>
      </c>
      <c r="P911" s="9">
        <v>130.64</v>
      </c>
      <c r="Q911" s="9">
        <v>1464.007</v>
      </c>
      <c r="R911" s="14"/>
      <c r="S911" s="12">
        <f t="shared" si="2"/>
        <v>0.0004157797587</v>
      </c>
      <c r="T911" s="12">
        <f t="shared" si="3"/>
        <v>1.00041578</v>
      </c>
      <c r="U911" s="16">
        <f t="shared" si="7"/>
        <v>102.2277142</v>
      </c>
      <c r="V911" s="17"/>
      <c r="W911" s="12">
        <f t="array" ref="W911">SQRT(252/20) *  SQRT( SUMSQ( LN(U890:U909 / U889:U908) )  - (1/20) * ( SUM( LN(U890:U909 / U889:U908) ) ^ 2 ) )</f>
        <v>0.01324497619</v>
      </c>
      <c r="X911" s="9">
        <f t="shared" si="4"/>
        <v>1.5</v>
      </c>
      <c r="Y911" s="14"/>
      <c r="Z911" s="12">
        <f t="shared" si="5"/>
        <v>1.000628822</v>
      </c>
      <c r="AA911" s="16">
        <f t="shared" si="8"/>
        <v>103.6890908</v>
      </c>
      <c r="AB911" s="14"/>
      <c r="AC911" s="9">
        <f t="shared" si="6"/>
        <v>0</v>
      </c>
    </row>
    <row r="912">
      <c r="A912" s="8">
        <v>43047.0</v>
      </c>
      <c r="B912" s="14"/>
      <c r="C912" s="12">
        <f t="array" ref="C912">IFERROR(
  INDEX(
    IR!$B$2:$E2026,                
    MATCH($A912, IR!$A$2:$A2026, 0), 
    MATCH(C$1, IR!$B$1:$E$1, 0) ), "")
</f>
        <v>-0.00372</v>
      </c>
      <c r="D912" s="12">
        <f t="array" ref="D912">IFERROR(
  INDEX(
    IR!$B$2:$E2026,                
    MATCH($A912, IR!$A$2:$A2026, 0), 
    MATCH(D$1, IR!$B$1:$E$1, 0) ), "")
</f>
        <v>-0.00329</v>
      </c>
      <c r="E912" s="12">
        <f t="array" ref="E912">IFERROR(
  INDEX(
    IR!$B$2:$E2026,                
    MATCH($A912, IR!$A$2:$A2026, 0), 
    MATCH(E$1, IR!$B$1:$E$1, 0) ), "")
</f>
        <v>-0.00276</v>
      </c>
      <c r="F912" s="12">
        <f t="array" ref="F912">IFERROR(
  INDEX(
    IR!$B$2:$E2026,                
    MATCH($A912, IR!$A$2:$A2026, 0), 
    MATCH(F$1, IR!$B$1:$E$1, 0) ), "")
</f>
        <v>-0.00191</v>
      </c>
      <c r="G912" s="25"/>
      <c r="H912" s="12">
        <f t="array" ref="H912">IFERROR(
  INDEX(
    SR!$B$2:$D2026,            
    MATCH($A912, SR!$A$2:$A2026, 0),  
    MATCH(H$1, SR!$B$1:$D$1, 0) ), "")
</f>
        <v>-0.00205</v>
      </c>
      <c r="I912" s="12">
        <f t="array" ref="I912">IFERROR(
  INDEX(
    SR!$B$2:$D2026,            
    MATCH($A912, SR!$A$2:$A2026, 0),  
    MATCH(I$1, SR!$B$1:$D$1, 0) ), "")
</f>
        <v>-0.00093</v>
      </c>
      <c r="J912" s="12">
        <f t="array" ref="J912">IFERROR(
  INDEX(
    SR!$B$2:$D2026,            
    MATCH($A912, SR!$A$2:$A2026, 0),  
    MATCH(J$1, SR!$B$1:$D$1, 0) ), "")
</f>
        <v>0.001795</v>
      </c>
      <c r="K912" s="14"/>
      <c r="L912" s="9">
        <v>120.66</v>
      </c>
      <c r="M912" s="9">
        <v>24.25</v>
      </c>
      <c r="N912" s="9">
        <v>115.25</v>
      </c>
      <c r="O912" s="9">
        <v>120.05</v>
      </c>
      <c r="P912" s="9">
        <v>130.72</v>
      </c>
      <c r="Q912" s="9">
        <v>1460.006</v>
      </c>
      <c r="R912" s="14"/>
      <c r="S912" s="12">
        <f t="shared" si="2"/>
        <v>-0.0006035943867</v>
      </c>
      <c r="T912" s="12">
        <f t="shared" si="3"/>
        <v>0.9993964056</v>
      </c>
      <c r="U912" s="16">
        <f t="shared" si="7"/>
        <v>102.1660101</v>
      </c>
      <c r="V912" s="17"/>
      <c r="W912" s="12">
        <f t="array" ref="W912">SQRT(252/20) *  SQRT( SUMSQ( LN(U891:U910 / U890:U909) )  - (1/20) * ( SUM( LN(U891:U910 / U890:U909) ) ^ 2 ) )</f>
        <v>0.01328147376</v>
      </c>
      <c r="X912" s="9">
        <f t="shared" si="4"/>
        <v>1.5</v>
      </c>
      <c r="Y912" s="14"/>
      <c r="Z912" s="12">
        <f t="shared" si="5"/>
        <v>0.9990997751</v>
      </c>
      <c r="AA912" s="16">
        <f t="shared" si="8"/>
        <v>103.5957473</v>
      </c>
      <c r="AB912" s="14"/>
      <c r="AC912" s="9">
        <f t="shared" si="6"/>
        <v>0</v>
      </c>
    </row>
    <row r="913">
      <c r="A913" s="8">
        <v>43048.0</v>
      </c>
      <c r="B913" s="14"/>
      <c r="C913" s="12">
        <f t="array" ref="C913">IFERROR(
  INDEX(
    IR!$B$2:$E2026,                
    MATCH($A913, IR!$A$2:$A2026, 0), 
    MATCH(C$1, IR!$B$1:$E$1, 0) ), "")
</f>
        <v>-0.00371</v>
      </c>
      <c r="D913" s="12">
        <f t="array" ref="D913">IFERROR(
  INDEX(
    IR!$B$2:$E2026,                
    MATCH($A913, IR!$A$2:$A2026, 0), 
    MATCH(D$1, IR!$B$1:$E$1, 0) ), "")
</f>
        <v>-0.00329</v>
      </c>
      <c r="E913" s="12">
        <f t="array" ref="E913">IFERROR(
  INDEX(
    IR!$B$2:$E2026,                
    MATCH($A913, IR!$A$2:$A2026, 0), 
    MATCH(E$1, IR!$B$1:$E$1, 0) ), "")
</f>
        <v>-0.00276</v>
      </c>
      <c r="F913" s="12">
        <f t="array" ref="F913">IFERROR(
  INDEX(
    IR!$B$2:$E2026,                
    MATCH($A913, IR!$A$2:$A2026, 0), 
    MATCH(F$1, IR!$B$1:$E$1, 0) ), "")
</f>
        <v>-0.00191</v>
      </c>
      <c r="G913" s="25"/>
      <c r="H913" s="12">
        <f t="array" ref="H913">IFERROR(
  INDEX(
    SR!$B$2:$D2026,            
    MATCH($A913, SR!$A$2:$A2026, 0),  
    MATCH(H$1, SR!$B$1:$D$1, 0) ), "")
</f>
        <v>-0.00201</v>
      </c>
      <c r="I913" s="12">
        <f t="array" ref="I913">IFERROR(
  INDEX(
    SR!$B$2:$D2026,            
    MATCH($A913, SR!$A$2:$A2026, 0),  
    MATCH(I$1, SR!$B$1:$D$1, 0) ), "")
</f>
        <v>-0.000841</v>
      </c>
      <c r="J913" s="12">
        <f t="array" ref="J913">IFERROR(
  INDEX(
    SR!$B$2:$D2026,            
    MATCH($A913, SR!$A$2:$A2026, 0),  
    MATCH(J$1, SR!$B$1:$D$1, 0) ), "")
</f>
        <v>0.001943</v>
      </c>
      <c r="K913" s="14"/>
      <c r="L913" s="9">
        <v>120.22</v>
      </c>
      <c r="M913" s="9">
        <v>24.24</v>
      </c>
      <c r="N913" s="9">
        <v>115.26</v>
      </c>
      <c r="O913" s="9">
        <v>119.92</v>
      </c>
      <c r="P913" s="9">
        <v>130.71</v>
      </c>
      <c r="Q913" s="9">
        <v>1460.358</v>
      </c>
      <c r="R913" s="14"/>
      <c r="S913" s="12">
        <f t="shared" si="2"/>
        <v>-0.0008147332187</v>
      </c>
      <c r="T913" s="12">
        <f t="shared" si="3"/>
        <v>0.9991852668</v>
      </c>
      <c r="U913" s="16">
        <f t="shared" si="7"/>
        <v>102.0827721</v>
      </c>
      <c r="V913" s="17"/>
      <c r="W913" s="12">
        <f t="array" ref="W913">SQRT(252/20) *  SQRT( SUMSQ( LN(U892:U911 / U891:U910) )  - (1/20) * ( SUM( LN(U892:U911 / U891:U910) ) ^ 2 ) )</f>
        <v>0.01305406643</v>
      </c>
      <c r="X913" s="9">
        <f t="shared" si="4"/>
        <v>1.5</v>
      </c>
      <c r="Y913" s="14"/>
      <c r="Z913" s="12">
        <f t="shared" si="5"/>
        <v>0.9987830668</v>
      </c>
      <c r="AA913" s="16">
        <f t="shared" si="8"/>
        <v>103.4696782</v>
      </c>
      <c r="AB913" s="14"/>
      <c r="AC913" s="9">
        <f t="shared" si="6"/>
        <v>0</v>
      </c>
    </row>
    <row r="914">
      <c r="A914" s="8">
        <v>43049.0</v>
      </c>
      <c r="B914" s="14"/>
      <c r="C914" s="12">
        <f t="array" ref="C914">IFERROR(
  INDEX(
    IR!$B$2:$E2026,                
    MATCH($A914, IR!$A$2:$A2026, 0), 
    MATCH(C$1, IR!$B$1:$E$1, 0) ), "")
</f>
        <v>-0.00371</v>
      </c>
      <c r="D914" s="12">
        <f t="array" ref="D914">IFERROR(
  INDEX(
    IR!$B$2:$E2026,                
    MATCH($A914, IR!$A$2:$A2026, 0), 
    MATCH(D$1, IR!$B$1:$E$1, 0) ), "")
</f>
        <v>-0.00329</v>
      </c>
      <c r="E914" s="12">
        <f t="array" ref="E914">IFERROR(
  INDEX(
    IR!$B$2:$E2026,                
    MATCH($A914, IR!$A$2:$A2026, 0), 
    MATCH(E$1, IR!$B$1:$E$1, 0) ), "")
</f>
        <v>-0.00275</v>
      </c>
      <c r="F914" s="12">
        <f t="array" ref="F914">IFERROR(
  INDEX(
    IR!$B$2:$E2026,                
    MATCH($A914, IR!$A$2:$A2026, 0), 
    MATCH(F$1, IR!$B$1:$E$1, 0) ), "")
</f>
        <v>-0.00191</v>
      </c>
      <c r="G914" s="25"/>
      <c r="H914" s="12">
        <f t="array" ref="H914">IFERROR(
  INDEX(
    SR!$B$2:$D2026,            
    MATCH($A914, SR!$A$2:$A2026, 0),  
    MATCH(H$1, SR!$B$1:$D$1, 0) ), "")
</f>
        <v>-0.00198</v>
      </c>
      <c r="I914" s="12">
        <f t="array" ref="I914">IFERROR(
  INDEX(
    SR!$B$2:$D2026,            
    MATCH($A914, SR!$A$2:$A2026, 0),  
    MATCH(I$1, SR!$B$1:$D$1, 0) ), "")
</f>
        <v>-0.00075</v>
      </c>
      <c r="J914" s="12">
        <f t="array" ref="J914">IFERROR(
  INDEX(
    SR!$B$2:$D2026,            
    MATCH($A914, SR!$A$2:$A2026, 0),  
    MATCH(J$1, SR!$B$1:$D$1, 0) ), "")
</f>
        <v>0.002169</v>
      </c>
      <c r="K914" s="14"/>
      <c r="L914" s="9">
        <v>120.07</v>
      </c>
      <c r="M914" s="9">
        <v>24.23</v>
      </c>
      <c r="N914" s="9">
        <v>115.22</v>
      </c>
      <c r="O914" s="9">
        <v>119.26</v>
      </c>
      <c r="P914" s="9">
        <v>130.38</v>
      </c>
      <c r="Q914" s="9">
        <v>1454.653</v>
      </c>
      <c r="R914" s="14"/>
      <c r="S914" s="12">
        <f t="shared" si="2"/>
        <v>-0.00232316345</v>
      </c>
      <c r="T914" s="12">
        <f t="shared" si="3"/>
        <v>0.9976768366</v>
      </c>
      <c r="U914" s="16">
        <f t="shared" si="7"/>
        <v>101.8456171</v>
      </c>
      <c r="V914" s="17"/>
      <c r="W914" s="12">
        <f t="array" ref="W914">SQRT(252/20) *  SQRT( SUMSQ( LN(U893:U912 / U892:U911) )  - (1/20) * ( SUM( LN(U893:U912 / U892:U911) ) ^ 2 ) )</f>
        <v>0.01351657876</v>
      </c>
      <c r="X914" s="9">
        <f t="shared" si="4"/>
        <v>1.5</v>
      </c>
      <c r="Y914" s="14"/>
      <c r="Z914" s="12">
        <f t="shared" si="5"/>
        <v>0.9965204076</v>
      </c>
      <c r="AA914" s="16">
        <f t="shared" si="8"/>
        <v>103.1096459</v>
      </c>
      <c r="AB914" s="14"/>
      <c r="AC914" s="9">
        <f t="shared" si="6"/>
        <v>0</v>
      </c>
    </row>
    <row r="915">
      <c r="A915" s="8">
        <v>43052.0</v>
      </c>
      <c r="B915" s="14"/>
      <c r="C915" s="12">
        <f t="array" ref="C915">IFERROR(
  INDEX(
    IR!$B$2:$E2026,                
    MATCH($A915, IR!$A$2:$A2026, 0), 
    MATCH(C$1, IR!$B$1:$E$1, 0) ), "")
</f>
        <v>-0.00371</v>
      </c>
      <c r="D915" s="12">
        <f t="array" ref="D915">IFERROR(
  INDEX(
    IR!$B$2:$E2026,                
    MATCH($A915, IR!$A$2:$A2026, 0), 
    MATCH(D$1, IR!$B$1:$E$1, 0) ), "")
</f>
        <v>-0.00329</v>
      </c>
      <c r="E915" s="12">
        <f t="array" ref="E915">IFERROR(
  INDEX(
    IR!$B$2:$E2026,                
    MATCH($A915, IR!$A$2:$A2026, 0), 
    MATCH(E$1, IR!$B$1:$E$1, 0) ), "")
</f>
        <v>-0.00275</v>
      </c>
      <c r="F915" s="12">
        <f t="array" ref="F915">IFERROR(
  INDEX(
    IR!$B$2:$E2026,                
    MATCH($A915, IR!$A$2:$A2026, 0), 
    MATCH(F$1, IR!$B$1:$E$1, 0) ), "")
</f>
        <v>-0.00191</v>
      </c>
      <c r="G915" s="25"/>
      <c r="H915" s="12">
        <f t="array" ref="H915">IFERROR(
  INDEX(
    SR!$B$2:$D2026,            
    MATCH($A915, SR!$A$2:$A2026, 0),  
    MATCH(H$1, SR!$B$1:$D$1, 0) ), "")
</f>
        <v>-0.00196</v>
      </c>
      <c r="I915" s="12">
        <f t="array" ref="I915">IFERROR(
  INDEX(
    SR!$B$2:$D2026,            
    MATCH($A915, SR!$A$2:$A2026, 0),  
    MATCH(I$1, SR!$B$1:$D$1, 0) ), "")
</f>
        <v>-0.00071</v>
      </c>
      <c r="J915" s="12">
        <f t="array" ref="J915">IFERROR(
  INDEX(
    SR!$B$2:$D2026,            
    MATCH($A915, SR!$A$2:$A2026, 0),  
    MATCH(J$1, SR!$B$1:$D$1, 0) ), "")
</f>
        <v>0.002211</v>
      </c>
      <c r="K915" s="14"/>
      <c r="L915" s="9">
        <v>119.69</v>
      </c>
      <c r="M915" s="9">
        <v>24.21</v>
      </c>
      <c r="N915" s="9">
        <v>115.24</v>
      </c>
      <c r="O915" s="9">
        <v>118.82</v>
      </c>
      <c r="P915" s="9">
        <v>130.1</v>
      </c>
      <c r="Q915" s="9">
        <v>1444.734</v>
      </c>
      <c r="R915" s="14"/>
      <c r="S915" s="12">
        <f t="shared" si="2"/>
        <v>-0.002744993323</v>
      </c>
      <c r="T915" s="12">
        <f t="shared" si="3"/>
        <v>0.9972550067</v>
      </c>
      <c r="U915" s="16">
        <f t="shared" si="7"/>
        <v>101.5660516</v>
      </c>
      <c r="V915" s="17"/>
      <c r="W915" s="12">
        <f t="array" ref="W915">SQRT(252/20) *  SQRT( SUMSQ( LN(U894:U913 / U893:U912) )  - (1/20) * ( SUM( LN(U894:U913 / U893:U912) ) ^ 2 ) )</f>
        <v>0.01415092506</v>
      </c>
      <c r="X915" s="9">
        <f t="shared" si="4"/>
        <v>1.5</v>
      </c>
      <c r="Y915" s="14"/>
      <c r="Z915" s="12">
        <f t="shared" si="5"/>
        <v>0.9958979683</v>
      </c>
      <c r="AA915" s="16">
        <f t="shared" si="8"/>
        <v>102.6866869</v>
      </c>
      <c r="AB915" s="14"/>
      <c r="AC915" s="9">
        <f t="shared" si="6"/>
        <v>0</v>
      </c>
    </row>
    <row r="916">
      <c r="A916" s="8">
        <v>43053.0</v>
      </c>
      <c r="B916" s="14"/>
      <c r="C916" s="12">
        <f t="array" ref="C916">IFERROR(
  INDEX(
    IR!$B$2:$E2026,                
    MATCH($A916, IR!$A$2:$A2026, 0), 
    MATCH(C$1, IR!$B$1:$E$1, 0) ), "")
</f>
        <v>-0.00372</v>
      </c>
      <c r="D916" s="12">
        <f t="array" ref="D916">IFERROR(
  INDEX(
    IR!$B$2:$E2026,                
    MATCH($A916, IR!$A$2:$A2026, 0), 
    MATCH(D$1, IR!$B$1:$E$1, 0) ), "")
</f>
        <v>-0.00329</v>
      </c>
      <c r="E916" s="12">
        <f t="array" ref="E916">IFERROR(
  INDEX(
    IR!$B$2:$E2026,                
    MATCH($A916, IR!$A$2:$A2026, 0), 
    MATCH(E$1, IR!$B$1:$E$1, 0) ), "")
</f>
        <v>-0.00275</v>
      </c>
      <c r="F916" s="12">
        <f t="array" ref="F916">IFERROR(
  INDEX(
    IR!$B$2:$E2026,                
    MATCH($A916, IR!$A$2:$A2026, 0), 
    MATCH(F$1, IR!$B$1:$E$1, 0) ), "")
</f>
        <v>-0.00191</v>
      </c>
      <c r="G916" s="25"/>
      <c r="H916" s="12">
        <f t="array" ref="H916">IFERROR(
  INDEX(
    SR!$B$2:$D2026,            
    MATCH($A916, SR!$A$2:$A2026, 0),  
    MATCH(H$1, SR!$B$1:$D$1, 0) ), "")
</f>
        <v>-0.001965</v>
      </c>
      <c r="I916" s="12">
        <f t="array" ref="I916">IFERROR(
  INDEX(
    SR!$B$2:$D2026,            
    MATCH($A916, SR!$A$2:$A2026, 0),  
    MATCH(I$1, SR!$B$1:$D$1, 0) ), "")
</f>
        <v>-0.00076</v>
      </c>
      <c r="J916" s="12">
        <f t="array" ref="J916">IFERROR(
  INDEX(
    SR!$B$2:$D2026,            
    MATCH($A916, SR!$A$2:$A2026, 0),  
    MATCH(J$1, SR!$B$1:$D$1, 0) ), "")
</f>
        <v>0.00208</v>
      </c>
      <c r="K916" s="14"/>
      <c r="L916" s="9">
        <v>119.54</v>
      </c>
      <c r="M916" s="9">
        <v>24.18</v>
      </c>
      <c r="N916" s="9">
        <v>115.2</v>
      </c>
      <c r="O916" s="9">
        <v>118.67</v>
      </c>
      <c r="P916" s="9">
        <v>130.06</v>
      </c>
      <c r="Q916" s="9">
        <v>1449.622</v>
      </c>
      <c r="R916" s="14"/>
      <c r="S916" s="12">
        <f t="shared" si="2"/>
        <v>-0.0001706006596</v>
      </c>
      <c r="T916" s="12">
        <f t="shared" si="3"/>
        <v>0.9998293993</v>
      </c>
      <c r="U916" s="16">
        <f t="shared" si="7"/>
        <v>101.5487243</v>
      </c>
      <c r="V916" s="17"/>
      <c r="W916" s="12">
        <f t="array" ref="W916">SQRT(252/20) *  SQRT( SUMSQ( LN(U895:U914 / U894:U913) )  - (1/20) * ( SUM( LN(U895:U914 / U894:U913) ) ^ 2 ) )</f>
        <v>0.01695282983</v>
      </c>
      <c r="X916" s="9">
        <f t="shared" si="4"/>
        <v>1.5</v>
      </c>
      <c r="Y916" s="14"/>
      <c r="Z916" s="12">
        <f t="shared" si="5"/>
        <v>0.9997492518</v>
      </c>
      <c r="AA916" s="16">
        <f t="shared" si="8"/>
        <v>102.6609384</v>
      </c>
      <c r="AB916" s="14"/>
      <c r="AC916" s="9">
        <f t="shared" si="6"/>
        <v>0</v>
      </c>
    </row>
    <row r="917">
      <c r="A917" s="8">
        <v>43054.0</v>
      </c>
      <c r="B917" s="14"/>
      <c r="C917" s="12">
        <f t="array" ref="C917">IFERROR(
  INDEX(
    IR!$B$2:$E2026,                
    MATCH($A917, IR!$A$2:$A2026, 0), 
    MATCH(C$1, IR!$B$1:$E$1, 0) ), "")
</f>
        <v>-0.00372</v>
      </c>
      <c r="D917" s="12">
        <f t="array" ref="D917">IFERROR(
  INDEX(
    IR!$B$2:$E2026,                
    MATCH($A917, IR!$A$2:$A2026, 0), 
    MATCH(D$1, IR!$B$1:$E$1, 0) ), "")
</f>
        <v>-0.00329</v>
      </c>
      <c r="E917" s="12">
        <f t="array" ref="E917">IFERROR(
  INDEX(
    IR!$B$2:$E2026,                
    MATCH($A917, IR!$A$2:$A2026, 0), 
    MATCH(E$1, IR!$B$1:$E$1, 0) ), "")
</f>
        <v>-0.00275</v>
      </c>
      <c r="F917" s="12">
        <f t="array" ref="F917">IFERROR(
  INDEX(
    IR!$B$2:$E2026,                
    MATCH($A917, IR!$A$2:$A2026, 0), 
    MATCH(F$1, IR!$B$1:$E$1, 0) ), "")
</f>
        <v>-0.00192</v>
      </c>
      <c r="G917" s="25"/>
      <c r="H917" s="12">
        <f t="array" ref="H917">IFERROR(
  INDEX(
    SR!$B$2:$D2026,            
    MATCH($A917, SR!$A$2:$A2026, 0),  
    MATCH(H$1, SR!$B$1:$D$1, 0) ), "")
</f>
        <v>-0.001945</v>
      </c>
      <c r="I917" s="12">
        <f t="array" ref="I917">IFERROR(
  INDEX(
    SR!$B$2:$D2026,            
    MATCH($A917, SR!$A$2:$A2026, 0),  
    MATCH(I$1, SR!$B$1:$D$1, 0) ), "")
</f>
        <v>-0.000817</v>
      </c>
      <c r="J917" s="12">
        <f t="array" ref="J917">IFERROR(
  INDEX(
    SR!$B$2:$D2026,            
    MATCH($A917, SR!$A$2:$A2026, 0),  
    MATCH(J$1, SR!$B$1:$D$1, 0) ), "")
</f>
        <v>0.001995</v>
      </c>
      <c r="K917" s="14"/>
      <c r="L917" s="9">
        <v>119.19</v>
      </c>
      <c r="M917" s="9">
        <v>24.17</v>
      </c>
      <c r="N917" s="9">
        <v>115.17</v>
      </c>
      <c r="O917" s="9">
        <v>118.47</v>
      </c>
      <c r="P917" s="9">
        <v>129.75</v>
      </c>
      <c r="Q917" s="9">
        <v>1443.297</v>
      </c>
      <c r="R917" s="14"/>
      <c r="S917" s="12">
        <f t="shared" si="2"/>
        <v>-0.002005290636</v>
      </c>
      <c r="T917" s="12">
        <f t="shared" si="3"/>
        <v>0.9979947094</v>
      </c>
      <c r="U917" s="16">
        <f t="shared" si="7"/>
        <v>101.3450896</v>
      </c>
      <c r="V917" s="17"/>
      <c r="W917" s="12">
        <f t="array" ref="W917">SQRT(252/20) *  SQRT( SUMSQ( LN(U896:U915 / U895:U914) )  - (1/20) * ( SUM( LN(U896:U915 / U895:U914) ) ^ 2 ) )</f>
        <v>0.01984399294</v>
      </c>
      <c r="X917" s="9">
        <f t="shared" si="4"/>
        <v>1.5</v>
      </c>
      <c r="Y917" s="14"/>
      <c r="Z917" s="12">
        <f t="shared" si="5"/>
        <v>0.9969972307</v>
      </c>
      <c r="AA917" s="16">
        <f t="shared" si="8"/>
        <v>102.3526713</v>
      </c>
      <c r="AB917" s="14"/>
      <c r="AC917" s="9">
        <f t="shared" si="6"/>
        <v>0</v>
      </c>
    </row>
    <row r="918">
      <c r="A918" s="8">
        <v>43055.0</v>
      </c>
      <c r="B918" s="14"/>
      <c r="C918" s="12">
        <f t="array" ref="C918">IFERROR(
  INDEX(
    IR!$B$2:$E2026,                
    MATCH($A918, IR!$A$2:$A2026, 0), 
    MATCH(C$1, IR!$B$1:$E$1, 0) ), "")
</f>
        <v>-0.00372</v>
      </c>
      <c r="D918" s="12">
        <f t="array" ref="D918">IFERROR(
  INDEX(
    IR!$B$2:$E2026,                
    MATCH($A918, IR!$A$2:$A2026, 0), 
    MATCH(D$1, IR!$B$1:$E$1, 0) ), "")
</f>
        <v>-0.00329</v>
      </c>
      <c r="E918" s="12">
        <f t="array" ref="E918">IFERROR(
  INDEX(
    IR!$B$2:$E2026,                
    MATCH($A918, IR!$A$2:$A2026, 0), 
    MATCH(E$1, IR!$B$1:$E$1, 0) ), "")
</f>
        <v>-0.00275</v>
      </c>
      <c r="F918" s="12">
        <f t="array" ref="F918">IFERROR(
  INDEX(
    IR!$B$2:$E2026,                
    MATCH($A918, IR!$A$2:$A2026, 0), 
    MATCH(F$1, IR!$B$1:$E$1, 0) ), "")
</f>
        <v>-0.00192</v>
      </c>
      <c r="G918" s="25"/>
      <c r="H918" s="12">
        <f t="array" ref="H918">IFERROR(
  INDEX(
    SR!$B$2:$D2026,            
    MATCH($A918, SR!$A$2:$A2026, 0),  
    MATCH(H$1, SR!$B$1:$D$1, 0) ), "")
</f>
        <v>-0.00194</v>
      </c>
      <c r="I918" s="12">
        <f t="array" ref="I918">IFERROR(
  INDEX(
    SR!$B$2:$D2026,            
    MATCH($A918, SR!$A$2:$A2026, 0),  
    MATCH(I$1, SR!$B$1:$D$1, 0) ), "")
</f>
        <v>-0.000739</v>
      </c>
      <c r="J918" s="12">
        <f t="array" ref="J918">IFERROR(
  INDEX(
    SR!$B$2:$D2026,            
    MATCH($A918, SR!$A$2:$A2026, 0),  
    MATCH(J$1, SR!$B$1:$D$1, 0) ), "")
</f>
        <v>0.00203</v>
      </c>
      <c r="K918" s="14"/>
      <c r="L918" s="9">
        <v>119.51</v>
      </c>
      <c r="M918" s="9">
        <v>24.18</v>
      </c>
      <c r="N918" s="9">
        <v>115.19</v>
      </c>
      <c r="O918" s="9">
        <v>118.42</v>
      </c>
      <c r="P918" s="9">
        <v>129.17</v>
      </c>
      <c r="Q918" s="9">
        <v>1441.103</v>
      </c>
      <c r="R918" s="14"/>
      <c r="S918" s="12">
        <f t="shared" si="2"/>
        <v>-0.0005232979931</v>
      </c>
      <c r="T918" s="12">
        <f t="shared" si="3"/>
        <v>0.999476702</v>
      </c>
      <c r="U918" s="16">
        <f t="shared" si="7"/>
        <v>101.292056</v>
      </c>
      <c r="V918" s="17"/>
      <c r="W918" s="12">
        <f t="array" ref="W918">SQRT(252/20) *  SQRT( SUMSQ( LN(U897:U916 / U896:U915) )  - (1/20) * ( SUM( LN(U897:U916 / U896:U915) ) ^ 2 ) )</f>
        <v>0.0197212151</v>
      </c>
      <c r="X918" s="9">
        <f t="shared" si="4"/>
        <v>1.5</v>
      </c>
      <c r="Y918" s="14"/>
      <c r="Z918" s="12">
        <f t="shared" si="5"/>
        <v>0.9992202197</v>
      </c>
      <c r="AA918" s="16">
        <f t="shared" si="8"/>
        <v>102.2728587</v>
      </c>
      <c r="AB918" s="14"/>
      <c r="AC918" s="9">
        <f t="shared" si="6"/>
        <v>0</v>
      </c>
    </row>
    <row r="919">
      <c r="A919" s="8">
        <v>43056.0</v>
      </c>
      <c r="B919" s="14"/>
      <c r="C919" s="12">
        <f t="array" ref="C919">IFERROR(
  INDEX(
    IR!$B$2:$E2026,                
    MATCH($A919, IR!$A$2:$A2026, 0), 
    MATCH(C$1, IR!$B$1:$E$1, 0) ), "")
</f>
        <v>-0.00373</v>
      </c>
      <c r="D919" s="12">
        <f t="array" ref="D919">IFERROR(
  INDEX(
    IR!$B$2:$E2026,                
    MATCH($A919, IR!$A$2:$A2026, 0), 
    MATCH(D$1, IR!$B$1:$E$1, 0) ), "")
</f>
        <v>-0.00329</v>
      </c>
      <c r="E919" s="12">
        <f t="array" ref="E919">IFERROR(
  INDEX(
    IR!$B$2:$E2026,                
    MATCH($A919, IR!$A$2:$A2026, 0), 
    MATCH(E$1, IR!$B$1:$E$1, 0) ), "")
</f>
        <v>-0.00274</v>
      </c>
      <c r="F919" s="12">
        <f t="array" ref="F919">IFERROR(
  INDEX(
    IR!$B$2:$E2026,                
    MATCH($A919, IR!$A$2:$A2026, 0), 
    MATCH(F$1, IR!$B$1:$E$1, 0) ), "")
</f>
        <v>-0.00192</v>
      </c>
      <c r="G919" s="25"/>
      <c r="H919" s="12">
        <f t="array" ref="H919">IFERROR(
  INDEX(
    SR!$B$2:$D2026,            
    MATCH($A919, SR!$A$2:$A2026, 0),  
    MATCH(H$1, SR!$B$1:$D$1, 0) ), "")
</f>
        <v>-0.001948</v>
      </c>
      <c r="I919" s="12">
        <f t="array" ref="I919">IFERROR(
  INDEX(
    SR!$B$2:$D2026,            
    MATCH($A919, SR!$A$2:$A2026, 0),  
    MATCH(I$1, SR!$B$1:$D$1, 0) ), "")
</f>
        <v>-0.000811</v>
      </c>
      <c r="J919" s="12">
        <f t="array" ref="J919">IFERROR(
  INDEX(
    SR!$B$2:$D2026,            
    MATCH($A919, SR!$A$2:$A2026, 0),  
    MATCH(J$1, SR!$B$1:$D$1, 0) ), "")
</f>
        <v>0.00199</v>
      </c>
      <c r="K919" s="14"/>
      <c r="L919" s="9">
        <v>119.59</v>
      </c>
      <c r="M919" s="9">
        <v>24.17</v>
      </c>
      <c r="N919" s="9">
        <v>115.17</v>
      </c>
      <c r="O919" s="9">
        <v>118.56</v>
      </c>
      <c r="P919" s="9">
        <v>129.64</v>
      </c>
      <c r="Q919" s="9">
        <v>1444.773</v>
      </c>
      <c r="R919" s="14"/>
      <c r="S919" s="12">
        <f t="shared" si="2"/>
        <v>0.001241377666</v>
      </c>
      <c r="T919" s="12">
        <f t="shared" si="3"/>
        <v>1.001241378</v>
      </c>
      <c r="U919" s="16">
        <f t="shared" si="7"/>
        <v>101.4177977</v>
      </c>
      <c r="V919" s="17"/>
      <c r="W919" s="12">
        <f t="array" ref="W919">SQRT(252/20) *  SQRT( SUMSQ( LN(U898:U917 / U897:U916) )  - (1/20) * ( SUM( LN(U898:U917 / U897:U916) ) ^ 2 ) )</f>
        <v>0.02094802041</v>
      </c>
      <c r="X919" s="9">
        <f t="shared" si="4"/>
        <v>1.5</v>
      </c>
      <c r="Y919" s="14"/>
      <c r="Z919" s="12">
        <f t="shared" si="5"/>
        <v>1.001867233</v>
      </c>
      <c r="AA919" s="16">
        <f t="shared" si="8"/>
        <v>102.4638259</v>
      </c>
      <c r="AB919" s="14"/>
      <c r="AC919" s="9">
        <f t="shared" si="6"/>
        <v>0</v>
      </c>
    </row>
    <row r="920">
      <c r="A920" s="8">
        <v>43059.0</v>
      </c>
      <c r="B920" s="14"/>
      <c r="C920" s="12">
        <f t="array" ref="C920">IFERROR(
  INDEX(
    IR!$B$2:$E2026,                
    MATCH($A920, IR!$A$2:$A2026, 0), 
    MATCH(C$1, IR!$B$1:$E$1, 0) ), "")
</f>
        <v>-0.00372</v>
      </c>
      <c r="D920" s="12">
        <f t="array" ref="D920">IFERROR(
  INDEX(
    IR!$B$2:$E2026,                
    MATCH($A920, IR!$A$2:$A2026, 0), 
    MATCH(D$1, IR!$B$1:$E$1, 0) ), "")
</f>
        <v>-0.00329</v>
      </c>
      <c r="E920" s="12">
        <f t="array" ref="E920">IFERROR(
  INDEX(
    IR!$B$2:$E2026,                
    MATCH($A920, IR!$A$2:$A2026, 0), 
    MATCH(E$1, IR!$B$1:$E$1, 0) ), "")
</f>
        <v>-0.00274</v>
      </c>
      <c r="F920" s="12">
        <f t="array" ref="F920">IFERROR(
  INDEX(
    IR!$B$2:$E2026,                
    MATCH($A920, IR!$A$2:$A2026, 0), 
    MATCH(F$1, IR!$B$1:$E$1, 0) ), "")
</f>
        <v>-0.00187</v>
      </c>
      <c r="G920" s="25"/>
      <c r="H920" s="12">
        <f t="array" ref="H920">IFERROR(
  INDEX(
    SR!$B$2:$D2026,            
    MATCH($A920, SR!$A$2:$A2026, 0),  
    MATCH(H$1, SR!$B$1:$D$1, 0) ), "")
</f>
        <v>-0.001915</v>
      </c>
      <c r="I920" s="12">
        <f t="array" ref="I920">IFERROR(
  INDEX(
    SR!$B$2:$D2026,            
    MATCH($A920, SR!$A$2:$A2026, 0),  
    MATCH(I$1, SR!$B$1:$D$1, 0) ), "")
</f>
        <v>-0.00072</v>
      </c>
      <c r="J920" s="12">
        <f t="array" ref="J920">IFERROR(
  INDEX(
    SR!$B$2:$D2026,            
    MATCH($A920, SR!$A$2:$A2026, 0),  
    MATCH(J$1, SR!$B$1:$D$1, 0) ), "")
</f>
        <v>0.002025</v>
      </c>
      <c r="K920" s="14"/>
      <c r="L920" s="9">
        <v>119.68</v>
      </c>
      <c r="M920" s="9">
        <v>24.18</v>
      </c>
      <c r="N920" s="9">
        <v>115.2</v>
      </c>
      <c r="O920" s="9">
        <v>118.36</v>
      </c>
      <c r="P920" s="9">
        <v>129.77</v>
      </c>
      <c r="Q920" s="9">
        <v>1446.324</v>
      </c>
      <c r="R920" s="14"/>
      <c r="S920" s="12">
        <f t="shared" si="2"/>
        <v>0.0003026836414</v>
      </c>
      <c r="T920" s="12">
        <f t="shared" si="3"/>
        <v>1.000302684</v>
      </c>
      <c r="U920" s="16">
        <f t="shared" si="7"/>
        <v>101.4484952</v>
      </c>
      <c r="V920" s="17"/>
      <c r="W920" s="12">
        <f t="array" ref="W920">SQRT(252/20) *  SQRT( SUMSQ( LN(U899:U918 / U898:U917) )  - (1/20) * ( SUM( LN(U899:U918 / U898:U917) ) ^ 2 ) )</f>
        <v>0.02100599728</v>
      </c>
      <c r="X920" s="9">
        <f t="shared" si="4"/>
        <v>1.5</v>
      </c>
      <c r="Y920" s="14"/>
      <c r="Z920" s="12">
        <f t="shared" si="5"/>
        <v>1.000469567</v>
      </c>
      <c r="AA920" s="16">
        <f t="shared" si="8"/>
        <v>102.5119396</v>
      </c>
      <c r="AB920" s="14"/>
      <c r="AC920" s="9">
        <f t="shared" si="6"/>
        <v>0</v>
      </c>
    </row>
    <row r="921">
      <c r="A921" s="8">
        <v>43060.0</v>
      </c>
      <c r="B921" s="14"/>
      <c r="C921" s="12">
        <f t="array" ref="C921">IFERROR(
  INDEX(
    IR!$B$2:$E2026,                
    MATCH($A921, IR!$A$2:$A2026, 0), 
    MATCH(C$1, IR!$B$1:$E$1, 0) ), "")
</f>
        <v>-0.00372</v>
      </c>
      <c r="D921" s="12">
        <f t="array" ref="D921">IFERROR(
  INDEX(
    IR!$B$2:$E2026,                
    MATCH($A921, IR!$A$2:$A2026, 0), 
    MATCH(D$1, IR!$B$1:$E$1, 0) ), "")
</f>
        <v>-0.00329</v>
      </c>
      <c r="E921" s="12">
        <f t="array" ref="E921">IFERROR(
  INDEX(
    IR!$B$2:$E2026,                
    MATCH($A921, IR!$A$2:$A2026, 0), 
    MATCH(E$1, IR!$B$1:$E$1, 0) ), "")
</f>
        <v>-0.00273</v>
      </c>
      <c r="F921" s="12">
        <f t="array" ref="F921">IFERROR(
  INDEX(
    IR!$B$2:$E2026,                
    MATCH($A921, IR!$A$2:$A2026, 0), 
    MATCH(F$1, IR!$B$1:$E$1, 0) ), "")
</f>
        <v>-0.00186</v>
      </c>
      <c r="G921" s="25"/>
      <c r="H921" s="12">
        <f t="array" ref="H921">IFERROR(
  INDEX(
    SR!$B$2:$D2026,            
    MATCH($A921, SR!$A$2:$A2026, 0),  
    MATCH(H$1, SR!$B$1:$D$1, 0) ), "")
</f>
        <v>-0.001935</v>
      </c>
      <c r="I921" s="12">
        <f t="array" ref="I921">IFERROR(
  INDEX(
    SR!$B$2:$D2026,            
    MATCH($A921, SR!$A$2:$A2026, 0),  
    MATCH(I$1, SR!$B$1:$D$1, 0) ), "")
</f>
        <v>-0.00075</v>
      </c>
      <c r="J921" s="12">
        <f t="array" ref="J921">IFERROR(
  INDEX(
    SR!$B$2:$D2026,            
    MATCH($A921, SR!$A$2:$A2026, 0),  
    MATCH(J$1, SR!$B$1:$D$1, 0) ), "")
</f>
        <v>0.001953</v>
      </c>
      <c r="K921" s="14"/>
      <c r="L921" s="9">
        <v>119.81</v>
      </c>
      <c r="M921" s="9">
        <v>24.2</v>
      </c>
      <c r="N921" s="9">
        <v>115.21</v>
      </c>
      <c r="O921" s="9">
        <v>118.55</v>
      </c>
      <c r="P921" s="9">
        <v>129.99</v>
      </c>
      <c r="Q921" s="9">
        <v>1449.114</v>
      </c>
      <c r="R921" s="14"/>
      <c r="S921" s="12">
        <f t="shared" si="2"/>
        <v>0.001204673059</v>
      </c>
      <c r="T921" s="12">
        <f t="shared" si="3"/>
        <v>1.001204673</v>
      </c>
      <c r="U921" s="16">
        <f t="shared" si="7"/>
        <v>101.5707074</v>
      </c>
      <c r="V921" s="17"/>
      <c r="W921" s="12">
        <f t="array" ref="W921">SQRT(252/20) *  SQRT( SUMSQ( LN(U900:U919 / U899:U918) )  - (1/20) * ( SUM( LN(U900:U919 / U899:U918) ) ^ 2 ) )</f>
        <v>0.02145831976</v>
      </c>
      <c r="X921" s="9">
        <f t="shared" si="4"/>
        <v>1.5</v>
      </c>
      <c r="Y921" s="14"/>
      <c r="Z921" s="12">
        <f t="shared" si="5"/>
        <v>1.001812176</v>
      </c>
      <c r="AA921" s="16">
        <f t="shared" si="8"/>
        <v>102.6977093</v>
      </c>
      <c r="AB921" s="14"/>
      <c r="AC921" s="9">
        <f t="shared" si="6"/>
        <v>0</v>
      </c>
    </row>
    <row r="922">
      <c r="A922" s="8">
        <v>43061.0</v>
      </c>
      <c r="B922" s="14"/>
      <c r="C922" s="12">
        <f t="array" ref="C922">IFERROR(
  INDEX(
    IR!$B$2:$E2026,                
    MATCH($A922, IR!$A$2:$A2026, 0), 
    MATCH(C$1, IR!$B$1:$E$1, 0) ), "")
</f>
        <v>-0.00371</v>
      </c>
      <c r="D922" s="12">
        <f t="array" ref="D922">IFERROR(
  INDEX(
    IR!$B$2:$E2026,                
    MATCH($A922, IR!$A$2:$A2026, 0), 
    MATCH(D$1, IR!$B$1:$E$1, 0) ), "")
</f>
        <v>-0.00329</v>
      </c>
      <c r="E922" s="12">
        <f t="array" ref="E922">IFERROR(
  INDEX(
    IR!$B$2:$E2026,                
    MATCH($A922, IR!$A$2:$A2026, 0), 
    MATCH(E$1, IR!$B$1:$E$1, 0) ), "")
</f>
        <v>-0.00272</v>
      </c>
      <c r="F922" s="12">
        <f t="array" ref="F922">IFERROR(
  INDEX(
    IR!$B$2:$E2026,                
    MATCH($A922, IR!$A$2:$A2026, 0), 
    MATCH(F$1, IR!$B$1:$E$1, 0) ), "")
</f>
        <v>-0.00186</v>
      </c>
      <c r="G922" s="25"/>
      <c r="H922" s="12">
        <f t="array" ref="H922">IFERROR(
  INDEX(
    SR!$B$2:$D2026,            
    MATCH($A922, SR!$A$2:$A2026, 0),  
    MATCH(H$1, SR!$B$1:$D$1, 0) ), "")
</f>
        <v>-0.001875</v>
      </c>
      <c r="I922" s="12">
        <f t="array" ref="I922">IFERROR(
  INDEX(
    SR!$B$2:$D2026,            
    MATCH($A922, SR!$A$2:$A2026, 0),  
    MATCH(I$1, SR!$B$1:$D$1, 0) ), "")
</f>
        <v>-0.000716</v>
      </c>
      <c r="J922" s="12">
        <f t="array" ref="J922">IFERROR(
  INDEX(
    SR!$B$2:$D2026,            
    MATCH($A922, SR!$A$2:$A2026, 0),  
    MATCH(J$1, SR!$B$1:$D$1, 0) ), "")
</f>
        <v>0.002035</v>
      </c>
      <c r="K922" s="14"/>
      <c r="L922" s="9">
        <v>119.7</v>
      </c>
      <c r="M922" s="9">
        <v>24.19</v>
      </c>
      <c r="N922" s="9">
        <v>115.18</v>
      </c>
      <c r="O922" s="9">
        <v>118.92</v>
      </c>
      <c r="P922" s="9">
        <v>130.46</v>
      </c>
      <c r="Q922" s="9">
        <v>1455.108</v>
      </c>
      <c r="R922" s="14"/>
      <c r="S922" s="12">
        <f t="shared" si="2"/>
        <v>0.001546676828</v>
      </c>
      <c r="T922" s="12">
        <f t="shared" si="3"/>
        <v>1.001546677</v>
      </c>
      <c r="U922" s="16">
        <f t="shared" si="7"/>
        <v>101.7278045</v>
      </c>
      <c r="V922" s="17"/>
      <c r="W922" s="12">
        <f t="array" ref="W922">SQRT(252/20) *  SQRT( SUMSQ( LN(U901:U920 / U900:U919) )  - (1/20) * ( SUM( LN(U901:U920 / U900:U919) ) ^ 2 ) )</f>
        <v>0.0212723278</v>
      </c>
      <c r="X922" s="9">
        <f t="shared" si="4"/>
        <v>1.5</v>
      </c>
      <c r="Y922" s="14"/>
      <c r="Z922" s="12">
        <f t="shared" si="5"/>
        <v>1.002325182</v>
      </c>
      <c r="AA922" s="16">
        <f t="shared" si="8"/>
        <v>102.9365001</v>
      </c>
      <c r="AB922" s="14"/>
      <c r="AC922" s="9">
        <f t="shared" si="6"/>
        <v>0</v>
      </c>
    </row>
    <row r="923">
      <c r="A923" s="8">
        <v>43062.0</v>
      </c>
      <c r="B923" s="14"/>
      <c r="C923" s="12">
        <f t="array" ref="C923">IFERROR(
  INDEX(
    IR!$B$2:$E2026,                
    MATCH($A923, IR!$A$2:$A2026, 0), 
    MATCH(C$1, IR!$B$1:$E$1, 0) ), "")
</f>
        <v>-0.00372</v>
      </c>
      <c r="D923" s="12">
        <f t="array" ref="D923">IFERROR(
  INDEX(
    IR!$B$2:$E2026,                
    MATCH($A923, IR!$A$2:$A2026, 0), 
    MATCH(D$1, IR!$B$1:$E$1, 0) ), "")
</f>
        <v>-0.00329</v>
      </c>
      <c r="E923" s="12">
        <f t="array" ref="E923">IFERROR(
  INDEX(
    IR!$B$2:$E2026,                
    MATCH($A923, IR!$A$2:$A2026, 0), 
    MATCH(E$1, IR!$B$1:$E$1, 0) ), "")
</f>
        <v>-0.00271</v>
      </c>
      <c r="F923" s="12">
        <f t="array" ref="F923">IFERROR(
  INDEX(
    IR!$B$2:$E2026,                
    MATCH($A923, IR!$A$2:$A2026, 0), 
    MATCH(F$1, IR!$B$1:$E$1, 0) ), "")
</f>
        <v>-0.00186</v>
      </c>
      <c r="G923" s="25"/>
      <c r="H923" s="12">
        <f t="array" ref="H923">IFERROR(
  INDEX(
    SR!$B$2:$D2026,            
    MATCH($A923, SR!$A$2:$A2026, 0),  
    MATCH(H$1, SR!$B$1:$D$1, 0) ), "")
</f>
        <v>-0.001867</v>
      </c>
      <c r="I923" s="12">
        <f t="array" ref="I923">IFERROR(
  INDEX(
    SR!$B$2:$D2026,            
    MATCH($A923, SR!$A$2:$A2026, 0),  
    MATCH(I$1, SR!$B$1:$D$1, 0) ), "")
</f>
        <v>-0.00065</v>
      </c>
      <c r="J923" s="12">
        <f t="array" ref="J923">IFERROR(
  INDEX(
    SR!$B$2:$D2026,            
    MATCH($A923, SR!$A$2:$A2026, 0),  
    MATCH(J$1, SR!$B$1:$D$1, 0) ), "")
</f>
        <v>0.00206</v>
      </c>
      <c r="K923" s="14"/>
      <c r="L923" s="9">
        <v>119.77</v>
      </c>
      <c r="M923" s="9">
        <v>24.18</v>
      </c>
      <c r="N923" s="9">
        <v>115.21</v>
      </c>
      <c r="O923" s="9">
        <v>118.65</v>
      </c>
      <c r="P923" s="9">
        <v>130.38</v>
      </c>
      <c r="Q923" s="9">
        <v>1454.375</v>
      </c>
      <c r="R923" s="14"/>
      <c r="S923" s="12">
        <f t="shared" si="2"/>
        <v>-0.0004924413588</v>
      </c>
      <c r="T923" s="12">
        <f t="shared" si="3"/>
        <v>0.9995075586</v>
      </c>
      <c r="U923" s="16">
        <f t="shared" si="7"/>
        <v>101.6777095</v>
      </c>
      <c r="V923" s="17"/>
      <c r="W923" s="12">
        <f t="array" ref="W923">SQRT(252/20) *  SQRT( SUMSQ( LN(U902:U921 / U901:U920) )  - (1/20) * ( SUM( LN(U902:U921 / U901:U920) ) ^ 2 ) )</f>
        <v>0.02164004553</v>
      </c>
      <c r="X923" s="9">
        <f t="shared" si="4"/>
        <v>1.5</v>
      </c>
      <c r="Y923" s="14"/>
      <c r="Z923" s="12">
        <f t="shared" si="5"/>
        <v>0.9992664907</v>
      </c>
      <c r="AA923" s="16">
        <f t="shared" si="8"/>
        <v>102.8609953</v>
      </c>
      <c r="AB923" s="14"/>
      <c r="AC923" s="9">
        <f t="shared" si="6"/>
        <v>0</v>
      </c>
    </row>
    <row r="924">
      <c r="A924" s="8">
        <v>43063.0</v>
      </c>
      <c r="B924" s="14"/>
      <c r="C924" s="12">
        <f t="array" ref="C924">IFERROR(
  INDEX(
    IR!$B$2:$E2026,                
    MATCH($A924, IR!$A$2:$A2026, 0), 
    MATCH(C$1, IR!$B$1:$E$1, 0) ), "")
</f>
        <v>-0.00372</v>
      </c>
      <c r="D924" s="12">
        <f t="array" ref="D924">IFERROR(
  INDEX(
    IR!$B$2:$E2026,                
    MATCH($A924, IR!$A$2:$A2026, 0), 
    MATCH(D$1, IR!$B$1:$E$1, 0) ), "")
</f>
        <v>-0.00329</v>
      </c>
      <c r="E924" s="12">
        <f t="array" ref="E924">IFERROR(
  INDEX(
    IR!$B$2:$E2026,                
    MATCH($A924, IR!$A$2:$A2026, 0), 
    MATCH(E$1, IR!$B$1:$E$1, 0) ), "")
</f>
        <v>-0.00272</v>
      </c>
      <c r="F924" s="12">
        <f t="array" ref="F924">IFERROR(
  INDEX(
    IR!$B$2:$E2026,                
    MATCH($A924, IR!$A$2:$A2026, 0), 
    MATCH(F$1, IR!$B$1:$E$1, 0) ), "")
</f>
        <v>-0.00186</v>
      </c>
      <c r="G924" s="25"/>
      <c r="H924" s="12">
        <f t="array" ref="H924">IFERROR(
  INDEX(
    SR!$B$2:$D2026,            
    MATCH($A924, SR!$A$2:$A2026, 0),  
    MATCH(H$1, SR!$B$1:$D$1, 0) ), "")
</f>
        <v>-0.00184</v>
      </c>
      <c r="I924" s="12">
        <f t="array" ref="I924">IFERROR(
  INDEX(
    SR!$B$2:$D2026,            
    MATCH($A924, SR!$A$2:$A2026, 0),  
    MATCH(I$1, SR!$B$1:$D$1, 0) ), "")
</f>
        <v>-0.000583</v>
      </c>
      <c r="J924" s="12">
        <f t="array" ref="J924">IFERROR(
  INDEX(
    SR!$B$2:$D2026,            
    MATCH($A924, SR!$A$2:$A2026, 0),  
    MATCH(J$1, SR!$B$1:$D$1, 0) ), "")
</f>
        <v>0.002155</v>
      </c>
      <c r="K924" s="14"/>
      <c r="L924" s="9">
        <v>119.81</v>
      </c>
      <c r="M924" s="9">
        <v>24.17</v>
      </c>
      <c r="N924" s="9">
        <v>115.2</v>
      </c>
      <c r="O924" s="9">
        <v>118.64</v>
      </c>
      <c r="P924" s="9">
        <v>130.14</v>
      </c>
      <c r="Q924" s="9">
        <v>1455.362</v>
      </c>
      <c r="R924" s="14"/>
      <c r="S924" s="12">
        <f t="shared" si="2"/>
        <v>-0.0002353049653</v>
      </c>
      <c r="T924" s="12">
        <f t="shared" si="3"/>
        <v>0.999764695</v>
      </c>
      <c r="U924" s="16">
        <f t="shared" si="7"/>
        <v>101.6537842</v>
      </c>
      <c r="V924" s="17"/>
      <c r="W924" s="12">
        <f t="array" ref="W924">SQRT(252/20) *  SQRT( SUMSQ( LN(U903:U922 / U902:U921) )  - (1/20) * ( SUM( LN(U903:U922 / U902:U921) ) ^ 2 ) )</f>
        <v>0.0222143815</v>
      </c>
      <c r="X924" s="9">
        <f t="shared" si="4"/>
        <v>1.5</v>
      </c>
      <c r="Y924" s="14"/>
      <c r="Z924" s="12">
        <f t="shared" si="5"/>
        <v>0.9996522092</v>
      </c>
      <c r="AA924" s="16">
        <f t="shared" si="8"/>
        <v>102.8252212</v>
      </c>
      <c r="AB924" s="14"/>
      <c r="AC924" s="9">
        <f t="shared" si="6"/>
        <v>0</v>
      </c>
    </row>
    <row r="925">
      <c r="A925" s="8">
        <v>43066.0</v>
      </c>
      <c r="B925" s="14"/>
      <c r="C925" s="12">
        <f t="array" ref="C925">IFERROR(
  INDEX(
    IR!$B$2:$E2026,                
    MATCH($A925, IR!$A$2:$A2026, 0), 
    MATCH(C$1, IR!$B$1:$E$1, 0) ), "")
</f>
        <v>-0.00372</v>
      </c>
      <c r="D925" s="12">
        <f t="array" ref="D925">IFERROR(
  INDEX(
    IR!$B$2:$E2026,                
    MATCH($A925, IR!$A$2:$A2026, 0), 
    MATCH(D$1, IR!$B$1:$E$1, 0) ), "")
</f>
        <v>-0.00329</v>
      </c>
      <c r="E925" s="12">
        <f t="array" ref="E925">IFERROR(
  INDEX(
    IR!$B$2:$E2026,                
    MATCH($A925, IR!$A$2:$A2026, 0), 
    MATCH(E$1, IR!$B$1:$E$1, 0) ), "")
</f>
        <v>-0.00272</v>
      </c>
      <c r="F925" s="12">
        <f t="array" ref="F925">IFERROR(
  INDEX(
    IR!$B$2:$E2026,                
    MATCH($A925, IR!$A$2:$A2026, 0), 
    MATCH(F$1, IR!$B$1:$E$1, 0) ), "")
</f>
        <v>-0.00186</v>
      </c>
      <c r="G925" s="25"/>
      <c r="H925" s="12">
        <f t="array" ref="H925">IFERROR(
  INDEX(
    SR!$B$2:$D2026,            
    MATCH($A925, SR!$A$2:$A2026, 0),  
    MATCH(H$1, SR!$B$1:$D$1, 0) ), "")
</f>
        <v>-0.00187</v>
      </c>
      <c r="I925" s="12">
        <f t="array" ref="I925">IFERROR(
  INDEX(
    SR!$B$2:$D2026,            
    MATCH($A925, SR!$A$2:$A2026, 0),  
    MATCH(I$1, SR!$B$1:$D$1, 0) ), "")
</f>
        <v>-0.000614</v>
      </c>
      <c r="J925" s="12">
        <f t="array" ref="J925">IFERROR(
  INDEX(
    SR!$B$2:$D2026,            
    MATCH($A925, SR!$A$2:$A2026, 0),  
    MATCH(J$1, SR!$B$1:$D$1, 0) ), "")
</f>
        <v>0.001995</v>
      </c>
      <c r="K925" s="14"/>
      <c r="L925" s="9">
        <v>119.68</v>
      </c>
      <c r="M925" s="9">
        <v>24.17</v>
      </c>
      <c r="N925" s="9">
        <v>115.25</v>
      </c>
      <c r="O925" s="9">
        <v>118.75</v>
      </c>
      <c r="P925" s="9">
        <v>130.2</v>
      </c>
      <c r="Q925" s="9">
        <v>1454.512</v>
      </c>
      <c r="R925" s="14"/>
      <c r="S925" s="12">
        <f t="shared" si="2"/>
        <v>0.00002545570502</v>
      </c>
      <c r="T925" s="12">
        <f t="shared" si="3"/>
        <v>1.000025456</v>
      </c>
      <c r="U925" s="16">
        <f t="shared" si="7"/>
        <v>101.6563719</v>
      </c>
      <c r="V925" s="17"/>
      <c r="W925" s="12">
        <f t="array" ref="W925">SQRT(252/20) *  SQRT( SUMSQ( LN(U904:U923 / U903:U922) )  - (1/20) * ( SUM( LN(U904:U923 / U903:U922) ) ^ 2 ) )</f>
        <v>0.02227797489</v>
      </c>
      <c r="X925" s="9">
        <f t="shared" si="4"/>
        <v>1.5</v>
      </c>
      <c r="Y925" s="14"/>
      <c r="Z925" s="12">
        <f t="shared" si="5"/>
        <v>1.000053684</v>
      </c>
      <c r="AA925" s="16">
        <f t="shared" si="8"/>
        <v>102.8307412</v>
      </c>
      <c r="AB925" s="14"/>
      <c r="AC925" s="9">
        <f t="shared" si="6"/>
        <v>0</v>
      </c>
    </row>
    <row r="926">
      <c r="A926" s="8">
        <v>43067.0</v>
      </c>
      <c r="B926" s="14"/>
      <c r="C926" s="12">
        <f t="array" ref="C926">IFERROR(
  INDEX(
    IR!$B$2:$E2026,                
    MATCH($A926, IR!$A$2:$A2026, 0), 
    MATCH(C$1, IR!$B$1:$E$1, 0) ), "")
</f>
        <v>-0.00371</v>
      </c>
      <c r="D926" s="12">
        <f t="array" ref="D926">IFERROR(
  INDEX(
    IR!$B$2:$E2026,                
    MATCH($A926, IR!$A$2:$A2026, 0), 
    MATCH(D$1, IR!$B$1:$E$1, 0) ), "")
</f>
        <v>-0.00329</v>
      </c>
      <c r="E926" s="12">
        <f t="array" ref="E926">IFERROR(
  INDEX(
    IR!$B$2:$E2026,                
    MATCH($A926, IR!$A$2:$A2026, 0), 
    MATCH(E$1, IR!$B$1:$E$1, 0) ), "")
</f>
        <v>-0.00274</v>
      </c>
      <c r="F926" s="12">
        <f t="array" ref="F926">IFERROR(
  INDEX(
    IR!$B$2:$E2026,                
    MATCH($A926, IR!$A$2:$A2026, 0), 
    MATCH(F$1, IR!$B$1:$E$1, 0) ), "")
</f>
        <v>-0.00186</v>
      </c>
      <c r="G926" s="25"/>
      <c r="H926" s="12">
        <f t="array" ref="H926">IFERROR(
  INDEX(
    SR!$B$2:$D2026,            
    MATCH($A926, SR!$A$2:$A2026, 0),  
    MATCH(H$1, SR!$B$1:$D$1, 0) ), "")
</f>
        <v>-0.001855</v>
      </c>
      <c r="I926" s="12">
        <f t="array" ref="I926">IFERROR(
  INDEX(
    SR!$B$2:$D2026,            
    MATCH($A926, SR!$A$2:$A2026, 0),  
    MATCH(I$1, SR!$B$1:$D$1, 0) ), "")
</f>
        <v>-0.000692</v>
      </c>
      <c r="J926" s="12">
        <f t="array" ref="J926">IFERROR(
  INDEX(
    SR!$B$2:$D2026,            
    MATCH($A926, SR!$A$2:$A2026, 0),  
    MATCH(J$1, SR!$B$1:$D$1, 0) ), "")
</f>
        <v>0.002055</v>
      </c>
      <c r="K926" s="14"/>
      <c r="L926" s="9">
        <v>119.78</v>
      </c>
      <c r="M926" s="9">
        <v>24.17</v>
      </c>
      <c r="N926" s="9">
        <v>115.23</v>
      </c>
      <c r="O926" s="9">
        <v>118.59</v>
      </c>
      <c r="P926" s="9">
        <v>130.03</v>
      </c>
      <c r="Q926" s="9">
        <v>1451.03</v>
      </c>
      <c r="R926" s="14"/>
      <c r="S926" s="12">
        <f t="shared" si="2"/>
        <v>-0.0007307731192</v>
      </c>
      <c r="T926" s="12">
        <f t="shared" si="3"/>
        <v>0.9992692269</v>
      </c>
      <c r="U926" s="16">
        <f t="shared" si="7"/>
        <v>101.5820842</v>
      </c>
      <c r="V926" s="17"/>
      <c r="W926" s="12">
        <f t="array" ref="W926">SQRT(252/20) *  SQRT( SUMSQ( LN(U905:U924 / U904:U923) )  - (1/20) * ( SUM( LN(U905:U924 / U904:U923) ) ^ 2 ) )</f>
        <v>0.02219553918</v>
      </c>
      <c r="X926" s="9">
        <f t="shared" si="4"/>
        <v>1.5</v>
      </c>
      <c r="Y926" s="14"/>
      <c r="Z926" s="12">
        <f t="shared" si="5"/>
        <v>0.998909007</v>
      </c>
      <c r="AA926" s="16">
        <f t="shared" si="8"/>
        <v>102.7185536</v>
      </c>
      <c r="AB926" s="14"/>
      <c r="AC926" s="9">
        <f t="shared" si="6"/>
        <v>0</v>
      </c>
    </row>
    <row r="927">
      <c r="A927" s="8">
        <v>43068.0</v>
      </c>
      <c r="B927" s="14"/>
      <c r="C927" s="12">
        <f t="array" ref="C927">IFERROR(
  INDEX(
    IR!$B$2:$E2026,                
    MATCH($A927, IR!$A$2:$A2026, 0), 
    MATCH(C$1, IR!$B$1:$E$1, 0) ), "")
</f>
        <v>-0.00371</v>
      </c>
      <c r="D927" s="12">
        <f t="array" ref="D927">IFERROR(
  INDEX(
    IR!$B$2:$E2026,                
    MATCH($A927, IR!$A$2:$A2026, 0), 
    MATCH(D$1, IR!$B$1:$E$1, 0) ), "")
</f>
        <v>-0.00329</v>
      </c>
      <c r="E927" s="12">
        <f t="array" ref="E927">IFERROR(
  INDEX(
    IR!$B$2:$E2026,                
    MATCH($A927, IR!$A$2:$A2026, 0), 
    MATCH(E$1, IR!$B$1:$E$1, 0) ), "")
</f>
        <v>-0.00274</v>
      </c>
      <c r="F927" s="12">
        <f t="array" ref="F927">IFERROR(
  INDEX(
    IR!$B$2:$E2026,                
    MATCH($A927, IR!$A$2:$A2026, 0), 
    MATCH(F$1, IR!$B$1:$E$1, 0) ), "")
</f>
        <v>-0.00187</v>
      </c>
      <c r="G927" s="25"/>
      <c r="H927" s="12">
        <f t="array" ref="H927">IFERROR(
  INDEX(
    SR!$B$2:$D2026,            
    MATCH($A927, SR!$A$2:$A2026, 0),  
    MATCH(H$1, SR!$B$1:$D$1, 0) ), "")
</f>
        <v>-0.001805</v>
      </c>
      <c r="I927" s="12">
        <f t="array" ref="I927">IFERROR(
  INDEX(
    SR!$B$2:$D2026,            
    MATCH($A927, SR!$A$2:$A2026, 0),  
    MATCH(I$1, SR!$B$1:$D$1, 0) ), "")
</f>
        <v>-0.0005</v>
      </c>
      <c r="J927" s="12">
        <f t="array" ref="J927">IFERROR(
  INDEX(
    SR!$B$2:$D2026,            
    MATCH($A927, SR!$A$2:$A2026, 0),  
    MATCH(J$1, SR!$B$1:$D$1, 0) ), "")
</f>
        <v>0.002305</v>
      </c>
      <c r="K927" s="14"/>
      <c r="L927" s="9">
        <v>119.69</v>
      </c>
      <c r="M927" s="9">
        <v>24.16</v>
      </c>
      <c r="N927" s="9">
        <v>115.22</v>
      </c>
      <c r="O927" s="9">
        <v>118.8</v>
      </c>
      <c r="P927" s="9">
        <v>130.19</v>
      </c>
      <c r="Q927" s="9">
        <v>1453.685</v>
      </c>
      <c r="R927" s="14"/>
      <c r="S927" s="12">
        <f t="shared" si="2"/>
        <v>0.000596466111</v>
      </c>
      <c r="T927" s="12">
        <f t="shared" si="3"/>
        <v>1.000596466</v>
      </c>
      <c r="U927" s="16">
        <f t="shared" si="7"/>
        <v>101.6426744</v>
      </c>
      <c r="V927" s="17"/>
      <c r="W927" s="12">
        <f t="array" ref="W927">SQRT(252/20) *  SQRT( SUMSQ( LN(U906:U925 / U905:U924) )  - (1/20) * ( SUM( LN(U906:U925 / U905:U924) ) ^ 2 ) )</f>
        <v>0.02054289335</v>
      </c>
      <c r="X927" s="9">
        <f t="shared" si="4"/>
        <v>1.5</v>
      </c>
      <c r="Y927" s="14"/>
      <c r="Z927" s="12">
        <f t="shared" si="5"/>
        <v>1.000899852</v>
      </c>
      <c r="AA927" s="16">
        <f t="shared" si="8"/>
        <v>102.810985</v>
      </c>
      <c r="AB927" s="14"/>
      <c r="AC927" s="9">
        <f t="shared" si="6"/>
        <v>0</v>
      </c>
    </row>
    <row r="928">
      <c r="A928" s="8">
        <v>43069.0</v>
      </c>
      <c r="B928" s="14"/>
      <c r="C928" s="12">
        <f t="array" ref="C928">IFERROR(
  INDEX(
    IR!$B$2:$E2026,                
    MATCH($A928, IR!$A$2:$A2026, 0), 
    MATCH(C$1, IR!$B$1:$E$1, 0) ), "")
</f>
        <v>-0.00371</v>
      </c>
      <c r="D928" s="12">
        <f t="array" ref="D928">IFERROR(
  INDEX(
    IR!$B$2:$E2026,                
    MATCH($A928, IR!$A$2:$A2026, 0), 
    MATCH(D$1, IR!$B$1:$E$1, 0) ), "")
</f>
        <v>-0.00329</v>
      </c>
      <c r="E928" s="12">
        <f t="array" ref="E928">IFERROR(
  INDEX(
    IR!$B$2:$E2026,                
    MATCH($A928, IR!$A$2:$A2026, 0), 
    MATCH(E$1, IR!$B$1:$E$1, 0) ), "")
</f>
        <v>-0.00272</v>
      </c>
      <c r="F928" s="12">
        <f t="array" ref="F928">IFERROR(
  INDEX(
    IR!$B$2:$E2026,                
    MATCH($A928, IR!$A$2:$A2026, 0), 
    MATCH(F$1, IR!$B$1:$E$1, 0) ), "")
</f>
        <v>-0.00188</v>
      </c>
      <c r="G928" s="25"/>
      <c r="H928" s="12">
        <f t="array" ref="H928">IFERROR(
  INDEX(
    SR!$B$2:$D2026,            
    MATCH($A928, SR!$A$2:$A2026, 0),  
    MATCH(H$1, SR!$B$1:$D$1, 0) ), "")
</f>
        <v>-0.001805</v>
      </c>
      <c r="I928" s="12">
        <f t="array" ref="I928">IFERROR(
  INDEX(
    SR!$B$2:$D2026,            
    MATCH($A928, SR!$A$2:$A2026, 0),  
    MATCH(I$1, SR!$B$1:$D$1, 0) ), "")
</f>
        <v>-0.00045</v>
      </c>
      <c r="J928" s="12">
        <f t="array" ref="J928">IFERROR(
  INDEX(
    SR!$B$2:$D2026,            
    MATCH($A928, SR!$A$2:$A2026, 0),  
    MATCH(J$1, SR!$B$1:$D$1, 0) ), "")
</f>
        <v>0.002235</v>
      </c>
      <c r="K928" s="14"/>
      <c r="L928" s="9">
        <v>119.73</v>
      </c>
      <c r="M928" s="9">
        <v>24.14</v>
      </c>
      <c r="N928" s="9">
        <v>115.17</v>
      </c>
      <c r="O928" s="9">
        <v>118.8</v>
      </c>
      <c r="P928" s="9">
        <v>129.99</v>
      </c>
      <c r="Q928" s="9">
        <v>1448.288</v>
      </c>
      <c r="R928" s="14"/>
      <c r="S928" s="12">
        <f t="shared" si="2"/>
        <v>-0.0010293629</v>
      </c>
      <c r="T928" s="12">
        <f t="shared" si="3"/>
        <v>0.9989706371</v>
      </c>
      <c r="U928" s="16">
        <f t="shared" si="7"/>
        <v>101.5380472</v>
      </c>
      <c r="V928" s="17"/>
      <c r="W928" s="12">
        <f t="array" ref="W928">SQRT(252/20) *  SQRT( SUMSQ( LN(U907:U926 / U906:U925) )  - (1/20) * ( SUM( LN(U907:U926 / U906:U925) ) ^ 2 ) )</f>
        <v>0.01946860597</v>
      </c>
      <c r="X928" s="9">
        <f t="shared" si="4"/>
        <v>1.5</v>
      </c>
      <c r="Y928" s="14"/>
      <c r="Z928" s="12">
        <f t="shared" si="5"/>
        <v>0.9984611084</v>
      </c>
      <c r="AA928" s="16">
        <f t="shared" si="8"/>
        <v>102.6527701</v>
      </c>
      <c r="AB928" s="14"/>
      <c r="AC928" s="9">
        <f t="shared" si="6"/>
        <v>0</v>
      </c>
    </row>
    <row r="929">
      <c r="A929" s="8">
        <v>43070.0</v>
      </c>
      <c r="B929" s="14"/>
      <c r="C929" s="12">
        <f t="array" ref="C929">IFERROR(
  INDEX(
    IR!$B$2:$E2026,                
    MATCH($A929, IR!$A$2:$A2026, 0), 
    MATCH(C$1, IR!$B$1:$E$1, 0) ), "")
</f>
        <v>-0.00369</v>
      </c>
      <c r="D929" s="12">
        <f t="array" ref="D929">IFERROR(
  INDEX(
    IR!$B$2:$E2026,                
    MATCH($A929, IR!$A$2:$A2026, 0), 
    MATCH(D$1, IR!$B$1:$E$1, 0) ), "")
</f>
        <v>-0.00326</v>
      </c>
      <c r="E929" s="12">
        <f t="array" ref="E929">IFERROR(
  INDEX(
    IR!$B$2:$E2026,                
    MATCH($A929, IR!$A$2:$A2026, 0), 
    MATCH(E$1, IR!$B$1:$E$1, 0) ), "")
</f>
        <v>-0.00271</v>
      </c>
      <c r="F929" s="12">
        <f t="array" ref="F929">IFERROR(
  INDEX(
    IR!$B$2:$E2026,                
    MATCH($A929, IR!$A$2:$A2026, 0), 
    MATCH(F$1, IR!$B$1:$E$1, 0) ), "")
</f>
        <v>-0.00188</v>
      </c>
      <c r="G929" s="25"/>
      <c r="H929" s="12">
        <f t="array" ref="H929">IFERROR(
  INDEX(
    SR!$B$2:$D2026,            
    MATCH($A929, SR!$A$2:$A2026, 0),  
    MATCH(H$1, SR!$B$1:$D$1, 0) ), "")
</f>
        <v>-0.00187</v>
      </c>
      <c r="I929" s="12">
        <f t="array" ref="I929">IFERROR(
  INDEX(
    SR!$B$2:$D2026,            
    MATCH($A929, SR!$A$2:$A2026, 0),  
    MATCH(I$1, SR!$B$1:$D$1, 0) ), "")
</f>
        <v>-0.000673</v>
      </c>
      <c r="J929" s="12">
        <f t="array" ref="J929">IFERROR(
  INDEX(
    SR!$B$2:$D2026,            
    MATCH($A929, SR!$A$2:$A2026, 0),  
    MATCH(J$1, SR!$B$1:$D$1, 0) ), "")
</f>
        <v>0.002005</v>
      </c>
      <c r="K929" s="14"/>
      <c r="L929" s="9">
        <v>119.54</v>
      </c>
      <c r="M929" s="9">
        <v>24.16</v>
      </c>
      <c r="N929" s="9">
        <v>115.17</v>
      </c>
      <c r="O929" s="9">
        <v>118.68</v>
      </c>
      <c r="P929" s="9">
        <v>129.87</v>
      </c>
      <c r="Q929" s="9">
        <v>1448.4514</v>
      </c>
      <c r="R929" s="14"/>
      <c r="S929" s="12">
        <f t="shared" si="2"/>
        <v>-0.000429621718</v>
      </c>
      <c r="T929" s="12">
        <f t="shared" si="3"/>
        <v>0.9995703783</v>
      </c>
      <c r="U929" s="16">
        <f t="shared" si="7"/>
        <v>101.4944243</v>
      </c>
      <c r="V929" s="17"/>
      <c r="W929" s="12">
        <f t="array" ref="W929">SQRT(252/20) *  SQRT( SUMSQ( LN(U908:U927 / U907:U926) )  - (1/20) * ( SUM( LN(U908:U927 / U907:U926) ) ^ 2 ) )</f>
        <v>0.01914531867</v>
      </c>
      <c r="X929" s="9">
        <f t="shared" si="4"/>
        <v>1.5</v>
      </c>
      <c r="Y929" s="14"/>
      <c r="Z929" s="12">
        <f t="shared" si="5"/>
        <v>0.9993607202</v>
      </c>
      <c r="AA929" s="16">
        <f t="shared" si="8"/>
        <v>102.5871462</v>
      </c>
      <c r="AB929" s="14"/>
      <c r="AC929" s="9">
        <f t="shared" si="6"/>
        <v>0</v>
      </c>
    </row>
    <row r="930">
      <c r="A930" s="8">
        <v>43073.0</v>
      </c>
      <c r="B930" s="14"/>
      <c r="C930" s="12">
        <f t="array" ref="C930">IFERROR(
  INDEX(
    IR!$B$2:$E2026,                
    MATCH($A930, IR!$A$2:$A2026, 0), 
    MATCH(C$1, IR!$B$1:$E$1, 0) ), "")
</f>
        <v>-0.00368</v>
      </c>
      <c r="D930" s="12">
        <f t="array" ref="D930">IFERROR(
  INDEX(
    IR!$B$2:$E2026,                
    MATCH($A930, IR!$A$2:$A2026, 0), 
    MATCH(D$1, IR!$B$1:$E$1, 0) ), "")
</f>
        <v>-0.00326</v>
      </c>
      <c r="E930" s="12">
        <f t="array" ref="E930">IFERROR(
  INDEX(
    IR!$B$2:$E2026,                
    MATCH($A930, IR!$A$2:$A2026, 0), 
    MATCH(E$1, IR!$B$1:$E$1, 0) ), "")
</f>
        <v>-0.00272</v>
      </c>
      <c r="F930" s="12">
        <f t="array" ref="F930">IFERROR(
  INDEX(
    IR!$B$2:$E2026,                
    MATCH($A930, IR!$A$2:$A2026, 0), 
    MATCH(F$1, IR!$B$1:$E$1, 0) ), "")
</f>
        <v>-0.0019</v>
      </c>
      <c r="G930" s="25"/>
      <c r="H930" s="12">
        <f t="array" ref="H930">IFERROR(
  INDEX(
    SR!$B$2:$D2026,            
    MATCH($A930, SR!$A$2:$A2026, 0),  
    MATCH(H$1, SR!$B$1:$D$1, 0) ), "")
</f>
        <v>-0.001865</v>
      </c>
      <c r="I930" s="12">
        <f t="array" ref="I930">IFERROR(
  INDEX(
    SR!$B$2:$D2026,            
    MATCH($A930, SR!$A$2:$A2026, 0),  
    MATCH(I$1, SR!$B$1:$D$1, 0) ), "")
</f>
        <v>-0.00062</v>
      </c>
      <c r="J930" s="12">
        <f t="array" ref="J930">IFERROR(
  INDEX(
    SR!$B$2:$D2026,            
    MATCH($A930, SR!$A$2:$A2026, 0),  
    MATCH(J$1, SR!$B$1:$D$1, 0) ), "")
</f>
        <v>0.002081</v>
      </c>
      <c r="K930" s="14"/>
      <c r="L930" s="9">
        <v>119.52</v>
      </c>
      <c r="M930" s="9">
        <v>24.15</v>
      </c>
      <c r="N930" s="9">
        <v>115.2</v>
      </c>
      <c r="O930" s="9">
        <v>118.15</v>
      </c>
      <c r="P930" s="9">
        <v>129.59</v>
      </c>
      <c r="Q930" s="9">
        <v>1445.588</v>
      </c>
      <c r="R930" s="14"/>
      <c r="S930" s="12">
        <f t="shared" si="2"/>
        <v>-0.001486168599</v>
      </c>
      <c r="T930" s="12">
        <f t="shared" si="3"/>
        <v>0.9985138314</v>
      </c>
      <c r="U930" s="16">
        <f t="shared" si="7"/>
        <v>101.3435865</v>
      </c>
      <c r="V930" s="17"/>
      <c r="W930" s="12">
        <f t="array" ref="W930">SQRT(252/20) *  SQRT( SUMSQ( LN(U909:U928 / U908:U927) )  - (1/20) * ( SUM( LN(U909:U928 / U908:U927) ) ^ 2 ) )</f>
        <v>0.01792115114</v>
      </c>
      <c r="X930" s="9">
        <f t="shared" si="4"/>
        <v>1.5</v>
      </c>
      <c r="Y930" s="14"/>
      <c r="Z930" s="12">
        <f t="shared" si="5"/>
        <v>0.9977861221</v>
      </c>
      <c r="AA930" s="16">
        <f t="shared" si="8"/>
        <v>102.3600308</v>
      </c>
      <c r="AB930" s="14"/>
      <c r="AC930" s="9">
        <f t="shared" si="6"/>
        <v>0</v>
      </c>
    </row>
    <row r="931">
      <c r="A931" s="8">
        <v>43074.0</v>
      </c>
      <c r="B931" s="14"/>
      <c r="C931" s="12">
        <f t="array" ref="C931">IFERROR(
  INDEX(
    IR!$B$2:$E2026,                
    MATCH($A931, IR!$A$2:$A2026, 0), 
    MATCH(C$1, IR!$B$1:$E$1, 0) ), "")
</f>
        <v>-0.00367</v>
      </c>
      <c r="D931" s="12">
        <f t="array" ref="D931">IFERROR(
  INDEX(
    IR!$B$2:$E2026,                
    MATCH($A931, IR!$A$2:$A2026, 0), 
    MATCH(D$1, IR!$B$1:$E$1, 0) ), "")
</f>
        <v>-0.00326</v>
      </c>
      <c r="E931" s="12">
        <f t="array" ref="E931">IFERROR(
  INDEX(
    IR!$B$2:$E2026,                
    MATCH($A931, IR!$A$2:$A2026, 0), 
    MATCH(E$1, IR!$B$1:$E$1, 0) ), "")
</f>
        <v>-0.00271</v>
      </c>
      <c r="F931" s="12">
        <f t="array" ref="F931">IFERROR(
  INDEX(
    IR!$B$2:$E2026,                
    MATCH($A931, IR!$A$2:$A2026, 0), 
    MATCH(F$1, IR!$B$1:$E$1, 0) ), "")
</f>
        <v>-0.00191</v>
      </c>
      <c r="G931" s="25"/>
      <c r="H931" s="12">
        <f t="array" ref="H931">IFERROR(
  INDEX(
    SR!$B$2:$D2026,            
    MATCH($A931, SR!$A$2:$A2026, 0),  
    MATCH(H$1, SR!$B$1:$D$1, 0) ), "")
</f>
        <v>-0.001915</v>
      </c>
      <c r="I931" s="12">
        <f t="array" ref="I931">IFERROR(
  INDEX(
    SR!$B$2:$D2026,            
    MATCH($A931, SR!$A$2:$A2026, 0),  
    MATCH(I$1, SR!$B$1:$D$1, 0) ), "")
</f>
        <v>-0.000781</v>
      </c>
      <c r="J931" s="12">
        <f t="array" ref="J931">IFERROR(
  INDEX(
    SR!$B$2:$D2026,            
    MATCH($A931, SR!$A$2:$A2026, 0),  
    MATCH(J$1, SR!$B$1:$D$1, 0) ), "")
</f>
        <v>0.001915</v>
      </c>
      <c r="K931" s="14"/>
      <c r="L931" s="9">
        <v>119.31</v>
      </c>
      <c r="M931" s="9">
        <v>24.16</v>
      </c>
      <c r="N931" s="9">
        <v>115.24</v>
      </c>
      <c r="O931" s="9">
        <v>118.76</v>
      </c>
      <c r="P931" s="9">
        <v>129.65</v>
      </c>
      <c r="Q931" s="9">
        <v>1442.924</v>
      </c>
      <c r="R931" s="14"/>
      <c r="S931" s="12">
        <f t="shared" si="2"/>
        <v>0.0004641884301</v>
      </c>
      <c r="T931" s="12">
        <f t="shared" si="3"/>
        <v>1.000464188</v>
      </c>
      <c r="U931" s="16">
        <f t="shared" si="7"/>
        <v>101.390629</v>
      </c>
      <c r="V931" s="17"/>
      <c r="W931" s="12">
        <f t="array" ref="W931">SQRT(252/20) *  SQRT( SUMSQ( LN(U910:U929 / U909:U928) )  - (1/20) * ( SUM( LN(U910:U929 / U909:U928) ) ^ 2 ) )</f>
        <v>0.01775632093</v>
      </c>
      <c r="X931" s="9">
        <f t="shared" si="4"/>
        <v>1.5</v>
      </c>
      <c r="Y931" s="14"/>
      <c r="Z931" s="12">
        <f t="shared" si="5"/>
        <v>1.000701394</v>
      </c>
      <c r="AA931" s="16">
        <f t="shared" si="8"/>
        <v>102.4318255</v>
      </c>
      <c r="AB931" s="14"/>
      <c r="AC931" s="9">
        <f t="shared" si="6"/>
        <v>0</v>
      </c>
    </row>
    <row r="932">
      <c r="A932" s="8">
        <v>43075.0</v>
      </c>
      <c r="B932" s="14"/>
      <c r="C932" s="12">
        <f t="array" ref="C932">IFERROR(
  INDEX(
    IR!$B$2:$E2026,                
    MATCH($A932, IR!$A$2:$A2026, 0), 
    MATCH(C$1, IR!$B$1:$E$1, 0) ), "")
</f>
        <v>-0.00367</v>
      </c>
      <c r="D932" s="12">
        <f t="array" ref="D932">IFERROR(
  INDEX(
    IR!$B$2:$E2026,                
    MATCH($A932, IR!$A$2:$A2026, 0), 
    MATCH(D$1, IR!$B$1:$E$1, 0) ), "")
</f>
        <v>-0.00326</v>
      </c>
      <c r="E932" s="12">
        <f t="array" ref="E932">IFERROR(
  INDEX(
    IR!$B$2:$E2026,                
    MATCH($A932, IR!$A$2:$A2026, 0), 
    MATCH(E$1, IR!$B$1:$E$1, 0) ), "")
</f>
        <v>-0.00271</v>
      </c>
      <c r="F932" s="12">
        <f t="array" ref="F932">IFERROR(
  INDEX(
    IR!$B$2:$E2026,                
    MATCH($A932, IR!$A$2:$A2026, 0), 
    MATCH(F$1, IR!$B$1:$E$1, 0) ), "")
</f>
        <v>-0.00191</v>
      </c>
      <c r="G932" s="25"/>
      <c r="H932" s="12">
        <f t="array" ref="H932">IFERROR(
  INDEX(
    SR!$B$2:$D2026,            
    MATCH($A932, SR!$A$2:$A2026, 0),  
    MATCH(H$1, SR!$B$1:$D$1, 0) ), "")
</f>
        <v>-0.001942</v>
      </c>
      <c r="I932" s="12">
        <f t="array" ref="I932">IFERROR(
  INDEX(
    SR!$B$2:$D2026,            
    MATCH($A932, SR!$A$2:$A2026, 0),  
    MATCH(I$1, SR!$B$1:$D$1, 0) ), "")
</f>
        <v>-0.000751</v>
      </c>
      <c r="J932" s="12">
        <f t="array" ref="J932">IFERROR(
  INDEX(
    SR!$B$2:$D2026,            
    MATCH($A932, SR!$A$2:$A2026, 0),  
    MATCH(J$1, SR!$B$1:$D$1, 0) ), "")
</f>
        <v>0.001875</v>
      </c>
      <c r="K932" s="14"/>
      <c r="L932" s="9">
        <v>117.83</v>
      </c>
      <c r="M932" s="9">
        <v>24.18</v>
      </c>
      <c r="N932" s="9">
        <v>115.23</v>
      </c>
      <c r="O932" s="9">
        <v>118.85</v>
      </c>
      <c r="P932" s="9">
        <v>129.64</v>
      </c>
      <c r="Q932" s="9">
        <v>1438.666</v>
      </c>
      <c r="R932" s="14"/>
      <c r="S932" s="12">
        <f t="shared" si="2"/>
        <v>-0.002321678366</v>
      </c>
      <c r="T932" s="12">
        <f t="shared" si="3"/>
        <v>0.9976783216</v>
      </c>
      <c r="U932" s="16">
        <f t="shared" si="7"/>
        <v>101.1552326</v>
      </c>
      <c r="V932" s="17"/>
      <c r="W932" s="12">
        <f t="array" ref="W932">SQRT(252/20) *  SQRT( SUMSQ( LN(U911:U930 / U910:U929) )  - (1/20) * ( SUM( LN(U911:U930 / U910:U929) ) ^ 2 ) )</f>
        <v>0.01781696231</v>
      </c>
      <c r="X932" s="9">
        <f t="shared" si="4"/>
        <v>1.5</v>
      </c>
      <c r="Y932" s="14"/>
      <c r="Z932" s="12">
        <f t="shared" si="5"/>
        <v>0.9965225797</v>
      </c>
      <c r="AA932" s="16">
        <f t="shared" si="8"/>
        <v>102.075627</v>
      </c>
      <c r="AB932" s="14"/>
      <c r="AC932" s="9">
        <f t="shared" si="6"/>
        <v>0</v>
      </c>
    </row>
    <row r="933">
      <c r="A933" s="8">
        <v>43076.0</v>
      </c>
      <c r="B933" s="14"/>
      <c r="C933" s="12">
        <f t="array" ref="C933">IFERROR(
  INDEX(
    IR!$B$2:$E2026,                
    MATCH($A933, IR!$A$2:$A2026, 0), 
    MATCH(C$1, IR!$B$1:$E$1, 0) ), "")
</f>
        <v>-0.00366</v>
      </c>
      <c r="D933" s="12">
        <f t="array" ref="D933">IFERROR(
  INDEX(
    IR!$B$2:$E2026,                
    MATCH($A933, IR!$A$2:$A2026, 0), 
    MATCH(D$1, IR!$B$1:$E$1, 0) ), "")
</f>
        <v>-0.00325</v>
      </c>
      <c r="E933" s="12">
        <f t="array" ref="E933">IFERROR(
  INDEX(
    IR!$B$2:$E2026,                
    MATCH($A933, IR!$A$2:$A2026, 0), 
    MATCH(E$1, IR!$B$1:$E$1, 0) ), "")
</f>
        <v>-0.00271</v>
      </c>
      <c r="F933" s="12">
        <f t="array" ref="F933">IFERROR(
  INDEX(
    IR!$B$2:$E2026,                
    MATCH($A933, IR!$A$2:$A2026, 0), 
    MATCH(F$1, IR!$B$1:$E$1, 0) ), "")
</f>
        <v>-0.0019</v>
      </c>
      <c r="G933" s="25"/>
      <c r="H933" s="12">
        <f t="array" ref="H933">IFERROR(
  INDEX(
    SR!$B$2:$D2026,            
    MATCH($A933, SR!$A$2:$A2026, 0),  
    MATCH(H$1, SR!$B$1:$D$1, 0) ), "")
</f>
        <v>-0.001932</v>
      </c>
      <c r="I933" s="12">
        <f t="array" ref="I933">IFERROR(
  INDEX(
    SR!$B$2:$D2026,            
    MATCH($A933, SR!$A$2:$A2026, 0),  
    MATCH(I$1, SR!$B$1:$D$1, 0) ), "")
</f>
        <v>-0.000756</v>
      </c>
      <c r="J933" s="12">
        <f t="array" ref="J933">IFERROR(
  INDEX(
    SR!$B$2:$D2026,            
    MATCH($A933, SR!$A$2:$A2026, 0),  
    MATCH(J$1, SR!$B$1:$D$1, 0) ), "")
</f>
        <v>0.001925</v>
      </c>
      <c r="K933" s="14"/>
      <c r="L933" s="9">
        <v>118.1</v>
      </c>
      <c r="M933" s="9">
        <v>24.17</v>
      </c>
      <c r="N933" s="9">
        <v>115.22</v>
      </c>
      <c r="O933" s="9">
        <v>118.72</v>
      </c>
      <c r="P933" s="9">
        <v>129.5</v>
      </c>
      <c r="Q933" s="9">
        <v>1433.718</v>
      </c>
      <c r="R933" s="14"/>
      <c r="S933" s="12">
        <f t="shared" si="2"/>
        <v>-0.000637078742</v>
      </c>
      <c r="T933" s="12">
        <f t="shared" si="3"/>
        <v>0.9993629213</v>
      </c>
      <c r="U933" s="16">
        <f t="shared" si="7"/>
        <v>101.0907887</v>
      </c>
      <c r="V933" s="17"/>
      <c r="W933" s="12">
        <f t="array" ref="W933">SQRT(252/20) *  SQRT( SUMSQ( LN(U912:U931 / U911:U930) )  - (1/20) * ( SUM( LN(U912:U931 / U911:U930) ) ^ 2 ) )</f>
        <v>0.01784610017</v>
      </c>
      <c r="X933" s="9">
        <f t="shared" si="4"/>
        <v>1.5</v>
      </c>
      <c r="Y933" s="14"/>
      <c r="Z933" s="12">
        <f t="shared" si="5"/>
        <v>0.9990494791</v>
      </c>
      <c r="AA933" s="16">
        <f t="shared" si="8"/>
        <v>101.978602</v>
      </c>
      <c r="AB933" s="14"/>
      <c r="AC933" s="9">
        <f t="shared" si="6"/>
        <v>0</v>
      </c>
    </row>
    <row r="934">
      <c r="A934" s="8">
        <v>43077.0</v>
      </c>
      <c r="B934" s="14"/>
      <c r="C934" s="12">
        <f t="array" ref="C934">IFERROR(
  INDEX(
    IR!$B$2:$E2026,                
    MATCH($A934, IR!$A$2:$A2026, 0), 
    MATCH(C$1, IR!$B$1:$E$1, 0) ), "")
</f>
        <v>-0.00369</v>
      </c>
      <c r="D934" s="12">
        <f t="array" ref="D934">IFERROR(
  INDEX(
    IR!$B$2:$E2026,                
    MATCH($A934, IR!$A$2:$A2026, 0), 
    MATCH(D$1, IR!$B$1:$E$1, 0) ), "")
</f>
        <v>-0.00326</v>
      </c>
      <c r="E934" s="12">
        <f t="array" ref="E934">IFERROR(
  INDEX(
    IR!$B$2:$E2026,                
    MATCH($A934, IR!$A$2:$A2026, 0), 
    MATCH(E$1, IR!$B$1:$E$1, 0) ), "")
</f>
        <v>-0.00271</v>
      </c>
      <c r="F934" s="12">
        <f t="array" ref="F934">IFERROR(
  INDEX(
    IR!$B$2:$E2026,                
    MATCH($A934, IR!$A$2:$A2026, 0), 
    MATCH(F$1, IR!$B$1:$E$1, 0) ), "")
</f>
        <v>-0.00191</v>
      </c>
      <c r="G934" s="25"/>
      <c r="H934" s="12">
        <f t="array" ref="H934">IFERROR(
  INDEX(
    SR!$B$2:$D2026,            
    MATCH($A934, SR!$A$2:$A2026, 0),  
    MATCH(H$1, SR!$B$1:$D$1, 0) ), "")
</f>
        <v>-0.00191</v>
      </c>
      <c r="I934" s="12">
        <f t="array" ref="I934">IFERROR(
  INDEX(
    SR!$B$2:$D2026,            
    MATCH($A934, SR!$A$2:$A2026, 0),  
    MATCH(I$1, SR!$B$1:$D$1, 0) ), "")
</f>
        <v>-0.000759</v>
      </c>
      <c r="J934" s="12">
        <f t="array" ref="J934">IFERROR(
  INDEX(
    SR!$B$2:$D2026,            
    MATCH($A934, SR!$A$2:$A2026, 0),  
    MATCH(J$1, SR!$B$1:$D$1, 0) ), "")
</f>
        <v>0.002075</v>
      </c>
      <c r="K934" s="14"/>
      <c r="L934" s="9">
        <v>117.62</v>
      </c>
      <c r="M934" s="9">
        <v>24.18</v>
      </c>
      <c r="N934" s="9">
        <v>115.22</v>
      </c>
      <c r="O934" s="9">
        <v>118.83</v>
      </c>
      <c r="P934" s="9">
        <v>129.65</v>
      </c>
      <c r="Q934" s="9">
        <v>1436.442</v>
      </c>
      <c r="R934" s="14"/>
      <c r="S934" s="12">
        <f t="shared" si="2"/>
        <v>0.00005586605575</v>
      </c>
      <c r="T934" s="12">
        <f t="shared" si="3"/>
        <v>1.000055866</v>
      </c>
      <c r="U934" s="16">
        <f t="shared" si="7"/>
        <v>101.0964362</v>
      </c>
      <c r="V934" s="17"/>
      <c r="W934" s="12">
        <f t="array" ref="W934">SQRT(252/20) *  SQRT( SUMSQ( LN(U913:U932 / U912:U931) )  - (1/20) * ( SUM( LN(U913:U932 / U912:U931) ) ^ 2 ) )</f>
        <v>0.01903349856</v>
      </c>
      <c r="X934" s="9">
        <f t="shared" si="4"/>
        <v>1.5</v>
      </c>
      <c r="Y934" s="14"/>
      <c r="Z934" s="12">
        <f t="shared" si="5"/>
        <v>1.000088882</v>
      </c>
      <c r="AA934" s="16">
        <f t="shared" si="8"/>
        <v>101.9876661</v>
      </c>
      <c r="AB934" s="14"/>
      <c r="AC934" s="9">
        <f t="shared" si="6"/>
        <v>0</v>
      </c>
    </row>
    <row r="935">
      <c r="A935" s="8">
        <v>43080.0</v>
      </c>
      <c r="B935" s="14"/>
      <c r="C935" s="12">
        <f t="array" ref="C935">IFERROR(
  INDEX(
    IR!$B$2:$E2026,                
    MATCH($A935, IR!$A$2:$A2026, 0), 
    MATCH(C$1, IR!$B$1:$E$1, 0) ), "")
</f>
        <v>-0.00369</v>
      </c>
      <c r="D935" s="12">
        <f t="array" ref="D935">IFERROR(
  INDEX(
    IR!$B$2:$E2026,                
    MATCH($A935, IR!$A$2:$A2026, 0), 
    MATCH(D$1, IR!$B$1:$E$1, 0) ), "")
</f>
        <v>-0.00327</v>
      </c>
      <c r="E935" s="12">
        <f t="array" ref="E935">IFERROR(
  INDEX(
    IR!$B$2:$E2026,                
    MATCH($A935, IR!$A$2:$A2026, 0), 
    MATCH(E$1, IR!$B$1:$E$1, 0) ), "")
</f>
        <v>-0.00271</v>
      </c>
      <c r="F935" s="12">
        <f t="array" ref="F935">IFERROR(
  INDEX(
    IR!$B$2:$E2026,                
    MATCH($A935, IR!$A$2:$A2026, 0), 
    MATCH(F$1, IR!$B$1:$E$1, 0) ), "")
</f>
        <v>-0.00191</v>
      </c>
      <c r="G935" s="25"/>
      <c r="H935" s="12">
        <f t="array" ref="H935">IFERROR(
  INDEX(
    SR!$B$2:$D2026,            
    MATCH($A935, SR!$A$2:$A2026, 0),  
    MATCH(H$1, SR!$B$1:$D$1, 0) ), "")
</f>
        <v>-0.00191</v>
      </c>
      <c r="I935" s="12">
        <f t="array" ref="I935">IFERROR(
  INDEX(
    SR!$B$2:$D2026,            
    MATCH($A935, SR!$A$2:$A2026, 0),  
    MATCH(I$1, SR!$B$1:$D$1, 0) ), "")
</f>
        <v>-0.000683</v>
      </c>
      <c r="J935" s="12">
        <f t="array" ref="J935">IFERROR(
  INDEX(
    SR!$B$2:$D2026,            
    MATCH($A935, SR!$A$2:$A2026, 0),  
    MATCH(J$1, SR!$B$1:$D$1, 0) ), "")
</f>
        <v>0.00202</v>
      </c>
      <c r="K935" s="14"/>
      <c r="L935" s="9">
        <v>117.8</v>
      </c>
      <c r="M935" s="9">
        <v>24.17</v>
      </c>
      <c r="N935" s="9">
        <v>115.22</v>
      </c>
      <c r="O935" s="9">
        <v>119.03</v>
      </c>
      <c r="P935" s="9">
        <v>129.95</v>
      </c>
      <c r="Q935" s="9">
        <v>1437.989</v>
      </c>
      <c r="R935" s="14"/>
      <c r="S935" s="12">
        <f t="shared" si="2"/>
        <v>0.001031487042</v>
      </c>
      <c r="T935" s="12">
        <f t="shared" si="3"/>
        <v>1.001031487</v>
      </c>
      <c r="U935" s="16">
        <f t="shared" si="7"/>
        <v>101.2007159</v>
      </c>
      <c r="V935" s="17"/>
      <c r="W935" s="12">
        <f t="array" ref="W935">SQRT(252/20) *  SQRT( SUMSQ( LN(U914:U933 / U913:U932) )  - (1/20) * ( SUM( LN(U914:U933 / U913:U932) ) ^ 2 ) )</f>
        <v>0.0190060001</v>
      </c>
      <c r="X935" s="9">
        <f t="shared" si="4"/>
        <v>1.5</v>
      </c>
      <c r="Y935" s="14"/>
      <c r="Z935" s="12">
        <f t="shared" si="5"/>
        <v>1.001562606</v>
      </c>
      <c r="AA935" s="16">
        <f t="shared" si="8"/>
        <v>102.1470326</v>
      </c>
      <c r="AB935" s="14"/>
      <c r="AC935" s="9">
        <f t="shared" si="6"/>
        <v>0</v>
      </c>
    </row>
    <row r="936">
      <c r="A936" s="8">
        <v>43081.0</v>
      </c>
      <c r="B936" s="14"/>
      <c r="C936" s="12">
        <f t="array" ref="C936">IFERROR(
  INDEX(
    IR!$B$2:$E2026,                
    MATCH($A936, IR!$A$2:$A2026, 0), 
    MATCH(C$1, IR!$B$1:$E$1, 0) ), "")
</f>
        <v>-0.00369</v>
      </c>
      <c r="D936" s="12">
        <f t="array" ref="D936">IFERROR(
  INDEX(
    IR!$B$2:$E2026,                
    MATCH($A936, IR!$A$2:$A2026, 0), 
    MATCH(D$1, IR!$B$1:$E$1, 0) ), "")
</f>
        <v>-0.00327</v>
      </c>
      <c r="E936" s="12">
        <f t="array" ref="E936">IFERROR(
  INDEX(
    IR!$B$2:$E2026,                
    MATCH($A936, IR!$A$2:$A2026, 0), 
    MATCH(E$1, IR!$B$1:$E$1, 0) ), "")
</f>
        <v>-0.00271</v>
      </c>
      <c r="F936" s="12">
        <f t="array" ref="F936">IFERROR(
  INDEX(
    IR!$B$2:$E2026,                
    MATCH($A936, IR!$A$2:$A2026, 0), 
    MATCH(F$1, IR!$B$1:$E$1, 0) ), "")
</f>
        <v>-0.00191</v>
      </c>
      <c r="G936" s="25"/>
      <c r="H936" s="12">
        <f t="array" ref="H936">IFERROR(
  INDEX(
    SR!$B$2:$D2026,            
    MATCH($A936, SR!$A$2:$A2026, 0),  
    MATCH(H$1, SR!$B$1:$D$1, 0) ), "")
</f>
        <v>-0.00186</v>
      </c>
      <c r="I936" s="12">
        <f t="array" ref="I936">IFERROR(
  INDEX(
    SR!$B$2:$D2026,            
    MATCH($A936, SR!$A$2:$A2026, 0),  
    MATCH(I$1, SR!$B$1:$D$1, 0) ), "")
</f>
        <v>-0.000673</v>
      </c>
      <c r="J936" s="12">
        <f t="array" ref="J936">IFERROR(
  INDEX(
    SR!$B$2:$D2026,            
    MATCH($A936, SR!$A$2:$A2026, 0),  
    MATCH(J$1, SR!$B$1:$D$1, 0) ), "")
</f>
        <v>0.00214</v>
      </c>
      <c r="K936" s="14"/>
      <c r="L936" s="9">
        <v>117.93</v>
      </c>
      <c r="M936" s="9">
        <v>24.19</v>
      </c>
      <c r="N936" s="9">
        <v>115.26</v>
      </c>
      <c r="O936" s="9">
        <v>119.02</v>
      </c>
      <c r="P936" s="9">
        <v>130.15</v>
      </c>
      <c r="Q936" s="9">
        <v>1440.934</v>
      </c>
      <c r="R936" s="14"/>
      <c r="S936" s="12">
        <f t="shared" si="2"/>
        <v>0.0009633592862</v>
      </c>
      <c r="T936" s="12">
        <f t="shared" si="3"/>
        <v>1.000963359</v>
      </c>
      <c r="U936" s="16">
        <f t="shared" si="7"/>
        <v>101.2982086</v>
      </c>
      <c r="V936" s="17"/>
      <c r="W936" s="12">
        <f t="array" ref="W936">SQRT(252/20) *  SQRT( SUMSQ( LN(U915:U934 / U914:U933) )  - (1/20) * ( SUM( LN(U915:U934 / U914:U933) ) ^ 2 ) )</f>
        <v>0.01785599152</v>
      </c>
      <c r="X936" s="9">
        <f t="shared" si="4"/>
        <v>1.5</v>
      </c>
      <c r="Y936" s="14"/>
      <c r="Z936" s="12">
        <f t="shared" si="5"/>
        <v>1.001450164</v>
      </c>
      <c r="AA936" s="16">
        <f t="shared" si="8"/>
        <v>102.2951625</v>
      </c>
      <c r="AB936" s="14"/>
      <c r="AC936" s="9">
        <f t="shared" si="6"/>
        <v>0</v>
      </c>
    </row>
    <row r="937">
      <c r="A937" s="8">
        <v>43082.0</v>
      </c>
      <c r="B937" s="14"/>
      <c r="C937" s="12">
        <f t="array" ref="C937">IFERROR(
  INDEX(
    IR!$B$2:$E2026,                
    MATCH($A937, IR!$A$2:$A2026, 0), 
    MATCH(C$1, IR!$B$1:$E$1, 0) ), "")
</f>
        <v>-0.00371</v>
      </c>
      <c r="D937" s="12">
        <f t="array" ref="D937">IFERROR(
  INDEX(
    IR!$B$2:$E2026,                
    MATCH($A937, IR!$A$2:$A2026, 0), 
    MATCH(D$1, IR!$B$1:$E$1, 0) ), "")
</f>
        <v>-0.00329</v>
      </c>
      <c r="E937" s="12">
        <f t="array" ref="E937">IFERROR(
  INDEX(
    IR!$B$2:$E2026,                
    MATCH($A937, IR!$A$2:$A2026, 0), 
    MATCH(E$1, IR!$B$1:$E$1, 0) ), "")
</f>
        <v>-0.00273</v>
      </c>
      <c r="F937" s="12">
        <f t="array" ref="F937">IFERROR(
  INDEX(
    IR!$B$2:$E2026,                
    MATCH($A937, IR!$A$2:$A2026, 0), 
    MATCH(F$1, IR!$B$1:$E$1, 0) ), "")
</f>
        <v>-0.00191</v>
      </c>
      <c r="G937" s="25"/>
      <c r="H937" s="12">
        <f t="array" ref="H937">IFERROR(
  INDEX(
    SR!$B$2:$D2026,            
    MATCH($A937, SR!$A$2:$A2026, 0),  
    MATCH(H$1, SR!$B$1:$D$1, 0) ), "")
</f>
        <v>-0.001899</v>
      </c>
      <c r="I937" s="12">
        <f t="array" ref="I937">IFERROR(
  INDEX(
    SR!$B$2:$D2026,            
    MATCH($A937, SR!$A$2:$A2026, 0),  
    MATCH(I$1, SR!$B$1:$D$1, 0) ), "")
</f>
        <v>-0.000681</v>
      </c>
      <c r="J937" s="12">
        <f t="array" ref="J937">IFERROR(
  INDEX(
    SR!$B$2:$D2026,            
    MATCH($A937, SR!$A$2:$A2026, 0),  
    MATCH(J$1, SR!$B$1:$D$1, 0) ), "")
</f>
        <v>0.00209</v>
      </c>
      <c r="K937" s="14"/>
      <c r="L937" s="9">
        <v>117.84</v>
      </c>
      <c r="M937" s="9">
        <v>24.18</v>
      </c>
      <c r="N937" s="9">
        <v>115.29</v>
      </c>
      <c r="O937" s="9">
        <v>119.1</v>
      </c>
      <c r="P937" s="9">
        <v>130.21</v>
      </c>
      <c r="Q937" s="9">
        <v>1440.054</v>
      </c>
      <c r="R937" s="14"/>
      <c r="S937" s="12">
        <f t="shared" si="2"/>
        <v>-0.00006567314508</v>
      </c>
      <c r="T937" s="12">
        <f t="shared" si="3"/>
        <v>0.9999343269</v>
      </c>
      <c r="U937" s="16">
        <f t="shared" si="7"/>
        <v>101.291556</v>
      </c>
      <c r="V937" s="17"/>
      <c r="W937" s="12">
        <f t="array" ref="W937">SQRT(252/20) *  SQRT( SUMSQ( LN(U916:U935 / U915:U934) )  - (1/20) * ( SUM( LN(U916:U935 / U915:U934) ) ^ 2 ) )</f>
        <v>0.01622308159</v>
      </c>
      <c r="X937" s="9">
        <f t="shared" si="4"/>
        <v>1.5</v>
      </c>
      <c r="Y937" s="14"/>
      <c r="Z937" s="12">
        <f t="shared" si="5"/>
        <v>0.9999066153</v>
      </c>
      <c r="AA937" s="16">
        <f t="shared" si="8"/>
        <v>102.2856097</v>
      </c>
      <c r="AB937" s="14"/>
      <c r="AC937" s="9">
        <f t="shared" si="6"/>
        <v>0</v>
      </c>
    </row>
    <row r="938">
      <c r="A938" s="8">
        <v>43083.0</v>
      </c>
      <c r="B938" s="14"/>
      <c r="C938" s="12">
        <f t="array" ref="C938">IFERROR(
  INDEX(
    IR!$B$2:$E2026,                
    MATCH($A938, IR!$A$2:$A2026, 0), 
    MATCH(C$1, IR!$B$1:$E$1, 0) ), "")
</f>
        <v>-0.00371</v>
      </c>
      <c r="D938" s="12">
        <f t="array" ref="D938">IFERROR(
  INDEX(
    IR!$B$2:$E2026,                
    MATCH($A938, IR!$A$2:$A2026, 0), 
    MATCH(D$1, IR!$B$1:$E$1, 0) ), "")
</f>
        <v>-0.00331</v>
      </c>
      <c r="E938" s="12">
        <f t="array" ref="E938">IFERROR(
  INDEX(
    IR!$B$2:$E2026,                
    MATCH($A938, IR!$A$2:$A2026, 0), 
    MATCH(E$1, IR!$B$1:$E$1, 0) ), "")
</f>
        <v>-0.00271</v>
      </c>
      <c r="F938" s="12">
        <f t="array" ref="F938">IFERROR(
  INDEX(
    IR!$B$2:$E2026,                
    MATCH($A938, IR!$A$2:$A2026, 0), 
    MATCH(F$1, IR!$B$1:$E$1, 0) ), "")
</f>
        <v>-0.00192</v>
      </c>
      <c r="G938" s="25"/>
      <c r="H938" s="12">
        <f t="array" ref="H938">IFERROR(
  INDEX(
    SR!$B$2:$D2026,            
    MATCH($A938, SR!$A$2:$A2026, 0),  
    MATCH(H$1, SR!$B$1:$D$1, 0) ), "")
</f>
        <v>-0.00189</v>
      </c>
      <c r="I938" s="12">
        <f t="array" ref="I938">IFERROR(
  INDEX(
    SR!$B$2:$D2026,            
    MATCH($A938, SR!$A$2:$A2026, 0),  
    MATCH(I$1, SR!$B$1:$D$1, 0) ), "")
</f>
        <v>-0.00062</v>
      </c>
      <c r="J938" s="12">
        <f t="array" ref="J938">IFERROR(
  INDEX(
    SR!$B$2:$D2026,            
    MATCH($A938, SR!$A$2:$A2026, 0),  
    MATCH(J$1, SR!$B$1:$D$1, 0) ), "")
</f>
        <v>0.002075</v>
      </c>
      <c r="K938" s="14"/>
      <c r="L938" s="9">
        <v>117.7</v>
      </c>
      <c r="M938" s="9">
        <v>24.18</v>
      </c>
      <c r="N938" s="9">
        <v>115.29</v>
      </c>
      <c r="O938" s="9">
        <v>119.01</v>
      </c>
      <c r="P938" s="9">
        <v>130.09</v>
      </c>
      <c r="Q938" s="9">
        <v>1441.65</v>
      </c>
      <c r="R938" s="14"/>
      <c r="S938" s="12">
        <f t="shared" si="2"/>
        <v>-0.0002926079586</v>
      </c>
      <c r="T938" s="12">
        <f t="shared" si="3"/>
        <v>0.999707392</v>
      </c>
      <c r="U938" s="16">
        <f t="shared" si="7"/>
        <v>101.2619173</v>
      </c>
      <c r="V938" s="17"/>
      <c r="W938" s="12">
        <f t="array" ref="W938">SQRT(252/20) *  SQRT( SUMSQ( LN(U917:U936 / U916:U935) )  - (1/20) * ( SUM( LN(U917:U936 / U916:U935) ) ^ 2 ) )</f>
        <v>0.01669853513</v>
      </c>
      <c r="X938" s="9">
        <f t="shared" si="4"/>
        <v>1.5</v>
      </c>
      <c r="Y938" s="14"/>
      <c r="Z938" s="12">
        <f t="shared" si="5"/>
        <v>0.9995662408</v>
      </c>
      <c r="AA938" s="16">
        <f t="shared" si="8"/>
        <v>102.2412424</v>
      </c>
      <c r="AB938" s="14"/>
      <c r="AC938" s="9">
        <f t="shared" si="6"/>
        <v>0</v>
      </c>
    </row>
    <row r="939">
      <c r="A939" s="8">
        <v>43084.0</v>
      </c>
      <c r="B939" s="14"/>
      <c r="C939" s="12">
        <f t="array" ref="C939">IFERROR(
  INDEX(
    IR!$B$2:$E2026,                
    MATCH($A939, IR!$A$2:$A2026, 0), 
    MATCH(C$1, IR!$B$1:$E$1, 0) ), "")
</f>
        <v>-0.00371</v>
      </c>
      <c r="D939" s="12">
        <f t="array" ref="D939">IFERROR(
  INDEX(
    IR!$B$2:$E2026,                
    MATCH($A939, IR!$A$2:$A2026, 0), 
    MATCH(D$1, IR!$B$1:$E$1, 0) ), "")
</f>
        <v>-0.00329</v>
      </c>
      <c r="E939" s="12">
        <f t="array" ref="E939">IFERROR(
  INDEX(
    IR!$B$2:$E2026,                
    MATCH($A939, IR!$A$2:$A2026, 0), 
    MATCH(E$1, IR!$B$1:$E$1, 0) ), "")
</f>
        <v>-0.00272</v>
      </c>
      <c r="F939" s="12">
        <f t="array" ref="F939">IFERROR(
  INDEX(
    IR!$B$2:$E2026,                
    MATCH($A939, IR!$A$2:$A2026, 0), 
    MATCH(F$1, IR!$B$1:$E$1, 0) ), "")
</f>
        <v>-0.00193</v>
      </c>
      <c r="G939" s="25"/>
      <c r="H939" s="12">
        <f t="array" ref="H939">IFERROR(
  INDEX(
    SR!$B$2:$D2026,            
    MATCH($A939, SR!$A$2:$A2026, 0),  
    MATCH(H$1, SR!$B$1:$D$1, 0) ), "")
</f>
        <v>-0.00189</v>
      </c>
      <c r="I939" s="12">
        <f t="array" ref="I939">IFERROR(
  INDEX(
    SR!$B$2:$D2026,            
    MATCH($A939, SR!$A$2:$A2026, 0),  
    MATCH(I$1, SR!$B$1:$D$1, 0) ), "")
</f>
        <v>-0.000625</v>
      </c>
      <c r="J939" s="12">
        <f t="array" ref="J939">IFERROR(
  INDEX(
    SR!$B$2:$D2026,            
    MATCH($A939, SR!$A$2:$A2026, 0),  
    MATCH(J$1, SR!$B$1:$D$1, 0) ), "")
</f>
        <v>0.002087</v>
      </c>
      <c r="K939" s="14"/>
      <c r="L939" s="9">
        <v>117.72</v>
      </c>
      <c r="M939" s="9">
        <v>24.18</v>
      </c>
      <c r="N939" s="9">
        <v>115.33</v>
      </c>
      <c r="O939" s="9">
        <v>118.8</v>
      </c>
      <c r="P939" s="9">
        <v>129.91</v>
      </c>
      <c r="Q939" s="9">
        <v>1439.46</v>
      </c>
      <c r="R939" s="14"/>
      <c r="S939" s="12">
        <f t="shared" si="2"/>
        <v>-0.0006916140593</v>
      </c>
      <c r="T939" s="12">
        <f t="shared" si="3"/>
        <v>0.9993083859</v>
      </c>
      <c r="U939" s="16">
        <f t="shared" si="7"/>
        <v>101.1918831</v>
      </c>
      <c r="V939" s="17"/>
      <c r="W939" s="12">
        <f t="array" ref="W939">SQRT(252/20) *  SQRT( SUMSQ( LN(U918:U937 / U917:U936) )  - (1/20) * ( SUM( LN(U918:U937 / U917:U936) ) ^ 2 ) )</f>
        <v>0.01522479285</v>
      </c>
      <c r="X939" s="9">
        <f t="shared" si="4"/>
        <v>1.5</v>
      </c>
      <c r="Y939" s="14"/>
      <c r="Z939" s="12">
        <f t="shared" si="5"/>
        <v>0.9989677317</v>
      </c>
      <c r="AA939" s="16">
        <f t="shared" si="8"/>
        <v>102.135702</v>
      </c>
      <c r="AB939" s="14"/>
      <c r="AC939" s="9">
        <f t="shared" si="6"/>
        <v>0</v>
      </c>
    </row>
    <row r="940">
      <c r="A940" s="8">
        <v>43087.0</v>
      </c>
      <c r="B940" s="14"/>
      <c r="C940" s="12">
        <f t="array" ref="C940">IFERROR(
  INDEX(
    IR!$B$2:$E2026,                
    MATCH($A940, IR!$A$2:$A2026, 0), 
    MATCH(C$1, IR!$B$1:$E$1, 0) ), "")
</f>
        <v>-0.0037</v>
      </c>
      <c r="D940" s="12">
        <f t="array" ref="D940">IFERROR(
  INDEX(
    IR!$B$2:$E2026,                
    MATCH($A940, IR!$A$2:$A2026, 0), 
    MATCH(D$1, IR!$B$1:$E$1, 0) ), "")
</f>
        <v>-0.00329</v>
      </c>
      <c r="E940" s="12">
        <f t="array" ref="E940">IFERROR(
  INDEX(
    IR!$B$2:$E2026,                
    MATCH($A940, IR!$A$2:$A2026, 0), 
    MATCH(E$1, IR!$B$1:$E$1, 0) ), "")
</f>
        <v>-0.00271</v>
      </c>
      <c r="F940" s="12">
        <f t="array" ref="F940">IFERROR(
  INDEX(
    IR!$B$2:$E2026,                
    MATCH($A940, IR!$A$2:$A2026, 0), 
    MATCH(F$1, IR!$B$1:$E$1, 0) ), "")
</f>
        <v>-0.00194</v>
      </c>
      <c r="G940" s="25"/>
      <c r="H940" s="12">
        <f t="array" ref="H940">IFERROR(
  INDEX(
    SR!$B$2:$D2026,            
    MATCH($A940, SR!$A$2:$A2026, 0),  
    MATCH(H$1, SR!$B$1:$D$1, 0) ), "")
</f>
        <v>-0.00187</v>
      </c>
      <c r="I940" s="12">
        <f t="array" ref="I940">IFERROR(
  INDEX(
    SR!$B$2:$D2026,            
    MATCH($A940, SR!$A$2:$A2026, 0),  
    MATCH(I$1, SR!$B$1:$D$1, 0) ), "")
</f>
        <v>-0.00055</v>
      </c>
      <c r="J940" s="12">
        <f t="array" ref="J940">IFERROR(
  INDEX(
    SR!$B$2:$D2026,            
    MATCH($A940, SR!$A$2:$A2026, 0),  
    MATCH(J$1, SR!$B$1:$D$1, 0) ), "")
</f>
        <v>0.002155</v>
      </c>
      <c r="K940" s="14"/>
      <c r="L940" s="9">
        <v>118.14</v>
      </c>
      <c r="M940" s="9">
        <v>24.17</v>
      </c>
      <c r="N940" s="9">
        <v>115.33</v>
      </c>
      <c r="O940" s="9">
        <v>118.81</v>
      </c>
      <c r="P940" s="9">
        <v>130.01</v>
      </c>
      <c r="Q940" s="9">
        <v>1440.9205</v>
      </c>
      <c r="R940" s="14"/>
      <c r="S940" s="12">
        <f t="shared" si="2"/>
        <v>0.0008368963432</v>
      </c>
      <c r="T940" s="12">
        <f t="shared" si="3"/>
        <v>1.000836896</v>
      </c>
      <c r="U940" s="16">
        <f t="shared" si="7"/>
        <v>101.2765702</v>
      </c>
      <c r="V940" s="17"/>
      <c r="W940" s="12">
        <f t="array" ref="W940">SQRT(252/20) *  SQRT( SUMSQ( LN(U919:U938 / U918:U937) )  - (1/20) * ( SUM( LN(U919:U938 / U918:U937) ) ^ 2 ) )</f>
        <v>0.01515062133</v>
      </c>
      <c r="X940" s="9">
        <f t="shared" si="4"/>
        <v>1.5</v>
      </c>
      <c r="Y940" s="14"/>
      <c r="Z940" s="12">
        <f t="shared" si="5"/>
        <v>1.001270803</v>
      </c>
      <c r="AA940" s="16">
        <f t="shared" si="8"/>
        <v>102.2654963</v>
      </c>
      <c r="AB940" s="14"/>
      <c r="AC940" s="9">
        <f t="shared" si="6"/>
        <v>0</v>
      </c>
    </row>
    <row r="941">
      <c r="A941" s="8">
        <v>43088.0</v>
      </c>
      <c r="B941" s="14"/>
      <c r="C941" s="12">
        <f t="array" ref="C941">IFERROR(
  INDEX(
    IR!$B$2:$E2026,                
    MATCH($A941, IR!$A$2:$A2026, 0), 
    MATCH(C$1, IR!$B$1:$E$1, 0) ), "")
</f>
        <v>-0.0037</v>
      </c>
      <c r="D941" s="12">
        <f t="array" ref="D941">IFERROR(
  INDEX(
    IR!$B$2:$E2026,                
    MATCH($A941, IR!$A$2:$A2026, 0), 
    MATCH(D$1, IR!$B$1:$E$1, 0) ), "")
</f>
        <v>-0.00329</v>
      </c>
      <c r="E941" s="12">
        <f t="array" ref="E941">IFERROR(
  INDEX(
    IR!$B$2:$E2026,                
    MATCH($A941, IR!$A$2:$A2026, 0), 
    MATCH(E$1, IR!$B$1:$E$1, 0) ), "")
</f>
        <v>-0.00274</v>
      </c>
      <c r="F941" s="12">
        <f t="array" ref="F941">IFERROR(
  INDEX(
    IR!$B$2:$E2026,                
    MATCH($A941, IR!$A$2:$A2026, 0), 
    MATCH(F$1, IR!$B$1:$E$1, 0) ), "")
</f>
        <v>-0.00194</v>
      </c>
      <c r="G941" s="25"/>
      <c r="H941" s="12">
        <f t="array" ref="H941">IFERROR(
  INDEX(
    SR!$B$2:$D2026,            
    MATCH($A941, SR!$A$2:$A2026, 0),  
    MATCH(H$1, SR!$B$1:$D$1, 0) ), "")
</f>
        <v>-0.00177</v>
      </c>
      <c r="I941" s="12">
        <f t="array" ref="I941">IFERROR(
  INDEX(
    SR!$B$2:$D2026,            
    MATCH($A941, SR!$A$2:$A2026, 0),  
    MATCH(I$1, SR!$B$1:$D$1, 0) ), "")
</f>
        <v>-0.00039</v>
      </c>
      <c r="J941" s="12">
        <f t="array" ref="J941">IFERROR(
  INDEX(
    SR!$B$2:$D2026,            
    MATCH($A941, SR!$A$2:$A2026, 0),  
    MATCH(J$1, SR!$B$1:$D$1, 0) ), "")
</f>
        <v>0.00256</v>
      </c>
      <c r="K941" s="14"/>
      <c r="L941" s="9">
        <v>118.12</v>
      </c>
      <c r="M941" s="9">
        <v>24.16</v>
      </c>
      <c r="N941" s="9">
        <v>115.29</v>
      </c>
      <c r="O941" s="9">
        <v>119.48</v>
      </c>
      <c r="P941" s="9">
        <v>130.41</v>
      </c>
      <c r="Q941" s="9">
        <v>1446.8092</v>
      </c>
      <c r="R941" s="14"/>
      <c r="S941" s="12">
        <f t="shared" si="2"/>
        <v>0.001978425056</v>
      </c>
      <c r="T941" s="12">
        <f t="shared" si="3"/>
        <v>1.001978425</v>
      </c>
      <c r="U941" s="16">
        <f t="shared" si="7"/>
        <v>101.4769383</v>
      </c>
      <c r="V941" s="17"/>
      <c r="W941" s="12">
        <f t="array" ref="W941">SQRT(252/20) *  SQRT( SUMSQ( LN(U920:U939 / U919:U938) )  - (1/20) * ( SUM( LN(U920:U939 / U919:U938) ) ^ 2 ) )</f>
        <v>0.01459802825</v>
      </c>
      <c r="X941" s="9">
        <f t="shared" si="4"/>
        <v>1.5</v>
      </c>
      <c r="Y941" s="14"/>
      <c r="Z941" s="12">
        <f t="shared" si="5"/>
        <v>1.002972776</v>
      </c>
      <c r="AA941" s="16">
        <f t="shared" si="8"/>
        <v>102.5695088</v>
      </c>
      <c r="AB941" s="14"/>
      <c r="AC941" s="9">
        <f t="shared" si="6"/>
        <v>0</v>
      </c>
    </row>
    <row r="942">
      <c r="A942" s="8">
        <v>43089.0</v>
      </c>
      <c r="B942" s="14"/>
      <c r="C942" s="12">
        <f t="array" ref="C942">IFERROR(
  INDEX(
    IR!$B$2:$E2026,                
    MATCH($A942, IR!$A$2:$A2026, 0), 
    MATCH(C$1, IR!$B$1:$E$1, 0) ), "")
</f>
        <v>-0.0037</v>
      </c>
      <c r="D942" s="12">
        <f t="array" ref="D942">IFERROR(
  INDEX(
    IR!$B$2:$E2026,                
    MATCH($A942, IR!$A$2:$A2026, 0), 
    MATCH(D$1, IR!$B$1:$E$1, 0) ), "")
</f>
        <v>-0.00329</v>
      </c>
      <c r="E942" s="12">
        <f t="array" ref="E942">IFERROR(
  INDEX(
    IR!$B$2:$E2026,                
    MATCH($A942, IR!$A$2:$A2026, 0), 
    MATCH(E$1, IR!$B$1:$E$1, 0) ), "")
</f>
        <v>-0.00271</v>
      </c>
      <c r="F942" s="12">
        <f t="array" ref="F942">IFERROR(
  INDEX(
    IR!$B$2:$E2026,                
    MATCH($A942, IR!$A$2:$A2026, 0), 
    MATCH(F$1, IR!$B$1:$E$1, 0) ), "")
</f>
        <v>-0.00188</v>
      </c>
      <c r="G942" s="25"/>
      <c r="H942" s="12">
        <f t="array" ref="H942">IFERROR(
  INDEX(
    SR!$B$2:$D2026,            
    MATCH($A942, SR!$A$2:$A2026, 0),  
    MATCH(H$1, SR!$B$1:$D$1, 0) ), "")
</f>
        <v>-0.001675</v>
      </c>
      <c r="I942" s="12">
        <f t="array" ref="I942">IFERROR(
  INDEX(
    SR!$B$2:$D2026,            
    MATCH($A942, SR!$A$2:$A2026, 0),  
    MATCH(I$1, SR!$B$1:$D$1, 0) ), "")
</f>
        <v>-0.000179</v>
      </c>
      <c r="J942" s="12">
        <f t="array" ref="J942">IFERROR(
  INDEX(
    SR!$B$2:$D2026,            
    MATCH($A942, SR!$A$2:$A2026, 0),  
    MATCH(J$1, SR!$B$1:$D$1, 0) ), "")
</f>
        <v>0.002767</v>
      </c>
      <c r="K942" s="14"/>
      <c r="L942" s="9">
        <v>117.94</v>
      </c>
      <c r="M942" s="9">
        <v>24.13</v>
      </c>
      <c r="N942" s="9">
        <v>115.27</v>
      </c>
      <c r="O942" s="9">
        <v>118.88</v>
      </c>
      <c r="P942" s="9">
        <v>130.33</v>
      </c>
      <c r="Q942" s="9">
        <v>1446.1488</v>
      </c>
      <c r="R942" s="14"/>
      <c r="S942" s="12">
        <f t="shared" si="2"/>
        <v>-0.001504566103</v>
      </c>
      <c r="T942" s="12">
        <f t="shared" si="3"/>
        <v>0.9984954339</v>
      </c>
      <c r="U942" s="16">
        <f t="shared" si="7"/>
        <v>101.3242596</v>
      </c>
      <c r="V942" s="17"/>
      <c r="W942" s="12">
        <f t="array" ref="W942">SQRT(252/20) *  SQRT( SUMSQ( LN(U921:U940 / U920:U939) )  - (1/20) * ( SUM( LN(U921:U940 / U920:U939) ) ^ 2 ) )</f>
        <v>0.01490257104</v>
      </c>
      <c r="X942" s="9">
        <f t="shared" si="4"/>
        <v>1.5</v>
      </c>
      <c r="Y942" s="14"/>
      <c r="Z942" s="12">
        <f t="shared" si="5"/>
        <v>0.9977482897</v>
      </c>
      <c r="AA942" s="16">
        <f t="shared" si="8"/>
        <v>102.338552</v>
      </c>
      <c r="AB942" s="14"/>
      <c r="AC942" s="9">
        <f t="shared" si="6"/>
        <v>0</v>
      </c>
    </row>
    <row r="943">
      <c r="A943" s="8">
        <v>43090.0</v>
      </c>
      <c r="B943" s="14"/>
      <c r="C943" s="12">
        <f t="array" ref="C943">IFERROR(
  INDEX(
    IR!$B$2:$E2026,                
    MATCH($A943, IR!$A$2:$A2026, 0), 
    MATCH(C$1, IR!$B$1:$E$1, 0) ), "")
</f>
        <v>-0.00369</v>
      </c>
      <c r="D943" s="12">
        <f t="array" ref="D943">IFERROR(
  INDEX(
    IR!$B$2:$E2026,                
    MATCH($A943, IR!$A$2:$A2026, 0), 
    MATCH(D$1, IR!$B$1:$E$1, 0) ), "")
</f>
        <v>-0.00329</v>
      </c>
      <c r="E943" s="12">
        <f t="array" ref="E943">IFERROR(
  INDEX(
    IR!$B$2:$E2026,                
    MATCH($A943, IR!$A$2:$A2026, 0), 
    MATCH(E$1, IR!$B$1:$E$1, 0) ), "")
</f>
        <v>-0.00271</v>
      </c>
      <c r="F943" s="12">
        <f t="array" ref="F943">IFERROR(
  INDEX(
    IR!$B$2:$E2026,                
    MATCH($A943, IR!$A$2:$A2026, 0), 
    MATCH(F$1, IR!$B$1:$E$1, 0) ), "")
</f>
        <v>-0.00186</v>
      </c>
      <c r="G943" s="25"/>
      <c r="H943" s="12">
        <f t="array" ref="H943">IFERROR(
  INDEX(
    SR!$B$2:$D2026,            
    MATCH($A943, SR!$A$2:$A2026, 0),  
    MATCH(H$1, SR!$B$1:$D$1, 0) ), "")
</f>
        <v>-0.001615</v>
      </c>
      <c r="I943" s="12">
        <f t="array" ref="I943">IFERROR(
  INDEX(
    SR!$B$2:$D2026,            
    MATCH($A943, SR!$A$2:$A2026, 0),  
    MATCH(I$1, SR!$B$1:$D$1, 0) ), "")
</f>
        <v>-0.000093</v>
      </c>
      <c r="J943" s="12">
        <f t="array" ref="J943">IFERROR(
  INDEX(
    SR!$B$2:$D2026,            
    MATCH($A943, SR!$A$2:$A2026, 0),  
    MATCH(J$1, SR!$B$1:$D$1, 0) ), "")
</f>
        <v>0.002985</v>
      </c>
      <c r="K943" s="14"/>
      <c r="L943" s="9">
        <v>118.0</v>
      </c>
      <c r="M943" s="9">
        <v>24.14</v>
      </c>
      <c r="N943" s="9">
        <v>115.29</v>
      </c>
      <c r="O943" s="9">
        <v>118.22</v>
      </c>
      <c r="P943" s="9">
        <v>130.08</v>
      </c>
      <c r="Q943" s="9">
        <v>1445.3517</v>
      </c>
      <c r="R943" s="14"/>
      <c r="S943" s="12">
        <f t="shared" si="2"/>
        <v>-0.001153685459</v>
      </c>
      <c r="T943" s="12">
        <f t="shared" si="3"/>
        <v>0.9988463145</v>
      </c>
      <c r="U943" s="16">
        <f t="shared" si="7"/>
        <v>101.2073632</v>
      </c>
      <c r="V943" s="17"/>
      <c r="W943" s="12">
        <f t="array" ref="W943">SQRT(252/20) *  SQRT( SUMSQ( LN(U922:U941 / U921:U940) )  - (1/20) * ( SUM( LN(U922:U941 / U921:U940) ) ^ 2 ) )</f>
        <v>0.01594738655</v>
      </c>
      <c r="X943" s="9">
        <f t="shared" si="4"/>
        <v>1.5</v>
      </c>
      <c r="Y943" s="14"/>
      <c r="Z943" s="12">
        <f t="shared" si="5"/>
        <v>0.9982746107</v>
      </c>
      <c r="AA943" s="16">
        <f t="shared" si="8"/>
        <v>102.1619782</v>
      </c>
      <c r="AB943" s="14"/>
      <c r="AC943" s="9">
        <f t="shared" si="6"/>
        <v>0</v>
      </c>
    </row>
    <row r="944">
      <c r="A944" s="8">
        <v>43091.0</v>
      </c>
      <c r="B944" s="14"/>
      <c r="C944" s="12">
        <f t="array" ref="C944">IFERROR(
  INDEX(
    IR!$B$2:$E2026,                
    MATCH($A944, IR!$A$2:$A2026, 0), 
    MATCH(C$1, IR!$B$1:$E$1, 0) ), "")
</f>
        <v>-0.00367</v>
      </c>
      <c r="D944" s="12">
        <f t="array" ref="D944">IFERROR(
  INDEX(
    IR!$B$2:$E2026,                
    MATCH($A944, IR!$A$2:$A2026, 0), 
    MATCH(D$1, IR!$B$1:$E$1, 0) ), "")
</f>
        <v>-0.00329</v>
      </c>
      <c r="E944" s="12">
        <f t="array" ref="E944">IFERROR(
  INDEX(
    IR!$B$2:$E2026,                
    MATCH($A944, IR!$A$2:$A2026, 0), 
    MATCH(E$1, IR!$B$1:$E$1, 0) ), "")
</f>
        <v>-0.00271</v>
      </c>
      <c r="F944" s="12">
        <f t="array" ref="F944">IFERROR(
  INDEX(
    IR!$B$2:$E2026,                
    MATCH($A944, IR!$A$2:$A2026, 0), 
    MATCH(F$1, IR!$B$1:$E$1, 0) ), "")
</f>
        <v>-0.00186</v>
      </c>
      <c r="G944" s="25"/>
      <c r="H944" s="12">
        <f t="array" ref="H944">IFERROR(
  INDEX(
    SR!$B$2:$D2026,            
    MATCH($A944, SR!$A$2:$A2026, 0),  
    MATCH(H$1, SR!$B$1:$D$1, 0) ), "")
</f>
        <v>-0.00155</v>
      </c>
      <c r="I944" s="12">
        <f t="array" ref="I944">IFERROR(
  INDEX(
    SR!$B$2:$D2026,            
    MATCH($A944, SR!$A$2:$A2026, 0),  
    MATCH(I$1, SR!$B$1:$D$1, 0) ), "")
</f>
        <v>0.00006</v>
      </c>
      <c r="J944" s="12">
        <f t="array" ref="J944">IFERROR(
  INDEX(
    SR!$B$2:$D2026,            
    MATCH($A944, SR!$A$2:$A2026, 0),  
    MATCH(J$1, SR!$B$1:$D$1, 0) ), "")
</f>
        <v>0.003075</v>
      </c>
      <c r="K944" s="14"/>
      <c r="L944" s="9">
        <v>117.9</v>
      </c>
      <c r="M944" s="9">
        <v>24.16</v>
      </c>
      <c r="N944" s="9">
        <v>115.3</v>
      </c>
      <c r="O944" s="9">
        <v>118.42</v>
      </c>
      <c r="P944" s="9">
        <v>130.24</v>
      </c>
      <c r="Q944" s="9">
        <v>1447.2386</v>
      </c>
      <c r="R944" s="14"/>
      <c r="S944" s="12">
        <f t="shared" si="2"/>
        <v>0.0007156857804</v>
      </c>
      <c r="T944" s="12">
        <f t="shared" si="3"/>
        <v>1.000715686</v>
      </c>
      <c r="U944" s="16">
        <f t="shared" si="7"/>
        <v>101.2797959</v>
      </c>
      <c r="V944" s="17"/>
      <c r="W944" s="12">
        <f t="array" ref="W944">SQRT(252/20) *  SQRT( SUMSQ( LN(U923:U942 / U922:U941) )  - (1/20) * ( SUM( LN(U923:U942 / U922:U941) ) ^ 2 ) )</f>
        <v>0.01560044044</v>
      </c>
      <c r="X944" s="9">
        <f t="shared" si="4"/>
        <v>1.5</v>
      </c>
      <c r="Y944" s="14"/>
      <c r="Z944" s="12">
        <f t="shared" si="5"/>
        <v>1.001078654</v>
      </c>
      <c r="AA944" s="16">
        <f t="shared" si="8"/>
        <v>102.2721755</v>
      </c>
      <c r="AB944" s="14"/>
      <c r="AC944" s="9">
        <f t="shared" si="6"/>
        <v>0</v>
      </c>
    </row>
    <row r="945">
      <c r="A945" s="8">
        <v>43096.0</v>
      </c>
      <c r="B945" s="14"/>
      <c r="C945" s="12">
        <f t="array" ref="C945">IFERROR(
  INDEX(
    IR!$B$2:$E2026,                
    MATCH($A945, IR!$A$2:$A2026, 0), 
    MATCH(C$1, IR!$B$1:$E$1, 0) ), "")
</f>
        <v>-0.00368</v>
      </c>
      <c r="D945" s="12">
        <f t="array" ref="D945">IFERROR(
  INDEX(
    IR!$B$2:$E2026,                
    MATCH($A945, IR!$A$2:$A2026, 0), 
    MATCH(D$1, IR!$B$1:$E$1, 0) ), "")
</f>
        <v>-0.00329</v>
      </c>
      <c r="E945" s="12">
        <f t="array" ref="E945">IFERROR(
  INDEX(
    IR!$B$2:$E2026,                
    MATCH($A945, IR!$A$2:$A2026, 0), 
    MATCH(E$1, IR!$B$1:$E$1, 0) ), "")
</f>
        <v>-0.00271</v>
      </c>
      <c r="F945" s="12">
        <f t="array" ref="F945">IFERROR(
  INDEX(
    IR!$B$2:$E2026,                
    MATCH($A945, IR!$A$2:$A2026, 0), 
    MATCH(F$1, IR!$B$1:$E$1, 0) ), "")
</f>
        <v>-0.00186</v>
      </c>
      <c r="G945" s="25"/>
      <c r="H945" s="12">
        <f t="array" ref="H945">IFERROR(
  INDEX(
    SR!$B$2:$D2026,            
    MATCH($A945, SR!$A$2:$A2026, 0),  
    MATCH(H$1, SR!$B$1:$D$1, 0) ), "")
</f>
        <v>-0.001585</v>
      </c>
      <c r="I945" s="12">
        <f t="array" ref="I945">IFERROR(
  INDEX(
    SR!$B$2:$D2026,            
    MATCH($A945, SR!$A$2:$A2026, 0),  
    MATCH(I$1, SR!$B$1:$D$1, 0) ), "")
</f>
        <v>-0.000045</v>
      </c>
      <c r="J945" s="12">
        <f t="array" ref="J945">IFERROR(
  INDEX(
    SR!$B$2:$D2026,            
    MATCH($A945, SR!$A$2:$A2026, 0),  
    MATCH(J$1, SR!$B$1:$D$1, 0) ), "")
</f>
        <v>0.002965</v>
      </c>
      <c r="K945" s="14"/>
      <c r="L945" s="9">
        <v>117.88</v>
      </c>
      <c r="M945" s="9">
        <v>24.15</v>
      </c>
      <c r="N945" s="9">
        <v>115.32</v>
      </c>
      <c r="O945" s="9">
        <v>118.19</v>
      </c>
      <c r="P945" s="9">
        <v>130.23</v>
      </c>
      <c r="Q945" s="9">
        <v>1444.3239</v>
      </c>
      <c r="R945" s="14"/>
      <c r="S945" s="12">
        <f t="shared" si="2"/>
        <v>-0.0007404178946</v>
      </c>
      <c r="T945" s="12">
        <f t="shared" si="3"/>
        <v>0.9992595821</v>
      </c>
      <c r="U945" s="16">
        <f t="shared" si="7"/>
        <v>101.2048065</v>
      </c>
      <c r="V945" s="17"/>
      <c r="W945" s="12">
        <f t="array" ref="W945">SQRT(252/20) *  SQRT( SUMSQ( LN(U924:U943 / U923:U942) )  - (1/20) * ( SUM( LN(U924:U943 / U923:U942) ) ^ 2 ) )</f>
        <v>0.01592219462</v>
      </c>
      <c r="X945" s="9">
        <f t="shared" si="4"/>
        <v>1.5</v>
      </c>
      <c r="Y945" s="14"/>
      <c r="Z945" s="12">
        <f t="shared" si="5"/>
        <v>0.9989148593</v>
      </c>
      <c r="AA945" s="16">
        <f t="shared" si="8"/>
        <v>102.1611958</v>
      </c>
      <c r="AB945" s="14"/>
      <c r="AC945" s="9">
        <f t="shared" si="6"/>
        <v>0</v>
      </c>
    </row>
    <row r="946">
      <c r="A946" s="8">
        <v>43097.0</v>
      </c>
      <c r="B946" s="14"/>
      <c r="C946" s="12">
        <f t="array" ref="C946">IFERROR(
  INDEX(
    IR!$B$2:$E2026,                
    MATCH($A946, IR!$A$2:$A2026, 0), 
    MATCH(C$1, IR!$B$1:$E$1, 0) ), "")
</f>
        <v>-0.00367</v>
      </c>
      <c r="D946" s="12">
        <f t="array" ref="D946">IFERROR(
  INDEX(
    IR!$B$2:$E2026,                
    MATCH($A946, IR!$A$2:$A2026, 0), 
    MATCH(D$1, IR!$B$1:$E$1, 0) ), "")
</f>
        <v>-0.00329</v>
      </c>
      <c r="E946" s="12">
        <f t="array" ref="E946">IFERROR(
  INDEX(
    IR!$B$2:$E2026,                
    MATCH($A946, IR!$A$2:$A2026, 0), 
    MATCH(E$1, IR!$B$1:$E$1, 0) ), "")
</f>
        <v>-0.00271</v>
      </c>
      <c r="F946" s="12">
        <f t="array" ref="F946">IFERROR(
  INDEX(
    IR!$B$2:$E2026,                
    MATCH($A946, IR!$A$2:$A2026, 0), 
    MATCH(F$1, IR!$B$1:$E$1, 0) ), "")
</f>
        <v>-0.00186</v>
      </c>
      <c r="G946" s="25"/>
      <c r="H946" s="12">
        <f t="array" ref="H946">IFERROR(
  INDEX(
    SR!$B$2:$D2026,            
    MATCH($A946, SR!$A$2:$A2026, 0),  
    MATCH(H$1, SR!$B$1:$D$1, 0) ), "")
</f>
        <v>-0.00153</v>
      </c>
      <c r="I946" s="12">
        <f t="array" ref="I946">IFERROR(
  INDEX(
    SR!$B$2:$D2026,            
    MATCH($A946, SR!$A$2:$A2026, 0),  
    MATCH(I$1, SR!$B$1:$D$1, 0) ), "")
</f>
        <v>0.00007</v>
      </c>
      <c r="J946" s="12">
        <f t="array" ref="J946">IFERROR(
  INDEX(
    SR!$B$2:$D2026,            
    MATCH($A946, SR!$A$2:$A2026, 0),  
    MATCH(J$1, SR!$B$1:$D$1, 0) ), "")
</f>
        <v>0.00313</v>
      </c>
      <c r="K946" s="14"/>
      <c r="L946" s="9">
        <v>117.86</v>
      </c>
      <c r="M946" s="9">
        <v>24.13</v>
      </c>
      <c r="N946" s="9">
        <v>115.25</v>
      </c>
      <c r="O946" s="9">
        <v>118.28</v>
      </c>
      <c r="P946" s="9">
        <v>130.09</v>
      </c>
      <c r="Q946" s="9">
        <v>1442.26</v>
      </c>
      <c r="R946" s="14"/>
      <c r="S946" s="12">
        <f t="shared" si="2"/>
        <v>-0.0005578091546</v>
      </c>
      <c r="T946" s="12">
        <f t="shared" si="3"/>
        <v>0.9994421908</v>
      </c>
      <c r="U946" s="16">
        <f t="shared" si="7"/>
        <v>101.1483536</v>
      </c>
      <c r="V946" s="17"/>
      <c r="W946" s="12">
        <f t="array" ref="W946">SQRT(252/20) *  SQRT( SUMSQ( LN(U925:U944 / U924:U943) )  - (1/20) * ( SUM( LN(U925:U944 / U924:U943) ) ^ 2 ) )</f>
        <v>0.0162558487</v>
      </c>
      <c r="X946" s="9">
        <f t="shared" si="4"/>
        <v>1.5</v>
      </c>
      <c r="Y946" s="14"/>
      <c r="Z946" s="12">
        <f t="shared" si="5"/>
        <v>0.9991683974</v>
      </c>
      <c r="AA946" s="16">
        <f t="shared" si="8"/>
        <v>102.0762383</v>
      </c>
      <c r="AB946" s="14"/>
      <c r="AC946" s="9">
        <f t="shared" si="6"/>
        <v>0</v>
      </c>
    </row>
    <row r="947">
      <c r="A947" s="8">
        <v>43098.0</v>
      </c>
      <c r="B947" s="14"/>
      <c r="C947" s="12">
        <f t="array" ref="C947">IFERROR(
  INDEX(
    IR!$B$2:$E2026,                
    MATCH($A947, IR!$A$2:$A2026, 0), 
    MATCH(C$1, IR!$B$1:$E$1, 0) ), "")
</f>
        <v>-0.00368</v>
      </c>
      <c r="D947" s="12">
        <f t="array" ref="D947">IFERROR(
  INDEX(
    IR!$B$2:$E2026,                
    MATCH($A947, IR!$A$2:$A2026, 0), 
    MATCH(D$1, IR!$B$1:$E$1, 0) ), "")
</f>
        <v>-0.00329</v>
      </c>
      <c r="E947" s="12">
        <f t="array" ref="E947">IFERROR(
  INDEX(
    IR!$B$2:$E2026,                
    MATCH($A947, IR!$A$2:$A2026, 0), 
    MATCH(E$1, IR!$B$1:$E$1, 0) ), "")
</f>
        <v>-0.00271</v>
      </c>
      <c r="F947" s="12">
        <f t="array" ref="F947">IFERROR(
  INDEX(
    IR!$B$2:$E2026,                
    MATCH($A947, IR!$A$2:$A2026, 0), 
    MATCH(F$1, IR!$B$1:$E$1, 0) ), "")
</f>
        <v>-0.00186</v>
      </c>
      <c r="G947" s="25"/>
      <c r="H947" s="12">
        <f t="array" ref="H947">IFERROR(
  INDEX(
    SR!$B$2:$D2026,            
    MATCH($A947, SR!$A$2:$A2026, 0),  
    MATCH(H$1, SR!$B$1:$D$1, 0) ), "")
</f>
        <v>-0.001498</v>
      </c>
      <c r="I947" s="12">
        <f t="array" ref="I947">IFERROR(
  INDEX(
    SR!$B$2:$D2026,            
    MATCH($A947, SR!$A$2:$A2026, 0),  
    MATCH(I$1, SR!$B$1:$D$1, 0) ), "")
</f>
        <v>0.00013</v>
      </c>
      <c r="J947" s="12">
        <f t="array" ref="J947">IFERROR(
  INDEX(
    SR!$B$2:$D2026,            
    MATCH($A947, SR!$A$2:$A2026, 0),  
    MATCH(J$1, SR!$B$1:$D$1, 0) ), "")
</f>
        <v>0.00316</v>
      </c>
      <c r="K947" s="14"/>
      <c r="L947" s="9">
        <v>117.8</v>
      </c>
      <c r="M947" s="9">
        <v>24.13</v>
      </c>
      <c r="N947" s="9">
        <v>115.29</v>
      </c>
      <c r="O947" s="9">
        <v>117.73</v>
      </c>
      <c r="P947" s="9">
        <v>130.24</v>
      </c>
      <c r="Q947" s="9">
        <v>1442.7939</v>
      </c>
      <c r="R947" s="14"/>
      <c r="S947" s="12">
        <f t="shared" si="2"/>
        <v>-0.0005478702774</v>
      </c>
      <c r="T947" s="12">
        <f t="shared" si="3"/>
        <v>0.9994521297</v>
      </c>
      <c r="U947" s="16">
        <f t="shared" si="7"/>
        <v>101.0929374</v>
      </c>
      <c r="V947" s="17"/>
      <c r="W947" s="12">
        <f t="array" ref="W947">SQRT(252/20) *  SQRT( SUMSQ( LN(U926:U945 / U925:U944) )  - (1/20) * ( SUM( LN(U926:U945 / U925:U944) ) ^ 2 ) )</f>
        <v>0.01634714751</v>
      </c>
      <c r="X947" s="9">
        <f t="shared" si="4"/>
        <v>1.5</v>
      </c>
      <c r="Y947" s="14"/>
      <c r="Z947" s="12">
        <f t="shared" si="5"/>
        <v>0.9991832918</v>
      </c>
      <c r="AA947" s="16">
        <f t="shared" si="8"/>
        <v>101.9928718</v>
      </c>
      <c r="AB947" s="14"/>
      <c r="AC947" s="9">
        <f t="shared" si="6"/>
        <v>0</v>
      </c>
    </row>
    <row r="948">
      <c r="A948" s="8">
        <v>43102.0</v>
      </c>
      <c r="B948" s="14"/>
      <c r="C948" s="12">
        <f t="array" ref="C948">IFERROR(
  INDEX(
    IR!$B$2:$E2026,                
    MATCH($A948, IR!$A$2:$A2026, 0), 
    MATCH(C$1, IR!$B$1:$E$1, 0) ), "")
</f>
        <v>-0.00368</v>
      </c>
      <c r="D948" s="12">
        <f t="array" ref="D948">IFERROR(
  INDEX(
    IR!$B$2:$E2026,                
    MATCH($A948, IR!$A$2:$A2026, 0), 
    MATCH(D$1, IR!$B$1:$E$1, 0) ), "")
</f>
        <v>-0.00329</v>
      </c>
      <c r="E948" s="12">
        <f t="array" ref="E948">IFERROR(
  INDEX(
    IR!$B$2:$E2026,                
    MATCH($A948, IR!$A$2:$A2026, 0), 
    MATCH(E$1, IR!$B$1:$E$1, 0) ), "")
</f>
        <v>-0.00271</v>
      </c>
      <c r="F948" s="12">
        <f t="array" ref="F948">IFERROR(
  INDEX(
    IR!$B$2:$E2026,                
    MATCH($A948, IR!$A$2:$A2026, 0), 
    MATCH(F$1, IR!$B$1:$E$1, 0) ), "")
</f>
        <v>-0.00186</v>
      </c>
      <c r="G948" s="25"/>
      <c r="H948" s="12">
        <f t="array" ref="H948">IFERROR(
  INDEX(
    SR!$B$2:$D2026,            
    MATCH($A948, SR!$A$2:$A2026, 0),  
    MATCH(H$1, SR!$B$1:$D$1, 0) ), "")
</f>
        <v>-0.001503</v>
      </c>
      <c r="I948" s="12">
        <f t="array" ref="I948">IFERROR(
  INDEX(
    SR!$B$2:$D2026,            
    MATCH($A948, SR!$A$2:$A2026, 0),  
    MATCH(I$1, SR!$B$1:$D$1, 0) ), "")
</f>
        <v>0.00006</v>
      </c>
      <c r="J948" s="12">
        <f t="array" ref="J948">IFERROR(
  INDEX(
    SR!$B$2:$D2026,            
    MATCH($A948, SR!$A$2:$A2026, 0),  
    MATCH(J$1, SR!$B$1:$D$1, 0) ), "")
</f>
        <v>0.003185</v>
      </c>
      <c r="K948" s="14"/>
      <c r="L948" s="9">
        <v>117.73</v>
      </c>
      <c r="M948" s="9">
        <v>24.12</v>
      </c>
      <c r="N948" s="9">
        <v>115.3</v>
      </c>
      <c r="O948" s="9">
        <v>117.46</v>
      </c>
      <c r="P948" s="9">
        <v>129.96</v>
      </c>
      <c r="Q948" s="9">
        <v>1441.3029</v>
      </c>
      <c r="R948" s="14"/>
      <c r="S948" s="12">
        <f t="shared" si="2"/>
        <v>-0.001066107359</v>
      </c>
      <c r="T948" s="12">
        <f t="shared" si="3"/>
        <v>0.9989338926</v>
      </c>
      <c r="U948" s="16">
        <f t="shared" si="7"/>
        <v>100.9851615</v>
      </c>
      <c r="V948" s="17"/>
      <c r="W948" s="12">
        <f t="array" ref="W948">SQRT(252/20) *  SQRT( SUMSQ( LN(U927:U946 / U926:U945) )  - (1/20) * ( SUM( LN(U927:U946 / U926:U945) ) ^ 2 ) )</f>
        <v>0.016290188</v>
      </c>
      <c r="X948" s="9">
        <f t="shared" si="4"/>
        <v>1.5</v>
      </c>
      <c r="Y948" s="14"/>
      <c r="Z948" s="12">
        <f t="shared" si="5"/>
        <v>0.9984212834</v>
      </c>
      <c r="AA948" s="16">
        <f t="shared" si="8"/>
        <v>101.831854</v>
      </c>
      <c r="AB948" s="14"/>
      <c r="AC948" s="9">
        <f t="shared" si="6"/>
        <v>0</v>
      </c>
    </row>
    <row r="949">
      <c r="A949" s="8">
        <v>43103.0</v>
      </c>
      <c r="B949" s="14"/>
      <c r="C949" s="12">
        <f t="array" ref="C949">IFERROR(
  INDEX(
    IR!$B$2:$E2026,                
    MATCH($A949, IR!$A$2:$A2026, 0), 
    MATCH(C$1, IR!$B$1:$E$1, 0) ), "")
</f>
        <v>-0.00368</v>
      </c>
      <c r="D949" s="12">
        <f t="array" ref="D949">IFERROR(
  INDEX(
    IR!$B$2:$E2026,                
    MATCH($A949, IR!$A$2:$A2026, 0), 
    MATCH(D$1, IR!$B$1:$E$1, 0) ), "")
</f>
        <v>-0.00329</v>
      </c>
      <c r="E949" s="12">
        <f t="array" ref="E949">IFERROR(
  INDEX(
    IR!$B$2:$E2026,                
    MATCH($A949, IR!$A$2:$A2026, 0), 
    MATCH(E$1, IR!$B$1:$E$1, 0) ), "")
</f>
        <v>-0.00271</v>
      </c>
      <c r="F949" s="12">
        <f t="array" ref="F949">IFERROR(
  INDEX(
    IR!$B$2:$E2026,                
    MATCH($A949, IR!$A$2:$A2026, 0), 
    MATCH(F$1, IR!$B$1:$E$1, 0) ), "")
</f>
        <v>-0.00187</v>
      </c>
      <c r="G949" s="25"/>
      <c r="H949" s="12">
        <f t="array" ref="H949">IFERROR(
  INDEX(
    SR!$B$2:$D2026,            
    MATCH($A949, SR!$A$2:$A2026, 0),  
    MATCH(H$1, SR!$B$1:$D$1, 0) ), "")
</f>
        <v>-0.001518</v>
      </c>
      <c r="I949" s="12">
        <f t="array" ref="I949">IFERROR(
  INDEX(
    SR!$B$2:$D2026,            
    MATCH($A949, SR!$A$2:$A2026, 0),  
    MATCH(I$1, SR!$B$1:$D$1, 0) ), "")
</f>
        <v>0.00002</v>
      </c>
      <c r="J949" s="12">
        <f t="array" ref="J949">IFERROR(
  INDEX(
    SR!$B$2:$D2026,            
    MATCH($A949, SR!$A$2:$A2026, 0),  
    MATCH(J$1, SR!$B$1:$D$1, 0) ), "")
</f>
        <v>0.002975</v>
      </c>
      <c r="K949" s="14"/>
      <c r="L949" s="9">
        <v>117.96</v>
      </c>
      <c r="M949" s="9">
        <v>24.13</v>
      </c>
      <c r="N949" s="9">
        <v>115.32</v>
      </c>
      <c r="O949" s="9">
        <v>117.11</v>
      </c>
      <c r="P949" s="9">
        <v>130.28</v>
      </c>
      <c r="Q949" s="9">
        <v>1447.6658</v>
      </c>
      <c r="R949" s="14"/>
      <c r="S949" s="12">
        <f t="shared" si="2"/>
        <v>0.001073165778</v>
      </c>
      <c r="T949" s="12">
        <f t="shared" si="3"/>
        <v>1.001073166</v>
      </c>
      <c r="U949" s="16">
        <f t="shared" si="7"/>
        <v>101.0935353</v>
      </c>
      <c r="V949" s="17"/>
      <c r="W949" s="12">
        <f t="array" ref="W949">SQRT(252/20) *  SQRT( SUMSQ( LN(U928:U947 / U927:U946) )  - (1/20) * ( SUM( LN(U928:U947 / U927:U946) ) ^ 2 ) )</f>
        <v>0.01605241102</v>
      </c>
      <c r="X949" s="9">
        <f t="shared" si="4"/>
        <v>1.5</v>
      </c>
      <c r="Y949" s="14"/>
      <c r="Z949" s="12">
        <f t="shared" si="5"/>
        <v>1.00161486</v>
      </c>
      <c r="AA949" s="16">
        <f t="shared" si="8"/>
        <v>101.9962981</v>
      </c>
      <c r="AB949" s="14"/>
      <c r="AC949" s="9">
        <f t="shared" si="6"/>
        <v>0</v>
      </c>
    </row>
    <row r="950">
      <c r="A950" s="8">
        <v>43104.0</v>
      </c>
      <c r="B950" s="14"/>
      <c r="C950" s="12">
        <f t="array" ref="C950">IFERROR(
  INDEX(
    IR!$B$2:$E2026,                
    MATCH($A950, IR!$A$2:$A2026, 0), 
    MATCH(C$1, IR!$B$1:$E$1, 0) ), "")
</f>
        <v>-0.00368</v>
      </c>
      <c r="D950" s="12">
        <f t="array" ref="D950">IFERROR(
  INDEX(
    IR!$B$2:$E2026,                
    MATCH($A950, IR!$A$2:$A2026, 0), 
    MATCH(D$1, IR!$B$1:$E$1, 0) ), "")
</f>
        <v>-0.00329</v>
      </c>
      <c r="E950" s="12">
        <f t="array" ref="E950">IFERROR(
  INDEX(
    IR!$B$2:$E2026,                
    MATCH($A950, IR!$A$2:$A2026, 0), 
    MATCH(E$1, IR!$B$1:$E$1, 0) ), "")
</f>
        <v>-0.00271</v>
      </c>
      <c r="F950" s="12">
        <f t="array" ref="F950">IFERROR(
  INDEX(
    IR!$B$2:$E2026,                
    MATCH($A950, IR!$A$2:$A2026, 0), 
    MATCH(F$1, IR!$B$1:$E$1, 0) ), "")
</f>
        <v>-0.00187</v>
      </c>
      <c r="G950" s="25"/>
      <c r="H950" s="12">
        <f t="array" ref="H950">IFERROR(
  INDEX(
    SR!$B$2:$D2026,            
    MATCH($A950, SR!$A$2:$A2026, 0),  
    MATCH(H$1, SR!$B$1:$D$1, 0) ), "")
</f>
        <v>-0.0015</v>
      </c>
      <c r="I950" s="12">
        <f t="array" ref="I950">IFERROR(
  INDEX(
    SR!$B$2:$D2026,            
    MATCH($A950, SR!$A$2:$A2026, 0),  
    MATCH(I$1, SR!$B$1:$D$1, 0) ), "")
</f>
        <v>0.00003</v>
      </c>
      <c r="J950" s="12">
        <f t="array" ref="J950">IFERROR(
  INDEX(
    SR!$B$2:$D2026,            
    MATCH($A950, SR!$A$2:$A2026, 0),  
    MATCH(J$1, SR!$B$1:$D$1, 0) ), "")
</f>
        <v>0.003015</v>
      </c>
      <c r="K950" s="14"/>
      <c r="L950" s="9">
        <v>118.34</v>
      </c>
      <c r="M950" s="9">
        <v>24.12</v>
      </c>
      <c r="N950" s="9">
        <v>115.3</v>
      </c>
      <c r="O950" s="9">
        <v>117.58</v>
      </c>
      <c r="P950" s="9">
        <v>130.66</v>
      </c>
      <c r="Q950" s="9">
        <v>1456.0037</v>
      </c>
      <c r="R950" s="14"/>
      <c r="S950" s="12">
        <f t="shared" si="2"/>
        <v>0.002553428006</v>
      </c>
      <c r="T950" s="12">
        <f t="shared" si="3"/>
        <v>1.002553428</v>
      </c>
      <c r="U950" s="16">
        <f t="shared" si="7"/>
        <v>101.3516704</v>
      </c>
      <c r="V950" s="17"/>
      <c r="W950" s="12">
        <f t="array" ref="W950">SQRT(252/20) *  SQRT( SUMSQ( LN(U929:U948 / U928:U947) )  - (1/20) * ( SUM( LN(U929:U948 / U928:U947) ) ^ 2 ) )</f>
        <v>0.01607480601</v>
      </c>
      <c r="X950" s="9">
        <f t="shared" si="4"/>
        <v>1.5</v>
      </c>
      <c r="Y950" s="14"/>
      <c r="Z950" s="12">
        <f t="shared" si="5"/>
        <v>1.003835253</v>
      </c>
      <c r="AA950" s="16">
        <f t="shared" si="8"/>
        <v>102.3874798</v>
      </c>
      <c r="AB950" s="14"/>
      <c r="AC950" s="9">
        <f t="shared" si="6"/>
        <v>0</v>
      </c>
    </row>
    <row r="951">
      <c r="A951" s="8">
        <v>43105.0</v>
      </c>
      <c r="B951" s="14"/>
      <c r="C951" s="12">
        <f t="array" ref="C951">IFERROR(
  INDEX(
    IR!$B$2:$E2026,                
    MATCH($A951, IR!$A$2:$A2026, 0), 
    MATCH(C$1, IR!$B$1:$E$1, 0) ), "")
</f>
        <v>-0.00369</v>
      </c>
      <c r="D951" s="12">
        <f t="array" ref="D951">IFERROR(
  INDEX(
    IR!$B$2:$E2026,                
    MATCH($A951, IR!$A$2:$A2026, 0), 
    MATCH(D$1, IR!$B$1:$E$1, 0) ), "")
</f>
        <v>-0.00329</v>
      </c>
      <c r="E951" s="12">
        <f t="array" ref="E951">IFERROR(
  INDEX(
    IR!$B$2:$E2026,                
    MATCH($A951, IR!$A$2:$A2026, 0), 
    MATCH(E$1, IR!$B$1:$E$1, 0) ), "")
</f>
        <v>-0.00271</v>
      </c>
      <c r="F951" s="12">
        <f t="array" ref="F951">IFERROR(
  INDEX(
    IR!$B$2:$E2026,                
    MATCH($A951, IR!$A$2:$A2026, 0), 
    MATCH(F$1, IR!$B$1:$E$1, 0) ), "")
</f>
        <v>-0.00187</v>
      </c>
      <c r="G951" s="25"/>
      <c r="H951" s="12">
        <f t="array" ref="H951">IFERROR(
  INDEX(
    SR!$B$2:$D2026,            
    MATCH($A951, SR!$A$2:$A2026, 0),  
    MATCH(H$1, SR!$B$1:$D$1, 0) ), "")
</f>
        <v>-0.001503</v>
      </c>
      <c r="I951" s="12">
        <f t="array" ref="I951">IFERROR(
  INDEX(
    SR!$B$2:$D2026,            
    MATCH($A951, SR!$A$2:$A2026, 0),  
    MATCH(I$1, SR!$B$1:$D$1, 0) ), "")
</f>
        <v>-0.000003</v>
      </c>
      <c r="J951" s="12">
        <f t="array" ref="J951">IFERROR(
  INDEX(
    SR!$B$2:$D2026,            
    MATCH($A951, SR!$A$2:$A2026, 0),  
    MATCH(J$1, SR!$B$1:$D$1, 0) ), "")
</f>
        <v>0.00304</v>
      </c>
      <c r="K951" s="14"/>
      <c r="L951" s="9">
        <v>118.63</v>
      </c>
      <c r="M951" s="9">
        <v>24.13</v>
      </c>
      <c r="N951" s="9">
        <v>115.32</v>
      </c>
      <c r="O951" s="9">
        <v>118.25</v>
      </c>
      <c r="P951" s="9">
        <v>131.07</v>
      </c>
      <c r="Q951" s="9">
        <v>1460.2819</v>
      </c>
      <c r="R951" s="14"/>
      <c r="S951" s="12">
        <f t="shared" si="2"/>
        <v>0.002468156344</v>
      </c>
      <c r="T951" s="12">
        <f t="shared" si="3"/>
        <v>1.002468156</v>
      </c>
      <c r="U951" s="16">
        <f t="shared" si="7"/>
        <v>101.6018221</v>
      </c>
      <c r="V951" s="17"/>
      <c r="W951" s="12">
        <f t="array" ref="W951">SQRT(252/20) *  SQRT( SUMSQ( LN(U930:U949 / U929:U948) )  - (1/20) * ( SUM( LN(U930:U949 / U929:U948) ) ^ 2 ) )</f>
        <v>0.01671770882</v>
      </c>
      <c r="X951" s="9">
        <f t="shared" si="4"/>
        <v>1.5</v>
      </c>
      <c r="Y951" s="14"/>
      <c r="Z951" s="12">
        <f t="shared" si="5"/>
        <v>1.003707346</v>
      </c>
      <c r="AA951" s="16">
        <f t="shared" si="8"/>
        <v>102.7670655</v>
      </c>
      <c r="AB951" s="14"/>
      <c r="AC951" s="9">
        <f t="shared" si="6"/>
        <v>0</v>
      </c>
    </row>
    <row r="952">
      <c r="A952" s="8">
        <v>43108.0</v>
      </c>
      <c r="B952" s="14"/>
      <c r="C952" s="12">
        <f t="array" ref="C952">IFERROR(
  INDEX(
    IR!$B$2:$E2026,                
    MATCH($A952, IR!$A$2:$A2026, 0), 
    MATCH(C$1, IR!$B$1:$E$1, 0) ), "")
</f>
        <v>-0.00368</v>
      </c>
      <c r="D952" s="12">
        <f t="array" ref="D952">IFERROR(
  INDEX(
    IR!$B$2:$E2026,                
    MATCH($A952, IR!$A$2:$A2026, 0), 
    MATCH(D$1, IR!$B$1:$E$1, 0) ), "")
</f>
        <v>-0.00329</v>
      </c>
      <c r="E952" s="12">
        <f t="array" ref="E952">IFERROR(
  INDEX(
    IR!$B$2:$E2026,                
    MATCH($A952, IR!$A$2:$A2026, 0), 
    MATCH(E$1, IR!$B$1:$E$1, 0) ), "")
</f>
        <v>-0.00271</v>
      </c>
      <c r="F952" s="12">
        <f t="array" ref="F952">IFERROR(
  INDEX(
    IR!$B$2:$E2026,                
    MATCH($A952, IR!$A$2:$A2026, 0), 
    MATCH(F$1, IR!$B$1:$E$1, 0) ), "")
</f>
        <v>-0.00187</v>
      </c>
      <c r="G952" s="25"/>
      <c r="H952" s="12">
        <f t="array" ref="H952">IFERROR(
  INDEX(
    SR!$B$2:$D2026,            
    MATCH($A952, SR!$A$2:$A2026, 0),  
    MATCH(H$1, SR!$B$1:$D$1, 0) ), "")
</f>
        <v>-0.001559</v>
      </c>
      <c r="I952" s="12">
        <f t="array" ref="I952">IFERROR(
  INDEX(
    SR!$B$2:$D2026,            
    MATCH($A952, SR!$A$2:$A2026, 0),  
    MATCH(I$1, SR!$B$1:$D$1, 0) ), "")
</f>
        <v>-0.000101</v>
      </c>
      <c r="J952" s="12">
        <f t="array" ref="J952">IFERROR(
  INDEX(
    SR!$B$2:$D2026,            
    MATCH($A952, SR!$A$2:$A2026, 0),  
    MATCH(J$1, SR!$B$1:$D$1, 0) ), "")
</f>
        <v>0.00294</v>
      </c>
      <c r="K952" s="14"/>
      <c r="L952" s="9">
        <v>118.64</v>
      </c>
      <c r="M952" s="9">
        <v>24.14</v>
      </c>
      <c r="N952" s="9">
        <v>115.35</v>
      </c>
      <c r="O952" s="9">
        <v>118.75</v>
      </c>
      <c r="P952" s="9">
        <v>131.51</v>
      </c>
      <c r="Q952" s="9">
        <v>1463.6907</v>
      </c>
      <c r="R952" s="14"/>
      <c r="S952" s="12">
        <f t="shared" si="2"/>
        <v>0.00177927515</v>
      </c>
      <c r="T952" s="12">
        <f t="shared" si="3"/>
        <v>1.001779275</v>
      </c>
      <c r="U952" s="16">
        <f t="shared" si="7"/>
        <v>101.7825997</v>
      </c>
      <c r="V952" s="17"/>
      <c r="W952" s="12">
        <f t="array" ref="W952">SQRT(252/20) *  SQRT( SUMSQ( LN(U931:U950 / U930:U949) )  - (1/20) * ( SUM( LN(U931:U950 / U930:U949) ) ^ 2 ) )</f>
        <v>0.01853152143</v>
      </c>
      <c r="X952" s="9">
        <f t="shared" si="4"/>
        <v>1.5</v>
      </c>
      <c r="Y952" s="14"/>
      <c r="Z952" s="12">
        <f t="shared" si="5"/>
        <v>1.002684288</v>
      </c>
      <c r="AA952" s="16">
        <f t="shared" si="8"/>
        <v>103.0429219</v>
      </c>
      <c r="AB952" s="14"/>
      <c r="AC952" s="9">
        <f t="shared" si="6"/>
        <v>0</v>
      </c>
    </row>
    <row r="953">
      <c r="A953" s="8">
        <v>43109.0</v>
      </c>
      <c r="B953" s="14"/>
      <c r="C953" s="12">
        <f t="array" ref="C953">IFERROR(
  INDEX(
    IR!$B$2:$E2026,                
    MATCH($A953, IR!$A$2:$A2026, 0), 
    MATCH(C$1, IR!$B$1:$E$1, 0) ), "")
</f>
        <v>-0.00369</v>
      </c>
      <c r="D953" s="12">
        <f t="array" ref="D953">IFERROR(
  INDEX(
    IR!$B$2:$E2026,                
    MATCH($A953, IR!$A$2:$A2026, 0), 
    MATCH(D$1, IR!$B$1:$E$1, 0) ), "")
</f>
        <v>-0.00329</v>
      </c>
      <c r="E953" s="12">
        <f t="array" ref="E953">IFERROR(
  INDEX(
    IR!$B$2:$E2026,                
    MATCH($A953, IR!$A$2:$A2026, 0), 
    MATCH(E$1, IR!$B$1:$E$1, 0) ), "")
</f>
        <v>-0.00271</v>
      </c>
      <c r="F953" s="12">
        <f t="array" ref="F953">IFERROR(
  INDEX(
    IR!$B$2:$E2026,                
    MATCH($A953, IR!$A$2:$A2026, 0), 
    MATCH(F$1, IR!$B$1:$E$1, 0) ), "")
</f>
        <v>-0.00187</v>
      </c>
      <c r="G953" s="25"/>
      <c r="H953" s="12">
        <f t="array" ref="H953">IFERROR(
  INDEX(
    SR!$B$2:$D2026,            
    MATCH($A953, SR!$A$2:$A2026, 0),  
    MATCH(H$1, SR!$B$1:$D$1, 0) ), "")
</f>
        <v>-0.001515</v>
      </c>
      <c r="I953" s="12">
        <f t="array" ref="I953">IFERROR(
  INDEX(
    SR!$B$2:$D2026,            
    MATCH($A953, SR!$A$2:$A2026, 0),  
    MATCH(I$1, SR!$B$1:$D$1, 0) ), "")
</f>
        <v>0.00002</v>
      </c>
      <c r="J953" s="12">
        <f t="array" ref="J953">IFERROR(
  INDEX(
    SR!$B$2:$D2026,            
    MATCH($A953, SR!$A$2:$A2026, 0),  
    MATCH(J$1, SR!$B$1:$D$1, 0) ), "")
</f>
        <v>0.00309</v>
      </c>
      <c r="K953" s="14"/>
      <c r="L953" s="9">
        <v>118.74</v>
      </c>
      <c r="M953" s="9">
        <v>24.15</v>
      </c>
      <c r="N953" s="9">
        <v>115.36</v>
      </c>
      <c r="O953" s="9">
        <v>118.98</v>
      </c>
      <c r="P953" s="9">
        <v>131.66</v>
      </c>
      <c r="Q953" s="9">
        <v>1466.276</v>
      </c>
      <c r="R953" s="14"/>
      <c r="S953" s="12">
        <f t="shared" si="2"/>
        <v>0.001031023653</v>
      </c>
      <c r="T953" s="12">
        <f t="shared" si="3"/>
        <v>1.001031024</v>
      </c>
      <c r="U953" s="16">
        <f t="shared" si="7"/>
        <v>101.88754</v>
      </c>
      <c r="V953" s="17"/>
      <c r="W953" s="12">
        <f t="array" ref="W953">SQRT(252/20) *  SQRT( SUMSQ( LN(U932:U951 / U931:U950) )  - (1/20) * ( SUM( LN(U932:U951 / U931:U950) ) ^ 2 ) )</f>
        <v>0.02036043963</v>
      </c>
      <c r="X953" s="9">
        <f t="shared" si="4"/>
        <v>1.5</v>
      </c>
      <c r="Y953" s="14"/>
      <c r="Z953" s="12">
        <f t="shared" si="5"/>
        <v>1.001551647</v>
      </c>
      <c r="AA953" s="16">
        <f t="shared" si="8"/>
        <v>103.2028081</v>
      </c>
      <c r="AB953" s="14"/>
      <c r="AC953" s="9">
        <f t="shared" si="6"/>
        <v>0</v>
      </c>
    </row>
    <row r="954">
      <c r="A954" s="8">
        <v>43110.0</v>
      </c>
      <c r="B954" s="14"/>
      <c r="C954" s="12">
        <f t="array" ref="C954">IFERROR(
  INDEX(
    IR!$B$2:$E2026,                
    MATCH($A954, IR!$A$2:$A2026, 0), 
    MATCH(C$1, IR!$B$1:$E$1, 0) ), "")
</f>
        <v>-0.00369</v>
      </c>
      <c r="D954" s="12">
        <f t="array" ref="D954">IFERROR(
  INDEX(
    IR!$B$2:$E2026,                
    MATCH($A954, IR!$A$2:$A2026, 0), 
    MATCH(D$1, IR!$B$1:$E$1, 0) ), "")
</f>
        <v>-0.00329</v>
      </c>
      <c r="E954" s="12">
        <f t="array" ref="E954">IFERROR(
  INDEX(
    IR!$B$2:$E2026,                
    MATCH($A954, IR!$A$2:$A2026, 0), 
    MATCH(E$1, IR!$B$1:$E$1, 0) ), "")
</f>
        <v>-0.00271</v>
      </c>
      <c r="F954" s="12">
        <f t="array" ref="F954">IFERROR(
  INDEX(
    IR!$B$2:$E2026,                
    MATCH($A954, IR!$A$2:$A2026, 0), 
    MATCH(F$1, IR!$B$1:$E$1, 0) ), "")
</f>
        <v>-0.00186</v>
      </c>
      <c r="G954" s="25"/>
      <c r="H954" s="12">
        <f t="array" ref="H954">IFERROR(
  INDEX(
    SR!$B$2:$D2026,            
    MATCH($A954, SR!$A$2:$A2026, 0),  
    MATCH(H$1, SR!$B$1:$D$1, 0) ), "")
</f>
        <v>-0.00149</v>
      </c>
      <c r="I954" s="12">
        <f t="array" ref="I954">IFERROR(
  INDEX(
    SR!$B$2:$D2026,            
    MATCH($A954, SR!$A$2:$A2026, 0),  
    MATCH(I$1, SR!$B$1:$D$1, 0) ), "")
</f>
        <v>0.000125</v>
      </c>
      <c r="J954" s="12">
        <f t="array" ref="J954">IFERROR(
  INDEX(
    SR!$B$2:$D2026,            
    MATCH($A954, SR!$A$2:$A2026, 0),  
    MATCH(J$1, SR!$B$1:$D$1, 0) ), "")
</f>
        <v>0.003235</v>
      </c>
      <c r="K954" s="14"/>
      <c r="L954" s="9">
        <v>118.48</v>
      </c>
      <c r="M954" s="9">
        <v>24.14</v>
      </c>
      <c r="N954" s="9">
        <v>115.35</v>
      </c>
      <c r="O954" s="9">
        <v>118.95</v>
      </c>
      <c r="P954" s="9">
        <v>131.91</v>
      </c>
      <c r="Q954" s="9">
        <v>1466.0641</v>
      </c>
      <c r="R954" s="14"/>
      <c r="S954" s="12">
        <f t="shared" si="2"/>
        <v>-0.0001979769972</v>
      </c>
      <c r="T954" s="12">
        <f t="shared" si="3"/>
        <v>0.999802023</v>
      </c>
      <c r="U954" s="16">
        <f t="shared" si="7"/>
        <v>101.8673686</v>
      </c>
      <c r="V954" s="17"/>
      <c r="W954" s="12">
        <f t="array" ref="W954">SQRT(252/20) *  SQRT( SUMSQ( LN(U933:U952 / U932:U951) )  - (1/20) * ( SUM( LN(U933:U952 / U932:U951) ) ^ 2 ) )</f>
        <v>0.01910329074</v>
      </c>
      <c r="X954" s="9">
        <f t="shared" si="4"/>
        <v>1.5</v>
      </c>
      <c r="Y954" s="14"/>
      <c r="Z954" s="12">
        <f t="shared" si="5"/>
        <v>0.9997081595</v>
      </c>
      <c r="AA954" s="16">
        <f t="shared" si="8"/>
        <v>103.1726894</v>
      </c>
      <c r="AB954" s="14"/>
      <c r="AC954" s="9">
        <f t="shared" si="6"/>
        <v>0</v>
      </c>
    </row>
    <row r="955">
      <c r="A955" s="8">
        <v>43111.0</v>
      </c>
      <c r="B955" s="14"/>
      <c r="C955" s="12">
        <f t="array" ref="C955">IFERROR(
  INDEX(
    IR!$B$2:$E2026,                
    MATCH($A955, IR!$A$2:$A2026, 0), 
    MATCH(C$1, IR!$B$1:$E$1, 0) ), "")
</f>
        <v>-0.00369</v>
      </c>
      <c r="D955" s="12">
        <f t="array" ref="D955">IFERROR(
  INDEX(
    IR!$B$2:$E2026,                
    MATCH($A955, IR!$A$2:$A2026, 0), 
    MATCH(D$1, IR!$B$1:$E$1, 0) ), "")
</f>
        <v>-0.00329</v>
      </c>
      <c r="E955" s="12">
        <f t="array" ref="E955">IFERROR(
  INDEX(
    IR!$B$2:$E2026,                
    MATCH($A955, IR!$A$2:$A2026, 0), 
    MATCH(E$1, IR!$B$1:$E$1, 0) ), "")
</f>
        <v>-0.00271</v>
      </c>
      <c r="F955" s="12">
        <f t="array" ref="F955">IFERROR(
  INDEX(
    IR!$B$2:$E2026,                
    MATCH($A955, IR!$A$2:$A2026, 0), 
    MATCH(F$1, IR!$B$1:$E$1, 0) ), "")
</f>
        <v>-0.00188</v>
      </c>
      <c r="G955" s="25"/>
      <c r="H955" s="12">
        <f t="array" ref="H955">IFERROR(
  INDEX(
    SR!$B$2:$D2026,            
    MATCH($A955, SR!$A$2:$A2026, 0),  
    MATCH(H$1, SR!$B$1:$D$1, 0) ), "")
</f>
        <v>-0.001295</v>
      </c>
      <c r="I955" s="12">
        <f t="array" ref="I955">IFERROR(
  INDEX(
    SR!$B$2:$D2026,            
    MATCH($A955, SR!$A$2:$A2026, 0),  
    MATCH(I$1, SR!$B$1:$D$1, 0) ), "")
</f>
        <v>0.00044</v>
      </c>
      <c r="J955" s="12">
        <f t="array" ref="J955">IFERROR(
  INDEX(
    SR!$B$2:$D2026,            
    MATCH($A955, SR!$A$2:$A2026, 0),  
    MATCH(J$1, SR!$B$1:$D$1, 0) ), "")
</f>
        <v>0.0037</v>
      </c>
      <c r="K955" s="14"/>
      <c r="L955" s="9">
        <v>118.31</v>
      </c>
      <c r="M955" s="9">
        <v>24.13</v>
      </c>
      <c r="N955" s="9">
        <v>115.33</v>
      </c>
      <c r="O955" s="9">
        <v>118.56</v>
      </c>
      <c r="P955" s="9">
        <v>131.7</v>
      </c>
      <c r="Q955" s="9">
        <v>1464.2045</v>
      </c>
      <c r="R955" s="14"/>
      <c r="S955" s="12">
        <f t="shared" si="2"/>
        <v>-0.001359847764</v>
      </c>
      <c r="T955" s="12">
        <f t="shared" si="3"/>
        <v>0.9986401522</v>
      </c>
      <c r="U955" s="16">
        <f t="shared" si="7"/>
        <v>101.7288445</v>
      </c>
      <c r="V955" s="17"/>
      <c r="W955" s="12">
        <f t="array" ref="W955">SQRT(252/20) *  SQRT( SUMSQ( LN(U934:U953 / U933:U952) )  - (1/20) * ( SUM( LN(U934:U953 / U933:U952) ) ^ 2 ) )</f>
        <v>0.01893287213</v>
      </c>
      <c r="X955" s="9">
        <f t="shared" si="4"/>
        <v>1.5</v>
      </c>
      <c r="Y955" s="14"/>
      <c r="Z955" s="12">
        <f t="shared" si="5"/>
        <v>0.9979653534</v>
      </c>
      <c r="AA955" s="16">
        <f t="shared" si="8"/>
        <v>102.9627694</v>
      </c>
      <c r="AB955" s="14"/>
      <c r="AC955" s="9">
        <f t="shared" si="6"/>
        <v>0</v>
      </c>
    </row>
    <row r="956">
      <c r="A956" s="8">
        <v>43112.0</v>
      </c>
      <c r="B956" s="14"/>
      <c r="C956" s="12">
        <f t="array" ref="C956">IFERROR(
  INDEX(
    IR!$B$2:$E2026,                
    MATCH($A956, IR!$A$2:$A2026, 0), 
    MATCH(C$1, IR!$B$1:$E$1, 0) ), "")
</f>
        <v>-0.00369</v>
      </c>
      <c r="D956" s="12">
        <f t="array" ref="D956">IFERROR(
  INDEX(
    IR!$B$2:$E2026,                
    MATCH($A956, IR!$A$2:$A2026, 0), 
    MATCH(D$1, IR!$B$1:$E$1, 0) ), "")
</f>
        <v>-0.00329</v>
      </c>
      <c r="E956" s="12">
        <f t="array" ref="E956">IFERROR(
  INDEX(
    IR!$B$2:$E2026,                
    MATCH($A956, IR!$A$2:$A2026, 0), 
    MATCH(E$1, IR!$B$1:$E$1, 0) ), "")
</f>
        <v>-0.00271</v>
      </c>
      <c r="F956" s="12">
        <f t="array" ref="F956">IFERROR(
  INDEX(
    IR!$B$2:$E2026,                
    MATCH($A956, IR!$A$2:$A2026, 0), 
    MATCH(F$1, IR!$B$1:$E$1, 0) ), "")
</f>
        <v>-0.00186</v>
      </c>
      <c r="G956" s="25"/>
      <c r="H956" s="12">
        <f t="array" ref="H956">IFERROR(
  INDEX(
    SR!$B$2:$D2026,            
    MATCH($A956, SR!$A$2:$A2026, 0),  
    MATCH(H$1, SR!$B$1:$D$1, 0) ), "")
</f>
        <v>-0.00126</v>
      </c>
      <c r="I956" s="12">
        <f t="array" ref="I956">IFERROR(
  INDEX(
    SR!$B$2:$D2026,            
    MATCH($A956, SR!$A$2:$A2026, 0),  
    MATCH(I$1, SR!$B$1:$D$1, 0) ), "")
</f>
        <v>0.000535</v>
      </c>
      <c r="J956" s="12">
        <f t="array" ref="J956">IFERROR(
  INDEX(
    SR!$B$2:$D2026,            
    MATCH($A956, SR!$A$2:$A2026, 0),  
    MATCH(J$1, SR!$B$1:$D$1, 0) ), "")
</f>
        <v>0.003805</v>
      </c>
      <c r="K956" s="14"/>
      <c r="L956" s="9">
        <v>118.4</v>
      </c>
      <c r="M956" s="9">
        <v>24.11</v>
      </c>
      <c r="N956" s="9">
        <v>115.34</v>
      </c>
      <c r="O956" s="9">
        <v>118.25</v>
      </c>
      <c r="P956" s="9">
        <v>131.64</v>
      </c>
      <c r="Q956" s="9">
        <v>1467.0609</v>
      </c>
      <c r="R956" s="14"/>
      <c r="S956" s="12">
        <f t="shared" si="2"/>
        <v>-0.0001832136913</v>
      </c>
      <c r="T956" s="12">
        <f t="shared" si="3"/>
        <v>0.9998167863</v>
      </c>
      <c r="U956" s="16">
        <f t="shared" si="7"/>
        <v>101.7102064</v>
      </c>
      <c r="V956" s="17"/>
      <c r="W956" s="12">
        <f t="array" ref="W956">SQRT(252/20) *  SQRT( SUMSQ( LN(U935:U954 / U934:U953) )  - (1/20) * ( SUM( LN(U935:U954 / U934:U953) ) ^ 2 ) )</f>
        <v>0.01900996643</v>
      </c>
      <c r="X956" s="9">
        <f t="shared" si="4"/>
        <v>1.5</v>
      </c>
      <c r="Y956" s="14"/>
      <c r="Z956" s="12">
        <f t="shared" si="5"/>
        <v>0.9997303045</v>
      </c>
      <c r="AA956" s="16">
        <f t="shared" si="8"/>
        <v>102.9350008</v>
      </c>
      <c r="AB956" s="14"/>
      <c r="AC956" s="9">
        <f t="shared" si="6"/>
        <v>0</v>
      </c>
    </row>
    <row r="957">
      <c r="A957" s="8">
        <v>43115.0</v>
      </c>
      <c r="B957" s="14"/>
      <c r="C957" s="12">
        <f t="array" ref="C957">IFERROR(
  INDEX(
    IR!$B$2:$E2026,                
    MATCH($A957, IR!$A$2:$A2026, 0), 
    MATCH(C$1, IR!$B$1:$E$1, 0) ), "")
</f>
        <v>-0.00369</v>
      </c>
      <c r="D957" s="12">
        <f t="array" ref="D957">IFERROR(
  INDEX(
    IR!$B$2:$E2026,                
    MATCH($A957, IR!$A$2:$A2026, 0), 
    MATCH(D$1, IR!$B$1:$E$1, 0) ), "")
</f>
        <v>-0.00329</v>
      </c>
      <c r="E957" s="12">
        <f t="array" ref="E957">IFERROR(
  INDEX(
    IR!$B$2:$E2026,                
    MATCH($A957, IR!$A$2:$A2026, 0), 
    MATCH(E$1, IR!$B$1:$E$1, 0) ), "")
</f>
        <v>-0.00274</v>
      </c>
      <c r="F957" s="12">
        <f t="array" ref="F957">IFERROR(
  INDEX(
    IR!$B$2:$E2026,                
    MATCH($A957, IR!$A$2:$A2026, 0), 
    MATCH(F$1, IR!$B$1:$E$1, 0) ), "")
</f>
        <v>-0.00187</v>
      </c>
      <c r="G957" s="25"/>
      <c r="H957" s="12">
        <f t="array" ref="H957">IFERROR(
  INDEX(
    SR!$B$2:$D2026,            
    MATCH($A957, SR!$A$2:$A2026, 0),  
    MATCH(H$1, SR!$B$1:$D$1, 0) ), "")
</f>
        <v>-0.00124</v>
      </c>
      <c r="I957" s="12">
        <f t="array" ref="I957">IFERROR(
  INDEX(
    SR!$B$2:$D2026,            
    MATCH($A957, SR!$A$2:$A2026, 0),  
    MATCH(I$1, SR!$B$1:$D$1, 0) ), "")
</f>
        <v>0.00059</v>
      </c>
      <c r="J957" s="12">
        <f t="array" ref="J957">IFERROR(
  INDEX(
    SR!$B$2:$D2026,            
    MATCH($A957, SR!$A$2:$A2026, 0),  
    MATCH(J$1, SR!$B$1:$D$1, 0) ), "")
</f>
        <v>0.003895</v>
      </c>
      <c r="K957" s="14"/>
      <c r="L957" s="9">
        <v>118.31</v>
      </c>
      <c r="M957" s="9">
        <v>24.09</v>
      </c>
      <c r="N957" s="9">
        <v>115.38</v>
      </c>
      <c r="O957" s="9">
        <v>118.35</v>
      </c>
      <c r="P957" s="9">
        <v>131.97</v>
      </c>
      <c r="Q957" s="9">
        <v>1467.9044</v>
      </c>
      <c r="R957" s="14"/>
      <c r="S957" s="12">
        <f t="shared" si="2"/>
        <v>0.0004473112216</v>
      </c>
      <c r="T957" s="12">
        <f t="shared" si="3"/>
        <v>1.000447311</v>
      </c>
      <c r="U957" s="16">
        <f t="shared" si="7"/>
        <v>101.7557025</v>
      </c>
      <c r="V957" s="17"/>
      <c r="W957" s="12">
        <f t="array" ref="W957">SQRT(252/20) *  SQRT( SUMSQ( LN(U936:U955 / U935:U954) )  - (1/20) * ( SUM( LN(U936:U955 / U935:U954) ) ^ 2 ) )</f>
        <v>0.01976380049</v>
      </c>
      <c r="X957" s="9">
        <f t="shared" si="4"/>
        <v>1.5</v>
      </c>
      <c r="Y957" s="14"/>
      <c r="Z957" s="12">
        <f t="shared" si="5"/>
        <v>1.000686342</v>
      </c>
      <c r="AA957" s="16">
        <f t="shared" si="8"/>
        <v>103.0056494</v>
      </c>
      <c r="AB957" s="14"/>
      <c r="AC957" s="9">
        <f t="shared" si="6"/>
        <v>0</v>
      </c>
    </row>
    <row r="958">
      <c r="A958" s="8">
        <v>43116.0</v>
      </c>
      <c r="B958" s="14"/>
      <c r="C958" s="12">
        <f t="array" ref="C958">IFERROR(
  INDEX(
    IR!$B$2:$E2026,                
    MATCH($A958, IR!$A$2:$A2026, 0), 
    MATCH(C$1, IR!$B$1:$E$1, 0) ), "")
</f>
        <v>-0.00369</v>
      </c>
      <c r="D958" s="12">
        <f t="array" ref="D958">IFERROR(
  INDEX(
    IR!$B$2:$E2026,                
    MATCH($A958, IR!$A$2:$A2026, 0), 
    MATCH(D$1, IR!$B$1:$E$1, 0) ), "")
</f>
        <v>-0.00329</v>
      </c>
      <c r="E958" s="12">
        <f t="array" ref="E958">IFERROR(
  INDEX(
    IR!$B$2:$E2026,                
    MATCH($A958, IR!$A$2:$A2026, 0), 
    MATCH(E$1, IR!$B$1:$E$1, 0) ), "")
</f>
        <v>-0.00272</v>
      </c>
      <c r="F958" s="12">
        <f t="array" ref="F958">IFERROR(
  INDEX(
    IR!$B$2:$E2026,                
    MATCH($A958, IR!$A$2:$A2026, 0), 
    MATCH(F$1, IR!$B$1:$E$1, 0) ), "")
</f>
        <v>-0.00186</v>
      </c>
      <c r="G958" s="25"/>
      <c r="H958" s="12">
        <f t="array" ref="H958">IFERROR(
  INDEX(
    SR!$B$2:$D2026,            
    MATCH($A958, SR!$A$2:$A2026, 0),  
    MATCH(H$1, SR!$B$1:$D$1, 0) ), "")
</f>
        <v>-0.00124</v>
      </c>
      <c r="I958" s="12">
        <f t="array" ref="I958">IFERROR(
  INDEX(
    SR!$B$2:$D2026,            
    MATCH($A958, SR!$A$2:$A2026, 0),  
    MATCH(I$1, SR!$B$1:$D$1, 0) ), "")
</f>
        <v>0.000465</v>
      </c>
      <c r="J958" s="12">
        <f t="array" ref="J958">IFERROR(
  INDEX(
    SR!$B$2:$D2026,            
    MATCH($A958, SR!$A$2:$A2026, 0),  
    MATCH(J$1, SR!$B$1:$D$1, 0) ), "")
</f>
        <v>0.003815</v>
      </c>
      <c r="K958" s="14"/>
      <c r="L958" s="9">
        <v>118.43</v>
      </c>
      <c r="M958" s="9">
        <v>24.1</v>
      </c>
      <c r="N958" s="9">
        <v>115.38</v>
      </c>
      <c r="O958" s="9">
        <v>118.39</v>
      </c>
      <c r="P958" s="9">
        <v>131.85</v>
      </c>
      <c r="Q958" s="9">
        <v>1469.5487</v>
      </c>
      <c r="R958" s="14"/>
      <c r="S958" s="12">
        <f t="shared" si="2"/>
        <v>0.0003296877714</v>
      </c>
      <c r="T958" s="12">
        <f t="shared" si="3"/>
        <v>1.000329688</v>
      </c>
      <c r="U958" s="16">
        <f t="shared" si="7"/>
        <v>101.7892501</v>
      </c>
      <c r="V958" s="17"/>
      <c r="W958" s="12">
        <f t="array" ref="W958">SQRT(252/20) *  SQRT( SUMSQ( LN(U937:U956 / U936:U955) )  - (1/20) * ( SUM( LN(U937:U956 / U936:U955) ) ^ 2 ) )</f>
        <v>0.01964784127</v>
      </c>
      <c r="X958" s="9">
        <f t="shared" si="4"/>
        <v>1.5</v>
      </c>
      <c r="Y958" s="14"/>
      <c r="Z958" s="12">
        <f t="shared" si="5"/>
        <v>1.000499657</v>
      </c>
      <c r="AA958" s="16">
        <f t="shared" si="8"/>
        <v>103.0571168</v>
      </c>
      <c r="AB958" s="14"/>
      <c r="AC958" s="9">
        <f t="shared" si="6"/>
        <v>0</v>
      </c>
    </row>
    <row r="959">
      <c r="A959" s="8">
        <v>43117.0</v>
      </c>
      <c r="B959" s="14"/>
      <c r="C959" s="12">
        <f t="array" ref="C959">IFERROR(
  INDEX(
    IR!$B$2:$E2026,                
    MATCH($A959, IR!$A$2:$A2026, 0), 
    MATCH(C$1, IR!$B$1:$E$1, 0) ), "")
</f>
        <v>-0.00369</v>
      </c>
      <c r="D959" s="12">
        <f t="array" ref="D959">IFERROR(
  INDEX(
    IR!$B$2:$E2026,                
    MATCH($A959, IR!$A$2:$A2026, 0), 
    MATCH(D$1, IR!$B$1:$E$1, 0) ), "")
</f>
        <v>-0.00328</v>
      </c>
      <c r="E959" s="12">
        <f t="array" ref="E959">IFERROR(
  INDEX(
    IR!$B$2:$E2026,                
    MATCH($A959, IR!$A$2:$A2026, 0), 
    MATCH(E$1, IR!$B$1:$E$1, 0) ), "")
</f>
        <v>-0.00274</v>
      </c>
      <c r="F959" s="12">
        <f t="array" ref="F959">IFERROR(
  INDEX(
    IR!$B$2:$E2026,                
    MATCH($A959, IR!$A$2:$A2026, 0), 
    MATCH(F$1, IR!$B$1:$E$1, 0) ), "")
</f>
        <v>-0.00186</v>
      </c>
      <c r="G959" s="25"/>
      <c r="H959" s="12">
        <f t="array" ref="H959">IFERROR(
  INDEX(
    SR!$B$2:$D2026,            
    MATCH($A959, SR!$A$2:$A2026, 0),  
    MATCH(H$1, SR!$B$1:$D$1, 0) ), "")
</f>
        <v>-0.001315</v>
      </c>
      <c r="I959" s="12">
        <f t="array" ref="I959">IFERROR(
  INDEX(
    SR!$B$2:$D2026,            
    MATCH($A959, SR!$A$2:$A2026, 0),  
    MATCH(I$1, SR!$B$1:$D$1, 0) ), "")
</f>
        <v>0.00046</v>
      </c>
      <c r="J959" s="12">
        <f t="array" ref="J959">IFERROR(
  INDEX(
    SR!$B$2:$D2026,            
    MATCH($A959, SR!$A$2:$A2026, 0),  
    MATCH(J$1, SR!$B$1:$D$1, 0) ), "")
</f>
        <v>0.00368</v>
      </c>
      <c r="K959" s="14"/>
      <c r="L959" s="9">
        <v>118.38</v>
      </c>
      <c r="M959" s="9">
        <v>24.1</v>
      </c>
      <c r="N959" s="9">
        <v>115.39</v>
      </c>
      <c r="O959" s="9">
        <v>118.47</v>
      </c>
      <c r="P959" s="9">
        <v>132.05</v>
      </c>
      <c r="Q959" s="9">
        <v>1467.2858</v>
      </c>
      <c r="R959" s="14"/>
      <c r="S959" s="12">
        <f t="shared" si="2"/>
        <v>0.0000526960808</v>
      </c>
      <c r="T959" s="12">
        <f t="shared" si="3"/>
        <v>1.000052696</v>
      </c>
      <c r="U959" s="16">
        <f t="shared" si="7"/>
        <v>101.794614</v>
      </c>
      <c r="V959" s="17"/>
      <c r="W959" s="12">
        <f t="array" ref="W959">SQRT(252/20) *  SQRT( SUMSQ( LN(U938:U957 / U937:U956) )  - (1/20) * ( SUM( LN(U938:U957 / U937:U956) ) ^ 2 ) )</f>
        <v>0.01963961658</v>
      </c>
      <c r="X959" s="9">
        <f t="shared" si="4"/>
        <v>1.5</v>
      </c>
      <c r="Y959" s="14"/>
      <c r="Z959" s="12">
        <f t="shared" si="5"/>
        <v>1.000084169</v>
      </c>
      <c r="AA959" s="16">
        <f t="shared" si="8"/>
        <v>103.0657911</v>
      </c>
      <c r="AB959" s="14"/>
      <c r="AC959" s="9">
        <f t="shared" si="6"/>
        <v>0</v>
      </c>
    </row>
    <row r="960">
      <c r="A960" s="8">
        <v>43118.0</v>
      </c>
      <c r="B960" s="14"/>
      <c r="C960" s="12">
        <f t="array" ref="C960">IFERROR(
  INDEX(
    IR!$B$2:$E2026,                
    MATCH($A960, IR!$A$2:$A2026, 0), 
    MATCH(C$1, IR!$B$1:$E$1, 0) ), "")
</f>
        <v>-0.00369</v>
      </c>
      <c r="D960" s="12">
        <f t="array" ref="D960">IFERROR(
  INDEX(
    IR!$B$2:$E2026,                
    MATCH($A960, IR!$A$2:$A2026, 0), 
    MATCH(D$1, IR!$B$1:$E$1, 0) ), "")
</f>
        <v>-0.00328</v>
      </c>
      <c r="E960" s="12">
        <f t="array" ref="E960">IFERROR(
  INDEX(
    IR!$B$2:$E2026,                
    MATCH($A960, IR!$A$2:$A2026, 0), 
    MATCH(E$1, IR!$B$1:$E$1, 0) ), "")
</f>
        <v>-0.00275</v>
      </c>
      <c r="F960" s="12">
        <f t="array" ref="F960">IFERROR(
  INDEX(
    IR!$B$2:$E2026,                
    MATCH($A960, IR!$A$2:$A2026, 0), 
    MATCH(F$1, IR!$B$1:$E$1, 0) ), "")
</f>
        <v>-0.00191</v>
      </c>
      <c r="G960" s="25"/>
      <c r="H960" s="12">
        <f t="array" ref="H960">IFERROR(
  INDEX(
    SR!$B$2:$D2026,            
    MATCH($A960, SR!$A$2:$A2026, 0),  
    MATCH(H$1, SR!$B$1:$D$1, 0) ), "")
</f>
        <v>-0.001325</v>
      </c>
      <c r="I960" s="12">
        <f t="array" ref="I960">IFERROR(
  INDEX(
    SR!$B$2:$D2026,            
    MATCH($A960, SR!$A$2:$A2026, 0),  
    MATCH(I$1, SR!$B$1:$D$1, 0) ), "")
</f>
        <v>0.00046</v>
      </c>
      <c r="J960" s="12">
        <f t="array" ref="J960">IFERROR(
  INDEX(
    SR!$B$2:$D2026,            
    MATCH($A960, SR!$A$2:$A2026, 0),  
    MATCH(J$1, SR!$B$1:$D$1, 0) ), "")
</f>
        <v>0.003783</v>
      </c>
      <c r="K960" s="14"/>
      <c r="L960" s="9">
        <v>118.38</v>
      </c>
      <c r="M960" s="9">
        <v>24.11</v>
      </c>
      <c r="N960" s="9">
        <v>115.38</v>
      </c>
      <c r="O960" s="9">
        <v>118.27</v>
      </c>
      <c r="P960" s="9">
        <v>132.19</v>
      </c>
      <c r="Q960" s="9">
        <v>1466.9772</v>
      </c>
      <c r="R960" s="14"/>
      <c r="S960" s="12">
        <f t="shared" si="2"/>
        <v>-0.0000849923308</v>
      </c>
      <c r="T960" s="12">
        <f t="shared" si="3"/>
        <v>0.9999150077</v>
      </c>
      <c r="U960" s="16">
        <f t="shared" si="7"/>
        <v>101.7859622</v>
      </c>
      <c r="V960" s="17"/>
      <c r="W960" s="12">
        <f t="array" ref="W960">SQRT(252/20) *  SQRT( SUMSQ( LN(U939:U958 / U938:U957) )  - (1/20) * ( SUM( LN(U939:U958 / U938:U957) ) ^ 2 ) )</f>
        <v>0.01954931948</v>
      </c>
      <c r="X960" s="9">
        <f t="shared" si="4"/>
        <v>1.5</v>
      </c>
      <c r="Y960" s="14"/>
      <c r="Z960" s="12">
        <f t="shared" si="5"/>
        <v>0.9998776365</v>
      </c>
      <c r="AA960" s="16">
        <f t="shared" si="8"/>
        <v>103.0531796</v>
      </c>
      <c r="AB960" s="14"/>
      <c r="AC960" s="9">
        <f t="shared" si="6"/>
        <v>0</v>
      </c>
    </row>
    <row r="961">
      <c r="A961" s="8">
        <v>43119.0</v>
      </c>
      <c r="B961" s="14"/>
      <c r="C961" s="12">
        <f t="array" ref="C961">IFERROR(
  INDEX(
    IR!$B$2:$E2026,                
    MATCH($A961, IR!$A$2:$A2026, 0), 
    MATCH(C$1, IR!$B$1:$E$1, 0) ), "")
</f>
        <v>-0.00369</v>
      </c>
      <c r="D961" s="12">
        <f t="array" ref="D961">IFERROR(
  INDEX(
    IR!$B$2:$E2026,                
    MATCH($A961, IR!$A$2:$A2026, 0), 
    MATCH(D$1, IR!$B$1:$E$1, 0) ), "")
</f>
        <v>-0.00328</v>
      </c>
      <c r="E961" s="12">
        <f t="array" ref="E961">IFERROR(
  INDEX(
    IR!$B$2:$E2026,                
    MATCH($A961, IR!$A$2:$A2026, 0), 
    MATCH(E$1, IR!$B$1:$E$1, 0) ), "")
</f>
        <v>-0.00276</v>
      </c>
      <c r="F961" s="12">
        <f t="array" ref="F961">IFERROR(
  INDEX(
    IR!$B$2:$E2026,                
    MATCH($A961, IR!$A$2:$A2026, 0), 
    MATCH(F$1, IR!$B$1:$E$1, 0) ), "")
</f>
        <v>-0.00191</v>
      </c>
      <c r="G961" s="25"/>
      <c r="H961" s="12">
        <f t="array" ref="H961">IFERROR(
  INDEX(
    SR!$B$2:$D2026,            
    MATCH($A961, SR!$A$2:$A2026, 0),  
    MATCH(H$1, SR!$B$1:$D$1, 0) ), "")
</f>
        <v>-0.00138</v>
      </c>
      <c r="I961" s="12">
        <f t="array" ref="I961">IFERROR(
  INDEX(
    SR!$B$2:$D2026,            
    MATCH($A961, SR!$A$2:$A2026, 0),  
    MATCH(I$1, SR!$B$1:$D$1, 0) ), "")
</f>
        <v>0.000395</v>
      </c>
      <c r="J961" s="12">
        <f t="array" ref="J961">IFERROR(
  INDEX(
    SR!$B$2:$D2026,            
    MATCH($A961, SR!$A$2:$A2026, 0),  
    MATCH(J$1, SR!$B$1:$D$1, 0) ), "")
</f>
        <v>0.00375</v>
      </c>
      <c r="K961" s="14"/>
      <c r="L961" s="9">
        <v>118.43</v>
      </c>
      <c r="M961" s="9">
        <v>24.11</v>
      </c>
      <c r="N961" s="9">
        <v>115.38</v>
      </c>
      <c r="O961" s="9">
        <v>118.43</v>
      </c>
      <c r="P961" s="9">
        <v>132.17</v>
      </c>
      <c r="Q961" s="9">
        <v>1467.9423</v>
      </c>
      <c r="R961" s="14"/>
      <c r="S961" s="12">
        <f t="shared" si="2"/>
        <v>0.0003802122411</v>
      </c>
      <c r="T961" s="12">
        <f t="shared" si="3"/>
        <v>1.000380212</v>
      </c>
      <c r="U961" s="16">
        <f t="shared" si="7"/>
        <v>101.8246625</v>
      </c>
      <c r="V961" s="17"/>
      <c r="W961" s="12">
        <f t="array" ref="W961">SQRT(252/20) *  SQRT( SUMSQ( LN(U940:U959 / U939:U958) )  - (1/20) * ( SUM( LN(U940:U959 / U939:U958) ) ^ 2 ) )</f>
        <v>0.01926026388</v>
      </c>
      <c r="X961" s="9">
        <f t="shared" si="4"/>
        <v>1.5</v>
      </c>
      <c r="Y961" s="14"/>
      <c r="Z961" s="12">
        <f t="shared" si="5"/>
        <v>1.000575443</v>
      </c>
      <c r="AA961" s="16">
        <f t="shared" si="8"/>
        <v>103.1124809</v>
      </c>
      <c r="AB961" s="14"/>
      <c r="AC961" s="9">
        <f t="shared" si="6"/>
        <v>0</v>
      </c>
    </row>
    <row r="962">
      <c r="A962" s="8">
        <v>43122.0</v>
      </c>
      <c r="B962" s="14"/>
      <c r="C962" s="12">
        <f t="array" ref="C962">IFERROR(
  INDEX(
    IR!$B$2:$E2026,                
    MATCH($A962, IR!$A$2:$A2026, 0), 
    MATCH(C$1, IR!$B$1:$E$1, 0) ), "")
</f>
        <v>-0.00369</v>
      </c>
      <c r="D962" s="12">
        <f t="array" ref="D962">IFERROR(
  INDEX(
    IR!$B$2:$E2026,                
    MATCH($A962, IR!$A$2:$A2026, 0), 
    MATCH(D$1, IR!$B$1:$E$1, 0) ), "")
</f>
        <v>-0.00328</v>
      </c>
      <c r="E962" s="12">
        <f t="array" ref="E962">IFERROR(
  INDEX(
    IR!$B$2:$E2026,                
    MATCH($A962, IR!$A$2:$A2026, 0), 
    MATCH(E$1, IR!$B$1:$E$1, 0) ), "")
</f>
        <v>-0.00277</v>
      </c>
      <c r="F962" s="12">
        <f t="array" ref="F962">IFERROR(
  INDEX(
    IR!$B$2:$E2026,                
    MATCH($A962, IR!$A$2:$A2026, 0), 
    MATCH(F$1, IR!$B$1:$E$1, 0) ), "")
</f>
        <v>-0.00191</v>
      </c>
      <c r="G962" s="25"/>
      <c r="H962" s="12">
        <f t="array" ref="H962">IFERROR(
  INDEX(
    SR!$B$2:$D2026,            
    MATCH($A962, SR!$A$2:$A2026, 0),  
    MATCH(H$1, SR!$B$1:$D$1, 0) ), "")
</f>
        <v>-0.001374</v>
      </c>
      <c r="I962" s="12">
        <f t="array" ref="I962">IFERROR(
  INDEX(
    SR!$B$2:$D2026,            
    MATCH($A962, SR!$A$2:$A2026, 0),  
    MATCH(I$1, SR!$B$1:$D$1, 0) ), "")
</f>
        <v>0.00042</v>
      </c>
      <c r="J962" s="12">
        <f t="array" ref="J962">IFERROR(
  INDEX(
    SR!$B$2:$D2026,            
    MATCH($A962, SR!$A$2:$A2026, 0),  
    MATCH(J$1, SR!$B$1:$D$1, 0) ), "")
</f>
        <v>0.003785</v>
      </c>
      <c r="K962" s="14"/>
      <c r="L962" s="9">
        <v>118.37</v>
      </c>
      <c r="M962" s="9">
        <v>24.11</v>
      </c>
      <c r="N962" s="9">
        <v>115.39</v>
      </c>
      <c r="O962" s="9">
        <v>118.94</v>
      </c>
      <c r="P962" s="9">
        <v>132.35</v>
      </c>
      <c r="Q962" s="9">
        <v>1469.7258</v>
      </c>
      <c r="R962" s="14"/>
      <c r="S962" s="12">
        <f t="shared" si="2"/>
        <v>0.001076895861</v>
      </c>
      <c r="T962" s="12">
        <f t="shared" si="3"/>
        <v>1.001076896</v>
      </c>
      <c r="U962" s="16">
        <f t="shared" si="7"/>
        <v>101.9343171</v>
      </c>
      <c r="V962" s="17"/>
      <c r="W962" s="12">
        <f t="array" ref="W962">SQRT(252/20) *  SQRT( SUMSQ( LN(U941:U960 / U940:U959) )  - (1/20) * ( SUM( LN(U941:U960 / U940:U959) ) ^ 2 ) )</f>
        <v>0.01919874443</v>
      </c>
      <c r="X962" s="9">
        <f t="shared" si="4"/>
        <v>1.5</v>
      </c>
      <c r="Y962" s="14"/>
      <c r="Z962" s="12">
        <f t="shared" si="5"/>
        <v>1.001630719</v>
      </c>
      <c r="AA962" s="16">
        <f t="shared" si="8"/>
        <v>103.2806283</v>
      </c>
      <c r="AB962" s="14"/>
      <c r="AC962" s="9">
        <f t="shared" si="6"/>
        <v>0</v>
      </c>
    </row>
    <row r="963">
      <c r="A963" s="8">
        <v>43123.0</v>
      </c>
      <c r="B963" s="14"/>
      <c r="C963" s="12">
        <f t="array" ref="C963">IFERROR(
  INDEX(
    IR!$B$2:$E2026,                
    MATCH($A963, IR!$A$2:$A2026, 0), 
    MATCH(C$1, IR!$B$1:$E$1, 0) ), "")
</f>
        <v>-0.00369</v>
      </c>
      <c r="D963" s="12">
        <f t="array" ref="D963">IFERROR(
  INDEX(
    IR!$B$2:$E2026,                
    MATCH($A963, IR!$A$2:$A2026, 0), 
    MATCH(D$1, IR!$B$1:$E$1, 0) ), "")
</f>
        <v>-0.00328</v>
      </c>
      <c r="E963" s="12">
        <f t="array" ref="E963">IFERROR(
  INDEX(
    IR!$B$2:$E2026,                
    MATCH($A963, IR!$A$2:$A2026, 0), 
    MATCH(E$1, IR!$B$1:$E$1, 0) ), "")
</f>
        <v>-0.00276</v>
      </c>
      <c r="F963" s="12">
        <f t="array" ref="F963">IFERROR(
  INDEX(
    IR!$B$2:$E2026,                
    MATCH($A963, IR!$A$2:$A2026, 0), 
    MATCH(F$1, IR!$B$1:$E$1, 0) ), "")
</f>
        <v>-0.00191</v>
      </c>
      <c r="G963" s="25"/>
      <c r="H963" s="12">
        <f t="array" ref="H963">IFERROR(
  INDEX(
    SR!$B$2:$D2026,            
    MATCH($A963, SR!$A$2:$A2026, 0),  
    MATCH(H$1, SR!$B$1:$D$1, 0) ), "")
</f>
        <v>-0.001348</v>
      </c>
      <c r="I963" s="12">
        <f t="array" ref="I963">IFERROR(
  INDEX(
    SR!$B$2:$D2026,            
    MATCH($A963, SR!$A$2:$A2026, 0),  
    MATCH(I$1, SR!$B$1:$D$1, 0) ), "")
</f>
        <v>0.00041</v>
      </c>
      <c r="J963" s="12">
        <f t="array" ref="J963">IFERROR(
  INDEX(
    SR!$B$2:$D2026,            
    MATCH($A963, SR!$A$2:$A2026, 0),  
    MATCH(J$1, SR!$B$1:$D$1, 0) ), "")
</f>
        <v>0.003793</v>
      </c>
      <c r="K963" s="14"/>
      <c r="L963" s="9">
        <v>118.47</v>
      </c>
      <c r="M963" s="9">
        <v>24.1</v>
      </c>
      <c r="N963" s="9">
        <v>115.39</v>
      </c>
      <c r="O963" s="9">
        <v>119.06</v>
      </c>
      <c r="P963" s="9">
        <v>132.48</v>
      </c>
      <c r="Q963" s="9">
        <v>1473.7509</v>
      </c>
      <c r="R963" s="14"/>
      <c r="S963" s="12">
        <f t="shared" si="2"/>
        <v>0.0008599087445</v>
      </c>
      <c r="T963" s="12">
        <f t="shared" si="3"/>
        <v>1.000859909</v>
      </c>
      <c r="U963" s="16">
        <f t="shared" si="7"/>
        <v>102.0219713</v>
      </c>
      <c r="V963" s="17"/>
      <c r="W963" s="12">
        <f t="array" ref="W963">SQRT(252/20) *  SQRT( SUMSQ( LN(U942:U961 / U941:U960) )  - (1/20) * ( SUM( LN(U942:U961 / U941:U960) ) ^ 2 ) )</f>
        <v>0.01815701941</v>
      </c>
      <c r="X963" s="9">
        <f t="shared" si="4"/>
        <v>1.5</v>
      </c>
      <c r="Y963" s="14"/>
      <c r="Z963" s="12">
        <f t="shared" si="5"/>
        <v>1.001294988</v>
      </c>
      <c r="AA963" s="16">
        <f t="shared" si="8"/>
        <v>103.4143755</v>
      </c>
      <c r="AB963" s="14"/>
      <c r="AC963" s="9">
        <f t="shared" si="6"/>
        <v>0</v>
      </c>
    </row>
    <row r="964">
      <c r="A964" s="8">
        <v>43124.0</v>
      </c>
      <c r="B964" s="14"/>
      <c r="C964" s="12">
        <f t="array" ref="C964">IFERROR(
  INDEX(
    IR!$B$2:$E2026,                
    MATCH($A964, IR!$A$2:$A2026, 0), 
    MATCH(C$1, IR!$B$1:$E$1, 0) ), "")
</f>
        <v>-0.00369</v>
      </c>
      <c r="D964" s="12">
        <f t="array" ref="D964">IFERROR(
  INDEX(
    IR!$B$2:$E2026,                
    MATCH($A964, IR!$A$2:$A2026, 0), 
    MATCH(D$1, IR!$B$1:$E$1, 0) ), "")
</f>
        <v>-0.00328</v>
      </c>
      <c r="E964" s="12">
        <f t="array" ref="E964">IFERROR(
  INDEX(
    IR!$B$2:$E2026,                
    MATCH($A964, IR!$A$2:$A2026, 0), 
    MATCH(E$1, IR!$B$1:$E$1, 0) ), "")
</f>
        <v>-0.00278</v>
      </c>
      <c r="F964" s="12">
        <f t="array" ref="F964">IFERROR(
  INDEX(
    IR!$B$2:$E2026,                
    MATCH($A964, IR!$A$2:$A2026, 0), 
    MATCH(F$1, IR!$B$1:$E$1, 0) ), "")
</f>
        <v>-0.00192</v>
      </c>
      <c r="G964" s="25"/>
      <c r="H964" s="12">
        <f t="array" ref="H964">IFERROR(
  INDEX(
    SR!$B$2:$D2026,            
    MATCH($A964, SR!$A$2:$A2026, 0),  
    MATCH(H$1, SR!$B$1:$D$1, 0) ), "")
</f>
        <v>-0.001345</v>
      </c>
      <c r="I964" s="12">
        <f t="array" ref="I964">IFERROR(
  INDEX(
    SR!$B$2:$D2026,            
    MATCH($A964, SR!$A$2:$A2026, 0),  
    MATCH(I$1, SR!$B$1:$D$1, 0) ), "")
</f>
        <v>0.00045</v>
      </c>
      <c r="J964" s="12">
        <f t="array" ref="J964">IFERROR(
  INDEX(
    SR!$B$2:$D2026,            
    MATCH($A964, SR!$A$2:$A2026, 0),  
    MATCH(J$1, SR!$B$1:$D$1, 0) ), "")
</f>
        <v>0.003898</v>
      </c>
      <c r="K964" s="14"/>
      <c r="L964" s="9">
        <v>118.23</v>
      </c>
      <c r="M964" s="9">
        <v>24.09</v>
      </c>
      <c r="N964" s="9">
        <v>115.39</v>
      </c>
      <c r="O964" s="9">
        <v>119.38</v>
      </c>
      <c r="P964" s="9">
        <v>132.58</v>
      </c>
      <c r="Q964" s="9">
        <v>1475.314</v>
      </c>
      <c r="R964" s="14"/>
      <c r="S964" s="12">
        <f t="shared" si="2"/>
        <v>0.0003437037877</v>
      </c>
      <c r="T964" s="12">
        <f t="shared" si="3"/>
        <v>1.000343704</v>
      </c>
      <c r="U964" s="16">
        <f t="shared" si="7"/>
        <v>102.0570366</v>
      </c>
      <c r="V964" s="17"/>
      <c r="W964" s="12">
        <f t="array" ref="W964">SQRT(252/20) *  SQRT( SUMSQ( LN(U943:U962 / U942:U961) )  - (1/20) * ( SUM( LN(U943:U962 / U942:U961) ) ^ 2 ) )</f>
        <v>0.01733144681</v>
      </c>
      <c r="X964" s="9">
        <f t="shared" si="4"/>
        <v>1.5</v>
      </c>
      <c r="Y964" s="14"/>
      <c r="Z964" s="12">
        <f t="shared" si="5"/>
        <v>1.000520681</v>
      </c>
      <c r="AA964" s="16">
        <f t="shared" si="8"/>
        <v>103.4682214</v>
      </c>
      <c r="AB964" s="14"/>
      <c r="AC964" s="9">
        <f t="shared" si="6"/>
        <v>0</v>
      </c>
    </row>
    <row r="965">
      <c r="A965" s="8">
        <v>43125.0</v>
      </c>
      <c r="B965" s="14"/>
      <c r="C965" s="12">
        <f t="array" ref="C965">IFERROR(
  INDEX(
    IR!$B$2:$E2026,                
    MATCH($A965, IR!$A$2:$A2026, 0), 
    MATCH(C$1, IR!$B$1:$E$1, 0) ), "")
</f>
        <v>-0.00369</v>
      </c>
      <c r="D965" s="12">
        <f t="array" ref="D965">IFERROR(
  INDEX(
    IR!$B$2:$E2026,                
    MATCH($A965, IR!$A$2:$A2026, 0), 
    MATCH(D$1, IR!$B$1:$E$1, 0) ), "")
</f>
        <v>-0.00327</v>
      </c>
      <c r="E965" s="12">
        <f t="array" ref="E965">IFERROR(
  INDEX(
    IR!$B$2:$E2026,                
    MATCH($A965, IR!$A$2:$A2026, 0), 
    MATCH(E$1, IR!$B$1:$E$1, 0) ), "")
</f>
        <v>-0.00278</v>
      </c>
      <c r="F965" s="12">
        <f t="array" ref="F965">IFERROR(
  INDEX(
    IR!$B$2:$E2026,                
    MATCH($A965, IR!$A$2:$A2026, 0), 
    MATCH(F$1, IR!$B$1:$E$1, 0) ), "")
</f>
        <v>-0.00191</v>
      </c>
      <c r="G965" s="25"/>
      <c r="H965" s="12">
        <f t="array" ref="H965">IFERROR(
  INDEX(
    SR!$B$2:$D2026,            
    MATCH($A965, SR!$A$2:$A2026, 0),  
    MATCH(H$1, SR!$B$1:$D$1, 0) ), "")
</f>
        <v>-0.001288</v>
      </c>
      <c r="I965" s="12">
        <f t="array" ref="I965">IFERROR(
  INDEX(
    SR!$B$2:$D2026,            
    MATCH($A965, SR!$A$2:$A2026, 0),  
    MATCH(I$1, SR!$B$1:$D$1, 0) ), "")
</f>
        <v>0.000575</v>
      </c>
      <c r="J965" s="12">
        <f t="array" ref="J965">IFERROR(
  INDEX(
    SR!$B$2:$D2026,            
    MATCH($A965, SR!$A$2:$A2026, 0),  
    MATCH(J$1, SR!$B$1:$D$1, 0) ), "")
</f>
        <v>0.00427</v>
      </c>
      <c r="K965" s="14"/>
      <c r="L965" s="9">
        <v>118.09</v>
      </c>
      <c r="M965" s="9">
        <v>24.07</v>
      </c>
      <c r="N965" s="9">
        <v>115.38</v>
      </c>
      <c r="O965" s="9">
        <v>118.96</v>
      </c>
      <c r="P965" s="9">
        <v>132.43</v>
      </c>
      <c r="Q965" s="9">
        <v>1469.656</v>
      </c>
      <c r="R965" s="14"/>
      <c r="S965" s="12">
        <f t="shared" si="2"/>
        <v>-0.00176396124</v>
      </c>
      <c r="T965" s="12">
        <f t="shared" si="3"/>
        <v>0.9982360388</v>
      </c>
      <c r="U965" s="16">
        <f t="shared" si="7"/>
        <v>101.8770119</v>
      </c>
      <c r="V965" s="17"/>
      <c r="W965" s="12">
        <f t="array" ref="W965">SQRT(252/20) *  SQRT( SUMSQ( LN(U944:U963 / U943:U962) )  - (1/20) * ( SUM( LN(U944:U963 / U943:U962) ) ^ 2 ) )</f>
        <v>0.01658646921</v>
      </c>
      <c r="X965" s="9">
        <f t="shared" si="4"/>
        <v>1.5</v>
      </c>
      <c r="Y965" s="14"/>
      <c r="Z965" s="12">
        <f t="shared" si="5"/>
        <v>0.9973591831</v>
      </c>
      <c r="AA965" s="16">
        <f t="shared" si="8"/>
        <v>103.1949807</v>
      </c>
      <c r="AB965" s="14"/>
      <c r="AC965" s="9">
        <f t="shared" si="6"/>
        <v>0</v>
      </c>
    </row>
    <row r="966">
      <c r="A966" s="8">
        <v>43126.0</v>
      </c>
      <c r="B966" s="14"/>
      <c r="C966" s="12">
        <f t="array" ref="C966">IFERROR(
  INDEX(
    IR!$B$2:$E2026,                
    MATCH($A966, IR!$A$2:$A2026, 0), 
    MATCH(C$1, IR!$B$1:$E$1, 0) ), "")
</f>
        <v>-0.00369</v>
      </c>
      <c r="D966" s="12">
        <f t="array" ref="D966">IFERROR(
  INDEX(
    IR!$B$2:$E2026,                
    MATCH($A966, IR!$A$2:$A2026, 0), 
    MATCH(D$1, IR!$B$1:$E$1, 0) ), "")
</f>
        <v>-0.00328</v>
      </c>
      <c r="E966" s="12">
        <f t="array" ref="E966">IFERROR(
  INDEX(
    IR!$B$2:$E2026,                
    MATCH($A966, IR!$A$2:$A2026, 0), 
    MATCH(E$1, IR!$B$1:$E$1, 0) ), "")
</f>
        <v>-0.00278</v>
      </c>
      <c r="F966" s="12">
        <f t="array" ref="F966">IFERROR(
  INDEX(
    IR!$B$2:$E2026,                
    MATCH($A966, IR!$A$2:$A2026, 0), 
    MATCH(F$1, IR!$B$1:$E$1, 0) ), "")
</f>
        <v>-0.00191</v>
      </c>
      <c r="G966" s="25"/>
      <c r="H966" s="12">
        <f t="array" ref="H966">IFERROR(
  INDEX(
    SR!$B$2:$D2026,            
    MATCH($A966, SR!$A$2:$A2026, 0),  
    MATCH(H$1, SR!$B$1:$D$1, 0) ), "")
</f>
        <v>-0.001229</v>
      </c>
      <c r="I966" s="12">
        <f t="array" ref="I966">IFERROR(
  INDEX(
    SR!$B$2:$D2026,            
    MATCH($A966, SR!$A$2:$A2026, 0),  
    MATCH(I$1, SR!$B$1:$D$1, 0) ), "")
</f>
        <v>0.000791</v>
      </c>
      <c r="J966" s="12">
        <f t="array" ref="J966">IFERROR(
  INDEX(
    SR!$B$2:$D2026,            
    MATCH($A966, SR!$A$2:$A2026, 0),  
    MATCH(J$1, SR!$B$1:$D$1, 0) ), "")
</f>
        <v>0.004535</v>
      </c>
      <c r="K966" s="14"/>
      <c r="L966" s="9">
        <v>118.16</v>
      </c>
      <c r="M966" s="9">
        <v>24.08</v>
      </c>
      <c r="N966" s="9">
        <v>115.4</v>
      </c>
      <c r="O966" s="9">
        <v>118.45</v>
      </c>
      <c r="P966" s="9">
        <v>132.19</v>
      </c>
      <c r="Q966" s="9">
        <v>1468.683</v>
      </c>
      <c r="R966" s="14"/>
      <c r="S966" s="12">
        <f t="shared" si="2"/>
        <v>-0.0009296825117</v>
      </c>
      <c r="T966" s="12">
        <f t="shared" si="3"/>
        <v>0.9990703175</v>
      </c>
      <c r="U966" s="16">
        <f t="shared" si="7"/>
        <v>101.7822987</v>
      </c>
      <c r="V966" s="17"/>
      <c r="W966" s="12">
        <f t="array" ref="W966">SQRT(252/20) *  SQRT( SUMSQ( LN(U945:U964 / U944:U963) )  - (1/20) * ( SUM( LN(U945:U964 / U944:U963) ) ^ 2 ) )</f>
        <v>0.01654744879</v>
      </c>
      <c r="X966" s="9">
        <f t="shared" si="4"/>
        <v>1.5</v>
      </c>
      <c r="Y966" s="14"/>
      <c r="Z966" s="12">
        <f t="shared" si="5"/>
        <v>0.9986106012</v>
      </c>
      <c r="AA966" s="16">
        <f t="shared" si="8"/>
        <v>103.0516018</v>
      </c>
      <c r="AB966" s="14"/>
      <c r="AC966" s="9">
        <f t="shared" si="6"/>
        <v>0</v>
      </c>
    </row>
    <row r="967">
      <c r="A967" s="8">
        <v>43129.0</v>
      </c>
      <c r="B967" s="14"/>
      <c r="C967" s="12">
        <f t="array" ref="C967">IFERROR(
  INDEX(
    IR!$B$2:$E2026,                
    MATCH($A967, IR!$A$2:$A2026, 0), 
    MATCH(C$1, IR!$B$1:$E$1, 0) ), "")
</f>
        <v>-0.00369</v>
      </c>
      <c r="D967" s="12">
        <f t="array" ref="D967">IFERROR(
  INDEX(
    IR!$B$2:$E2026,                
    MATCH($A967, IR!$A$2:$A2026, 0), 
    MATCH(D$1, IR!$B$1:$E$1, 0) ), "")
</f>
        <v>-0.00328</v>
      </c>
      <c r="E967" s="12">
        <f t="array" ref="E967">IFERROR(
  INDEX(
    IR!$B$2:$E2026,                
    MATCH($A967, IR!$A$2:$A2026, 0), 
    MATCH(E$1, IR!$B$1:$E$1, 0) ), "")
</f>
        <v>-0.00278</v>
      </c>
      <c r="F967" s="12">
        <f t="array" ref="F967">IFERROR(
  INDEX(
    IR!$B$2:$E2026,                
    MATCH($A967, IR!$A$2:$A2026, 0), 
    MATCH(F$1, IR!$B$1:$E$1, 0) ), "")
</f>
        <v>-0.00191</v>
      </c>
      <c r="G967" s="25"/>
      <c r="H967" s="12">
        <f t="array" ref="H967">IFERROR(
  INDEX(
    SR!$B$2:$D2026,            
    MATCH($A967, SR!$A$2:$A2026, 0),  
    MATCH(H$1, SR!$B$1:$D$1, 0) ), "")
</f>
        <v>-0.001201</v>
      </c>
      <c r="I967" s="12">
        <f t="array" ref="I967">IFERROR(
  INDEX(
    SR!$B$2:$D2026,            
    MATCH($A967, SR!$A$2:$A2026, 0),  
    MATCH(I$1, SR!$B$1:$D$1, 0) ), "")
</f>
        <v>0.0009</v>
      </c>
      <c r="J967" s="12">
        <f t="array" ref="J967">IFERROR(
  INDEX(
    SR!$B$2:$D2026,            
    MATCH($A967, SR!$A$2:$A2026, 0),  
    MATCH(J$1, SR!$B$1:$D$1, 0) ), "")
</f>
        <v>0.00481</v>
      </c>
      <c r="K967" s="14"/>
      <c r="L967" s="9">
        <v>118.06</v>
      </c>
      <c r="M967" s="9">
        <v>24.09</v>
      </c>
      <c r="N967" s="9">
        <v>115.43</v>
      </c>
      <c r="O967" s="9">
        <v>118.48</v>
      </c>
      <c r="P967" s="9">
        <v>132.57</v>
      </c>
      <c r="Q967" s="9">
        <v>1473.658</v>
      </c>
      <c r="R967" s="14"/>
      <c r="S967" s="12">
        <f t="shared" si="2"/>
        <v>0.001057290415</v>
      </c>
      <c r="T967" s="12">
        <f t="shared" si="3"/>
        <v>1.00105729</v>
      </c>
      <c r="U967" s="16">
        <f t="shared" si="7"/>
        <v>101.8899121</v>
      </c>
      <c r="V967" s="17"/>
      <c r="W967" s="12">
        <f t="array" ref="W967">SQRT(252/20) *  SQRT( SUMSQ( LN(U946:U965 / U945:U964) )  - (1/20) * ( SUM( LN(U946:U965 / U945:U964) ) ^ 2 ) )</f>
        <v>0.01775923276</v>
      </c>
      <c r="X967" s="9">
        <f t="shared" si="4"/>
        <v>1.5</v>
      </c>
      <c r="Y967" s="14"/>
      <c r="Z967" s="12">
        <f t="shared" si="5"/>
        <v>1.001601311</v>
      </c>
      <c r="AA967" s="16">
        <f t="shared" si="8"/>
        <v>103.2166194</v>
      </c>
      <c r="AB967" s="14"/>
      <c r="AC967" s="9">
        <f t="shared" si="6"/>
        <v>0</v>
      </c>
    </row>
    <row r="968">
      <c r="A968" s="8">
        <v>43130.0</v>
      </c>
      <c r="B968" s="14"/>
      <c r="C968" s="12">
        <f t="array" ref="C968">IFERROR(
  INDEX(
    IR!$B$2:$E2026,                
    MATCH($A968, IR!$A$2:$A2026, 0), 
    MATCH(C$1, IR!$B$1:$E$1, 0) ), "")
</f>
        <v>-0.00369</v>
      </c>
      <c r="D968" s="12">
        <f t="array" ref="D968">IFERROR(
  INDEX(
    IR!$B$2:$E2026,                
    MATCH($A968, IR!$A$2:$A2026, 0), 
    MATCH(D$1, IR!$B$1:$E$1, 0) ), "")
</f>
        <v>-0.00328</v>
      </c>
      <c r="E968" s="12">
        <f t="array" ref="E968">IFERROR(
  INDEX(
    IR!$B$2:$E2026,                
    MATCH($A968, IR!$A$2:$A2026, 0), 
    MATCH(E$1, IR!$B$1:$E$1, 0) ), "")
</f>
        <v>-0.00278</v>
      </c>
      <c r="F968" s="12">
        <f t="array" ref="F968">IFERROR(
  INDEX(
    IR!$B$2:$E2026,                
    MATCH($A968, IR!$A$2:$A2026, 0), 
    MATCH(F$1, IR!$B$1:$E$1, 0) ), "")
</f>
        <v>-0.00191</v>
      </c>
      <c r="G968" s="25"/>
      <c r="H968" s="12">
        <f t="array" ref="H968">IFERROR(
  INDEX(
    SR!$B$2:$D2026,            
    MATCH($A968, SR!$A$2:$A2026, 0),  
    MATCH(H$1, SR!$B$1:$D$1, 0) ), "")
</f>
        <v>-0.001209</v>
      </c>
      <c r="I968" s="12">
        <f t="array" ref="I968">IFERROR(
  INDEX(
    SR!$B$2:$D2026,            
    MATCH($A968, SR!$A$2:$A2026, 0),  
    MATCH(I$1, SR!$B$1:$D$1, 0) ), "")
</f>
        <v>0.000795</v>
      </c>
      <c r="J968" s="12">
        <f t="array" ref="J968">IFERROR(
  INDEX(
    SR!$B$2:$D2026,            
    MATCH($A968, SR!$A$2:$A2026, 0),  
    MATCH(J$1, SR!$B$1:$D$1, 0) ), "")
</f>
        <v>0.004733</v>
      </c>
      <c r="K968" s="14"/>
      <c r="L968" s="9">
        <v>117.84</v>
      </c>
      <c r="M968" s="9">
        <v>24.07</v>
      </c>
      <c r="N968" s="9">
        <v>115.43</v>
      </c>
      <c r="O968" s="9">
        <v>118.26</v>
      </c>
      <c r="P968" s="9">
        <v>132.49</v>
      </c>
      <c r="Q968" s="9">
        <v>1468.201</v>
      </c>
      <c r="R968" s="14"/>
      <c r="S968" s="12">
        <f t="shared" si="2"/>
        <v>-0.001475949447</v>
      </c>
      <c r="T968" s="12">
        <f t="shared" si="3"/>
        <v>0.9985240506</v>
      </c>
      <c r="U968" s="16">
        <f t="shared" si="7"/>
        <v>101.7395278</v>
      </c>
      <c r="V968" s="17"/>
      <c r="W968" s="12">
        <f t="array" ref="W968">SQRT(252/20) *  SQRT( SUMSQ( LN(U947:U966 / U946:U965) )  - (1/20) * ( SUM( LN(U947:U966 / U946:U965) ) ^ 2 ) )</f>
        <v>0.01803843258</v>
      </c>
      <c r="X968" s="9">
        <f t="shared" si="4"/>
        <v>1.5</v>
      </c>
      <c r="Y968" s="14"/>
      <c r="Z968" s="12">
        <f t="shared" si="5"/>
        <v>0.9977912008</v>
      </c>
      <c r="AA968" s="16">
        <f t="shared" si="8"/>
        <v>102.9886346</v>
      </c>
      <c r="AB968" s="14"/>
      <c r="AC968" s="9">
        <f t="shared" si="6"/>
        <v>0</v>
      </c>
    </row>
    <row r="969">
      <c r="A969" s="8">
        <v>43131.0</v>
      </c>
      <c r="B969" s="14"/>
      <c r="C969" s="12">
        <f t="array" ref="C969">IFERROR(
  INDEX(
    IR!$B$2:$E2026,                
    MATCH($A969, IR!$A$2:$A2026, 0), 
    MATCH(C$1, IR!$B$1:$E$1, 0) ), "")
</f>
        <v>-0.00369</v>
      </c>
      <c r="D969" s="12">
        <f t="array" ref="D969">IFERROR(
  INDEX(
    IR!$B$2:$E2026,                
    MATCH($A969, IR!$A$2:$A2026, 0), 
    MATCH(D$1, IR!$B$1:$E$1, 0) ), "")
</f>
        <v>-0.00328</v>
      </c>
      <c r="E969" s="12">
        <f t="array" ref="E969">IFERROR(
  INDEX(
    IR!$B$2:$E2026,                
    MATCH($A969, IR!$A$2:$A2026, 0), 
    MATCH(E$1, IR!$B$1:$E$1, 0) ), "")
</f>
        <v>-0.00279</v>
      </c>
      <c r="F969" s="12">
        <f t="array" ref="F969">IFERROR(
  INDEX(
    IR!$B$2:$E2026,                
    MATCH($A969, IR!$A$2:$A2026, 0), 
    MATCH(F$1, IR!$B$1:$E$1, 0) ), "")
</f>
        <v>-0.00191</v>
      </c>
      <c r="G969" s="25"/>
      <c r="H969" s="12">
        <f t="array" ref="H969">IFERROR(
  INDEX(
    SR!$B$2:$D2026,            
    MATCH($A969, SR!$A$2:$A2026, 0),  
    MATCH(H$1, SR!$B$1:$D$1, 0) ), "")
</f>
        <v>-0.00126</v>
      </c>
      <c r="I969" s="12">
        <f t="array" ref="I969">IFERROR(
  INDEX(
    SR!$B$2:$D2026,            
    MATCH($A969, SR!$A$2:$A2026, 0),  
    MATCH(I$1, SR!$B$1:$D$1, 0) ), "")
</f>
        <v>0.000831</v>
      </c>
      <c r="J969" s="12">
        <f t="array" ref="J969">IFERROR(
  INDEX(
    SR!$B$2:$D2026,            
    MATCH($A969, SR!$A$2:$A2026, 0),  
    MATCH(J$1, SR!$B$1:$D$1, 0) ), "")
</f>
        <v>0.004745</v>
      </c>
      <c r="K969" s="14"/>
      <c r="L969" s="9">
        <v>117.84</v>
      </c>
      <c r="M969" s="9">
        <v>24.07</v>
      </c>
      <c r="N969" s="9">
        <v>115.42</v>
      </c>
      <c r="O969" s="9">
        <v>117.83</v>
      </c>
      <c r="P969" s="9">
        <v>132.18</v>
      </c>
      <c r="Q969" s="9">
        <v>1461.267</v>
      </c>
      <c r="R969" s="14"/>
      <c r="S969" s="12">
        <f t="shared" si="2"/>
        <v>-0.001797299021</v>
      </c>
      <c r="T969" s="12">
        <f t="shared" si="3"/>
        <v>0.998202701</v>
      </c>
      <c r="U969" s="16">
        <f t="shared" si="7"/>
        <v>101.5566714</v>
      </c>
      <c r="V969" s="17"/>
      <c r="W969" s="12">
        <f t="array" ref="W969">SQRT(252/20) *  SQRT( SUMSQ( LN(U948:U967 / U947:U966) )  - (1/20) * ( SUM( LN(U948:U967 / U947:U966) ) ^ 2 ) )</f>
        <v>0.01792806521</v>
      </c>
      <c r="X969" s="9">
        <f t="shared" si="4"/>
        <v>1.5</v>
      </c>
      <c r="Y969" s="14"/>
      <c r="Z969" s="12">
        <f t="shared" si="5"/>
        <v>0.9973091765</v>
      </c>
      <c r="AA969" s="16">
        <f t="shared" si="8"/>
        <v>102.7115104</v>
      </c>
      <c r="AB969" s="14"/>
      <c r="AC969" s="9">
        <f t="shared" si="6"/>
        <v>0</v>
      </c>
    </row>
    <row r="970">
      <c r="A970" s="8">
        <v>43132.0</v>
      </c>
      <c r="B970" s="14"/>
      <c r="C970" s="12">
        <f t="array" ref="C970">IFERROR(
  INDEX(
    IR!$B$2:$E2026,                
    MATCH($A970, IR!$A$2:$A2026, 0), 
    MATCH(C$1, IR!$B$1:$E$1, 0) ), "")
</f>
        <v>-0.00369</v>
      </c>
      <c r="D970" s="12">
        <f t="array" ref="D970">IFERROR(
  INDEX(
    IR!$B$2:$E2026,                
    MATCH($A970, IR!$A$2:$A2026, 0), 
    MATCH(D$1, IR!$B$1:$E$1, 0) ), "")
</f>
        <v>-0.00328</v>
      </c>
      <c r="E970" s="12">
        <f t="array" ref="E970">IFERROR(
  INDEX(
    IR!$B$2:$E2026,                
    MATCH($A970, IR!$A$2:$A2026, 0), 
    MATCH(E$1, IR!$B$1:$E$1, 0) ), "")
</f>
        <v>-0.00278</v>
      </c>
      <c r="F970" s="12">
        <f t="array" ref="F970">IFERROR(
  INDEX(
    IR!$B$2:$E2026,                
    MATCH($A970, IR!$A$2:$A2026, 0), 
    MATCH(F$1, IR!$B$1:$E$1, 0) ), "")
</f>
        <v>-0.00191</v>
      </c>
      <c r="G970" s="25"/>
      <c r="H970" s="12">
        <f t="array" ref="H970">IFERROR(
  INDEX(
    SR!$B$2:$D2026,            
    MATCH($A970, SR!$A$2:$A2026, 0),  
    MATCH(H$1, SR!$B$1:$D$1, 0) ), "")
</f>
        <v>-0.00129</v>
      </c>
      <c r="I970" s="12">
        <f t="array" ref="I970">IFERROR(
  INDEX(
    SR!$B$2:$D2026,            
    MATCH($A970, SR!$A$2:$A2026, 0),  
    MATCH(I$1, SR!$B$1:$D$1, 0) ), "")
</f>
        <v>0.000734</v>
      </c>
      <c r="J970" s="12">
        <f t="array" ref="J970">IFERROR(
  INDEX(
    SR!$B$2:$D2026,            
    MATCH($A970, SR!$A$2:$A2026, 0),  
    MATCH(J$1, SR!$B$1:$D$1, 0) ), "")
</f>
        <v>0.004795</v>
      </c>
      <c r="K970" s="14"/>
      <c r="L970" s="9">
        <v>117.65</v>
      </c>
      <c r="M970" s="9">
        <v>24.07</v>
      </c>
      <c r="N970" s="9">
        <v>115.42</v>
      </c>
      <c r="O970" s="9">
        <v>117.76</v>
      </c>
      <c r="P970" s="9">
        <v>132.23</v>
      </c>
      <c r="Q970" s="9">
        <v>1461.43</v>
      </c>
      <c r="R970" s="14"/>
      <c r="S970" s="12">
        <f t="shared" si="2"/>
        <v>-0.0002859765479</v>
      </c>
      <c r="T970" s="12">
        <f t="shared" si="3"/>
        <v>0.9997140235</v>
      </c>
      <c r="U970" s="16">
        <f t="shared" si="7"/>
        <v>101.5276286</v>
      </c>
      <c r="V970" s="17"/>
      <c r="W970" s="12">
        <f t="array" ref="W970">SQRT(252/20) *  SQRT( SUMSQ( LN(U949:U968 / U948:U967) )  - (1/20) * ( SUM( LN(U949:U968 / U948:U967) ) ^ 2 ) )</f>
        <v>0.01839897311</v>
      </c>
      <c r="X970" s="9">
        <f t="shared" si="4"/>
        <v>1.5</v>
      </c>
      <c r="Y970" s="14"/>
      <c r="Z970" s="12">
        <f t="shared" si="5"/>
        <v>0.9995761602</v>
      </c>
      <c r="AA970" s="16">
        <f t="shared" si="8"/>
        <v>102.6679771</v>
      </c>
      <c r="AB970" s="14"/>
      <c r="AC970" s="9">
        <f t="shared" si="6"/>
        <v>0</v>
      </c>
    </row>
    <row r="971">
      <c r="A971" s="8">
        <v>43133.0</v>
      </c>
      <c r="B971" s="14"/>
      <c r="C971" s="12">
        <f t="array" ref="C971">IFERROR(
  INDEX(
    IR!$B$2:$E2026,                
    MATCH($A971, IR!$A$2:$A2026, 0), 
    MATCH(C$1, IR!$B$1:$E$1, 0) ), "")
</f>
        <v>-0.00371</v>
      </c>
      <c r="D971" s="12">
        <f t="array" ref="D971">IFERROR(
  INDEX(
    IR!$B$2:$E2026,                
    MATCH($A971, IR!$A$2:$A2026, 0), 
    MATCH(D$1, IR!$B$1:$E$1, 0) ), "")
</f>
        <v>-0.00329</v>
      </c>
      <c r="E971" s="12">
        <f t="array" ref="E971">IFERROR(
  INDEX(
    IR!$B$2:$E2026,                
    MATCH($A971, IR!$A$2:$A2026, 0), 
    MATCH(E$1, IR!$B$1:$E$1, 0) ), "")
</f>
        <v>-0.00278</v>
      </c>
      <c r="F971" s="12">
        <f t="array" ref="F971">IFERROR(
  INDEX(
    IR!$B$2:$E2026,                
    MATCH($A971, IR!$A$2:$A2026, 0), 
    MATCH(F$1, IR!$B$1:$E$1, 0) ), "")
</f>
        <v>-0.00191</v>
      </c>
      <c r="G971" s="25"/>
      <c r="H971" s="12">
        <f t="array" ref="H971">IFERROR(
  INDEX(
    SR!$B$2:$D2026,            
    MATCH($A971, SR!$A$2:$A2026, 0),  
    MATCH(H$1, SR!$B$1:$D$1, 0) ), "")
</f>
        <v>-0.001236</v>
      </c>
      <c r="I971" s="12">
        <f t="array" ref="I971">IFERROR(
  INDEX(
    SR!$B$2:$D2026,            
    MATCH($A971, SR!$A$2:$A2026, 0),  
    MATCH(I$1, SR!$B$1:$D$1, 0) ), "")
</f>
        <v>0.000885</v>
      </c>
      <c r="J971" s="12">
        <f t="array" ref="J971">IFERROR(
  INDEX(
    SR!$B$2:$D2026,            
    MATCH($A971, SR!$A$2:$A2026, 0),  
    MATCH(J$1, SR!$B$1:$D$1, 0) ), "")
</f>
        <v>0.004933</v>
      </c>
      <c r="K971" s="14"/>
      <c r="L971" s="9">
        <v>117.18</v>
      </c>
      <c r="M971" s="9">
        <v>24.06</v>
      </c>
      <c r="N971" s="9">
        <v>115.44</v>
      </c>
      <c r="O971" s="9">
        <v>117.14</v>
      </c>
      <c r="P971" s="9">
        <v>132.22</v>
      </c>
      <c r="Q971" s="9">
        <v>1459.803</v>
      </c>
      <c r="R971" s="14"/>
      <c r="S971" s="12">
        <f t="shared" si="2"/>
        <v>-0.001781221843</v>
      </c>
      <c r="T971" s="12">
        <f t="shared" si="3"/>
        <v>0.9982187782</v>
      </c>
      <c r="U971" s="16">
        <f t="shared" si="7"/>
        <v>101.3467854</v>
      </c>
      <c r="V971" s="17"/>
      <c r="W971" s="12">
        <f t="array" ref="W971">SQRT(252/20) *  SQRT( SUMSQ( LN(U950:U969 / U949:U968) )  - (1/20) * ( SUM( LN(U950:U969 / U949:U968) ) ^ 2 ) )</f>
        <v>0.01966046017</v>
      </c>
      <c r="X971" s="9">
        <f t="shared" si="4"/>
        <v>1.5</v>
      </c>
      <c r="Y971" s="14"/>
      <c r="Z971" s="12">
        <f t="shared" si="5"/>
        <v>0.9973332922</v>
      </c>
      <c r="AA971" s="16">
        <f t="shared" si="8"/>
        <v>102.3941916</v>
      </c>
      <c r="AB971" s="14"/>
      <c r="AC971" s="9">
        <f t="shared" si="6"/>
        <v>0</v>
      </c>
    </row>
    <row r="972">
      <c r="A972" s="8">
        <v>43136.0</v>
      </c>
      <c r="B972" s="14"/>
      <c r="C972" s="12">
        <f t="array" ref="C972">IFERROR(
  INDEX(
    IR!$B$2:$E2026,                
    MATCH($A972, IR!$A$2:$A2026, 0), 
    MATCH(C$1, IR!$B$1:$E$1, 0) ), "")
</f>
        <v>-0.00369</v>
      </c>
      <c r="D972" s="12">
        <f t="array" ref="D972">IFERROR(
  INDEX(
    IR!$B$2:$E2026,                
    MATCH($A972, IR!$A$2:$A2026, 0), 
    MATCH(D$1, IR!$B$1:$E$1, 0) ), "")
</f>
        <v>-0.00329</v>
      </c>
      <c r="E972" s="12">
        <f t="array" ref="E972">IFERROR(
  INDEX(
    IR!$B$2:$E2026,                
    MATCH($A972, IR!$A$2:$A2026, 0), 
    MATCH(E$1, IR!$B$1:$E$1, 0) ), "")
</f>
        <v>-0.00278</v>
      </c>
      <c r="F972" s="12">
        <f t="array" ref="F972">IFERROR(
  INDEX(
    IR!$B$2:$E2026,                
    MATCH($A972, IR!$A$2:$A2026, 0), 
    MATCH(F$1, IR!$B$1:$E$1, 0) ), "")
</f>
        <v>-0.00191</v>
      </c>
      <c r="G972" s="25"/>
      <c r="H972" s="12">
        <f t="array" ref="H972">IFERROR(
  INDEX(
    SR!$B$2:$D2026,            
    MATCH($A972, SR!$A$2:$A2026, 0),  
    MATCH(H$1, SR!$B$1:$D$1, 0) ), "")
</f>
        <v>-0.00131</v>
      </c>
      <c r="I972" s="12">
        <f t="array" ref="I972">IFERROR(
  INDEX(
    SR!$B$2:$D2026,            
    MATCH($A972, SR!$A$2:$A2026, 0),  
    MATCH(I$1, SR!$B$1:$D$1, 0) ), "")
</f>
        <v>0.00079</v>
      </c>
      <c r="J972" s="12">
        <f t="array" ref="J972">IFERROR(
  INDEX(
    SR!$B$2:$D2026,            
    MATCH($A972, SR!$A$2:$A2026, 0),  
    MATCH(J$1, SR!$B$1:$D$1, 0) ), "")
</f>
        <v>0.00471</v>
      </c>
      <c r="K972" s="14"/>
      <c r="L972" s="9">
        <v>116.84</v>
      </c>
      <c r="M972" s="9">
        <v>24.06</v>
      </c>
      <c r="N972" s="9">
        <v>115.43</v>
      </c>
      <c r="O972" s="9">
        <v>116.32</v>
      </c>
      <c r="P972" s="9">
        <v>131.96</v>
      </c>
      <c r="Q972" s="9">
        <v>1448.744</v>
      </c>
      <c r="R972" s="14"/>
      <c r="S972" s="12">
        <f t="shared" si="2"/>
        <v>-0.003254524572</v>
      </c>
      <c r="T972" s="12">
        <f t="shared" si="3"/>
        <v>0.9967454754</v>
      </c>
      <c r="U972" s="16">
        <f t="shared" si="7"/>
        <v>101.0169497</v>
      </c>
      <c r="V972" s="17"/>
      <c r="W972" s="12">
        <f t="array" ref="W972">SQRT(252/20) *  SQRT( SUMSQ( LN(U951:U970 / U950:U969) )  - (1/20) * ( SUM( LN(U951:U970 / U950:U969) ) ^ 2 ) )</f>
        <v>0.01780135693</v>
      </c>
      <c r="X972" s="9">
        <f t="shared" si="4"/>
        <v>1.5</v>
      </c>
      <c r="Y972" s="14"/>
      <c r="Z972" s="12">
        <f t="shared" si="5"/>
        <v>0.9951336715</v>
      </c>
      <c r="AA972" s="16">
        <f t="shared" si="8"/>
        <v>101.8959079</v>
      </c>
      <c r="AB972" s="14"/>
      <c r="AC972" s="9">
        <f t="shared" si="6"/>
        <v>0</v>
      </c>
    </row>
    <row r="973">
      <c r="A973" s="8">
        <v>43137.0</v>
      </c>
      <c r="B973" s="14"/>
      <c r="C973" s="12">
        <f t="array" ref="C973">IFERROR(
  INDEX(
    IR!$B$2:$E2026,                
    MATCH($A973, IR!$A$2:$A2026, 0), 
    MATCH(C$1, IR!$B$1:$E$1, 0) ), "")
</f>
        <v>-0.00369</v>
      </c>
      <c r="D973" s="12">
        <f t="array" ref="D973">IFERROR(
  INDEX(
    IR!$B$2:$E2026,                
    MATCH($A973, IR!$A$2:$A2026, 0), 
    MATCH(D$1, IR!$B$1:$E$1, 0) ), "")
</f>
        <v>-0.00329</v>
      </c>
      <c r="E973" s="12">
        <f t="array" ref="E973">IFERROR(
  INDEX(
    IR!$B$2:$E2026,                
    MATCH($A973, IR!$A$2:$A2026, 0), 
    MATCH(E$1, IR!$B$1:$E$1, 0) ), "")
</f>
        <v>-0.00279</v>
      </c>
      <c r="F973" s="12">
        <f t="array" ref="F973">IFERROR(
  INDEX(
    IR!$B$2:$E2026,                
    MATCH($A973, IR!$A$2:$A2026, 0), 
    MATCH(F$1, IR!$B$1:$E$1, 0) ), "")
</f>
        <v>-0.00191</v>
      </c>
      <c r="G973" s="25"/>
      <c r="H973" s="12">
        <f t="array" ref="H973">IFERROR(
  INDEX(
    SR!$B$2:$D2026,            
    MATCH($A973, SR!$A$2:$A2026, 0),  
    MATCH(H$1, SR!$B$1:$D$1, 0) ), "")
</f>
        <v>-0.001348</v>
      </c>
      <c r="I973" s="12">
        <f t="array" ref="I973">IFERROR(
  INDEX(
    SR!$B$2:$D2026,            
    MATCH($A973, SR!$A$2:$A2026, 0),  
    MATCH(I$1, SR!$B$1:$D$1, 0) ), "")
</f>
        <v>0.00068</v>
      </c>
      <c r="J973" s="12">
        <f t="array" ref="J973">IFERROR(
  INDEX(
    SR!$B$2:$D2026,            
    MATCH($A973, SR!$A$2:$A2026, 0),  
    MATCH(J$1, SR!$B$1:$D$1, 0) ), "")
</f>
        <v>0.00456</v>
      </c>
      <c r="K973" s="14"/>
      <c r="L973" s="9">
        <v>116.44</v>
      </c>
      <c r="M973" s="9">
        <v>24.07</v>
      </c>
      <c r="N973" s="9">
        <v>115.39</v>
      </c>
      <c r="O973" s="9">
        <v>115.95</v>
      </c>
      <c r="P973" s="9">
        <v>131.73</v>
      </c>
      <c r="Q973" s="9">
        <v>1429.648</v>
      </c>
      <c r="R973" s="14"/>
      <c r="S973" s="12">
        <f t="shared" si="2"/>
        <v>-0.003576436375</v>
      </c>
      <c r="T973" s="12">
        <f t="shared" si="3"/>
        <v>0.9964235636</v>
      </c>
      <c r="U973" s="16">
        <f t="shared" si="7"/>
        <v>100.6556691</v>
      </c>
      <c r="V973" s="17"/>
      <c r="W973" s="12">
        <f t="array" ref="W973">SQRT(252/20) *  SQRT( SUMSQ( LN(U952:U971 / U951:U970) )  - (1/20) * ( SUM( LN(U952:U971 / U951:U970) ) ^ 2 ) )</f>
        <v>0.01668186822</v>
      </c>
      <c r="X973" s="9">
        <f t="shared" si="4"/>
        <v>1.5</v>
      </c>
      <c r="Y973" s="14"/>
      <c r="Z973" s="12">
        <f t="shared" si="5"/>
        <v>0.9946404704</v>
      </c>
      <c r="AA973" s="16">
        <f t="shared" si="8"/>
        <v>101.3497937</v>
      </c>
      <c r="AB973" s="14"/>
      <c r="AC973" s="9">
        <f t="shared" si="6"/>
        <v>0</v>
      </c>
    </row>
    <row r="974">
      <c r="A974" s="8">
        <v>43138.0</v>
      </c>
      <c r="B974" s="14"/>
      <c r="C974" s="12">
        <f t="array" ref="C974">IFERROR(
  INDEX(
    IR!$B$2:$E2026,                
    MATCH($A974, IR!$A$2:$A2026, 0), 
    MATCH(C$1, IR!$B$1:$E$1, 0) ), "")
</f>
        <v>-0.00369</v>
      </c>
      <c r="D974" s="12">
        <f t="array" ref="D974">IFERROR(
  INDEX(
    IR!$B$2:$E2026,                
    MATCH($A974, IR!$A$2:$A2026, 0), 
    MATCH(D$1, IR!$B$1:$E$1, 0) ), "")
</f>
        <v>-0.00329</v>
      </c>
      <c r="E974" s="12">
        <f t="array" ref="E974">IFERROR(
  INDEX(
    IR!$B$2:$E2026,                
    MATCH($A974, IR!$A$2:$A2026, 0), 
    MATCH(E$1, IR!$B$1:$E$1, 0) ), "")
</f>
        <v>-0.00278</v>
      </c>
      <c r="F974" s="12">
        <f t="array" ref="F974">IFERROR(
  INDEX(
    IR!$B$2:$E2026,                
    MATCH($A974, IR!$A$2:$A2026, 0), 
    MATCH(F$1, IR!$B$1:$E$1, 0) ), "")
</f>
        <v>-0.00191</v>
      </c>
      <c r="G974" s="25"/>
      <c r="H974" s="12">
        <f t="array" ref="H974">IFERROR(
  INDEX(
    SR!$B$2:$D2026,            
    MATCH($A974, SR!$A$2:$A2026, 0),  
    MATCH(H$1, SR!$B$1:$D$1, 0) ), "")
</f>
        <v>-0.001265</v>
      </c>
      <c r="I974" s="12">
        <f t="array" ref="I974">IFERROR(
  INDEX(
    SR!$B$2:$D2026,            
    MATCH($A974, SR!$A$2:$A2026, 0),  
    MATCH(I$1, SR!$B$1:$D$1, 0) ), "")
</f>
        <v>0.00083</v>
      </c>
      <c r="J974" s="12">
        <f t="array" ref="J974">IFERROR(
  INDEX(
    SR!$B$2:$D2026,            
    MATCH($A974, SR!$A$2:$A2026, 0),  
    MATCH(J$1, SR!$B$1:$D$1, 0) ), "")
</f>
        <v>0.004755</v>
      </c>
      <c r="K974" s="14"/>
      <c r="L974" s="9">
        <v>116.85</v>
      </c>
      <c r="M974" s="9">
        <v>24.07</v>
      </c>
      <c r="N974" s="9">
        <v>115.41</v>
      </c>
      <c r="O974" s="9">
        <v>114.94</v>
      </c>
      <c r="P974" s="9">
        <v>131.63</v>
      </c>
      <c r="Q974" s="9">
        <v>1425.759</v>
      </c>
      <c r="R974" s="14"/>
      <c r="S974" s="12">
        <f t="shared" si="2"/>
        <v>-0.001415635266</v>
      </c>
      <c r="T974" s="12">
        <f t="shared" si="3"/>
        <v>0.9985843647</v>
      </c>
      <c r="U974" s="16">
        <f t="shared" si="7"/>
        <v>100.5131773</v>
      </c>
      <c r="V974" s="17"/>
      <c r="W974" s="12">
        <f t="array" ref="W974">SQRT(252/20) *  SQRT( SUMSQ( LN(U953:U972 / U952:U971) )  - (1/20) * ( SUM( LN(U953:U972 / U952:U971) ) ^ 2 ) )</f>
        <v>0.01845047944</v>
      </c>
      <c r="X974" s="9">
        <f t="shared" si="4"/>
        <v>1.5</v>
      </c>
      <c r="Y974" s="14"/>
      <c r="Z974" s="12">
        <f t="shared" si="5"/>
        <v>0.9978816721</v>
      </c>
      <c r="AA974" s="16">
        <f t="shared" si="8"/>
        <v>101.1351016</v>
      </c>
      <c r="AB974" s="14"/>
      <c r="AC974" s="9">
        <f t="shared" si="6"/>
        <v>0</v>
      </c>
    </row>
    <row r="975">
      <c r="A975" s="8">
        <v>43139.0</v>
      </c>
      <c r="B975" s="14"/>
      <c r="C975" s="12">
        <f t="array" ref="C975">IFERROR(
  INDEX(
    IR!$B$2:$E2026,                
    MATCH($A975, IR!$A$2:$A2026, 0), 
    MATCH(C$1, IR!$B$1:$E$1, 0) ), "")
</f>
        <v>-0.00369</v>
      </c>
      <c r="D975" s="12">
        <f t="array" ref="D975">IFERROR(
  INDEX(
    IR!$B$2:$E2026,                
    MATCH($A975, IR!$A$2:$A2026, 0), 
    MATCH(D$1, IR!$B$1:$E$1, 0) ), "")
</f>
        <v>-0.00329</v>
      </c>
      <c r="E975" s="12">
        <f t="array" ref="E975">IFERROR(
  INDEX(
    IR!$B$2:$E2026,                
    MATCH($A975, IR!$A$2:$A2026, 0), 
    MATCH(E$1, IR!$B$1:$E$1, 0) ), "")
</f>
        <v>-0.00278</v>
      </c>
      <c r="F975" s="12">
        <f t="array" ref="F975">IFERROR(
  INDEX(
    IR!$B$2:$E2026,                
    MATCH($A975, IR!$A$2:$A2026, 0), 
    MATCH(F$1, IR!$B$1:$E$1, 0) ), "")
</f>
        <v>-0.00191</v>
      </c>
      <c r="G975" s="25"/>
      <c r="H975" s="12">
        <f t="array" ref="H975">IFERROR(
  INDEX(
    SR!$B$2:$D2026,            
    MATCH($A975, SR!$A$2:$A2026, 0),  
    MATCH(H$1, SR!$B$1:$D$1, 0) ), "")
</f>
        <v>-0.001273</v>
      </c>
      <c r="I975" s="12">
        <f t="array" ref="I975">IFERROR(
  INDEX(
    SR!$B$2:$D2026,            
    MATCH($A975, SR!$A$2:$A2026, 0),  
    MATCH(I$1, SR!$B$1:$D$1, 0) ), "")
</f>
        <v>0.00079</v>
      </c>
      <c r="J975" s="12">
        <f t="array" ref="J975">IFERROR(
  INDEX(
    SR!$B$2:$D2026,            
    MATCH($A975, SR!$A$2:$A2026, 0),  
    MATCH(J$1, SR!$B$1:$D$1, 0) ), "")
</f>
        <v>0.004797</v>
      </c>
      <c r="K975" s="14"/>
      <c r="L975" s="9">
        <v>116.41</v>
      </c>
      <c r="M975" s="9">
        <v>24.06</v>
      </c>
      <c r="N975" s="9">
        <v>115.39</v>
      </c>
      <c r="O975" s="9">
        <v>115.64</v>
      </c>
      <c r="P975" s="9">
        <v>131.86</v>
      </c>
      <c r="Q975" s="9">
        <v>1427.4</v>
      </c>
      <c r="R975" s="14"/>
      <c r="S975" s="12">
        <f t="shared" si="2"/>
        <v>0.0007721662288</v>
      </c>
      <c r="T975" s="12">
        <f t="shared" si="3"/>
        <v>1.000772166</v>
      </c>
      <c r="U975" s="16">
        <f t="shared" si="7"/>
        <v>100.5907902</v>
      </c>
      <c r="V975" s="17"/>
      <c r="W975" s="12">
        <f t="array" ref="W975">SQRT(252/20) *  SQRT( SUMSQ( LN(U954:U973 / U953:U972) )  - (1/20) * ( SUM( LN(U954:U973 / U953:U972) ) ^ 2 ) )</f>
        <v>0.02077218918</v>
      </c>
      <c r="X975" s="9">
        <f t="shared" si="4"/>
        <v>1.5</v>
      </c>
      <c r="Y975" s="14"/>
      <c r="Z975" s="12">
        <f t="shared" si="5"/>
        <v>1.001163374</v>
      </c>
      <c r="AA975" s="16">
        <f t="shared" si="8"/>
        <v>101.2527596</v>
      </c>
      <c r="AB975" s="14"/>
      <c r="AC975" s="9">
        <f t="shared" si="6"/>
        <v>0</v>
      </c>
    </row>
    <row r="976">
      <c r="A976" s="8">
        <v>43140.0</v>
      </c>
      <c r="B976" s="14"/>
      <c r="C976" s="12">
        <f t="array" ref="C976">IFERROR(
  INDEX(
    IR!$B$2:$E2026,                
    MATCH($A976, IR!$A$2:$A2026, 0), 
    MATCH(C$1, IR!$B$1:$E$1, 0) ), "")
</f>
        <v>-0.0037</v>
      </c>
      <c r="D976" s="12">
        <f t="array" ref="D976">IFERROR(
  INDEX(
    IR!$B$2:$E2026,                
    MATCH($A976, IR!$A$2:$A2026, 0), 
    MATCH(D$1, IR!$B$1:$E$1, 0) ), "")
</f>
        <v>-0.00329</v>
      </c>
      <c r="E976" s="12">
        <f t="array" ref="E976">IFERROR(
  INDEX(
    IR!$B$2:$E2026,                
    MATCH($A976, IR!$A$2:$A2026, 0), 
    MATCH(E$1, IR!$B$1:$E$1, 0) ), "")
</f>
        <v>-0.00278</v>
      </c>
      <c r="F976" s="12">
        <f t="array" ref="F976">IFERROR(
  INDEX(
    IR!$B$2:$E2026,                
    MATCH($A976, IR!$A$2:$A2026, 0), 
    MATCH(F$1, IR!$B$1:$E$1, 0) ), "")
</f>
        <v>-0.00191</v>
      </c>
      <c r="G976" s="25"/>
      <c r="H976" s="12">
        <f t="array" ref="H976">IFERROR(
  INDEX(
    SR!$B$2:$D2026,            
    MATCH($A976, SR!$A$2:$A2026, 0),  
    MATCH(H$1, SR!$B$1:$D$1, 0) ), "")
</f>
        <v>-0.00131</v>
      </c>
      <c r="I976" s="12">
        <f t="array" ref="I976">IFERROR(
  INDEX(
    SR!$B$2:$D2026,            
    MATCH($A976, SR!$A$2:$A2026, 0),  
    MATCH(I$1, SR!$B$1:$D$1, 0) ), "")
</f>
        <v>0.000765</v>
      </c>
      <c r="J976" s="12">
        <f t="array" ref="J976">IFERROR(
  INDEX(
    SR!$B$2:$D2026,            
    MATCH($A976, SR!$A$2:$A2026, 0),  
    MATCH(J$1, SR!$B$1:$D$1, 0) ), "")
</f>
        <v>0.004775</v>
      </c>
      <c r="K976" s="14"/>
      <c r="L976" s="9">
        <v>116.06</v>
      </c>
      <c r="M976" s="9">
        <v>24.06</v>
      </c>
      <c r="N976" s="9">
        <v>115.36</v>
      </c>
      <c r="O976" s="9">
        <v>114.21</v>
      </c>
      <c r="P976" s="9">
        <v>131.13</v>
      </c>
      <c r="Q976" s="9">
        <v>1410.8</v>
      </c>
      <c r="R976" s="14"/>
      <c r="S976" s="12">
        <f t="shared" si="2"/>
        <v>-0.005465355853</v>
      </c>
      <c r="T976" s="12">
        <f t="shared" si="3"/>
        <v>0.9945346441</v>
      </c>
      <c r="U976" s="16">
        <f t="shared" si="7"/>
        <v>100.0410258</v>
      </c>
      <c r="V976" s="17"/>
      <c r="W976" s="12">
        <f t="array" ref="W976">SQRT(252/20) *  SQRT( SUMSQ( LN(U955:U974 / U954:U973) )  - (1/20) * ( SUM( LN(U955:U974 / U954:U973) ) ^ 2 ) )</f>
        <v>0.02089647841</v>
      </c>
      <c r="X976" s="9">
        <f t="shared" si="4"/>
        <v>1.5</v>
      </c>
      <c r="Y976" s="14"/>
      <c r="Z976" s="12">
        <f t="shared" si="5"/>
        <v>0.9918070912</v>
      </c>
      <c r="AA976" s="16">
        <f t="shared" si="8"/>
        <v>100.423205</v>
      </c>
      <c r="AB976" s="14"/>
      <c r="AC976" s="9">
        <f t="shared" si="6"/>
        <v>0</v>
      </c>
    </row>
    <row r="977">
      <c r="A977" s="8">
        <v>43143.0</v>
      </c>
      <c r="B977" s="14"/>
      <c r="C977" s="12">
        <f t="array" ref="C977">IFERROR(
  INDEX(
    IR!$B$2:$E2026,                
    MATCH($A977, IR!$A$2:$A2026, 0), 
    MATCH(C$1, IR!$B$1:$E$1, 0) ), "")
</f>
        <v>-0.00369</v>
      </c>
      <c r="D977" s="12">
        <f t="array" ref="D977">IFERROR(
  INDEX(
    IR!$B$2:$E2026,                
    MATCH($A977, IR!$A$2:$A2026, 0), 
    MATCH(D$1, IR!$B$1:$E$1, 0) ), "")
</f>
        <v>-0.00329</v>
      </c>
      <c r="E977" s="12">
        <f t="array" ref="E977">IFERROR(
  INDEX(
    IR!$B$2:$E2026,                
    MATCH($A977, IR!$A$2:$A2026, 0), 
    MATCH(E$1, IR!$B$1:$E$1, 0) ), "")
</f>
        <v>-0.00278</v>
      </c>
      <c r="F977" s="12">
        <f t="array" ref="F977">IFERROR(
  INDEX(
    IR!$B$2:$E2026,                
    MATCH($A977, IR!$A$2:$A2026, 0), 
    MATCH(F$1, IR!$B$1:$E$1, 0) ), "")
</f>
        <v>-0.00191</v>
      </c>
      <c r="G977" s="25"/>
      <c r="H977" s="12">
        <f t="array" ref="H977">IFERROR(
  INDEX(
    SR!$B$2:$D2026,            
    MATCH($A977, SR!$A$2:$A2026, 0),  
    MATCH(H$1, SR!$B$1:$D$1, 0) ), "")
</f>
        <v>-0.00132</v>
      </c>
      <c r="I977" s="12">
        <f t="array" ref="I977">IFERROR(
  INDEX(
    SR!$B$2:$D2026,            
    MATCH($A977, SR!$A$2:$A2026, 0),  
    MATCH(I$1, SR!$B$1:$D$1, 0) ), "")
</f>
        <v>0.000785</v>
      </c>
      <c r="J977" s="12">
        <f t="array" ref="J977">IFERROR(
  INDEX(
    SR!$B$2:$D2026,            
    MATCH($A977, SR!$A$2:$A2026, 0),  
    MATCH(J$1, SR!$B$1:$D$1, 0) ), "")
</f>
        <v>0.004975</v>
      </c>
      <c r="K977" s="14"/>
      <c r="L977" s="9">
        <v>116.23</v>
      </c>
      <c r="M977" s="9">
        <v>24.04</v>
      </c>
      <c r="N977" s="9">
        <v>115.38</v>
      </c>
      <c r="O977" s="9">
        <v>113.89</v>
      </c>
      <c r="P977" s="9">
        <v>130.81</v>
      </c>
      <c r="Q977" s="9">
        <v>1408.838</v>
      </c>
      <c r="R977" s="14"/>
      <c r="S977" s="12">
        <f t="shared" si="2"/>
        <v>-0.0009707520369</v>
      </c>
      <c r="T977" s="12">
        <f t="shared" si="3"/>
        <v>0.999029248</v>
      </c>
      <c r="U977" s="16">
        <f t="shared" si="7"/>
        <v>99.94391073</v>
      </c>
      <c r="V977" s="17"/>
      <c r="W977" s="12">
        <f t="array" ref="W977">SQRT(252/20) *  SQRT( SUMSQ( LN(U956:U975 / U955:U974) )  - (1/20) * ( SUM( LN(U956:U975 / U955:U974) ) ^ 2 ) )</f>
        <v>0.02130573161</v>
      </c>
      <c r="X977" s="9">
        <f t="shared" si="4"/>
        <v>1.5</v>
      </c>
      <c r="Y977" s="14"/>
      <c r="Z977" s="12">
        <f t="shared" si="5"/>
        <v>0.9985592886</v>
      </c>
      <c r="AA977" s="16">
        <f t="shared" si="8"/>
        <v>100.2785241</v>
      </c>
      <c r="AB977" s="14"/>
      <c r="AC977" s="9">
        <f t="shared" si="6"/>
        <v>0</v>
      </c>
    </row>
    <row r="978">
      <c r="A978" s="8">
        <v>43144.0</v>
      </c>
      <c r="B978" s="14"/>
      <c r="C978" s="12">
        <f t="array" ref="C978">IFERROR(
  INDEX(
    IR!$B$2:$E2026,                
    MATCH($A978, IR!$A$2:$A2026, 0), 
    MATCH(C$1, IR!$B$1:$E$1, 0) ), "")
</f>
        <v>-0.00369</v>
      </c>
      <c r="D978" s="12">
        <f t="array" ref="D978">IFERROR(
  INDEX(
    IR!$B$2:$E2026,                
    MATCH($A978, IR!$A$2:$A2026, 0), 
    MATCH(D$1, IR!$B$1:$E$1, 0) ), "")
</f>
        <v>-0.00329</v>
      </c>
      <c r="E978" s="12">
        <f t="array" ref="E978">IFERROR(
  INDEX(
    IR!$B$2:$E2026,                
    MATCH($A978, IR!$A$2:$A2026, 0), 
    MATCH(E$1, IR!$B$1:$E$1, 0) ), "")
</f>
        <v>-0.00276</v>
      </c>
      <c r="F978" s="12">
        <f t="array" ref="F978">IFERROR(
  INDEX(
    IR!$B$2:$E2026,                
    MATCH($A978, IR!$A$2:$A2026, 0), 
    MATCH(F$1, IR!$B$1:$E$1, 0) ), "")
</f>
        <v>-0.00191</v>
      </c>
      <c r="G978" s="25"/>
      <c r="H978" s="12">
        <f t="array" ref="H978">IFERROR(
  INDEX(
    SR!$B$2:$D2026,            
    MATCH($A978, SR!$A$2:$A2026, 0),  
    MATCH(H$1, SR!$B$1:$D$1, 0) ), "")
</f>
        <v>-0.001319</v>
      </c>
      <c r="I978" s="12">
        <f t="array" ref="I978">IFERROR(
  INDEX(
    SR!$B$2:$D2026,            
    MATCH($A978, SR!$A$2:$A2026, 0),  
    MATCH(I$1, SR!$B$1:$D$1, 0) ), "")
</f>
        <v>0.00073</v>
      </c>
      <c r="J978" s="12">
        <f t="array" ref="J978">IFERROR(
  INDEX(
    SR!$B$2:$D2026,            
    MATCH($A978, SR!$A$2:$A2026, 0),  
    MATCH(J$1, SR!$B$1:$D$1, 0) ), "")
</f>
        <v>0.00487</v>
      </c>
      <c r="K978" s="14"/>
      <c r="L978" s="9">
        <v>116.1</v>
      </c>
      <c r="M978" s="9">
        <v>24.02</v>
      </c>
      <c r="N978" s="9">
        <v>115.37</v>
      </c>
      <c r="O978" s="9">
        <v>114.29</v>
      </c>
      <c r="P978" s="9">
        <v>131.04</v>
      </c>
      <c r="Q978" s="9">
        <v>1414.945</v>
      </c>
      <c r="R978" s="14"/>
      <c r="S978" s="12">
        <f t="shared" si="2"/>
        <v>0.001261283162</v>
      </c>
      <c r="T978" s="12">
        <f t="shared" si="3"/>
        <v>1.001261283</v>
      </c>
      <c r="U978" s="16">
        <f t="shared" si="7"/>
        <v>100.0699683</v>
      </c>
      <c r="V978" s="17"/>
      <c r="W978" s="12">
        <f t="array" ref="W978">SQRT(252/20) *  SQRT( SUMSQ( LN(U957:U976 / U956:U975) )  - (1/20) * ( SUM( LN(U957:U976 / U956:U975) ) ^ 2 ) )</f>
        <v>0.02718780389</v>
      </c>
      <c r="X978" s="9">
        <f t="shared" si="4"/>
        <v>1.5</v>
      </c>
      <c r="Y978" s="14"/>
      <c r="Z978" s="12">
        <f t="shared" si="5"/>
        <v>1.00189705</v>
      </c>
      <c r="AA978" s="16">
        <f t="shared" si="8"/>
        <v>100.4687575</v>
      </c>
      <c r="AB978" s="14"/>
      <c r="AC978" s="9">
        <f t="shared" si="6"/>
        <v>0</v>
      </c>
    </row>
    <row r="979">
      <c r="A979" s="8">
        <v>43145.0</v>
      </c>
      <c r="B979" s="14"/>
      <c r="C979" s="12">
        <f t="array" ref="C979">IFERROR(
  INDEX(
    IR!$B$2:$E2026,                
    MATCH($A979, IR!$A$2:$A2026, 0), 
    MATCH(C$1, IR!$B$1:$E$1, 0) ), "")
</f>
        <v>-0.00369</v>
      </c>
      <c r="D979" s="12">
        <f t="array" ref="D979">IFERROR(
  INDEX(
    IR!$B$2:$E2026,                
    MATCH($A979, IR!$A$2:$A2026, 0), 
    MATCH(D$1, IR!$B$1:$E$1, 0) ), "")
</f>
        <v>-0.00328</v>
      </c>
      <c r="E979" s="12">
        <f t="array" ref="E979">IFERROR(
  INDEX(
    IR!$B$2:$E2026,                
    MATCH($A979, IR!$A$2:$A2026, 0), 
    MATCH(E$1, IR!$B$1:$E$1, 0) ), "")
</f>
        <v>-0.00276</v>
      </c>
      <c r="F979" s="12">
        <f t="array" ref="F979">IFERROR(
  INDEX(
    IR!$B$2:$E2026,                
    MATCH($A979, IR!$A$2:$A2026, 0), 
    MATCH(F$1, IR!$B$1:$E$1, 0) ), "")
</f>
        <v>-0.00192</v>
      </c>
      <c r="G979" s="25"/>
      <c r="H979" s="12">
        <f t="array" ref="H979">IFERROR(
  INDEX(
    SR!$B$2:$D2026,            
    MATCH($A979, SR!$A$2:$A2026, 0),  
    MATCH(H$1, SR!$B$1:$D$1, 0) ), "")
</f>
        <v>-0.001261</v>
      </c>
      <c r="I979" s="12">
        <f t="array" ref="I979">IFERROR(
  INDEX(
    SR!$B$2:$D2026,            
    MATCH($A979, SR!$A$2:$A2026, 0),  
    MATCH(I$1, SR!$B$1:$D$1, 0) ), "")
</f>
        <v>0.000816</v>
      </c>
      <c r="J979" s="12">
        <f t="array" ref="J979">IFERROR(
  INDEX(
    SR!$B$2:$D2026,            
    MATCH($A979, SR!$A$2:$A2026, 0),  
    MATCH(J$1, SR!$B$1:$D$1, 0) ), "")
</f>
        <v>0.004965</v>
      </c>
      <c r="K979" s="14"/>
      <c r="L979" s="9">
        <v>116.28</v>
      </c>
      <c r="M979" s="9">
        <v>24.02</v>
      </c>
      <c r="N979" s="9">
        <v>115.37</v>
      </c>
      <c r="O979" s="9">
        <v>114.05</v>
      </c>
      <c r="P979" s="9">
        <v>130.71</v>
      </c>
      <c r="Q979" s="9">
        <v>1424.751</v>
      </c>
      <c r="R979" s="14"/>
      <c r="S979" s="12">
        <f t="shared" si="2"/>
        <v>0.0006441782063</v>
      </c>
      <c r="T979" s="12">
        <f t="shared" si="3"/>
        <v>1.000644178</v>
      </c>
      <c r="U979" s="16">
        <f t="shared" si="7"/>
        <v>100.1344312</v>
      </c>
      <c r="V979" s="17"/>
      <c r="W979" s="12">
        <f t="array" ref="W979">SQRT(252/20) *  SQRT( SUMSQ( LN(U958:U977 / U957:U976) )  - (1/20) * ( SUM( LN(U958:U977 / U957:U976) ) ^ 2 ) )</f>
        <v>0.02678993568</v>
      </c>
      <c r="X979" s="9">
        <f t="shared" si="4"/>
        <v>1.5</v>
      </c>
      <c r="Y979" s="14"/>
      <c r="Z979" s="12">
        <f t="shared" si="5"/>
        <v>1.000971392</v>
      </c>
      <c r="AA979" s="16">
        <f t="shared" si="8"/>
        <v>100.5663521</v>
      </c>
      <c r="AB979" s="14"/>
      <c r="AC979" s="9">
        <f t="shared" si="6"/>
        <v>0</v>
      </c>
    </row>
    <row r="980">
      <c r="A980" s="8">
        <v>43146.0</v>
      </c>
      <c r="B980" s="14"/>
      <c r="C980" s="12">
        <f t="array" ref="C980">IFERROR(
  INDEX(
    IR!$B$2:$E2026,                
    MATCH($A980, IR!$A$2:$A2026, 0), 
    MATCH(C$1, IR!$B$1:$E$1, 0) ), "")
</f>
        <v>-0.00369</v>
      </c>
      <c r="D980" s="12">
        <f t="array" ref="D980">IFERROR(
  INDEX(
    IR!$B$2:$E2026,                
    MATCH($A980, IR!$A$2:$A2026, 0), 
    MATCH(D$1, IR!$B$1:$E$1, 0) ), "")
</f>
        <v>-0.00328</v>
      </c>
      <c r="E980" s="12">
        <f t="array" ref="E980">IFERROR(
  INDEX(
    IR!$B$2:$E2026,                
    MATCH($A980, IR!$A$2:$A2026, 0), 
    MATCH(E$1, IR!$B$1:$E$1, 0) ), "")
</f>
        <v>-0.00276</v>
      </c>
      <c r="F980" s="12">
        <f t="array" ref="F980">IFERROR(
  INDEX(
    IR!$B$2:$E2026,                
    MATCH($A980, IR!$A$2:$A2026, 0), 
    MATCH(F$1, IR!$B$1:$E$1, 0) ), "")
</f>
        <v>-0.00191</v>
      </c>
      <c r="G980" s="25"/>
      <c r="H980" s="12">
        <f t="array" ref="H980">IFERROR(
  INDEX(
    SR!$B$2:$D2026,            
    MATCH($A980, SR!$A$2:$A2026, 0),  
    MATCH(H$1, SR!$B$1:$D$1, 0) ), "")
</f>
        <v>-0.00121</v>
      </c>
      <c r="I980" s="12">
        <f t="array" ref="I980">IFERROR(
  INDEX(
    SR!$B$2:$D2026,            
    MATCH($A980, SR!$A$2:$A2026, 0),  
    MATCH(I$1, SR!$B$1:$D$1, 0) ), "")
</f>
        <v>0.000888</v>
      </c>
      <c r="J980" s="12">
        <f t="array" ref="J980">IFERROR(
  INDEX(
    SR!$B$2:$D2026,            
    MATCH($A980, SR!$A$2:$A2026, 0),  
    MATCH(J$1, SR!$B$1:$D$1, 0) ), "")
</f>
        <v>0.005094</v>
      </c>
      <c r="K980" s="14"/>
      <c r="L980" s="9">
        <v>116.33</v>
      </c>
      <c r="M980" s="9">
        <v>24.01</v>
      </c>
      <c r="N980" s="9">
        <v>115.37</v>
      </c>
      <c r="O980" s="9">
        <v>114.23</v>
      </c>
      <c r="P980" s="9">
        <v>131.01</v>
      </c>
      <c r="Q980" s="9">
        <v>1425.77</v>
      </c>
      <c r="R980" s="14"/>
      <c r="S980" s="12">
        <f t="shared" si="2"/>
        <v>0.000766815016</v>
      </c>
      <c r="T980" s="12">
        <f t="shared" si="3"/>
        <v>1.000766815</v>
      </c>
      <c r="U980" s="16">
        <f t="shared" si="7"/>
        <v>100.2112158</v>
      </c>
      <c r="V980" s="17"/>
      <c r="W980" s="12">
        <f t="array" ref="W980">SQRT(252/20) *  SQRT( SUMSQ( LN(U959:U978 / U958:U977) )  - (1/20) * ( SUM( LN(U959:U978 / U958:U977) ) ^ 2 ) )</f>
        <v>0.02751138927</v>
      </c>
      <c r="X980" s="9">
        <f t="shared" si="4"/>
        <v>1.5</v>
      </c>
      <c r="Y980" s="14"/>
      <c r="Z980" s="12">
        <f t="shared" si="5"/>
        <v>1.001155348</v>
      </c>
      <c r="AA980" s="16">
        <f t="shared" si="8"/>
        <v>100.6825412</v>
      </c>
      <c r="AB980" s="14"/>
      <c r="AC980" s="9">
        <f t="shared" si="6"/>
        <v>0</v>
      </c>
    </row>
    <row r="981">
      <c r="A981" s="8">
        <v>43147.0</v>
      </c>
      <c r="B981" s="14"/>
      <c r="C981" s="12">
        <f t="array" ref="C981">IFERROR(
  INDEX(
    IR!$B$2:$E2026,                
    MATCH($A981, IR!$A$2:$A2026, 0), 
    MATCH(C$1, IR!$B$1:$E$1, 0) ), "")
</f>
        <v>-0.00369</v>
      </c>
      <c r="D981" s="12">
        <f t="array" ref="D981">IFERROR(
  INDEX(
    IR!$B$2:$E2026,                
    MATCH($A981, IR!$A$2:$A2026, 0), 
    MATCH(D$1, IR!$B$1:$E$1, 0) ), "")
</f>
        <v>-0.00328</v>
      </c>
      <c r="E981" s="12">
        <f t="array" ref="E981">IFERROR(
  INDEX(
    IR!$B$2:$E2026,                
    MATCH($A981, IR!$A$2:$A2026, 0), 
    MATCH(E$1, IR!$B$1:$E$1, 0) ), "")
</f>
        <v>-0.00274</v>
      </c>
      <c r="F981" s="12">
        <f t="array" ref="F981">IFERROR(
  INDEX(
    IR!$B$2:$E2026,                
    MATCH($A981, IR!$A$2:$A2026, 0), 
    MATCH(F$1, IR!$B$1:$E$1, 0) ), "")
</f>
        <v>-0.00192</v>
      </c>
      <c r="G981" s="25"/>
      <c r="H981" s="12">
        <f t="array" ref="H981">IFERROR(
  INDEX(
    SR!$B$2:$D2026,            
    MATCH($A981, SR!$A$2:$A2026, 0),  
    MATCH(H$1, SR!$B$1:$D$1, 0) ), "")
</f>
        <v>-0.001245</v>
      </c>
      <c r="I981" s="12">
        <f t="array" ref="I981">IFERROR(
  INDEX(
    SR!$B$2:$D2026,            
    MATCH($A981, SR!$A$2:$A2026, 0),  
    MATCH(I$1, SR!$B$1:$D$1, 0) ), "")
</f>
        <v>0.000773</v>
      </c>
      <c r="J981" s="12">
        <f t="array" ref="J981">IFERROR(
  INDEX(
    SR!$B$2:$D2026,            
    MATCH($A981, SR!$A$2:$A2026, 0),  
    MATCH(J$1, SR!$B$1:$D$1, 0) ), "")
</f>
        <v>0.00478</v>
      </c>
      <c r="K981" s="14"/>
      <c r="L981" s="9">
        <v>116.66</v>
      </c>
      <c r="M981" s="9">
        <v>24.03</v>
      </c>
      <c r="N981" s="9">
        <v>115.36</v>
      </c>
      <c r="O981" s="9">
        <v>114.28</v>
      </c>
      <c r="P981" s="9">
        <v>131.19</v>
      </c>
      <c r="Q981" s="9">
        <v>1432.56</v>
      </c>
      <c r="R981" s="14"/>
      <c r="S981" s="12">
        <f t="shared" si="2"/>
        <v>0.001692642324</v>
      </c>
      <c r="T981" s="12">
        <f t="shared" si="3"/>
        <v>1.001692642</v>
      </c>
      <c r="U981" s="16">
        <f t="shared" si="7"/>
        <v>100.3808375</v>
      </c>
      <c r="V981" s="17"/>
      <c r="W981" s="12">
        <f t="array" ref="W981">SQRT(252/20) *  SQRT( SUMSQ( LN(U960:U979 / U959:U978) )  - (1/20) * ( SUM( LN(U960:U979 / U959:U978) ) ^ 2 ) )</f>
        <v>0.02783051594</v>
      </c>
      <c r="X981" s="9">
        <f t="shared" si="4"/>
        <v>1.5</v>
      </c>
      <c r="Y981" s="14"/>
      <c r="Z981" s="12">
        <f t="shared" si="5"/>
        <v>1.002544088</v>
      </c>
      <c r="AA981" s="16">
        <f t="shared" si="8"/>
        <v>100.9386865</v>
      </c>
      <c r="AB981" s="14"/>
      <c r="AC981" s="9">
        <f t="shared" si="6"/>
        <v>0</v>
      </c>
    </row>
    <row r="982">
      <c r="A982" s="8">
        <v>43150.0</v>
      </c>
      <c r="B982" s="14"/>
      <c r="C982" s="12">
        <f t="array" ref="C982">IFERROR(
  INDEX(
    IR!$B$2:$E2026,                
    MATCH($A982, IR!$A$2:$A2026, 0), 
    MATCH(C$1, IR!$B$1:$E$1, 0) ), "")
</f>
        <v>-0.00369</v>
      </c>
      <c r="D982" s="12">
        <f t="array" ref="D982">IFERROR(
  INDEX(
    IR!$B$2:$E2026,                
    MATCH($A982, IR!$A$2:$A2026, 0), 
    MATCH(D$1, IR!$B$1:$E$1, 0) ), "")
</f>
        <v>-0.00329</v>
      </c>
      <c r="E982" s="12">
        <f t="array" ref="E982">IFERROR(
  INDEX(
    IR!$B$2:$E2026,                
    MATCH($A982, IR!$A$2:$A2026, 0), 
    MATCH(E$1, IR!$B$1:$E$1, 0) ), "")
</f>
        <v>-0.00274</v>
      </c>
      <c r="F982" s="12">
        <f t="array" ref="F982">IFERROR(
  INDEX(
    IR!$B$2:$E2026,                
    MATCH($A982, IR!$A$2:$A2026, 0), 
    MATCH(F$1, IR!$B$1:$E$1, 0) ), "")
</f>
        <v>-0.00193</v>
      </c>
      <c r="G982" s="25"/>
      <c r="H982" s="12">
        <f t="array" ref="H982">IFERROR(
  INDEX(
    SR!$B$2:$D2026,            
    MATCH($A982, SR!$A$2:$A2026, 0),  
    MATCH(H$1, SR!$B$1:$D$1, 0) ), "")
</f>
        <v>-0.001195</v>
      </c>
      <c r="I982" s="12">
        <f t="array" ref="I982">IFERROR(
  INDEX(
    SR!$B$2:$D2026,            
    MATCH($A982, SR!$A$2:$A2026, 0),  
    MATCH(I$1, SR!$B$1:$D$1, 0) ), "")
</f>
        <v>0.00088</v>
      </c>
      <c r="J982" s="12">
        <f t="array" ref="J982">IFERROR(
  INDEX(
    SR!$B$2:$D2026,            
    MATCH($A982, SR!$A$2:$A2026, 0),  
    MATCH(J$1, SR!$B$1:$D$1, 0) ), "")
</f>
        <v>0.004925</v>
      </c>
      <c r="K982" s="14"/>
      <c r="L982" s="9">
        <v>116.54</v>
      </c>
      <c r="M982" s="9">
        <v>24.03</v>
      </c>
      <c r="N982" s="9">
        <v>115.4</v>
      </c>
      <c r="O982" s="9">
        <v>114.66</v>
      </c>
      <c r="P982" s="9">
        <v>131.4</v>
      </c>
      <c r="Q982" s="9">
        <v>1437.0</v>
      </c>
      <c r="R982" s="14"/>
      <c r="S982" s="12">
        <f t="shared" si="2"/>
        <v>0.00122371289</v>
      </c>
      <c r="T982" s="12">
        <f t="shared" si="3"/>
        <v>1.001223713</v>
      </c>
      <c r="U982" s="16">
        <f t="shared" si="7"/>
        <v>100.5036748</v>
      </c>
      <c r="V982" s="17"/>
      <c r="W982" s="12">
        <f t="array" ref="W982">SQRT(252/20) *  SQRT( SUMSQ( LN(U961:U980 / U960:U979) )  - (1/20) * ( SUM( LN(U961:U980 / U960:U979) ) ^ 2 ) )</f>
        <v>0.02826721612</v>
      </c>
      <c r="X982" s="9">
        <f t="shared" si="4"/>
        <v>1.5</v>
      </c>
      <c r="Y982" s="14"/>
      <c r="Z982" s="12">
        <f t="shared" si="5"/>
        <v>1.001850944</v>
      </c>
      <c r="AA982" s="16">
        <f t="shared" si="8"/>
        <v>101.1255183</v>
      </c>
      <c r="AB982" s="14"/>
      <c r="AC982" s="9">
        <f t="shared" si="6"/>
        <v>0</v>
      </c>
    </row>
    <row r="983">
      <c r="A983" s="8">
        <v>43151.0</v>
      </c>
      <c r="B983" s="14"/>
      <c r="C983" s="12">
        <f t="array" ref="C983">IFERROR(
  INDEX(
    IR!$B$2:$E2026,                
    MATCH($A983, IR!$A$2:$A2026, 0), 
    MATCH(C$1, IR!$B$1:$E$1, 0) ), "")
</f>
        <v>-0.0037</v>
      </c>
      <c r="D983" s="12">
        <f t="array" ref="D983">IFERROR(
  INDEX(
    IR!$B$2:$E2026,                
    MATCH($A983, IR!$A$2:$A2026, 0), 
    MATCH(D$1, IR!$B$1:$E$1, 0) ), "")
</f>
        <v>-0.00329</v>
      </c>
      <c r="E983" s="12">
        <f t="array" ref="E983">IFERROR(
  INDEX(
    IR!$B$2:$E2026,                
    MATCH($A983, IR!$A$2:$A2026, 0), 
    MATCH(E$1, IR!$B$1:$E$1, 0) ), "")
</f>
        <v>-0.00273</v>
      </c>
      <c r="F983" s="12">
        <f t="array" ref="F983">IFERROR(
  INDEX(
    IR!$B$2:$E2026,                
    MATCH($A983, IR!$A$2:$A2026, 0), 
    MATCH(F$1, IR!$B$1:$E$1, 0) ), "")
</f>
        <v>-0.00193</v>
      </c>
      <c r="G983" s="25"/>
      <c r="H983" s="12">
        <f t="array" ref="H983">IFERROR(
  INDEX(
    SR!$B$2:$D2026,            
    MATCH($A983, SR!$A$2:$A2026, 0),  
    MATCH(H$1, SR!$B$1:$D$1, 0) ), "")
</f>
        <v>-0.001192</v>
      </c>
      <c r="I983" s="12">
        <f t="array" ref="I983">IFERROR(
  INDEX(
    SR!$B$2:$D2026,            
    MATCH($A983, SR!$A$2:$A2026, 0),  
    MATCH(I$1, SR!$B$1:$D$1, 0) ), "")
</f>
        <v>0.00088</v>
      </c>
      <c r="J983" s="12">
        <f t="array" ref="J983">IFERROR(
  INDEX(
    SR!$B$2:$D2026,            
    MATCH($A983, SR!$A$2:$A2026, 0),  
    MATCH(J$1, SR!$B$1:$D$1, 0) ), "")
</f>
        <v>0.004895</v>
      </c>
      <c r="K983" s="14"/>
      <c r="L983" s="9">
        <v>116.77</v>
      </c>
      <c r="M983" s="9">
        <v>24.03</v>
      </c>
      <c r="N983" s="9">
        <v>115.41</v>
      </c>
      <c r="O983" s="9">
        <v>114.43</v>
      </c>
      <c r="P983" s="9">
        <v>131.38</v>
      </c>
      <c r="Q983" s="9">
        <v>1435.984</v>
      </c>
      <c r="R983" s="14"/>
      <c r="S983" s="12">
        <f t="shared" si="2"/>
        <v>-0.0001341736555</v>
      </c>
      <c r="T983" s="12">
        <f t="shared" si="3"/>
        <v>0.9998658263</v>
      </c>
      <c r="U983" s="16">
        <f t="shared" si="7"/>
        <v>100.4901899</v>
      </c>
      <c r="V983" s="17"/>
      <c r="W983" s="12">
        <f t="array" ref="W983">SQRT(252/20) *  SQRT( SUMSQ( LN(U962:U981 / U961:U980) )  - (1/20) * ( SUM( LN(U962:U981 / U961:U980) ) ^ 2 ) )</f>
        <v>0.0292904016</v>
      </c>
      <c r="X983" s="9">
        <f t="shared" si="4"/>
        <v>1.5</v>
      </c>
      <c r="Y983" s="14"/>
      <c r="Z983" s="12">
        <f t="shared" si="5"/>
        <v>0.9998038645</v>
      </c>
      <c r="AA983" s="16">
        <f t="shared" si="8"/>
        <v>101.105684</v>
      </c>
      <c r="AB983" s="14"/>
      <c r="AC983" s="9">
        <f t="shared" si="6"/>
        <v>0</v>
      </c>
    </row>
    <row r="984">
      <c r="A984" s="8">
        <v>43152.0</v>
      </c>
      <c r="B984" s="14"/>
      <c r="C984" s="12">
        <f t="array" ref="C984">IFERROR(
  INDEX(
    IR!$B$2:$E2026,                
    MATCH($A984, IR!$A$2:$A2026, 0), 
    MATCH(C$1, IR!$B$1:$E$1, 0) ), "")
</f>
        <v>-0.0037</v>
      </c>
      <c r="D984" s="12">
        <f t="array" ref="D984">IFERROR(
  INDEX(
    IR!$B$2:$E2026,                
    MATCH($A984, IR!$A$2:$A2026, 0), 
    MATCH(D$1, IR!$B$1:$E$1, 0) ), "")
</f>
        <v>-0.00329</v>
      </c>
      <c r="E984" s="12">
        <f t="array" ref="E984">IFERROR(
  INDEX(
    IR!$B$2:$E2026,                
    MATCH($A984, IR!$A$2:$A2026, 0), 
    MATCH(E$1, IR!$B$1:$E$1, 0) ), "")
</f>
        <v>-0.00271</v>
      </c>
      <c r="F984" s="12">
        <f t="array" ref="F984">IFERROR(
  INDEX(
    IR!$B$2:$E2026,                
    MATCH($A984, IR!$A$2:$A2026, 0), 
    MATCH(F$1, IR!$B$1:$E$1, 0) ), "")
</f>
        <v>-0.00191</v>
      </c>
      <c r="G984" s="25"/>
      <c r="H984" s="12">
        <f t="array" ref="H984">IFERROR(
  INDEX(
    SR!$B$2:$D2026,            
    MATCH($A984, SR!$A$2:$A2026, 0),  
    MATCH(H$1, SR!$B$1:$D$1, 0) ), "")
</f>
        <v>-0.0012</v>
      </c>
      <c r="I984" s="12">
        <f t="array" ref="I984">IFERROR(
  INDEX(
    SR!$B$2:$D2026,            
    MATCH($A984, SR!$A$2:$A2026, 0),  
    MATCH(I$1, SR!$B$1:$D$1, 0) ), "")
</f>
        <v>0.000868</v>
      </c>
      <c r="J984" s="12">
        <f t="array" ref="J984">IFERROR(
  INDEX(
    SR!$B$2:$D2026,            
    MATCH($A984, SR!$A$2:$A2026, 0),  
    MATCH(J$1, SR!$B$1:$D$1, 0) ), "")
</f>
        <v>0.004835</v>
      </c>
      <c r="K984" s="14"/>
      <c r="L984" s="9">
        <v>116.77</v>
      </c>
      <c r="M984" s="9">
        <v>24.04</v>
      </c>
      <c r="N984" s="9">
        <v>115.41</v>
      </c>
      <c r="O984" s="9">
        <v>114.6</v>
      </c>
      <c r="P984" s="9">
        <v>131.34</v>
      </c>
      <c r="Q984" s="9">
        <v>1439.934</v>
      </c>
      <c r="R984" s="14"/>
      <c r="S984" s="12">
        <f t="shared" si="2"/>
        <v>0.0007246581313</v>
      </c>
      <c r="T984" s="12">
        <f t="shared" si="3"/>
        <v>1.000724658</v>
      </c>
      <c r="U984" s="16">
        <f t="shared" si="7"/>
        <v>100.5630109</v>
      </c>
      <c r="V984" s="17"/>
      <c r="W984" s="12">
        <f t="array" ref="W984">SQRT(252/20) *  SQRT( SUMSQ( LN(U963:U982 / U962:U981) )  - (1/20) * ( SUM( LN(U963:U982 / U962:U981) ) ^ 2 ) )</f>
        <v>0.02940750617</v>
      </c>
      <c r="X984" s="9">
        <f t="shared" si="4"/>
        <v>1.5</v>
      </c>
      <c r="Y984" s="14"/>
      <c r="Z984" s="12">
        <f t="shared" si="5"/>
        <v>1.001092126</v>
      </c>
      <c r="AA984" s="16">
        <f t="shared" si="8"/>
        <v>101.2161042</v>
      </c>
      <c r="AB984" s="14"/>
      <c r="AC984" s="9">
        <f t="shared" si="6"/>
        <v>0</v>
      </c>
    </row>
    <row r="985">
      <c r="A985" s="8">
        <v>43153.0</v>
      </c>
      <c r="B985" s="14"/>
      <c r="C985" s="12">
        <f t="array" ref="C985">IFERROR(
  INDEX(
    IR!$B$2:$E2026,                
    MATCH($A985, IR!$A$2:$A2026, 0), 
    MATCH(C$1, IR!$B$1:$E$1, 0) ), "")
</f>
        <v>-0.0037</v>
      </c>
      <c r="D985" s="12">
        <f t="array" ref="D985">IFERROR(
  INDEX(
    IR!$B$2:$E2026,                
    MATCH($A985, IR!$A$2:$A2026, 0), 
    MATCH(D$1, IR!$B$1:$E$1, 0) ), "")
</f>
        <v>-0.00328</v>
      </c>
      <c r="E985" s="12">
        <f t="array" ref="E985">IFERROR(
  INDEX(
    IR!$B$2:$E2026,                
    MATCH($A985, IR!$A$2:$A2026, 0), 
    MATCH(E$1, IR!$B$1:$E$1, 0) ), "")
</f>
        <v>-0.0027</v>
      </c>
      <c r="F985" s="12">
        <f t="array" ref="F985">IFERROR(
  INDEX(
    IR!$B$2:$E2026,                
    MATCH($A985, IR!$A$2:$A2026, 0), 
    MATCH(F$1, IR!$B$1:$E$1, 0) ), "")
</f>
        <v>-0.00191</v>
      </c>
      <c r="G985" s="25"/>
      <c r="H985" s="12">
        <f t="array" ref="H985">IFERROR(
  INDEX(
    SR!$B$2:$D2026,            
    MATCH($A985, SR!$A$2:$A2026, 0),  
    MATCH(H$1, SR!$B$1:$D$1, 0) ), "")
</f>
        <v>-0.001137</v>
      </c>
      <c r="I985" s="12">
        <f t="array" ref="I985">IFERROR(
  INDEX(
    SR!$B$2:$D2026,            
    MATCH($A985, SR!$A$2:$A2026, 0),  
    MATCH(I$1, SR!$B$1:$D$1, 0) ), "")
</f>
        <v>0.000888</v>
      </c>
      <c r="J985" s="12">
        <f t="array" ref="J985">IFERROR(
  INDEX(
    SR!$B$2:$D2026,            
    MATCH($A985, SR!$A$2:$A2026, 0),  
    MATCH(J$1, SR!$B$1:$D$1, 0) ), "")
</f>
        <v>0.00487</v>
      </c>
      <c r="K985" s="14"/>
      <c r="L985" s="9">
        <v>116.72</v>
      </c>
      <c r="M985" s="9">
        <v>24.03</v>
      </c>
      <c r="N985" s="9">
        <v>115.4</v>
      </c>
      <c r="O985" s="9">
        <v>114.55</v>
      </c>
      <c r="P985" s="9">
        <v>131.45</v>
      </c>
      <c r="Q985" s="9">
        <v>1438.423</v>
      </c>
      <c r="R985" s="14"/>
      <c r="S985" s="12">
        <f t="shared" si="2"/>
        <v>-0.000263157346</v>
      </c>
      <c r="T985" s="12">
        <f t="shared" si="3"/>
        <v>0.9997368427</v>
      </c>
      <c r="U985" s="16">
        <f t="shared" si="7"/>
        <v>100.536547</v>
      </c>
      <c r="V985" s="17"/>
      <c r="W985" s="12">
        <f t="array" ref="W985">SQRT(252/20) *  SQRT( SUMSQ( LN(U964:U983 / U963:U982) )  - (1/20) * ( SUM( LN(U964:U983 / U963:U982) ) ^ 2 ) )</f>
        <v>0.02893785932</v>
      </c>
      <c r="X985" s="9">
        <f t="shared" si="4"/>
        <v>1.5</v>
      </c>
      <c r="Y985" s="14"/>
      <c r="Z985" s="12">
        <f t="shared" si="5"/>
        <v>0.9996104029</v>
      </c>
      <c r="AA985" s="16">
        <f t="shared" si="8"/>
        <v>101.1766707</v>
      </c>
      <c r="AB985" s="14"/>
      <c r="AC985" s="9">
        <f t="shared" si="6"/>
        <v>0</v>
      </c>
    </row>
    <row r="986">
      <c r="A986" s="8">
        <v>43154.0</v>
      </c>
      <c r="B986" s="14"/>
      <c r="C986" s="12">
        <f t="array" ref="C986">IFERROR(
  INDEX(
    IR!$B$2:$E2026,                
    MATCH($A986, IR!$A$2:$A2026, 0), 
    MATCH(C$1, IR!$B$1:$E$1, 0) ), "")
</f>
        <v>-0.0037</v>
      </c>
      <c r="D986" s="12">
        <f t="array" ref="D986">IFERROR(
  INDEX(
    IR!$B$2:$E2026,                
    MATCH($A986, IR!$A$2:$A2026, 0), 
    MATCH(D$1, IR!$B$1:$E$1, 0) ), "")
</f>
        <v>-0.00328</v>
      </c>
      <c r="E986" s="12">
        <f t="array" ref="E986">IFERROR(
  INDEX(
    IR!$B$2:$E2026,                
    MATCH($A986, IR!$A$2:$A2026, 0), 
    MATCH(E$1, IR!$B$1:$E$1, 0) ), "")
</f>
        <v>-0.00271</v>
      </c>
      <c r="F986" s="12">
        <f t="array" ref="F986">IFERROR(
  INDEX(
    IR!$B$2:$E2026,                
    MATCH($A986, IR!$A$2:$A2026, 0), 
    MATCH(F$1, IR!$B$1:$E$1, 0) ), "")
</f>
        <v>-0.00191</v>
      </c>
      <c r="G986" s="25"/>
      <c r="H986" s="12">
        <f t="array" ref="H986">IFERROR(
  INDEX(
    SR!$B$2:$D2026,            
    MATCH($A986, SR!$A$2:$A2026, 0),  
    MATCH(H$1, SR!$B$1:$D$1, 0) ), "")
</f>
        <v>-0.00118</v>
      </c>
      <c r="I986" s="12">
        <f t="array" ref="I986">IFERROR(
  INDEX(
    SR!$B$2:$D2026,            
    MATCH($A986, SR!$A$2:$A2026, 0),  
    MATCH(I$1, SR!$B$1:$D$1, 0) ), "")
</f>
        <v>0.00077</v>
      </c>
      <c r="J986" s="12">
        <f t="array" ref="J986">IFERROR(
  INDEX(
    SR!$B$2:$D2026,            
    MATCH($A986, SR!$A$2:$A2026, 0),  
    MATCH(J$1, SR!$B$1:$D$1, 0) ), "")
</f>
        <v>0.004598</v>
      </c>
      <c r="K986" s="14"/>
      <c r="L986" s="9">
        <v>116.8</v>
      </c>
      <c r="M986" s="9">
        <v>24.04</v>
      </c>
      <c r="N986" s="9">
        <v>115.39</v>
      </c>
      <c r="O986" s="9">
        <v>114.64</v>
      </c>
      <c r="P986" s="9">
        <v>131.35</v>
      </c>
      <c r="Q986" s="9">
        <v>1440.047</v>
      </c>
      <c r="R986" s="14"/>
      <c r="S986" s="12">
        <f t="shared" si="2"/>
        <v>0.0003614423306</v>
      </c>
      <c r="T986" s="12">
        <f t="shared" si="3"/>
        <v>1.000361442</v>
      </c>
      <c r="U986" s="16">
        <f t="shared" si="7"/>
        <v>100.5728852</v>
      </c>
      <c r="V986" s="17"/>
      <c r="W986" s="12">
        <f t="array" ref="W986">SQRT(252/20) *  SQRT( SUMSQ( LN(U965:U984 / U964:U983) )  - (1/20) * ( SUM( LN(U965:U984 / U964:U983) ) ^ 2 ) )</f>
        <v>0.02914944073</v>
      </c>
      <c r="X986" s="9">
        <f t="shared" si="4"/>
        <v>1.5</v>
      </c>
      <c r="Y986" s="14"/>
      <c r="Z986" s="12">
        <f t="shared" si="5"/>
        <v>1.000547302</v>
      </c>
      <c r="AA986" s="16">
        <f t="shared" si="8"/>
        <v>101.2320449</v>
      </c>
      <c r="AB986" s="14"/>
      <c r="AC986" s="9">
        <f t="shared" si="6"/>
        <v>0</v>
      </c>
    </row>
    <row r="987">
      <c r="A987" s="8">
        <v>43157.0</v>
      </c>
      <c r="B987" s="14"/>
      <c r="C987" s="12">
        <f t="array" ref="C987">IFERROR(
  INDEX(
    IR!$B$2:$E2026,                
    MATCH($A987, IR!$A$2:$A2026, 0), 
    MATCH(C$1, IR!$B$1:$E$1, 0) ), "")
</f>
        <v>-0.00371</v>
      </c>
      <c r="D987" s="12">
        <f t="array" ref="D987">IFERROR(
  INDEX(
    IR!$B$2:$E2026,                
    MATCH($A987, IR!$A$2:$A2026, 0), 
    MATCH(D$1, IR!$B$1:$E$1, 0) ), "")
</f>
        <v>-0.00328</v>
      </c>
      <c r="E987" s="12">
        <f t="array" ref="E987">IFERROR(
  INDEX(
    IR!$B$2:$E2026,                
    MATCH($A987, IR!$A$2:$A2026, 0), 
    MATCH(E$1, IR!$B$1:$E$1, 0) ), "")
</f>
        <v>-0.00271</v>
      </c>
      <c r="F987" s="12">
        <f t="array" ref="F987">IFERROR(
  INDEX(
    IR!$B$2:$E2026,                
    MATCH($A987, IR!$A$2:$A2026, 0), 
    MATCH(F$1, IR!$B$1:$E$1, 0) ), "")
</f>
        <v>-0.0019</v>
      </c>
      <c r="G987" s="25"/>
      <c r="H987" s="12">
        <f t="array" ref="H987">IFERROR(
  INDEX(
    SR!$B$2:$D2026,            
    MATCH($A987, SR!$A$2:$A2026, 0),  
    MATCH(H$1, SR!$B$1:$D$1, 0) ), "")
</f>
        <v>-0.00115</v>
      </c>
      <c r="I987" s="12">
        <f t="array" ref="I987">IFERROR(
  INDEX(
    SR!$B$2:$D2026,            
    MATCH($A987, SR!$A$2:$A2026, 0),  
    MATCH(I$1, SR!$B$1:$D$1, 0) ), "")
</f>
        <v>0.00084</v>
      </c>
      <c r="J987" s="12">
        <f t="array" ref="J987">IFERROR(
  INDEX(
    SR!$B$2:$D2026,            
    MATCH($A987, SR!$A$2:$A2026, 0),  
    MATCH(J$1, SR!$B$1:$D$1, 0) ), "")
</f>
        <v>0.00464</v>
      </c>
      <c r="K987" s="14"/>
      <c r="L987" s="9">
        <v>116.88</v>
      </c>
      <c r="M987" s="9">
        <v>24.04</v>
      </c>
      <c r="N987" s="9">
        <v>115.42</v>
      </c>
      <c r="O987" s="9">
        <v>114.74</v>
      </c>
      <c r="P987" s="9">
        <v>131.46</v>
      </c>
      <c r="Q987" s="9">
        <v>1446.229</v>
      </c>
      <c r="R987" s="14"/>
      <c r="S987" s="12">
        <f t="shared" si="2"/>
        <v>0.001157897431</v>
      </c>
      <c r="T987" s="12">
        <f t="shared" si="3"/>
        <v>1.001157897</v>
      </c>
      <c r="U987" s="16">
        <f t="shared" si="7"/>
        <v>100.6893383</v>
      </c>
      <c r="V987" s="17"/>
      <c r="W987" s="12">
        <f t="array" ref="W987">SQRT(252/20) *  SQRT( SUMSQ( LN(U966:U985 / U965:U984) )  - (1/20) * ( SUM( LN(U966:U985 / U965:U984) ) ^ 2 ) )</f>
        <v>0.02894445678</v>
      </c>
      <c r="X987" s="9">
        <f t="shared" si="4"/>
        <v>1.5</v>
      </c>
      <c r="Y987" s="14"/>
      <c r="Z987" s="12">
        <f t="shared" si="5"/>
        <v>1.001752263</v>
      </c>
      <c r="AA987" s="16">
        <f t="shared" si="8"/>
        <v>101.4094301</v>
      </c>
      <c r="AB987" s="14"/>
      <c r="AC987" s="9">
        <f t="shared" si="6"/>
        <v>0</v>
      </c>
    </row>
    <row r="988">
      <c r="A988" s="8">
        <v>43158.0</v>
      </c>
      <c r="B988" s="14"/>
      <c r="C988" s="12">
        <f t="array" ref="C988">IFERROR(
  INDEX(
    IR!$B$2:$E2026,                
    MATCH($A988, IR!$A$2:$A2026, 0), 
    MATCH(C$1, IR!$B$1:$E$1, 0) ), "")
</f>
        <v>-0.00371</v>
      </c>
      <c r="D988" s="12">
        <f t="array" ref="D988">IFERROR(
  INDEX(
    IR!$B$2:$E2026,                
    MATCH($A988, IR!$A$2:$A2026, 0), 
    MATCH(D$1, IR!$B$1:$E$1, 0) ), "")
</f>
        <v>-0.00328</v>
      </c>
      <c r="E988" s="12">
        <f t="array" ref="E988">IFERROR(
  INDEX(
    IR!$B$2:$E2026,                
    MATCH($A988, IR!$A$2:$A2026, 0), 
    MATCH(E$1, IR!$B$1:$E$1, 0) ), "")
</f>
        <v>-0.00271</v>
      </c>
      <c r="F988" s="12">
        <f t="array" ref="F988">IFERROR(
  INDEX(
    IR!$B$2:$E2026,                
    MATCH($A988, IR!$A$2:$A2026, 0), 
    MATCH(F$1, IR!$B$1:$E$1, 0) ), "")
</f>
        <v>-0.00191</v>
      </c>
      <c r="G988" s="25"/>
      <c r="H988" s="12">
        <f t="array" ref="H988">IFERROR(
  INDEX(
    SR!$B$2:$D2026,            
    MATCH($A988, SR!$A$2:$A2026, 0),  
    MATCH(H$1, SR!$B$1:$D$1, 0) ), "")
</f>
        <v>-0.00116</v>
      </c>
      <c r="I988" s="12">
        <f t="array" ref="I988">IFERROR(
  INDEX(
    SR!$B$2:$D2026,            
    MATCH($A988, SR!$A$2:$A2026, 0),  
    MATCH(I$1, SR!$B$1:$D$1, 0) ), "")
</f>
        <v>0.00085</v>
      </c>
      <c r="J988" s="12">
        <f t="array" ref="J988">IFERROR(
  INDEX(
    SR!$B$2:$D2026,            
    MATCH($A988, SR!$A$2:$A2026, 0),  
    MATCH(J$1, SR!$B$1:$D$1, 0) ), "")
</f>
        <v>0.004745</v>
      </c>
      <c r="K988" s="14"/>
      <c r="L988" s="9">
        <v>116.74</v>
      </c>
      <c r="M988" s="9">
        <v>24.04</v>
      </c>
      <c r="N988" s="9">
        <v>115.45</v>
      </c>
      <c r="O988" s="9">
        <v>114.95</v>
      </c>
      <c r="P988" s="9">
        <v>131.65</v>
      </c>
      <c r="Q988" s="9">
        <v>1448.561</v>
      </c>
      <c r="R988" s="14"/>
      <c r="S988" s="12">
        <f t="shared" si="2"/>
        <v>0.0006582498028</v>
      </c>
      <c r="T988" s="12">
        <f t="shared" si="3"/>
        <v>1.00065825</v>
      </c>
      <c r="U988" s="16">
        <f t="shared" si="7"/>
        <v>100.755617</v>
      </c>
      <c r="V988" s="17"/>
      <c r="W988" s="12">
        <f t="array" ref="W988">SQRT(252/20) *  SQRT( SUMSQ( LN(U967:U986 / U966:U985) )  - (1/20) * ( SUM( LN(U967:U986 / U966:U985) ) ^ 2 ) )</f>
        <v>0.02913810468</v>
      </c>
      <c r="X988" s="9">
        <f t="shared" si="4"/>
        <v>1.5</v>
      </c>
      <c r="Y988" s="14"/>
      <c r="Z988" s="12">
        <f t="shared" si="5"/>
        <v>1.000992527</v>
      </c>
      <c r="AA988" s="16">
        <f t="shared" si="8"/>
        <v>101.5100817</v>
      </c>
      <c r="AB988" s="14"/>
      <c r="AC988" s="9">
        <f t="shared" si="6"/>
        <v>0</v>
      </c>
    </row>
    <row r="989">
      <c r="A989" s="8">
        <v>43159.0</v>
      </c>
      <c r="B989" s="14"/>
      <c r="C989" s="12">
        <f t="array" ref="C989">IFERROR(
  INDEX(
    IR!$B$2:$E2026,                
    MATCH($A989, IR!$A$2:$A2026, 0), 
    MATCH(C$1, IR!$B$1:$E$1, 0) ), "")
</f>
        <v>-0.0037</v>
      </c>
      <c r="D989" s="12">
        <f t="array" ref="D989">IFERROR(
  INDEX(
    IR!$B$2:$E2026,                
    MATCH($A989, IR!$A$2:$A2026, 0), 
    MATCH(D$1, IR!$B$1:$E$1, 0) ), "")
</f>
        <v>-0.00327</v>
      </c>
      <c r="E989" s="12">
        <f t="array" ref="E989">IFERROR(
  INDEX(
    IR!$B$2:$E2026,                
    MATCH($A989, IR!$A$2:$A2026, 0), 
    MATCH(E$1, IR!$B$1:$E$1, 0) ), "")
</f>
        <v>-0.0027</v>
      </c>
      <c r="F989" s="12">
        <f t="array" ref="F989">IFERROR(
  INDEX(
    IR!$B$2:$E2026,                
    MATCH($A989, IR!$A$2:$A2026, 0), 
    MATCH(F$1, IR!$B$1:$E$1, 0) ), "")
</f>
        <v>-0.00191</v>
      </c>
      <c r="G989" s="25"/>
      <c r="H989" s="12">
        <f t="array" ref="H989">IFERROR(
  INDEX(
    SR!$B$2:$D2026,            
    MATCH($A989, SR!$A$2:$A2026, 0),  
    MATCH(H$1, SR!$B$1:$D$1, 0) ), "")
</f>
        <v>-0.001212</v>
      </c>
      <c r="I989" s="12">
        <f t="array" ref="I989">IFERROR(
  INDEX(
    SR!$B$2:$D2026,            
    MATCH($A989, SR!$A$2:$A2026, 0),  
    MATCH(I$1, SR!$B$1:$D$1, 0) ), "")
</f>
        <v>0.000785</v>
      </c>
      <c r="J989" s="12">
        <f t="array" ref="J989">IFERROR(
  INDEX(
    SR!$B$2:$D2026,            
    MATCH($A989, SR!$A$2:$A2026, 0),  
    MATCH(J$1, SR!$B$1:$D$1, 0) ), "")
</f>
        <v>0.004545</v>
      </c>
      <c r="K989" s="14"/>
      <c r="L989" s="9">
        <v>116.58</v>
      </c>
      <c r="M989" s="9">
        <v>24.05</v>
      </c>
      <c r="N989" s="9">
        <v>115.46</v>
      </c>
      <c r="O989" s="9">
        <v>114.76</v>
      </c>
      <c r="P989" s="9">
        <v>131.34</v>
      </c>
      <c r="Q989" s="9">
        <v>1443.861</v>
      </c>
      <c r="R989" s="14"/>
      <c r="S989" s="12">
        <f t="shared" si="2"/>
        <v>-0.001353149183</v>
      </c>
      <c r="T989" s="12">
        <f t="shared" si="3"/>
        <v>0.9986468508</v>
      </c>
      <c r="U989" s="16">
        <f t="shared" si="7"/>
        <v>100.6192796</v>
      </c>
      <c r="V989" s="17"/>
      <c r="W989" s="12">
        <f t="array" ref="W989">SQRT(252/20) *  SQRT( SUMSQ( LN(U968:U987 / U967:U986) )  - (1/20) * ( SUM( LN(U968:U987 / U967:U986) ) ^ 2 ) )</f>
        <v>0.02921198055</v>
      </c>
      <c r="X989" s="9">
        <f t="shared" si="4"/>
        <v>1.5</v>
      </c>
      <c r="Y989" s="14"/>
      <c r="Z989" s="12">
        <f t="shared" si="5"/>
        <v>0.997975429</v>
      </c>
      <c r="AA989" s="16">
        <f t="shared" si="8"/>
        <v>101.3045673</v>
      </c>
      <c r="AB989" s="14"/>
      <c r="AC989" s="9">
        <f t="shared" si="6"/>
        <v>0</v>
      </c>
    </row>
    <row r="990">
      <c r="A990" s="8">
        <v>43160.0</v>
      </c>
      <c r="B990" s="14"/>
      <c r="C990" s="12">
        <f t="array" ref="C990">IFERROR(
  INDEX(
    IR!$B$2:$E2026,                
    MATCH($A990, IR!$A$2:$A2026, 0), 
    MATCH(C$1, IR!$B$1:$E$1, 0) ), "")
</f>
        <v>-0.00371</v>
      </c>
      <c r="D990" s="12">
        <f t="array" ref="D990">IFERROR(
  INDEX(
    IR!$B$2:$E2026,                
    MATCH($A990, IR!$A$2:$A2026, 0), 
    MATCH(D$1, IR!$B$1:$E$1, 0) ), "")
</f>
        <v>-0.00327</v>
      </c>
      <c r="E990" s="12">
        <f t="array" ref="E990">IFERROR(
  INDEX(
    IR!$B$2:$E2026,                
    MATCH($A990, IR!$A$2:$A2026, 0), 
    MATCH(E$1, IR!$B$1:$E$1, 0) ), "")
</f>
        <v>-0.00271</v>
      </c>
      <c r="F990" s="12">
        <f t="array" ref="F990">IFERROR(
  INDEX(
    IR!$B$2:$E2026,                
    MATCH($A990, IR!$A$2:$A2026, 0), 
    MATCH(F$1, IR!$B$1:$E$1, 0) ), "")
</f>
        <v>-0.00191</v>
      </c>
      <c r="G990" s="25"/>
      <c r="H990" s="12">
        <f t="array" ref="H990">IFERROR(
  INDEX(
    SR!$B$2:$D2026,            
    MATCH($A990, SR!$A$2:$A2026, 0),  
    MATCH(H$1, SR!$B$1:$D$1, 0) ), "")
</f>
        <v>-0.001258</v>
      </c>
      <c r="I990" s="12">
        <f t="array" ref="I990">IFERROR(
  INDEX(
    SR!$B$2:$D2026,            
    MATCH($A990, SR!$A$2:$A2026, 0),  
    MATCH(I$1, SR!$B$1:$D$1, 0) ), "")
</f>
        <v>0.000723</v>
      </c>
      <c r="J990" s="12">
        <f t="array" ref="J990">IFERROR(
  INDEX(
    SR!$B$2:$D2026,            
    MATCH($A990, SR!$A$2:$A2026, 0),  
    MATCH(J$1, SR!$B$1:$D$1, 0) ), "")
</f>
        <v>0.004545</v>
      </c>
      <c r="K990" s="14"/>
      <c r="L990" s="9">
        <v>116.17</v>
      </c>
      <c r="M990" s="9">
        <v>24.05</v>
      </c>
      <c r="N990" s="9">
        <v>115.45</v>
      </c>
      <c r="O990" s="9">
        <v>114.74</v>
      </c>
      <c r="P990" s="9">
        <v>131.07</v>
      </c>
      <c r="Q990" s="9">
        <v>1439.243</v>
      </c>
      <c r="R990" s="14"/>
      <c r="S990" s="12">
        <f t="shared" si="2"/>
        <v>-0.001505032233</v>
      </c>
      <c r="T990" s="12">
        <f t="shared" si="3"/>
        <v>0.9984949678</v>
      </c>
      <c r="U990" s="16">
        <f t="shared" si="7"/>
        <v>100.4678444</v>
      </c>
      <c r="V990" s="17"/>
      <c r="W990" s="12">
        <f t="array" ref="W990">SQRT(252/20) *  SQRT( SUMSQ( LN(U969:U988 / U968:U987) )  - (1/20) * ( SUM( LN(U969:U988 / U968:U987) ) ^ 2 ) )</f>
        <v>0.02933124581</v>
      </c>
      <c r="X990" s="9">
        <f t="shared" si="4"/>
        <v>1.5</v>
      </c>
      <c r="Y990" s="14"/>
      <c r="Z990" s="12">
        <f t="shared" si="5"/>
        <v>0.9977475905</v>
      </c>
      <c r="AA990" s="16">
        <f t="shared" si="8"/>
        <v>101.076388</v>
      </c>
      <c r="AB990" s="14"/>
      <c r="AC990" s="9">
        <f t="shared" si="6"/>
        <v>0</v>
      </c>
    </row>
    <row r="991">
      <c r="A991" s="8">
        <v>43161.0</v>
      </c>
      <c r="B991" s="14"/>
      <c r="C991" s="12">
        <f t="array" ref="C991">IFERROR(
  INDEX(
    IR!$B$2:$E2026,                
    MATCH($A991, IR!$A$2:$A2026, 0), 
    MATCH(C$1, IR!$B$1:$E$1, 0) ), "")
</f>
        <v>-0.0037</v>
      </c>
      <c r="D991" s="12">
        <f t="array" ref="D991">IFERROR(
  INDEX(
    IR!$B$2:$E2026,                
    MATCH($A991, IR!$A$2:$A2026, 0), 
    MATCH(D$1, IR!$B$1:$E$1, 0) ), "")
</f>
        <v>-0.00327</v>
      </c>
      <c r="E991" s="12">
        <f t="array" ref="E991">IFERROR(
  INDEX(
    IR!$B$2:$E2026,                
    MATCH($A991, IR!$A$2:$A2026, 0), 
    MATCH(E$1, IR!$B$1:$E$1, 0) ), "")
</f>
        <v>-0.00271</v>
      </c>
      <c r="F991" s="12">
        <f t="array" ref="F991">IFERROR(
  INDEX(
    IR!$B$2:$E2026,                
    MATCH($A991, IR!$A$2:$A2026, 0), 
    MATCH(F$1, IR!$B$1:$E$1, 0) ), "")
</f>
        <v>-0.00191</v>
      </c>
      <c r="G991" s="25"/>
      <c r="H991" s="12">
        <f t="array" ref="H991">IFERROR(
  INDEX(
    SR!$B$2:$D2026,            
    MATCH($A991, SR!$A$2:$A2026, 0),  
    MATCH(H$1, SR!$B$1:$D$1, 0) ), "")
</f>
        <v>-0.001234</v>
      </c>
      <c r="I991" s="12">
        <f t="array" ref="I991">IFERROR(
  INDEX(
    SR!$B$2:$D2026,            
    MATCH($A991, SR!$A$2:$A2026, 0),  
    MATCH(I$1, SR!$B$1:$D$1, 0) ), "")
</f>
        <v>0.000727</v>
      </c>
      <c r="J991" s="12">
        <f t="array" ref="J991">IFERROR(
  INDEX(
    SR!$B$2:$D2026,            
    MATCH($A991, SR!$A$2:$A2026, 0),  
    MATCH(J$1, SR!$B$1:$D$1, 0) ), "")
</f>
        <v>0.004535</v>
      </c>
      <c r="K991" s="14"/>
      <c r="L991" s="9">
        <v>115.58</v>
      </c>
      <c r="M991" s="9">
        <v>24.02</v>
      </c>
      <c r="N991" s="9">
        <v>115.43</v>
      </c>
      <c r="O991" s="9">
        <v>114.84</v>
      </c>
      <c r="P991" s="9">
        <v>130.56</v>
      </c>
      <c r="Q991" s="9">
        <v>1430.821</v>
      </c>
      <c r="R991" s="14"/>
      <c r="S991" s="12">
        <f t="shared" si="2"/>
        <v>-0.002561327552</v>
      </c>
      <c r="T991" s="12">
        <f t="shared" si="3"/>
        <v>0.9974386724</v>
      </c>
      <c r="U991" s="16">
        <f t="shared" si="7"/>
        <v>100.2105133</v>
      </c>
      <c r="V991" s="17"/>
      <c r="W991" s="12">
        <f t="array" ref="W991">SQRT(252/20) *  SQRT( SUMSQ( LN(U970:U989 / U969:U988) )  - (1/20) * ( SUM( LN(U970:U989 / U969:U988) ) ^ 2 ) )</f>
        <v>0.0291199502</v>
      </c>
      <c r="X991" s="9">
        <f t="shared" si="4"/>
        <v>1.5</v>
      </c>
      <c r="Y991" s="14"/>
      <c r="Z991" s="12">
        <f t="shared" si="5"/>
        <v>0.9961631614</v>
      </c>
      <c r="AA991" s="16">
        <f t="shared" si="8"/>
        <v>100.6885742</v>
      </c>
      <c r="AB991" s="14"/>
      <c r="AC991" s="9">
        <f t="shared" si="6"/>
        <v>0</v>
      </c>
    </row>
    <row r="992">
      <c r="A992" s="8">
        <v>43164.0</v>
      </c>
      <c r="B992" s="14"/>
      <c r="C992" s="12">
        <f t="array" ref="C992">IFERROR(
  INDEX(
    IR!$B$2:$E2026,                
    MATCH($A992, IR!$A$2:$A2026, 0), 
    MATCH(C$1, IR!$B$1:$E$1, 0) ), "")
</f>
        <v>-0.0037</v>
      </c>
      <c r="D992" s="12">
        <f t="array" ref="D992">IFERROR(
  INDEX(
    IR!$B$2:$E2026,                
    MATCH($A992, IR!$A$2:$A2026, 0), 
    MATCH(D$1, IR!$B$1:$E$1, 0) ), "")
</f>
        <v>-0.00327</v>
      </c>
      <c r="E992" s="12">
        <f t="array" ref="E992">IFERROR(
  INDEX(
    IR!$B$2:$E2026,                
    MATCH($A992, IR!$A$2:$A2026, 0), 
    MATCH(E$1, IR!$B$1:$E$1, 0) ), "")
</f>
        <v>-0.00272</v>
      </c>
      <c r="F992" s="12">
        <f t="array" ref="F992">IFERROR(
  INDEX(
    IR!$B$2:$E2026,                
    MATCH($A992, IR!$A$2:$A2026, 0), 
    MATCH(F$1, IR!$B$1:$E$1, 0) ), "")
</f>
        <v>-0.00191</v>
      </c>
      <c r="G992" s="25"/>
      <c r="H992" s="12">
        <f t="array" ref="H992">IFERROR(
  INDEX(
    SR!$B$2:$D2026,            
    MATCH($A992, SR!$A$2:$A2026, 0),  
    MATCH(H$1, SR!$B$1:$D$1, 0) ), "")
</f>
        <v>-0.00123</v>
      </c>
      <c r="I992" s="12">
        <f t="array" ref="I992">IFERROR(
  INDEX(
    SR!$B$2:$D2026,            
    MATCH($A992, SR!$A$2:$A2026, 0),  
    MATCH(I$1, SR!$B$1:$D$1, 0) ), "")
</f>
        <v>0.00074</v>
      </c>
      <c r="J992" s="12">
        <f t="array" ref="J992">IFERROR(
  INDEX(
    SR!$B$2:$D2026,            
    MATCH($A992, SR!$A$2:$A2026, 0),  
    MATCH(J$1, SR!$B$1:$D$1, 0) ), "")
</f>
        <v>0.004565</v>
      </c>
      <c r="K992" s="14"/>
      <c r="L992" s="9">
        <v>115.89</v>
      </c>
      <c r="M992" s="9">
        <v>24.01</v>
      </c>
      <c r="N992" s="9">
        <v>115.45</v>
      </c>
      <c r="O992" s="9">
        <v>114.72</v>
      </c>
      <c r="P992" s="9">
        <v>130.16</v>
      </c>
      <c r="Q992" s="9">
        <v>1428.118</v>
      </c>
      <c r="R992" s="14"/>
      <c r="S992" s="12">
        <f t="shared" si="2"/>
        <v>-0.0005930703951</v>
      </c>
      <c r="T992" s="12">
        <f t="shared" si="3"/>
        <v>0.9994069296</v>
      </c>
      <c r="U992" s="16">
        <f t="shared" si="7"/>
        <v>100.1510814</v>
      </c>
      <c r="V992" s="17"/>
      <c r="W992" s="12">
        <f t="array" ref="W992">SQRT(252/20) *  SQRT( SUMSQ( LN(U971:U990 / U970:U989) )  - (1/20) * ( SUM( LN(U971:U990 / U970:U989) ) ^ 2 ) )</f>
        <v>0.02933138315</v>
      </c>
      <c r="X992" s="9">
        <f t="shared" si="4"/>
        <v>1.5</v>
      </c>
      <c r="Y992" s="14"/>
      <c r="Z992" s="12">
        <f t="shared" si="5"/>
        <v>0.9991258111</v>
      </c>
      <c r="AA992" s="16">
        <f t="shared" si="8"/>
        <v>100.6005534</v>
      </c>
      <c r="AB992" s="14"/>
      <c r="AC992" s="9">
        <f t="shared" si="6"/>
        <v>0</v>
      </c>
    </row>
    <row r="993">
      <c r="A993" s="8">
        <v>43165.0</v>
      </c>
      <c r="B993" s="14"/>
      <c r="C993" s="12">
        <f t="array" ref="C993">IFERROR(
  INDEX(
    IR!$B$2:$E2026,                
    MATCH($A993, IR!$A$2:$A2026, 0), 
    MATCH(C$1, IR!$B$1:$E$1, 0) ), "")
</f>
        <v>-0.00371</v>
      </c>
      <c r="D993" s="12">
        <f t="array" ref="D993">IFERROR(
  INDEX(
    IR!$B$2:$E2026,                
    MATCH($A993, IR!$A$2:$A2026, 0), 
    MATCH(D$1, IR!$B$1:$E$1, 0) ), "")
</f>
        <v>-0.00327</v>
      </c>
      <c r="E993" s="12">
        <f t="array" ref="E993">IFERROR(
  INDEX(
    IR!$B$2:$E2026,                
    MATCH($A993, IR!$A$2:$A2026, 0), 
    MATCH(E$1, IR!$B$1:$E$1, 0) ), "")
</f>
        <v>-0.00271</v>
      </c>
      <c r="F993" s="12">
        <f t="array" ref="F993">IFERROR(
  INDEX(
    IR!$B$2:$E2026,                
    MATCH($A993, IR!$A$2:$A2026, 0), 
    MATCH(F$1, IR!$B$1:$E$1, 0) ), "")
</f>
        <v>-0.00191</v>
      </c>
      <c r="G993" s="25"/>
      <c r="H993" s="12">
        <f t="array" ref="H993">IFERROR(
  INDEX(
    SR!$B$2:$D2026,            
    MATCH($A993, SR!$A$2:$A2026, 0),  
    MATCH(H$1, SR!$B$1:$D$1, 0) ), "")
</f>
        <v>-0.001212</v>
      </c>
      <c r="I993" s="12">
        <f t="array" ref="I993">IFERROR(
  INDEX(
    SR!$B$2:$D2026,            
    MATCH($A993, SR!$A$2:$A2026, 0),  
    MATCH(I$1, SR!$B$1:$D$1, 0) ), "")
</f>
        <v>0.00081</v>
      </c>
      <c r="J993" s="12">
        <f t="array" ref="J993">IFERROR(
  INDEX(
    SR!$B$2:$D2026,            
    MATCH($A993, SR!$A$2:$A2026, 0),  
    MATCH(J$1, SR!$B$1:$D$1, 0) ), "")
</f>
        <v>0.004747</v>
      </c>
      <c r="K993" s="14"/>
      <c r="L993" s="9">
        <v>116.04</v>
      </c>
      <c r="M993" s="9">
        <v>24.0</v>
      </c>
      <c r="N993" s="9">
        <v>115.47</v>
      </c>
      <c r="O993" s="9">
        <v>114.72</v>
      </c>
      <c r="P993" s="9">
        <v>130.09</v>
      </c>
      <c r="Q993" s="9">
        <v>1436.634</v>
      </c>
      <c r="R993" s="14"/>
      <c r="S993" s="12">
        <f t="shared" si="2"/>
        <v>0.001079558872</v>
      </c>
      <c r="T993" s="12">
        <f t="shared" si="3"/>
        <v>1.001079559</v>
      </c>
      <c r="U993" s="16">
        <f t="shared" si="7"/>
        <v>100.2592004</v>
      </c>
      <c r="V993" s="17"/>
      <c r="W993" s="12">
        <f t="array" ref="W993">SQRT(252/20) *  SQRT( SUMSQ( LN(U972:U991 / U971:U990) )  - (1/20) * ( SUM( LN(U972:U991 / U971:U990) ) ^ 2 ) )</f>
        <v>0.02987362758</v>
      </c>
      <c r="X993" s="9">
        <f t="shared" si="4"/>
        <v>1.5</v>
      </c>
      <c r="Y993" s="14"/>
      <c r="Z993" s="12">
        <f t="shared" si="5"/>
        <v>1.001624477</v>
      </c>
      <c r="AA993" s="16">
        <f t="shared" si="8"/>
        <v>100.7639767</v>
      </c>
      <c r="AB993" s="14"/>
      <c r="AC993" s="9">
        <f t="shared" si="6"/>
        <v>0</v>
      </c>
    </row>
    <row r="994">
      <c r="A994" s="8">
        <v>43166.0</v>
      </c>
      <c r="B994" s="14"/>
      <c r="C994" s="12">
        <f t="array" ref="C994">IFERROR(
  INDEX(
    IR!$B$2:$E2026,                
    MATCH($A994, IR!$A$2:$A2026, 0), 
    MATCH(C$1, IR!$B$1:$E$1, 0) ), "")
</f>
        <v>-0.00371</v>
      </c>
      <c r="D994" s="12">
        <f t="array" ref="D994">IFERROR(
  INDEX(
    IR!$B$2:$E2026,                
    MATCH($A994, IR!$A$2:$A2026, 0), 
    MATCH(D$1, IR!$B$1:$E$1, 0) ), "")
</f>
        <v>-0.00327</v>
      </c>
      <c r="E994" s="12">
        <f t="array" ref="E994">IFERROR(
  INDEX(
    IR!$B$2:$E2026,                
    MATCH($A994, IR!$A$2:$A2026, 0), 
    MATCH(E$1, IR!$B$1:$E$1, 0) ), "")
</f>
        <v>-0.00272</v>
      </c>
      <c r="F994" s="12">
        <f t="array" ref="F994">IFERROR(
  INDEX(
    IR!$B$2:$E2026,                
    MATCH($A994, IR!$A$2:$A2026, 0), 
    MATCH(F$1, IR!$B$1:$E$1, 0) ), "")
</f>
        <v>-0.00191</v>
      </c>
      <c r="G994" s="25"/>
      <c r="H994" s="12">
        <f t="array" ref="H994">IFERROR(
  INDEX(
    SR!$B$2:$D2026,            
    MATCH($A994, SR!$A$2:$A2026, 0),  
    MATCH(H$1, SR!$B$1:$D$1, 0) ), "")
</f>
        <v>-0.00124</v>
      </c>
      <c r="I994" s="12">
        <f t="array" ref="I994">IFERROR(
  INDEX(
    SR!$B$2:$D2026,            
    MATCH($A994, SR!$A$2:$A2026, 0),  
    MATCH(I$1, SR!$B$1:$D$1, 0) ), "")
</f>
        <v>0.000785</v>
      </c>
      <c r="J994" s="12">
        <f t="array" ref="J994">IFERROR(
  INDEX(
    SR!$B$2:$D2026,            
    MATCH($A994, SR!$A$2:$A2026, 0),  
    MATCH(J$1, SR!$B$1:$D$1, 0) ), "")
</f>
        <v>0.004575</v>
      </c>
      <c r="K994" s="14"/>
      <c r="L994" s="9">
        <v>116.07</v>
      </c>
      <c r="M994" s="9">
        <v>23.99</v>
      </c>
      <c r="N994" s="9">
        <v>115.46</v>
      </c>
      <c r="O994" s="9">
        <v>114.61</v>
      </c>
      <c r="P994" s="9">
        <v>130.07</v>
      </c>
      <c r="Q994" s="9">
        <v>1441.748</v>
      </c>
      <c r="R994" s="14"/>
      <c r="S994" s="12">
        <f t="shared" si="2"/>
        <v>0.0003672718024</v>
      </c>
      <c r="T994" s="12">
        <f t="shared" si="3"/>
        <v>1.000367272</v>
      </c>
      <c r="U994" s="16">
        <f t="shared" si="7"/>
        <v>100.2960228</v>
      </c>
      <c r="V994" s="17"/>
      <c r="W994" s="12">
        <f t="array" ref="W994">SQRT(252/20) *  SQRT( SUMSQ( LN(U973:U992 / U972:U991) )  - (1/20) * ( SUM( LN(U973:U992 / U972:U991) ) ^ 2 ) )</f>
        <v>0.02822015951</v>
      </c>
      <c r="X994" s="9">
        <f t="shared" si="4"/>
        <v>1.5</v>
      </c>
      <c r="Y994" s="14"/>
      <c r="Z994" s="12">
        <f t="shared" si="5"/>
        <v>1.00055606</v>
      </c>
      <c r="AA994" s="16">
        <f t="shared" si="8"/>
        <v>100.8200075</v>
      </c>
      <c r="AB994" s="14"/>
      <c r="AC994" s="9">
        <f t="shared" si="6"/>
        <v>0</v>
      </c>
    </row>
    <row r="995">
      <c r="A995" s="8">
        <v>43167.0</v>
      </c>
      <c r="B995" s="14"/>
      <c r="C995" s="12">
        <f t="array" ref="C995">IFERROR(
  INDEX(
    IR!$B$2:$E2026,                
    MATCH($A995, IR!$A$2:$A2026, 0), 
    MATCH(C$1, IR!$B$1:$E$1, 0) ), "")
</f>
        <v>-0.00371</v>
      </c>
      <c r="D995" s="12">
        <f t="array" ref="D995">IFERROR(
  INDEX(
    IR!$B$2:$E2026,                
    MATCH($A995, IR!$A$2:$A2026, 0), 
    MATCH(D$1, IR!$B$1:$E$1, 0) ), "")
</f>
        <v>-0.00327</v>
      </c>
      <c r="E995" s="12">
        <f t="array" ref="E995">IFERROR(
  INDEX(
    IR!$B$2:$E2026,                
    MATCH($A995, IR!$A$2:$A2026, 0), 
    MATCH(E$1, IR!$B$1:$E$1, 0) ), "")
</f>
        <v>-0.00272</v>
      </c>
      <c r="F995" s="12">
        <f t="array" ref="F995">IFERROR(
  INDEX(
    IR!$B$2:$E2026,                
    MATCH($A995, IR!$A$2:$A2026, 0), 
    MATCH(F$1, IR!$B$1:$E$1, 0) ), "")
</f>
        <v>-0.00191</v>
      </c>
      <c r="G995" s="25"/>
      <c r="H995" s="12">
        <f t="array" ref="H995">IFERROR(
  INDEX(
    SR!$B$2:$D2026,            
    MATCH($A995, SR!$A$2:$A2026, 0),  
    MATCH(H$1, SR!$B$1:$D$1, 0) ), "")
</f>
        <v>-0.00127</v>
      </c>
      <c r="I995" s="12">
        <f t="array" ref="I995">IFERROR(
  INDEX(
    SR!$B$2:$D2026,            
    MATCH($A995, SR!$A$2:$A2026, 0),  
    MATCH(I$1, SR!$B$1:$D$1, 0) ), "")
</f>
        <v>0.000725</v>
      </c>
      <c r="J995" s="12">
        <f t="array" ref="J995">IFERROR(
  INDEX(
    SR!$B$2:$D2026,            
    MATCH($A995, SR!$A$2:$A2026, 0),  
    MATCH(J$1, SR!$B$1:$D$1, 0) ), "")
</f>
        <v>0.0045</v>
      </c>
      <c r="K995" s="14"/>
      <c r="L995" s="9">
        <v>116.41</v>
      </c>
      <c r="M995" s="9">
        <v>24.01</v>
      </c>
      <c r="N995" s="9">
        <v>115.43</v>
      </c>
      <c r="O995" s="9">
        <v>114.67</v>
      </c>
      <c r="P995" s="9">
        <v>130.03</v>
      </c>
      <c r="Q995" s="9">
        <v>1445.455</v>
      </c>
      <c r="R995" s="14"/>
      <c r="S995" s="12">
        <f t="shared" si="2"/>
        <v>0.001048219351</v>
      </c>
      <c r="T995" s="12">
        <f t="shared" si="3"/>
        <v>1.001048219</v>
      </c>
      <c r="U995" s="16">
        <f t="shared" si="7"/>
        <v>100.401155</v>
      </c>
      <c r="V995" s="17"/>
      <c r="W995" s="12">
        <f t="array" ref="W995">SQRT(252/20) *  SQRT( SUMSQ( LN(U974:U993 / U973:U992) )  - (1/20) * ( SUM( LN(U974:U993 / U973:U992) ) ^ 2 ) )</f>
        <v>0.02619496692</v>
      </c>
      <c r="X995" s="9">
        <f t="shared" si="4"/>
        <v>1.5</v>
      </c>
      <c r="Y995" s="14"/>
      <c r="Z995" s="12">
        <f t="shared" si="5"/>
        <v>1.001577482</v>
      </c>
      <c r="AA995" s="16">
        <f t="shared" si="8"/>
        <v>100.9790493</v>
      </c>
      <c r="AB995" s="14"/>
      <c r="AC995" s="9">
        <f t="shared" si="6"/>
        <v>0</v>
      </c>
    </row>
    <row r="996">
      <c r="A996" s="8">
        <v>43168.0</v>
      </c>
      <c r="B996" s="14"/>
      <c r="C996" s="12">
        <f t="array" ref="C996">IFERROR(
  INDEX(
    IR!$B$2:$E2026,                
    MATCH($A996, IR!$A$2:$A2026, 0), 
    MATCH(C$1, IR!$B$1:$E$1, 0) ), "")
</f>
        <v>-0.00371</v>
      </c>
      <c r="D996" s="12">
        <f t="array" ref="D996">IFERROR(
  INDEX(
    IR!$B$2:$E2026,                
    MATCH($A996, IR!$A$2:$A2026, 0), 
    MATCH(D$1, IR!$B$1:$E$1, 0) ), "")
</f>
        <v>-0.00327</v>
      </c>
      <c r="E996" s="12">
        <f t="array" ref="E996">IFERROR(
  INDEX(
    IR!$B$2:$E2026,                
    MATCH($A996, IR!$A$2:$A2026, 0), 
    MATCH(E$1, IR!$B$1:$E$1, 0) ), "")
</f>
        <v>-0.00271</v>
      </c>
      <c r="F996" s="12">
        <f t="array" ref="F996">IFERROR(
  INDEX(
    IR!$B$2:$E2026,                
    MATCH($A996, IR!$A$2:$A2026, 0), 
    MATCH(F$1, IR!$B$1:$E$1, 0) ), "")
</f>
        <v>-0.00191</v>
      </c>
      <c r="G996" s="25"/>
      <c r="H996" s="12">
        <f t="array" ref="H996">IFERROR(
  INDEX(
    SR!$B$2:$D2026,            
    MATCH($A996, SR!$A$2:$A2026, 0),  
    MATCH(H$1, SR!$B$1:$D$1, 0) ), "")
</f>
        <v>-0.001251</v>
      </c>
      <c r="I996" s="12">
        <f t="array" ref="I996">IFERROR(
  INDEX(
    SR!$B$2:$D2026,            
    MATCH($A996, SR!$A$2:$A2026, 0),  
    MATCH(I$1, SR!$B$1:$D$1, 0) ), "")
</f>
        <v>0.000803</v>
      </c>
      <c r="J996" s="12">
        <f t="array" ref="J996">IFERROR(
  INDEX(
    SR!$B$2:$D2026,            
    MATCH($A996, SR!$A$2:$A2026, 0),  
    MATCH(J$1, SR!$B$1:$D$1, 0) ), "")
</f>
        <v>0.004545</v>
      </c>
      <c r="K996" s="14"/>
      <c r="L996" s="9">
        <v>116.39</v>
      </c>
      <c r="M996" s="9">
        <v>24.02</v>
      </c>
      <c r="N996" s="9">
        <v>115.43</v>
      </c>
      <c r="O996" s="9">
        <v>114.77</v>
      </c>
      <c r="P996" s="9">
        <v>130.23</v>
      </c>
      <c r="Q996" s="9">
        <v>1450.189</v>
      </c>
      <c r="R996" s="14"/>
      <c r="S996" s="12">
        <f t="shared" si="2"/>
        <v>0.0009882578716</v>
      </c>
      <c r="T996" s="12">
        <f t="shared" si="3"/>
        <v>1.000988258</v>
      </c>
      <c r="U996" s="16">
        <f t="shared" si="7"/>
        <v>100.5003773</v>
      </c>
      <c r="V996" s="17"/>
      <c r="W996" s="12">
        <f t="array" ref="W996">SQRT(252/20) *  SQRT( SUMSQ( LN(U975:U994 / U974:U993) )  - (1/20) * ( SUM( LN(U975:U994 / U974:U993) ) ^ 2 ) )</f>
        <v>0.02587382245</v>
      </c>
      <c r="X996" s="9">
        <f t="shared" si="4"/>
        <v>1.5</v>
      </c>
      <c r="Y996" s="14"/>
      <c r="Z996" s="12">
        <f t="shared" si="5"/>
        <v>1.00148754</v>
      </c>
      <c r="AA996" s="16">
        <f t="shared" si="8"/>
        <v>101.1292596</v>
      </c>
      <c r="AB996" s="14"/>
      <c r="AC996" s="9">
        <f t="shared" si="6"/>
        <v>0</v>
      </c>
    </row>
    <row r="997">
      <c r="A997" s="8">
        <v>43171.0</v>
      </c>
      <c r="B997" s="14"/>
      <c r="C997" s="12">
        <f t="array" ref="C997">IFERROR(
  INDEX(
    IR!$B$2:$E2026,                
    MATCH($A997, IR!$A$2:$A2026, 0), 
    MATCH(C$1, IR!$B$1:$E$1, 0) ), "")
</f>
        <v>-0.0037</v>
      </c>
      <c r="D997" s="12">
        <f t="array" ref="D997">IFERROR(
  INDEX(
    IR!$B$2:$E2026,                
    MATCH($A997, IR!$A$2:$A2026, 0), 
    MATCH(D$1, IR!$B$1:$E$1, 0) ), "")
</f>
        <v>-0.00327</v>
      </c>
      <c r="E997" s="12">
        <f t="array" ref="E997">IFERROR(
  INDEX(
    IR!$B$2:$E2026,                
    MATCH($A997, IR!$A$2:$A2026, 0), 
    MATCH(E$1, IR!$B$1:$E$1, 0) ), "")
</f>
        <v>-0.00271</v>
      </c>
      <c r="F997" s="12">
        <f t="array" ref="F997">IFERROR(
  INDEX(
    IR!$B$2:$E2026,                
    MATCH($A997, IR!$A$2:$A2026, 0), 
    MATCH(F$1, IR!$B$1:$E$1, 0) ), "")
</f>
        <v>-0.00191</v>
      </c>
      <c r="G997" s="25"/>
      <c r="H997" s="12">
        <f t="array" ref="H997">IFERROR(
  INDEX(
    SR!$B$2:$D2026,            
    MATCH($A997, SR!$A$2:$A2026, 0),  
    MATCH(H$1, SR!$B$1:$D$1, 0) ), "")
</f>
        <v>-0.001305</v>
      </c>
      <c r="I997" s="12">
        <f t="array" ref="I997">IFERROR(
  INDEX(
    SR!$B$2:$D2026,            
    MATCH($A997, SR!$A$2:$A2026, 0),  
    MATCH(I$1, SR!$B$1:$D$1, 0) ), "")
</f>
        <v>0.000686</v>
      </c>
      <c r="J997" s="12">
        <f t="array" ref="J997">IFERROR(
  INDEX(
    SR!$B$2:$D2026,            
    MATCH($A997, SR!$A$2:$A2026, 0),  
    MATCH(J$1, SR!$B$1:$D$1, 0) ), "")
</f>
        <v>0.004435</v>
      </c>
      <c r="K997" s="14"/>
      <c r="L997" s="9">
        <v>116.43</v>
      </c>
      <c r="M997" s="9">
        <v>24.02</v>
      </c>
      <c r="N997" s="9">
        <v>115.44</v>
      </c>
      <c r="O997" s="9">
        <v>114.67</v>
      </c>
      <c r="P997" s="9">
        <v>130.32</v>
      </c>
      <c r="Q997" s="9">
        <v>1457.198</v>
      </c>
      <c r="R997" s="14"/>
      <c r="S997" s="12">
        <f t="shared" si="2"/>
        <v>0.0008473519373</v>
      </c>
      <c r="T997" s="12">
        <f t="shared" si="3"/>
        <v>1.000847352</v>
      </c>
      <c r="U997" s="16">
        <f t="shared" si="7"/>
        <v>100.5855365</v>
      </c>
      <c r="V997" s="17"/>
      <c r="W997" s="12">
        <f t="array" ref="W997">SQRT(252/20) *  SQRT( SUMSQ( LN(U976:U995 / U975:U994) )  - (1/20) * ( SUM( LN(U976:U995 / U975:U994) ) ^ 2 ) )</f>
        <v>0.02600925702</v>
      </c>
      <c r="X997" s="9">
        <f t="shared" si="4"/>
        <v>1.5</v>
      </c>
      <c r="Y997" s="14"/>
      <c r="Z997" s="12">
        <f t="shared" si="5"/>
        <v>1.001286486</v>
      </c>
      <c r="AA997" s="16">
        <f t="shared" si="8"/>
        <v>101.259361</v>
      </c>
      <c r="AB997" s="14"/>
      <c r="AC997" s="9">
        <f t="shared" si="6"/>
        <v>0</v>
      </c>
    </row>
    <row r="998">
      <c r="A998" s="8">
        <v>43172.0</v>
      </c>
      <c r="B998" s="14"/>
      <c r="C998" s="12">
        <f t="array" ref="C998">IFERROR(
  INDEX(
    IR!$B$2:$E2026,                
    MATCH($A998, IR!$A$2:$A2026, 0), 
    MATCH(C$1, IR!$B$1:$E$1, 0) ), "")
</f>
        <v>-0.00371</v>
      </c>
      <c r="D998" s="12">
        <f t="array" ref="D998">IFERROR(
  INDEX(
    IR!$B$2:$E2026,                
    MATCH($A998, IR!$A$2:$A2026, 0), 
    MATCH(D$1, IR!$B$1:$E$1, 0) ), "")
</f>
        <v>-0.00327</v>
      </c>
      <c r="E998" s="12">
        <f t="array" ref="E998">IFERROR(
  INDEX(
    IR!$B$2:$E2026,                
    MATCH($A998, IR!$A$2:$A2026, 0), 
    MATCH(E$1, IR!$B$1:$E$1, 0) ), "")
</f>
        <v>-0.00271</v>
      </c>
      <c r="F998" s="12">
        <f t="array" ref="F998">IFERROR(
  INDEX(
    IR!$B$2:$E2026,                
    MATCH($A998, IR!$A$2:$A2026, 0), 
    MATCH(F$1, IR!$B$1:$E$1, 0) ), "")
</f>
        <v>-0.00191</v>
      </c>
      <c r="G998" s="25"/>
      <c r="H998" s="12">
        <f t="array" ref="H998">IFERROR(
  INDEX(
    SR!$B$2:$D2026,            
    MATCH($A998, SR!$A$2:$A2026, 0),  
    MATCH(H$1, SR!$B$1:$D$1, 0) ), "")
</f>
        <v>-0.00134</v>
      </c>
      <c r="I998" s="12">
        <f t="array" ref="I998">IFERROR(
  INDEX(
    SR!$B$2:$D2026,            
    MATCH($A998, SR!$A$2:$A2026, 0),  
    MATCH(I$1, SR!$B$1:$D$1, 0) ), "")
</f>
        <v>0.000625</v>
      </c>
      <c r="J998" s="12">
        <f t="array" ref="J998">IFERROR(
  INDEX(
    SR!$B$2:$D2026,            
    MATCH($A998, SR!$A$2:$A2026, 0),  
    MATCH(J$1, SR!$B$1:$D$1, 0) ), "")
</f>
        <v>0.0044</v>
      </c>
      <c r="K998" s="14"/>
      <c r="L998" s="9">
        <v>116.16</v>
      </c>
      <c r="M998" s="9">
        <v>24.0</v>
      </c>
      <c r="N998" s="9">
        <v>115.43</v>
      </c>
      <c r="O998" s="9">
        <v>114.8</v>
      </c>
      <c r="P998" s="9">
        <v>130.42</v>
      </c>
      <c r="Q998" s="9">
        <v>1461.805</v>
      </c>
      <c r="R998" s="14"/>
      <c r="S998" s="12">
        <f t="shared" si="2"/>
        <v>0.00030424827</v>
      </c>
      <c r="T998" s="12">
        <f t="shared" si="3"/>
        <v>1.000304248</v>
      </c>
      <c r="U998" s="16">
        <f t="shared" si="7"/>
        <v>100.6161394</v>
      </c>
      <c r="V998" s="17"/>
      <c r="W998" s="12">
        <f t="array" ref="W998">SQRT(252/20) *  SQRT( SUMSQ( LN(U977:U996 / U976:U995) )  - (1/20) * ( SUM( LN(U977:U996 / U976:U995) ) ^ 2 ) )</f>
        <v>0.01730219745</v>
      </c>
      <c r="X998" s="9">
        <f t="shared" si="4"/>
        <v>1.5</v>
      </c>
      <c r="Y998" s="14"/>
      <c r="Z998" s="12">
        <f t="shared" si="5"/>
        <v>1.000461511</v>
      </c>
      <c r="AA998" s="16">
        <f t="shared" si="8"/>
        <v>101.3060933</v>
      </c>
      <c r="AB998" s="14"/>
      <c r="AC998" s="9">
        <f t="shared" si="6"/>
        <v>0</v>
      </c>
    </row>
    <row r="999">
      <c r="A999" s="8">
        <v>43173.0</v>
      </c>
      <c r="B999" s="14"/>
      <c r="C999" s="12">
        <f t="array" ref="C999">IFERROR(
  INDEX(
    IR!$B$2:$E2026,                
    MATCH($A999, IR!$A$2:$A2026, 0), 
    MATCH(C$1, IR!$B$1:$E$1, 0) ), "")
</f>
        <v>-0.00371</v>
      </c>
      <c r="D999" s="12">
        <f t="array" ref="D999">IFERROR(
  INDEX(
    IR!$B$2:$E2026,                
    MATCH($A999, IR!$A$2:$A2026, 0), 
    MATCH(D$1, IR!$B$1:$E$1, 0) ), "")
</f>
        <v>-0.00327</v>
      </c>
      <c r="E999" s="12">
        <f t="array" ref="E999">IFERROR(
  INDEX(
    IR!$B$2:$E2026,                
    MATCH($A999, IR!$A$2:$A2026, 0), 
    MATCH(E$1, IR!$B$1:$E$1, 0) ), "")
</f>
        <v>-0.00271</v>
      </c>
      <c r="F999" s="12">
        <f t="array" ref="F999">IFERROR(
  INDEX(
    IR!$B$2:$E2026,                
    MATCH($A999, IR!$A$2:$A2026, 0), 
    MATCH(F$1, IR!$B$1:$E$1, 0) ), "")
</f>
        <v>-0.00191</v>
      </c>
      <c r="G999" s="25"/>
      <c r="H999" s="12">
        <f t="array" ref="H999">IFERROR(
  INDEX(
    SR!$B$2:$D2026,            
    MATCH($A999, SR!$A$2:$A2026, 0),  
    MATCH(H$1, SR!$B$1:$D$1, 0) ), "")
</f>
        <v>-0.00141</v>
      </c>
      <c r="I999" s="12">
        <f t="array" ref="I999">IFERROR(
  INDEX(
    SR!$B$2:$D2026,            
    MATCH($A999, SR!$A$2:$A2026, 0),  
    MATCH(I$1, SR!$B$1:$D$1, 0) ), "")
</f>
        <v>0.00048</v>
      </c>
      <c r="J999" s="12">
        <f t="array" ref="J999">IFERROR(
  INDEX(
    SR!$B$2:$D2026,            
    MATCH($A999, SR!$A$2:$A2026, 0),  
    MATCH(J$1, SR!$B$1:$D$1, 0) ), "")
</f>
        <v>0.004206</v>
      </c>
      <c r="K999" s="14"/>
      <c r="L999" s="9">
        <v>116.03</v>
      </c>
      <c r="M999" s="9">
        <v>24.01</v>
      </c>
      <c r="N999" s="9">
        <v>115.43</v>
      </c>
      <c r="O999" s="9">
        <v>114.86</v>
      </c>
      <c r="P999" s="9">
        <v>129.94</v>
      </c>
      <c r="Q999" s="9">
        <v>1456.77</v>
      </c>
      <c r="R999" s="14"/>
      <c r="S999" s="12">
        <f t="shared" si="2"/>
        <v>-0.001217294167</v>
      </c>
      <c r="T999" s="12">
        <f t="shared" si="3"/>
        <v>0.9987827058</v>
      </c>
      <c r="U999" s="16">
        <f t="shared" si="7"/>
        <v>100.49366</v>
      </c>
      <c r="V999" s="17"/>
      <c r="W999" s="12">
        <f t="array" ref="W999">SQRT(252/20) *  SQRT( SUMSQ( LN(U978:U997 / U977:U996) )  - (1/20) * ( SUM( LN(U978:U997 / U977:U996) ) ^ 2 ) )</f>
        <v>0.0168505821</v>
      </c>
      <c r="X999" s="9">
        <f t="shared" si="4"/>
        <v>1.5</v>
      </c>
      <c r="Y999" s="14"/>
      <c r="Z999" s="12">
        <f t="shared" si="5"/>
        <v>0.9981792115</v>
      </c>
      <c r="AA999" s="16">
        <f t="shared" si="8"/>
        <v>101.1216364</v>
      </c>
      <c r="AB999" s="14"/>
      <c r="AC999" s="9">
        <f t="shared" si="6"/>
        <v>0</v>
      </c>
    </row>
    <row r="1000">
      <c r="A1000" s="8">
        <v>43174.0</v>
      </c>
      <c r="B1000" s="14"/>
      <c r="C1000" s="12">
        <f t="array" ref="C1000">IFERROR(
  INDEX(
    IR!$B$2:$E2026,                
    MATCH($A1000, IR!$A$2:$A2026, 0), 
    MATCH(C$1, IR!$B$1:$E$1, 0) ), "")
</f>
        <v>-0.00371</v>
      </c>
      <c r="D1000" s="12">
        <f t="array" ref="D1000">IFERROR(
  INDEX(
    IR!$B$2:$E2026,                
    MATCH($A1000, IR!$A$2:$A2026, 0), 
    MATCH(D$1, IR!$B$1:$E$1, 0) ), "")
</f>
        <v>-0.00328</v>
      </c>
      <c r="E1000" s="12">
        <f t="array" ref="E1000">IFERROR(
  INDEX(
    IR!$B$2:$E2026,                
    MATCH($A1000, IR!$A$2:$A2026, 0), 
    MATCH(E$1, IR!$B$1:$E$1, 0) ), "")
</f>
        <v>-0.00271</v>
      </c>
      <c r="F1000" s="12">
        <f t="array" ref="F1000">IFERROR(
  INDEX(
    IR!$B$2:$E2026,                
    MATCH($A1000, IR!$A$2:$A2026, 0), 
    MATCH(F$1, IR!$B$1:$E$1, 0) ), "")
</f>
        <v>-0.00191</v>
      </c>
      <c r="G1000" s="25"/>
      <c r="H1000" s="12">
        <f t="array" ref="H1000">IFERROR(
  INDEX(
    SR!$B$2:$D2026,            
    MATCH($A1000, SR!$A$2:$A2026, 0),  
    MATCH(H$1, SR!$B$1:$D$1, 0) ), "")
</f>
        <v>-0.001467</v>
      </c>
      <c r="I1000" s="12">
        <f t="array" ref="I1000">IFERROR(
  INDEX(
    SR!$B$2:$D2026,            
    MATCH($A1000, SR!$A$2:$A2026, 0),  
    MATCH(I$1, SR!$B$1:$D$1, 0) ), "")
</f>
        <v>0.0004</v>
      </c>
      <c r="J1000" s="12">
        <f t="array" ref="J1000">IFERROR(
  INDEX(
    SR!$B$2:$D2026,            
    MATCH($A1000, SR!$A$2:$A2026, 0),  
    MATCH(J$1, SR!$B$1:$D$1, 0) ), "")
</f>
        <v>0.004075</v>
      </c>
      <c r="K1000" s="14"/>
      <c r="L1000" s="9">
        <v>116.15</v>
      </c>
      <c r="M1000" s="9">
        <v>24.02</v>
      </c>
      <c r="N1000" s="9">
        <v>115.42</v>
      </c>
      <c r="O1000" s="9">
        <v>114.99</v>
      </c>
      <c r="P1000" s="9">
        <v>129.84</v>
      </c>
      <c r="Q1000" s="9">
        <v>1454.255</v>
      </c>
      <c r="R1000" s="14"/>
      <c r="S1000" s="12">
        <f t="shared" si="2"/>
        <v>-0.0000001925756659</v>
      </c>
      <c r="T1000" s="12">
        <f t="shared" si="3"/>
        <v>0.9999998074</v>
      </c>
      <c r="U1000" s="16">
        <f t="shared" si="7"/>
        <v>100.4936406</v>
      </c>
      <c r="V1000" s="17"/>
      <c r="W1000" s="12">
        <f t="array" ref="W1000">SQRT(252/20) *  SQRT( SUMSQ( LN(U979:U998 / U978:U997) )  - (1/20) * ( SUM( LN(U979:U998 / U978:U997) ) ^ 2 ) )</f>
        <v>0.01649919415</v>
      </c>
      <c r="X1000" s="9">
        <f t="shared" si="4"/>
        <v>1.5</v>
      </c>
      <c r="Y1000" s="14"/>
      <c r="Z1000" s="12">
        <f t="shared" si="5"/>
        <v>1.000004864</v>
      </c>
      <c r="AA1000" s="16">
        <f t="shared" si="8"/>
        <v>101.1221282</v>
      </c>
      <c r="AB1000" s="14"/>
      <c r="AC1000" s="9">
        <f t="shared" si="6"/>
        <v>0</v>
      </c>
    </row>
    <row r="1001">
      <c r="A1001" s="8">
        <v>43175.0</v>
      </c>
      <c r="B1001" s="14"/>
      <c r="C1001" s="12">
        <f t="array" ref="C1001">IFERROR(
  INDEX(
    IR!$B$2:$E2026,                
    MATCH($A1001, IR!$A$2:$A2026, 0), 
    MATCH(C$1, IR!$B$1:$E$1, 0) ), "")
</f>
        <v>-0.0037</v>
      </c>
      <c r="D1001" s="12">
        <f t="array" ref="D1001">IFERROR(
  INDEX(
    IR!$B$2:$E2026,                
    MATCH($A1001, IR!$A$2:$A2026, 0), 
    MATCH(D$1, IR!$B$1:$E$1, 0) ), "")
</f>
        <v>-0.00328</v>
      </c>
      <c r="E1001" s="12">
        <f t="array" ref="E1001">IFERROR(
  INDEX(
    IR!$B$2:$E2026,                
    MATCH($A1001, IR!$A$2:$A2026, 0), 
    MATCH(E$1, IR!$B$1:$E$1, 0) ), "")
</f>
        <v>-0.00272</v>
      </c>
      <c r="F1001" s="12">
        <f t="array" ref="F1001">IFERROR(
  INDEX(
    IR!$B$2:$E2026,                
    MATCH($A1001, IR!$A$2:$A2026, 0), 
    MATCH(F$1, IR!$B$1:$E$1, 0) ), "")
</f>
        <v>-0.00192</v>
      </c>
      <c r="G1001" s="25"/>
      <c r="H1001" s="12">
        <f t="array" ref="H1001">IFERROR(
  INDEX(
    SR!$B$2:$D2026,            
    MATCH($A1001, SR!$A$2:$A2026, 0),  
    MATCH(H$1, SR!$B$1:$D$1, 0) ), "")
</f>
        <v>-0.001521</v>
      </c>
      <c r="I1001" s="12">
        <f t="array" ref="I1001">IFERROR(
  INDEX(
    SR!$B$2:$D2026,            
    MATCH($A1001, SR!$A$2:$A2026, 0),  
    MATCH(I$1, SR!$B$1:$D$1, 0) ), "")
</f>
        <v>0.000382</v>
      </c>
      <c r="J1001" s="12">
        <f t="array" ref="J1001">IFERROR(
  INDEX(
    SR!$B$2:$D2026,            
    MATCH($A1001, SR!$A$2:$A2026, 0),  
    MATCH(J$1, SR!$B$1:$D$1, 0) ), "")
</f>
        <v>0.004025</v>
      </c>
      <c r="K1001" s="14"/>
      <c r="L1001" s="9">
        <v>116.11</v>
      </c>
      <c r="M1001" s="9">
        <v>24.02</v>
      </c>
      <c r="N1001" s="9">
        <v>115.39</v>
      </c>
      <c r="O1001" s="9">
        <v>115.03</v>
      </c>
      <c r="P1001" s="9">
        <v>129.84</v>
      </c>
      <c r="Q1001" s="9">
        <v>1453.988</v>
      </c>
      <c r="R1001" s="14"/>
      <c r="S1001" s="12">
        <f t="shared" si="2"/>
        <v>-0.00007332992065</v>
      </c>
      <c r="T1001" s="12">
        <f t="shared" si="3"/>
        <v>0.9999266701</v>
      </c>
      <c r="U1001" s="16">
        <f t="shared" si="7"/>
        <v>100.4862715</v>
      </c>
      <c r="V1001" s="17"/>
      <c r="W1001" s="12">
        <f t="array" ref="W1001">SQRT(252/20) *  SQRT( SUMSQ( LN(U980:U999 / U979:U998) )  - (1/20) * ( SUM( LN(U980:U999 / U979:U998) ) ^ 2 ) )</f>
        <v>0.01721271479</v>
      </c>
      <c r="X1001" s="9">
        <f t="shared" si="4"/>
        <v>1.5</v>
      </c>
      <c r="Y1001" s="14"/>
      <c r="Z1001" s="12">
        <f t="shared" si="5"/>
        <v>0.9998951579</v>
      </c>
      <c r="AA1001" s="16">
        <f t="shared" si="8"/>
        <v>101.1115264</v>
      </c>
      <c r="AB1001" s="14"/>
      <c r="AC1001" s="9">
        <f t="shared" si="6"/>
        <v>0</v>
      </c>
    </row>
    <row r="1002">
      <c r="A1002" s="8">
        <v>43178.0</v>
      </c>
      <c r="B1002" s="14"/>
      <c r="C1002" s="12">
        <f t="array" ref="C1002">IFERROR(
  INDEX(
    IR!$B$2:$E2026,                
    MATCH($A1002, IR!$A$2:$A2026, 0), 
    MATCH(C$1, IR!$B$1:$E$1, 0) ), "")
</f>
        <v>-0.0037</v>
      </c>
      <c r="D1002" s="12">
        <f t="array" ref="D1002">IFERROR(
  INDEX(
    IR!$B$2:$E2026,                
    MATCH($A1002, IR!$A$2:$A2026, 0), 
    MATCH(D$1, IR!$B$1:$E$1, 0) ), "")
</f>
        <v>-0.00329</v>
      </c>
      <c r="E1002" s="12">
        <f t="array" ref="E1002">IFERROR(
  INDEX(
    IR!$B$2:$E2026,                
    MATCH($A1002, IR!$A$2:$A2026, 0), 
    MATCH(E$1, IR!$B$1:$E$1, 0) ), "")
</f>
        <v>-0.00272</v>
      </c>
      <c r="F1002" s="12">
        <f t="array" ref="F1002">IFERROR(
  INDEX(
    IR!$B$2:$E2026,                
    MATCH($A1002, IR!$A$2:$A2026, 0), 
    MATCH(F$1, IR!$B$1:$E$1, 0) ), "")
</f>
        <v>-0.00192</v>
      </c>
      <c r="G1002" s="25"/>
      <c r="H1002" s="12">
        <f t="array" ref="H1002">IFERROR(
  INDEX(
    SR!$B$2:$D2026,            
    MATCH($A1002, SR!$A$2:$A2026, 0),  
    MATCH(H$1, SR!$B$1:$D$1, 0) ), "")
</f>
        <v>-0.001475</v>
      </c>
      <c r="I1002" s="12">
        <f t="array" ref="I1002">IFERROR(
  INDEX(
    SR!$B$2:$D2026,            
    MATCH($A1002, SR!$A$2:$A2026, 0),  
    MATCH(I$1, SR!$B$1:$D$1, 0) ), "")
</f>
        <v>0.000428</v>
      </c>
      <c r="J1002" s="12">
        <f t="array" ref="J1002">IFERROR(
  INDEX(
    SR!$B$2:$D2026,            
    MATCH($A1002, SR!$A$2:$A2026, 0),  
    MATCH(J$1, SR!$B$1:$D$1, 0) ), "")
</f>
        <v>0.004115</v>
      </c>
      <c r="K1002" s="14"/>
      <c r="L1002" s="9">
        <v>115.74</v>
      </c>
      <c r="M1002" s="9">
        <v>24.01</v>
      </c>
      <c r="N1002" s="9">
        <v>115.39</v>
      </c>
      <c r="O1002" s="9">
        <v>115.0</v>
      </c>
      <c r="P1002" s="9">
        <v>129.88</v>
      </c>
      <c r="Q1002" s="9">
        <v>1454.347</v>
      </c>
      <c r="R1002" s="14"/>
      <c r="S1002" s="12">
        <f t="shared" si="2"/>
        <v>-0.0005512173957</v>
      </c>
      <c r="T1002" s="12">
        <f t="shared" si="3"/>
        <v>0.9994487826</v>
      </c>
      <c r="U1002" s="16">
        <f t="shared" si="7"/>
        <v>100.4308817</v>
      </c>
      <c r="V1002" s="17"/>
      <c r="W1002" s="12">
        <f t="array" ref="W1002">SQRT(252/20) *  SQRT( SUMSQ( LN(U981:U1000 / U980:U999) )  - (1/20) * ( SUM( LN(U981:U1000 / U980:U999) ) ^ 2 ) )</f>
        <v>0.01708694001</v>
      </c>
      <c r="X1002" s="9">
        <f t="shared" si="4"/>
        <v>1.5</v>
      </c>
      <c r="Y1002" s="14"/>
      <c r="Z1002" s="12">
        <f t="shared" si="5"/>
        <v>0.9991885906</v>
      </c>
      <c r="AA1002" s="16">
        <f t="shared" si="8"/>
        <v>101.0294835</v>
      </c>
      <c r="AB1002" s="14"/>
      <c r="AC1002" s="9">
        <f t="shared" si="6"/>
        <v>0</v>
      </c>
    </row>
    <row r="1003">
      <c r="A1003" s="8">
        <v>43179.0</v>
      </c>
      <c r="B1003" s="14"/>
      <c r="C1003" s="12">
        <f t="array" ref="C1003">IFERROR(
  INDEX(
    IR!$B$2:$E2026,                
    MATCH($A1003, IR!$A$2:$A2026, 0), 
    MATCH(C$1, IR!$B$1:$E$1, 0) ), "")
</f>
        <v>-0.0037</v>
      </c>
      <c r="D1003" s="12">
        <f t="array" ref="D1003">IFERROR(
  INDEX(
    IR!$B$2:$E2026,                
    MATCH($A1003, IR!$A$2:$A2026, 0), 
    MATCH(D$1, IR!$B$1:$E$1, 0) ), "")
</f>
        <v>-0.00329</v>
      </c>
      <c r="E1003" s="12">
        <f t="array" ref="E1003">IFERROR(
  INDEX(
    IR!$B$2:$E2026,                
    MATCH($A1003, IR!$A$2:$A2026, 0), 
    MATCH(E$1, IR!$B$1:$E$1, 0) ), "")
</f>
        <v>-0.00273</v>
      </c>
      <c r="F1003" s="12">
        <f t="array" ref="F1003">IFERROR(
  INDEX(
    IR!$B$2:$E2026,                
    MATCH($A1003, IR!$A$2:$A2026, 0), 
    MATCH(F$1, IR!$B$1:$E$1, 0) ), "")
</f>
        <v>-0.00191</v>
      </c>
      <c r="G1003" s="25"/>
      <c r="H1003" s="12">
        <f t="array" ref="H1003">IFERROR(
  INDEX(
    SR!$B$2:$D2026,            
    MATCH($A1003, SR!$A$2:$A2026, 0),  
    MATCH(H$1, SR!$B$1:$D$1, 0) ), "")
</f>
        <v>-0.00147</v>
      </c>
      <c r="I1003" s="12">
        <f t="array" ref="I1003">IFERROR(
  INDEX(
    SR!$B$2:$D2026,            
    MATCH($A1003, SR!$A$2:$A2026, 0),  
    MATCH(I$1, SR!$B$1:$D$1, 0) ), "")
</f>
        <v>0.000455</v>
      </c>
      <c r="J1003" s="12">
        <f t="array" ref="J1003">IFERROR(
  INDEX(
    SR!$B$2:$D2026,            
    MATCH($A1003, SR!$A$2:$A2026, 0),  
    MATCH(J$1, SR!$B$1:$D$1, 0) ), "")
</f>
        <v>0.004196</v>
      </c>
      <c r="K1003" s="14"/>
      <c r="L1003" s="9">
        <v>115.86</v>
      </c>
      <c r="M1003" s="9">
        <v>24.01</v>
      </c>
      <c r="N1003" s="9">
        <v>115.39</v>
      </c>
      <c r="O1003" s="9">
        <v>115.03</v>
      </c>
      <c r="P1003" s="9">
        <v>129.4</v>
      </c>
      <c r="Q1003" s="9">
        <v>1447.741</v>
      </c>
      <c r="R1003" s="14"/>
      <c r="S1003" s="12">
        <f t="shared" si="2"/>
        <v>-0.001156706148</v>
      </c>
      <c r="T1003" s="12">
        <f t="shared" si="3"/>
        <v>0.9988432939</v>
      </c>
      <c r="U1003" s="16">
        <f t="shared" si="7"/>
        <v>100.3147127</v>
      </c>
      <c r="V1003" s="17"/>
      <c r="W1003" s="12">
        <f t="array" ref="W1003">SQRT(252/20) *  SQRT( SUMSQ( LN(U982:U1001 / U981:U1000) )  - (1/20) * ( SUM( LN(U982:U1001 / U981:U1000) ) ^ 2 ) )</f>
        <v>0.01613345608</v>
      </c>
      <c r="X1003" s="9">
        <f t="shared" si="4"/>
        <v>1.5</v>
      </c>
      <c r="Y1003" s="14"/>
      <c r="Z1003" s="12">
        <f t="shared" si="5"/>
        <v>0.9982700797</v>
      </c>
      <c r="AA1003" s="16">
        <f t="shared" si="8"/>
        <v>100.8547106</v>
      </c>
      <c r="AB1003" s="14"/>
      <c r="AC1003" s="9">
        <f t="shared" si="6"/>
        <v>0</v>
      </c>
    </row>
    <row r="1004">
      <c r="A1004" s="8">
        <v>43180.0</v>
      </c>
      <c r="B1004" s="14"/>
      <c r="C1004" s="12">
        <f t="array" ref="C1004">IFERROR(
  INDEX(
    IR!$B$2:$E2026,                
    MATCH($A1004, IR!$A$2:$A2026, 0), 
    MATCH(C$1, IR!$B$1:$E$1, 0) ), "")
</f>
        <v>-0.0037</v>
      </c>
      <c r="D1004" s="12">
        <f t="array" ref="D1004">IFERROR(
  INDEX(
    IR!$B$2:$E2026,                
    MATCH($A1004, IR!$A$2:$A2026, 0), 
    MATCH(D$1, IR!$B$1:$E$1, 0) ), "")
</f>
        <v>-0.00329</v>
      </c>
      <c r="E1004" s="12">
        <f t="array" ref="E1004">IFERROR(
  INDEX(
    IR!$B$2:$E2026,                
    MATCH($A1004, IR!$A$2:$A2026, 0), 
    MATCH(E$1, IR!$B$1:$E$1, 0) ), "")
</f>
        <v>-0.00272</v>
      </c>
      <c r="F1004" s="12">
        <f t="array" ref="F1004">IFERROR(
  INDEX(
    IR!$B$2:$E2026,                
    MATCH($A1004, IR!$A$2:$A2026, 0), 
    MATCH(F$1, IR!$B$1:$E$1, 0) ), "")
</f>
        <v>-0.00191</v>
      </c>
      <c r="G1004" s="25"/>
      <c r="H1004" s="12">
        <f t="array" ref="H1004">IFERROR(
  INDEX(
    SR!$B$2:$D2026,            
    MATCH($A1004, SR!$A$2:$A2026, 0),  
    MATCH(H$1, SR!$B$1:$D$1, 0) ), "")
</f>
        <v>-0.001468</v>
      </c>
      <c r="I1004" s="12">
        <f t="array" ref="I1004">IFERROR(
  INDEX(
    SR!$B$2:$D2026,            
    MATCH($A1004, SR!$A$2:$A2026, 0),  
    MATCH(I$1, SR!$B$1:$D$1, 0) ), "")
</f>
        <v>0.00051</v>
      </c>
      <c r="J1004" s="12">
        <f t="array" ref="J1004">IFERROR(
  INDEX(
    SR!$B$2:$D2026,            
    MATCH($A1004, SR!$A$2:$A2026, 0),  
    MATCH(J$1, SR!$B$1:$D$1, 0) ), "")
</f>
        <v>0.004295</v>
      </c>
      <c r="K1004" s="14"/>
      <c r="L1004" s="9">
        <v>115.79</v>
      </c>
      <c r="M1004" s="9">
        <v>24.01</v>
      </c>
      <c r="N1004" s="9">
        <v>115.38</v>
      </c>
      <c r="O1004" s="9">
        <v>114.93</v>
      </c>
      <c r="P1004" s="9">
        <v>129.52</v>
      </c>
      <c r="Q1004" s="9">
        <v>1449.721</v>
      </c>
      <c r="R1004" s="14"/>
      <c r="S1004" s="12">
        <f t="shared" si="2"/>
        <v>0.0001225588536</v>
      </c>
      <c r="T1004" s="12">
        <f t="shared" si="3"/>
        <v>1.000122559</v>
      </c>
      <c r="U1004" s="16">
        <f t="shared" si="7"/>
        <v>100.3270071</v>
      </c>
      <c r="V1004" s="17"/>
      <c r="W1004" s="12">
        <f t="array" ref="W1004">SQRT(252/20) *  SQRT( SUMSQ( LN(U983:U1002 / U982:U1001) )  - (1/20) * ( SUM( LN(U983:U1002 / U982:U1001) ) ^ 2 ) )</f>
        <v>0.01567282279</v>
      </c>
      <c r="X1004" s="9">
        <f t="shared" si="4"/>
        <v>1.5</v>
      </c>
      <c r="Y1004" s="14"/>
      <c r="Z1004" s="12">
        <f t="shared" si="5"/>
        <v>1.000188977</v>
      </c>
      <c r="AA1004" s="16">
        <f t="shared" si="8"/>
        <v>100.8737698</v>
      </c>
      <c r="AB1004" s="14"/>
      <c r="AC1004" s="9">
        <f t="shared" si="6"/>
        <v>0</v>
      </c>
    </row>
    <row r="1005">
      <c r="A1005" s="8">
        <v>43181.0</v>
      </c>
      <c r="B1005" s="14"/>
      <c r="C1005" s="12">
        <f t="array" ref="C1005">IFERROR(
  INDEX(
    IR!$B$2:$E2026,                
    MATCH($A1005, IR!$A$2:$A2026, 0), 
    MATCH(C$1, IR!$B$1:$E$1, 0) ), "")
</f>
        <v>-0.00371</v>
      </c>
      <c r="D1005" s="12">
        <f t="array" ref="D1005">IFERROR(
  INDEX(
    IR!$B$2:$E2026,                
    MATCH($A1005, IR!$A$2:$A2026, 0), 
    MATCH(D$1, IR!$B$1:$E$1, 0) ), "")
</f>
        <v>-0.00329</v>
      </c>
      <c r="E1005" s="12">
        <f t="array" ref="E1005">IFERROR(
  INDEX(
    IR!$B$2:$E2026,                
    MATCH($A1005, IR!$A$2:$A2026, 0), 
    MATCH(E$1, IR!$B$1:$E$1, 0) ), "")
</f>
        <v>-0.00271</v>
      </c>
      <c r="F1005" s="12">
        <f t="array" ref="F1005">IFERROR(
  INDEX(
    IR!$B$2:$E2026,                
    MATCH($A1005, IR!$A$2:$A2026, 0), 
    MATCH(F$1, IR!$B$1:$E$1, 0) ), "")
</f>
        <v>-0.00191</v>
      </c>
      <c r="G1005" s="25"/>
      <c r="H1005" s="12">
        <f t="array" ref="H1005">IFERROR(
  INDEX(
    SR!$B$2:$D2026,            
    MATCH($A1005, SR!$A$2:$A2026, 0),  
    MATCH(H$1, SR!$B$1:$D$1, 0) ), "")
</f>
        <v>-0.001553</v>
      </c>
      <c r="I1005" s="12">
        <f t="array" ref="I1005">IFERROR(
  INDEX(
    SR!$B$2:$D2026,            
    MATCH($A1005, SR!$A$2:$A2026, 0),  
    MATCH(I$1, SR!$B$1:$D$1, 0) ), "")
</f>
        <v>0.000305</v>
      </c>
      <c r="J1005" s="12">
        <f t="array" ref="J1005">IFERROR(
  INDEX(
    SR!$B$2:$D2026,            
    MATCH($A1005, SR!$A$2:$A2026, 0),  
    MATCH(J$1, SR!$B$1:$D$1, 0) ), "")
</f>
        <v>0.003952</v>
      </c>
      <c r="K1005" s="14"/>
      <c r="L1005" s="9">
        <v>115.38</v>
      </c>
      <c r="M1005" s="9">
        <v>24.0</v>
      </c>
      <c r="N1005" s="9">
        <v>115.34</v>
      </c>
      <c r="O1005" s="9">
        <v>114.85</v>
      </c>
      <c r="P1005" s="9">
        <v>129.49</v>
      </c>
      <c r="Q1005" s="9">
        <v>1450.554</v>
      </c>
      <c r="R1005" s="14"/>
      <c r="S1005" s="12">
        <f t="shared" si="2"/>
        <v>-0.0007758276743</v>
      </c>
      <c r="T1005" s="12">
        <f t="shared" si="3"/>
        <v>0.9992241723</v>
      </c>
      <c r="U1005" s="16">
        <f t="shared" si="7"/>
        <v>100.2491706</v>
      </c>
      <c r="V1005" s="17"/>
      <c r="W1005" s="12">
        <f t="array" ref="W1005">SQRT(252/20) *  SQRT( SUMSQ( LN(U984:U1003 / U983:U1002) )  - (1/20) * ( SUM( LN(U984:U1003 / U983:U1002) ) ^ 2 ) )</f>
        <v>0.01614604532</v>
      </c>
      <c r="X1005" s="9">
        <f t="shared" si="4"/>
        <v>1.5</v>
      </c>
      <c r="Y1005" s="14"/>
      <c r="Z1005" s="12">
        <f t="shared" si="5"/>
        <v>0.9988413974</v>
      </c>
      <c r="AA1005" s="16">
        <f t="shared" si="8"/>
        <v>100.7568972</v>
      </c>
      <c r="AB1005" s="14"/>
      <c r="AC1005" s="9">
        <f t="shared" si="6"/>
        <v>0</v>
      </c>
    </row>
    <row r="1006">
      <c r="A1006" s="8">
        <v>43182.0</v>
      </c>
      <c r="B1006" s="14"/>
      <c r="C1006" s="12">
        <f t="array" ref="C1006">IFERROR(
  INDEX(
    IR!$B$2:$E2026,                
    MATCH($A1006, IR!$A$2:$A2026, 0), 
    MATCH(C$1, IR!$B$1:$E$1, 0) ), "")
</f>
        <v>-0.0037</v>
      </c>
      <c r="D1006" s="12">
        <f t="array" ref="D1006">IFERROR(
  INDEX(
    IR!$B$2:$E2026,                
    MATCH($A1006, IR!$A$2:$A2026, 0), 
    MATCH(D$1, IR!$B$1:$E$1, 0) ), "")
</f>
        <v>-0.00329</v>
      </c>
      <c r="E1006" s="12">
        <f t="array" ref="E1006">IFERROR(
  INDEX(
    IR!$B$2:$E2026,                
    MATCH($A1006, IR!$A$2:$A2026, 0), 
    MATCH(E$1, IR!$B$1:$E$1, 0) ), "")
</f>
        <v>-0.0027</v>
      </c>
      <c r="F1006" s="12">
        <f t="array" ref="F1006">IFERROR(
  INDEX(
    IR!$B$2:$E2026,                
    MATCH($A1006, IR!$A$2:$A2026, 0), 
    MATCH(F$1, IR!$B$1:$E$1, 0) ), "")
</f>
        <v>-0.0019</v>
      </c>
      <c r="G1006" s="25"/>
      <c r="H1006" s="12">
        <f t="array" ref="H1006">IFERROR(
  INDEX(
    SR!$B$2:$D2026,            
    MATCH($A1006, SR!$A$2:$A2026, 0),  
    MATCH(H$1, SR!$B$1:$D$1, 0) ), "")
</f>
        <v>-0.00154</v>
      </c>
      <c r="I1006" s="12">
        <f t="array" ref="I1006">IFERROR(
  INDEX(
    SR!$B$2:$D2026,            
    MATCH($A1006, SR!$A$2:$A2026, 0),  
    MATCH(I$1, SR!$B$1:$D$1, 0) ), "")
</f>
        <v>0.000335</v>
      </c>
      <c r="J1006" s="12">
        <f t="array" ref="J1006">IFERROR(
  INDEX(
    SR!$B$2:$D2026,            
    MATCH($A1006, SR!$A$2:$A2026, 0),  
    MATCH(J$1, SR!$B$1:$D$1, 0) ), "")
</f>
        <v>0.00401</v>
      </c>
      <c r="K1006" s="14"/>
      <c r="L1006" s="9">
        <v>115.13</v>
      </c>
      <c r="M1006" s="9">
        <v>23.99</v>
      </c>
      <c r="N1006" s="9">
        <v>115.34</v>
      </c>
      <c r="O1006" s="9">
        <v>115.18</v>
      </c>
      <c r="P1006" s="9">
        <v>128.79</v>
      </c>
      <c r="Q1006" s="9">
        <v>1435.756</v>
      </c>
      <c r="R1006" s="14"/>
      <c r="S1006" s="12">
        <f t="shared" si="2"/>
        <v>-0.002552923884</v>
      </c>
      <c r="T1006" s="12">
        <f t="shared" si="3"/>
        <v>0.9974470761</v>
      </c>
      <c r="U1006" s="16">
        <f t="shared" si="7"/>
        <v>99.99324214</v>
      </c>
      <c r="V1006" s="17"/>
      <c r="W1006" s="12">
        <f t="array" ref="W1006">SQRT(252/20) *  SQRT( SUMSQ( LN(U985:U1004 / U984:U1003) )  - (1/20) * ( SUM( LN(U985:U1004 / U984:U1003) ) ^ 2 ) )</f>
        <v>0.01589712643</v>
      </c>
      <c r="X1006" s="9">
        <f t="shared" si="4"/>
        <v>1.5</v>
      </c>
      <c r="Y1006" s="14"/>
      <c r="Z1006" s="12">
        <f t="shared" si="5"/>
        <v>0.996175767</v>
      </c>
      <c r="AA1006" s="16">
        <f t="shared" si="8"/>
        <v>100.3715793</v>
      </c>
      <c r="AB1006" s="14"/>
      <c r="AC1006" s="9">
        <f t="shared" si="6"/>
        <v>0</v>
      </c>
    </row>
    <row r="1007">
      <c r="A1007" s="8">
        <v>43185.0</v>
      </c>
      <c r="B1007" s="14"/>
      <c r="C1007" s="12">
        <f t="array" ref="C1007">IFERROR(
  INDEX(
    IR!$B$2:$E2026,                
    MATCH($A1007, IR!$A$2:$A2026, 0), 
    MATCH(C$1, IR!$B$1:$E$1, 0) ), "")
</f>
        <v>-0.0037</v>
      </c>
      <c r="D1007" s="12">
        <f t="array" ref="D1007">IFERROR(
  INDEX(
    IR!$B$2:$E2026,                
    MATCH($A1007, IR!$A$2:$A2026, 0), 
    MATCH(D$1, IR!$B$1:$E$1, 0) ), "")
</f>
        <v>-0.00329</v>
      </c>
      <c r="E1007" s="12">
        <f t="array" ref="E1007">IFERROR(
  INDEX(
    IR!$B$2:$E2026,                
    MATCH($A1007, IR!$A$2:$A2026, 0), 
    MATCH(E$1, IR!$B$1:$E$1, 0) ), "")
</f>
        <v>-0.00271</v>
      </c>
      <c r="F1007" s="12">
        <f t="array" ref="F1007">IFERROR(
  INDEX(
    IR!$B$2:$E2026,                
    MATCH($A1007, IR!$A$2:$A2026, 0), 
    MATCH(F$1, IR!$B$1:$E$1, 0) ), "")
</f>
        <v>-0.00191</v>
      </c>
      <c r="G1007" s="25"/>
      <c r="H1007" s="12">
        <f t="array" ref="H1007">IFERROR(
  INDEX(
    SR!$B$2:$D2026,            
    MATCH($A1007, SR!$A$2:$A2026, 0),  
    MATCH(H$1, SR!$B$1:$D$1, 0) ), "")
</f>
        <v>-0.00155</v>
      </c>
      <c r="I1007" s="12">
        <f t="array" ref="I1007">IFERROR(
  INDEX(
    SR!$B$2:$D2026,            
    MATCH($A1007, SR!$A$2:$A2026, 0),  
    MATCH(I$1, SR!$B$1:$D$1, 0) ), "")
</f>
        <v>0.000311</v>
      </c>
      <c r="J1007" s="12">
        <f t="array" ref="J1007">IFERROR(
  INDEX(
    SR!$B$2:$D2026,            
    MATCH($A1007, SR!$A$2:$A2026, 0),  
    MATCH(J$1, SR!$B$1:$D$1, 0) ), "")
</f>
        <v>0.004015</v>
      </c>
      <c r="K1007" s="14"/>
      <c r="L1007" s="9">
        <v>114.84</v>
      </c>
      <c r="M1007" s="9">
        <v>23.97</v>
      </c>
      <c r="N1007" s="9">
        <v>115.35</v>
      </c>
      <c r="O1007" s="9">
        <v>115.19</v>
      </c>
      <c r="P1007" s="9">
        <v>128.38</v>
      </c>
      <c r="Q1007" s="9">
        <v>1427.608</v>
      </c>
      <c r="R1007" s="14"/>
      <c r="S1007" s="12">
        <f t="shared" si="2"/>
        <v>-0.00200602959</v>
      </c>
      <c r="T1007" s="12">
        <f t="shared" si="3"/>
        <v>0.9979939704</v>
      </c>
      <c r="U1007" s="16">
        <f t="shared" si="7"/>
        <v>99.79265273</v>
      </c>
      <c r="V1007" s="17"/>
      <c r="W1007" s="12">
        <f t="array" ref="W1007">SQRT(252/20) *  SQRT( SUMSQ( LN(U986:U1005 / U985:U1004) )  - (1/20) * ( SUM( LN(U986:U1005 / U985:U1004) ) ^ 2 ) )</f>
        <v>0.01605464016</v>
      </c>
      <c r="X1007" s="9">
        <f t="shared" si="4"/>
        <v>1.5</v>
      </c>
      <c r="Y1007" s="14"/>
      <c r="Z1007" s="12">
        <f t="shared" si="5"/>
        <v>0.9970063723</v>
      </c>
      <c r="AA1007" s="16">
        <f t="shared" si="8"/>
        <v>100.0711042</v>
      </c>
      <c r="AB1007" s="14"/>
      <c r="AC1007" s="9">
        <f t="shared" si="6"/>
        <v>0</v>
      </c>
    </row>
    <row r="1008">
      <c r="A1008" s="8">
        <v>43186.0</v>
      </c>
      <c r="B1008" s="14"/>
      <c r="C1008" s="12">
        <f t="array" ref="C1008">IFERROR(
  INDEX(
    IR!$B$2:$E2026,                
    MATCH($A1008, IR!$A$2:$A2026, 0), 
    MATCH(C$1, IR!$B$1:$E$1, 0) ), "")
</f>
        <v>-0.00371</v>
      </c>
      <c r="D1008" s="12">
        <f t="array" ref="D1008">IFERROR(
  INDEX(
    IR!$B$2:$E2026,                
    MATCH($A1008, IR!$A$2:$A2026, 0), 
    MATCH(D$1, IR!$B$1:$E$1, 0) ), "")
</f>
        <v>-0.00329</v>
      </c>
      <c r="E1008" s="12">
        <f t="array" ref="E1008">IFERROR(
  INDEX(
    IR!$B$2:$E2026,                
    MATCH($A1008, IR!$A$2:$A2026, 0), 
    MATCH(E$1, IR!$B$1:$E$1, 0) ), "")
</f>
        <v>-0.00271</v>
      </c>
      <c r="F1008" s="12">
        <f t="array" ref="F1008">IFERROR(
  INDEX(
    IR!$B$2:$E2026,                
    MATCH($A1008, IR!$A$2:$A2026, 0), 
    MATCH(F$1, IR!$B$1:$E$1, 0) ), "")
</f>
        <v>-0.00191</v>
      </c>
      <c r="G1008" s="25"/>
      <c r="H1008" s="12">
        <f t="array" ref="H1008">IFERROR(
  INDEX(
    SR!$B$2:$D2026,            
    MATCH($A1008, SR!$A$2:$A2026, 0),  
    MATCH(H$1, SR!$B$1:$D$1, 0) ), "")
</f>
        <v>-0.001589</v>
      </c>
      <c r="I1008" s="12">
        <f t="array" ref="I1008">IFERROR(
  INDEX(
    SR!$B$2:$D2026,            
    MATCH($A1008, SR!$A$2:$A2026, 0),  
    MATCH(I$1, SR!$B$1:$D$1, 0) ), "")
</f>
        <v>0.00021</v>
      </c>
      <c r="J1008" s="12">
        <f t="array" ref="J1008">IFERROR(
  INDEX(
    SR!$B$2:$D2026,            
    MATCH($A1008, SR!$A$2:$A2026, 0),  
    MATCH(J$1, SR!$B$1:$D$1, 0) ), "")
</f>
        <v>0.003747</v>
      </c>
      <c r="K1008" s="14"/>
      <c r="L1008" s="9">
        <v>115.22</v>
      </c>
      <c r="M1008" s="9">
        <v>23.98</v>
      </c>
      <c r="N1008" s="9">
        <v>115.35</v>
      </c>
      <c r="O1008" s="9">
        <v>115.14</v>
      </c>
      <c r="P1008" s="9">
        <v>128.63</v>
      </c>
      <c r="Q1008" s="9">
        <v>1436.394</v>
      </c>
      <c r="R1008" s="14"/>
      <c r="S1008" s="12">
        <f t="shared" si="2"/>
        <v>0.001898817283</v>
      </c>
      <c r="T1008" s="12">
        <f t="shared" si="3"/>
        <v>1.001898817</v>
      </c>
      <c r="U1008" s="16">
        <f t="shared" si="7"/>
        <v>99.98214075</v>
      </c>
      <c r="V1008" s="17"/>
      <c r="W1008" s="12">
        <f t="array" ref="W1008">SQRT(252/20) *  SQRT( SUMSQ( LN(U987:U1006 / U986:U1005) )  - (1/20) * ( SUM( LN(U987:U1006 / U986:U1005) ) ^ 2 ) )</f>
        <v>0.01795967558</v>
      </c>
      <c r="X1008" s="9">
        <f t="shared" si="4"/>
        <v>1.5</v>
      </c>
      <c r="Y1008" s="14"/>
      <c r="Z1008" s="12">
        <f t="shared" si="5"/>
        <v>1.002853365</v>
      </c>
      <c r="AA1008" s="16">
        <f t="shared" si="8"/>
        <v>100.3566435</v>
      </c>
      <c r="AB1008" s="14"/>
      <c r="AC1008" s="9">
        <f t="shared" si="6"/>
        <v>0</v>
      </c>
    </row>
    <row r="1009">
      <c r="A1009" s="8">
        <v>43187.0</v>
      </c>
      <c r="B1009" s="14"/>
      <c r="C1009" s="12">
        <f t="array" ref="C1009">IFERROR(
  INDEX(
    IR!$B$2:$E2026,                
    MATCH($A1009, IR!$A$2:$A2026, 0), 
    MATCH(C$1, IR!$B$1:$E$1, 0) ), "")
</f>
        <v>-0.00371</v>
      </c>
      <c r="D1009" s="12">
        <f t="array" ref="D1009">IFERROR(
  INDEX(
    IR!$B$2:$E2026,                
    MATCH($A1009, IR!$A$2:$A2026, 0), 
    MATCH(D$1, IR!$B$1:$E$1, 0) ), "")
</f>
        <v>-0.00329</v>
      </c>
      <c r="E1009" s="12">
        <f t="array" ref="E1009">IFERROR(
  INDEX(
    IR!$B$2:$E2026,                
    MATCH($A1009, IR!$A$2:$A2026, 0), 
    MATCH(E$1, IR!$B$1:$E$1, 0) ), "")
</f>
        <v>-0.00271</v>
      </c>
      <c r="F1009" s="12">
        <f t="array" ref="F1009">IFERROR(
  INDEX(
    IR!$B$2:$E2026,                
    MATCH($A1009, IR!$A$2:$A2026, 0), 
    MATCH(F$1, IR!$B$1:$E$1, 0) ), "")
</f>
        <v>-0.00191</v>
      </c>
      <c r="G1009" s="25"/>
      <c r="H1009" s="12">
        <f t="array" ref="H1009">IFERROR(
  INDEX(
    SR!$B$2:$D2026,            
    MATCH($A1009, SR!$A$2:$A2026, 0),  
    MATCH(H$1, SR!$B$1:$D$1, 0) ), "")
</f>
        <v>-0.00158</v>
      </c>
      <c r="I1009" s="12">
        <f t="array" ref="I1009">IFERROR(
  INDEX(
    SR!$B$2:$D2026,            
    MATCH($A1009, SR!$A$2:$A2026, 0),  
    MATCH(I$1, SR!$B$1:$D$1, 0) ), "")
</f>
        <v>0.000193</v>
      </c>
      <c r="J1009" s="12">
        <f t="array" ref="J1009">IFERROR(
  INDEX(
    SR!$B$2:$D2026,            
    MATCH($A1009, SR!$A$2:$A2026, 0),  
    MATCH(J$1, SR!$B$1:$D$1, 0) ), "")
</f>
        <v>0.003743</v>
      </c>
      <c r="K1009" s="14"/>
      <c r="L1009" s="9">
        <v>115.14</v>
      </c>
      <c r="M1009" s="9">
        <v>23.98</v>
      </c>
      <c r="N1009" s="9">
        <v>115.31</v>
      </c>
      <c r="O1009" s="9">
        <v>115.33</v>
      </c>
      <c r="P1009" s="9">
        <v>128.56</v>
      </c>
      <c r="Q1009" s="9">
        <v>1429.532</v>
      </c>
      <c r="R1009" s="14"/>
      <c r="S1009" s="12">
        <f t="shared" si="2"/>
        <v>-0.0007855580498</v>
      </c>
      <c r="T1009" s="12">
        <f t="shared" si="3"/>
        <v>0.999214442</v>
      </c>
      <c r="U1009" s="16">
        <f t="shared" si="7"/>
        <v>99.90359897</v>
      </c>
      <c r="V1009" s="17"/>
      <c r="W1009" s="12">
        <f t="array" ref="W1009">SQRT(252/20) *  SQRT( SUMSQ( LN(U988:U1007 / U987:U1006) )  - (1/20) * ( SUM( LN(U988:U1007 / U987:U1006) ) ^ 2 ) )</f>
        <v>0.01808641106</v>
      </c>
      <c r="X1009" s="9">
        <f t="shared" si="4"/>
        <v>1.5</v>
      </c>
      <c r="Y1009" s="14"/>
      <c r="Z1009" s="12">
        <f t="shared" si="5"/>
        <v>0.9988268157</v>
      </c>
      <c r="AA1009" s="16">
        <f t="shared" si="8"/>
        <v>100.2389067</v>
      </c>
      <c r="AB1009" s="14"/>
      <c r="AC1009" s="9">
        <f t="shared" si="6"/>
        <v>0</v>
      </c>
    </row>
    <row r="1010">
      <c r="A1010" s="8">
        <v>43188.0</v>
      </c>
      <c r="B1010" s="14"/>
      <c r="C1010" s="12">
        <f t="array" ref="C1010">IFERROR(
  INDEX(
    IR!$B$2:$E2026,                
    MATCH($A1010, IR!$A$2:$A2026, 0), 
    MATCH(C$1, IR!$B$1:$E$1, 0) ), "")
</f>
        <v>-0.00372</v>
      </c>
      <c r="D1010" s="12">
        <f t="array" ref="D1010">IFERROR(
  INDEX(
    IR!$B$2:$E2026,                
    MATCH($A1010, IR!$A$2:$A2026, 0), 
    MATCH(D$1, IR!$B$1:$E$1, 0) ), "")
</f>
        <v>-0.00328</v>
      </c>
      <c r="E1010" s="12">
        <f t="array" ref="E1010">IFERROR(
  INDEX(
    IR!$B$2:$E2026,                
    MATCH($A1010, IR!$A$2:$A2026, 0), 
    MATCH(E$1, IR!$B$1:$E$1, 0) ), "")
</f>
        <v>-0.00271</v>
      </c>
      <c r="F1010" s="12">
        <f t="array" ref="F1010">IFERROR(
  INDEX(
    IR!$B$2:$E2026,                
    MATCH($A1010, IR!$A$2:$A2026, 0), 
    MATCH(F$1, IR!$B$1:$E$1, 0) ), "")
</f>
        <v>-0.0019</v>
      </c>
      <c r="G1010" s="25"/>
      <c r="H1010" s="12">
        <f t="array" ref="H1010">IFERROR(
  INDEX(
    SR!$B$2:$D2026,            
    MATCH($A1010, SR!$A$2:$A2026, 0),  
    MATCH(H$1, SR!$B$1:$D$1, 0) ), "")
</f>
        <v>-0.00157</v>
      </c>
      <c r="I1010" s="12">
        <f t="array" ref="I1010">IFERROR(
  INDEX(
    SR!$B$2:$D2026,            
    MATCH($A1010, SR!$A$2:$A2026, 0),  
    MATCH(I$1, SR!$B$1:$D$1, 0) ), "")
</f>
        <v>0.000172</v>
      </c>
      <c r="J1010" s="12">
        <f t="array" ref="J1010">IFERROR(
  INDEX(
    SR!$B$2:$D2026,            
    MATCH($A1010, SR!$A$2:$A2026, 0),  
    MATCH(J$1, SR!$B$1:$D$1, 0) ), "")
</f>
        <v>0.003642</v>
      </c>
      <c r="K1010" s="14"/>
      <c r="L1010" s="9">
        <v>115.42</v>
      </c>
      <c r="M1010" s="9">
        <v>23.98</v>
      </c>
      <c r="N1010" s="9">
        <v>115.36</v>
      </c>
      <c r="O1010" s="9">
        <v>115.37</v>
      </c>
      <c r="P1010" s="9">
        <v>128.32</v>
      </c>
      <c r="Q1010" s="9">
        <v>1422.646</v>
      </c>
      <c r="R1010" s="14"/>
      <c r="S1010" s="12">
        <f t="shared" si="2"/>
        <v>-0.0005788380915</v>
      </c>
      <c r="T1010" s="12">
        <f t="shared" si="3"/>
        <v>0.9994211619</v>
      </c>
      <c r="U1010" s="16">
        <f t="shared" si="7"/>
        <v>99.84577096</v>
      </c>
      <c r="V1010" s="17"/>
      <c r="W1010" s="12">
        <f t="array" ref="W1010">SQRT(252/20) *  SQRT( SUMSQ( LN(U989:U1008 / U988:U1007) )  - (1/20) * ( SUM( LN(U989:U1008 / U988:U1007) ) ^ 2 ) )</f>
        <v>0.01949367368</v>
      </c>
      <c r="X1010" s="9">
        <f t="shared" si="4"/>
        <v>1.5</v>
      </c>
      <c r="Y1010" s="14"/>
      <c r="Z1010" s="12">
        <f t="shared" si="5"/>
        <v>0.9991368956</v>
      </c>
      <c r="AA1010" s="16">
        <f t="shared" si="8"/>
        <v>100.1523901</v>
      </c>
      <c r="AB1010" s="14"/>
      <c r="AC1010" s="9">
        <f t="shared" si="6"/>
        <v>0</v>
      </c>
    </row>
    <row r="1011">
      <c r="A1011" s="8">
        <v>43193.0</v>
      </c>
      <c r="B1011" s="14"/>
      <c r="C1011" s="12">
        <f t="array" ref="C1011">IFERROR(
  INDEX(
    IR!$B$2:$E2026,                
    MATCH($A1011, IR!$A$2:$A2026, 0), 
    MATCH(C$1, IR!$B$1:$E$1, 0) ), "")
</f>
        <v>-0.00372</v>
      </c>
      <c r="D1011" s="12">
        <f t="array" ref="D1011">IFERROR(
  INDEX(
    IR!$B$2:$E2026,                
    MATCH($A1011, IR!$A$2:$A2026, 0), 
    MATCH(D$1, IR!$B$1:$E$1, 0) ), "")
</f>
        <v>-0.00328</v>
      </c>
      <c r="E1011" s="12">
        <f t="array" ref="E1011">IFERROR(
  INDEX(
    IR!$B$2:$E2026,                
    MATCH($A1011, IR!$A$2:$A2026, 0), 
    MATCH(E$1, IR!$B$1:$E$1, 0) ), "")
</f>
        <v>-0.0027</v>
      </c>
      <c r="F1011" s="12">
        <f t="array" ref="F1011">IFERROR(
  INDEX(
    IR!$B$2:$E2026,                
    MATCH($A1011, IR!$A$2:$A2026, 0), 
    MATCH(F$1, IR!$B$1:$E$1, 0) ), "")
</f>
        <v>-0.0019</v>
      </c>
      <c r="G1011" s="25"/>
      <c r="H1011" s="12">
        <f t="array" ref="H1011">IFERROR(
  INDEX(
    SR!$B$2:$D2026,            
    MATCH($A1011, SR!$A$2:$A2026, 0),  
    MATCH(H$1, SR!$B$1:$D$1, 0) ), "")
</f>
        <v>-0.001547</v>
      </c>
      <c r="I1011" s="12">
        <f t="array" ref="I1011">IFERROR(
  INDEX(
    SR!$B$2:$D2026,            
    MATCH($A1011, SR!$A$2:$A2026, 0),  
    MATCH(I$1, SR!$B$1:$D$1, 0) ), "")
</f>
        <v>0.00021</v>
      </c>
      <c r="J1011" s="12">
        <f t="array" ref="J1011">IFERROR(
  INDEX(
    SR!$B$2:$D2026,            
    MATCH($A1011, SR!$A$2:$A2026, 0),  
    MATCH(J$1, SR!$B$1:$D$1, 0) ), "")
</f>
        <v>0.003632</v>
      </c>
      <c r="K1011" s="14"/>
      <c r="L1011" s="9">
        <v>115.23</v>
      </c>
      <c r="M1011" s="9">
        <v>23.99</v>
      </c>
      <c r="N1011" s="9">
        <v>115.36</v>
      </c>
      <c r="O1011" s="9">
        <v>115.46</v>
      </c>
      <c r="P1011" s="9">
        <v>128.28</v>
      </c>
      <c r="Q1011" s="9">
        <v>1420.282</v>
      </c>
      <c r="R1011" s="14"/>
      <c r="S1011" s="12">
        <f t="shared" si="2"/>
        <v>-0.0004037483249</v>
      </c>
      <c r="T1011" s="12">
        <f t="shared" si="3"/>
        <v>0.9995962517</v>
      </c>
      <c r="U1011" s="16">
        <f t="shared" si="7"/>
        <v>99.8054584</v>
      </c>
      <c r="V1011" s="17"/>
      <c r="W1011" s="12">
        <f t="array" ref="W1011">SQRT(252/20) *  SQRT( SUMSQ( LN(U990:U1009 / U989:U1008) )  - (1/20) * ( SUM( LN(U990:U1009 / U989:U1008) ) ^ 2 ) )</f>
        <v>0.01923529878</v>
      </c>
      <c r="X1011" s="9">
        <f t="shared" si="4"/>
        <v>1.5</v>
      </c>
      <c r="Y1011" s="14"/>
      <c r="Z1011" s="12">
        <f t="shared" si="5"/>
        <v>0.9994202108</v>
      </c>
      <c r="AA1011" s="16">
        <f t="shared" si="8"/>
        <v>100.0943228</v>
      </c>
      <c r="AB1011" s="14"/>
      <c r="AC1011" s="9">
        <f t="shared" si="6"/>
        <v>0</v>
      </c>
    </row>
    <row r="1012">
      <c r="A1012" s="8">
        <v>43194.0</v>
      </c>
      <c r="B1012" s="14"/>
      <c r="C1012" s="12">
        <f t="array" ref="C1012">IFERROR(
  INDEX(
    IR!$B$2:$E2026,                
    MATCH($A1012, IR!$A$2:$A2026, 0), 
    MATCH(C$1, IR!$B$1:$E$1, 0) ), "")
</f>
        <v>-0.00372</v>
      </c>
      <c r="D1012" s="12">
        <f t="array" ref="D1012">IFERROR(
  INDEX(
    IR!$B$2:$E2026,                
    MATCH($A1012, IR!$A$2:$A2026, 0), 
    MATCH(D$1, IR!$B$1:$E$1, 0) ), "")
</f>
        <v>-0.00328</v>
      </c>
      <c r="E1012" s="12">
        <f t="array" ref="E1012">IFERROR(
  INDEX(
    IR!$B$2:$E2026,                
    MATCH($A1012, IR!$A$2:$A2026, 0), 
    MATCH(E$1, IR!$B$1:$E$1, 0) ), "")
</f>
        <v>-0.00271</v>
      </c>
      <c r="F1012" s="12">
        <f t="array" ref="F1012">IFERROR(
  INDEX(
    IR!$B$2:$E2026,                
    MATCH($A1012, IR!$A$2:$A2026, 0), 
    MATCH(F$1, IR!$B$1:$E$1, 0) ), "")
</f>
        <v>-0.0019</v>
      </c>
      <c r="G1012" s="25"/>
      <c r="H1012" s="12">
        <f t="array" ref="H1012">IFERROR(
  INDEX(
    SR!$B$2:$D2026,            
    MATCH($A1012, SR!$A$2:$A2026, 0),  
    MATCH(H$1, SR!$B$1:$D$1, 0) ), "")
</f>
        <v>-0.00155</v>
      </c>
      <c r="I1012" s="12">
        <f t="array" ref="I1012">IFERROR(
  INDEX(
    SR!$B$2:$D2026,            
    MATCH($A1012, SR!$A$2:$A2026, 0),  
    MATCH(I$1, SR!$B$1:$D$1, 0) ), "")
</f>
        <v>0.000189</v>
      </c>
      <c r="J1012" s="12">
        <f t="array" ref="J1012">IFERROR(
  INDEX(
    SR!$B$2:$D2026,            
    MATCH($A1012, SR!$A$2:$A2026, 0),  
    MATCH(J$1, SR!$B$1:$D$1, 0) ), "")
</f>
        <v>0.003605</v>
      </c>
      <c r="K1012" s="14"/>
      <c r="L1012" s="9">
        <v>115.19</v>
      </c>
      <c r="M1012" s="9">
        <v>23.99</v>
      </c>
      <c r="N1012" s="9">
        <v>115.36</v>
      </c>
      <c r="O1012" s="9">
        <v>115.28</v>
      </c>
      <c r="P1012" s="9">
        <v>128.07</v>
      </c>
      <c r="Q1012" s="9">
        <v>1420.31</v>
      </c>
      <c r="R1012" s="14"/>
      <c r="S1012" s="12">
        <f t="shared" si="2"/>
        <v>-0.0005870036091</v>
      </c>
      <c r="T1012" s="12">
        <f t="shared" si="3"/>
        <v>0.9994129964</v>
      </c>
      <c r="U1012" s="16">
        <f t="shared" si="7"/>
        <v>99.74687224</v>
      </c>
      <c r="V1012" s="17"/>
      <c r="W1012" s="12">
        <f t="array" ref="W1012">SQRT(252/20) *  SQRT( SUMSQ( LN(U991:U1010 / U990:U1009) )  - (1/20) * ( SUM( LN(U991:U1010 / U990:U1009) ) ^ 2 ) )</f>
        <v>0.01879985893</v>
      </c>
      <c r="X1012" s="9">
        <f t="shared" si="4"/>
        <v>1.5</v>
      </c>
      <c r="Y1012" s="14"/>
      <c r="Z1012" s="12">
        <f t="shared" si="5"/>
        <v>0.9991246613</v>
      </c>
      <c r="AA1012" s="16">
        <f t="shared" si="8"/>
        <v>100.0067064</v>
      </c>
      <c r="AB1012" s="14"/>
      <c r="AC1012" s="9">
        <f t="shared" si="6"/>
        <v>0</v>
      </c>
    </row>
    <row r="1013">
      <c r="A1013" s="8">
        <v>43195.0</v>
      </c>
      <c r="B1013" s="14"/>
      <c r="C1013" s="12">
        <f t="array" ref="C1013">IFERROR(
  INDEX(
    IR!$B$2:$E2026,                
    MATCH($A1013, IR!$A$2:$A2026, 0), 
    MATCH(C$1, IR!$B$1:$E$1, 0) ), "")
</f>
        <v>-0.00372</v>
      </c>
      <c r="D1013" s="12">
        <f t="array" ref="D1013">IFERROR(
  INDEX(
    IR!$B$2:$E2026,                
    MATCH($A1013, IR!$A$2:$A2026, 0), 
    MATCH(D$1, IR!$B$1:$E$1, 0) ), "")
</f>
        <v>-0.00328</v>
      </c>
      <c r="E1013" s="12">
        <f t="array" ref="E1013">IFERROR(
  INDEX(
    IR!$B$2:$E2026,                
    MATCH($A1013, IR!$A$2:$A2026, 0), 
    MATCH(E$1, IR!$B$1:$E$1, 0) ), "")
</f>
        <v>-0.00271</v>
      </c>
      <c r="F1013" s="12">
        <f t="array" ref="F1013">IFERROR(
  INDEX(
    IR!$B$2:$E2026,                
    MATCH($A1013, IR!$A$2:$A2026, 0), 
    MATCH(F$1, IR!$B$1:$E$1, 0) ), "")
</f>
        <v>-0.00191</v>
      </c>
      <c r="G1013" s="25"/>
      <c r="H1013" s="12">
        <f t="array" ref="H1013">IFERROR(
  INDEX(
    SR!$B$2:$D2026,            
    MATCH($A1013, SR!$A$2:$A2026, 0),  
    MATCH(H$1, SR!$B$1:$D$1, 0) ), "")
</f>
        <v>-0.0015</v>
      </c>
      <c r="I1013" s="12">
        <f t="array" ref="I1013">IFERROR(
  INDEX(
    SR!$B$2:$D2026,            
    MATCH($A1013, SR!$A$2:$A2026, 0),  
    MATCH(I$1, SR!$B$1:$D$1, 0) ), "")
</f>
        <v>0.000295</v>
      </c>
      <c r="J1013" s="12">
        <f t="array" ref="J1013">IFERROR(
  INDEX(
    SR!$B$2:$D2026,            
    MATCH($A1013, SR!$A$2:$A2026, 0),  
    MATCH(J$1, SR!$B$1:$D$1, 0) ), "")
</f>
        <v>0.00378</v>
      </c>
      <c r="K1013" s="14"/>
      <c r="L1013" s="9">
        <v>115.97</v>
      </c>
      <c r="M1013" s="9">
        <v>23.99</v>
      </c>
      <c r="N1013" s="9">
        <v>115.35</v>
      </c>
      <c r="O1013" s="9">
        <v>115.33</v>
      </c>
      <c r="P1013" s="9">
        <v>128.03</v>
      </c>
      <c r="Q1013" s="9">
        <v>1422.465</v>
      </c>
      <c r="R1013" s="14"/>
      <c r="S1013" s="12">
        <f t="shared" si="2"/>
        <v>0.001386831459</v>
      </c>
      <c r="T1013" s="12">
        <f t="shared" si="3"/>
        <v>1.001386831</v>
      </c>
      <c r="U1013" s="16">
        <f t="shared" si="7"/>
        <v>99.88520434</v>
      </c>
      <c r="V1013" s="17"/>
      <c r="W1013" s="12">
        <f t="array" ref="W1013">SQRT(252/20) *  SQRT( SUMSQ( LN(U992:U1011 / U991:U1010) )  - (1/20) * ( SUM( LN(U992:U1011 / U991:U1010) ) ^ 2 ) )</f>
        <v>0.01692881593</v>
      </c>
      <c r="X1013" s="9">
        <f t="shared" si="4"/>
        <v>1.5</v>
      </c>
      <c r="Y1013" s="14"/>
      <c r="Z1013" s="12">
        <f t="shared" si="5"/>
        <v>1.002085414</v>
      </c>
      <c r="AA1013" s="16">
        <f t="shared" si="8"/>
        <v>100.2152617</v>
      </c>
      <c r="AB1013" s="14"/>
      <c r="AC1013" s="9">
        <f t="shared" si="6"/>
        <v>0</v>
      </c>
    </row>
    <row r="1014">
      <c r="A1014" s="8">
        <v>43196.0</v>
      </c>
      <c r="B1014" s="14"/>
      <c r="C1014" s="12">
        <f t="array" ref="C1014">IFERROR(
  INDEX(
    IR!$B$2:$E2026,                
    MATCH($A1014, IR!$A$2:$A2026, 0), 
    MATCH(C$1, IR!$B$1:$E$1, 0) ), "")
</f>
        <v>-0.00372</v>
      </c>
      <c r="D1014" s="12">
        <f t="array" ref="D1014">IFERROR(
  INDEX(
    IR!$B$2:$E2026,                
    MATCH($A1014, IR!$A$2:$A2026, 0), 
    MATCH(D$1, IR!$B$1:$E$1, 0) ), "")
</f>
        <v>-0.00329</v>
      </c>
      <c r="E1014" s="12">
        <f t="array" ref="E1014">IFERROR(
  INDEX(
    IR!$B$2:$E2026,                
    MATCH($A1014, IR!$A$2:$A2026, 0), 
    MATCH(E$1, IR!$B$1:$E$1, 0) ), "")
</f>
        <v>-0.0027</v>
      </c>
      <c r="F1014" s="12">
        <f t="array" ref="F1014">IFERROR(
  INDEX(
    IR!$B$2:$E2026,                
    MATCH($A1014, IR!$A$2:$A2026, 0), 
    MATCH(F$1, IR!$B$1:$E$1, 0) ), "")
</f>
        <v>-0.00191</v>
      </c>
      <c r="G1014" s="25"/>
      <c r="H1014" s="12">
        <f t="array" ref="H1014">IFERROR(
  INDEX(
    SR!$B$2:$D2026,            
    MATCH($A1014, SR!$A$2:$A2026, 0),  
    MATCH(H$1, SR!$B$1:$D$1, 0) ), "")
</f>
        <v>-0.001505</v>
      </c>
      <c r="I1014" s="12">
        <f t="array" ref="I1014">IFERROR(
  INDEX(
    SR!$B$2:$D2026,            
    MATCH($A1014, SR!$A$2:$A2026, 0),  
    MATCH(I$1, SR!$B$1:$D$1, 0) ), "")
</f>
        <v>0.000225</v>
      </c>
      <c r="J1014" s="12">
        <f t="array" ref="J1014">IFERROR(
  INDEX(
    SR!$B$2:$D2026,            
    MATCH($A1014, SR!$A$2:$A2026, 0),  
    MATCH(J$1, SR!$B$1:$D$1, 0) ), "")
</f>
        <v>0.00363</v>
      </c>
      <c r="K1014" s="14"/>
      <c r="L1014" s="9">
        <v>115.83</v>
      </c>
      <c r="M1014" s="9">
        <v>23.99</v>
      </c>
      <c r="N1014" s="9">
        <v>115.34</v>
      </c>
      <c r="O1014" s="9">
        <v>115.08</v>
      </c>
      <c r="P1014" s="9">
        <v>128.28</v>
      </c>
      <c r="Q1014" s="9">
        <v>1429.482</v>
      </c>
      <c r="R1014" s="14"/>
      <c r="S1014" s="12">
        <f t="shared" si="2"/>
        <v>0.0005709415695</v>
      </c>
      <c r="T1014" s="12">
        <f t="shared" si="3"/>
        <v>1.000570942</v>
      </c>
      <c r="U1014" s="16">
        <f t="shared" si="7"/>
        <v>99.94223295</v>
      </c>
      <c r="V1014" s="17"/>
      <c r="W1014" s="12">
        <f t="array" ref="W1014">SQRT(252/20) *  SQRT( SUMSQ( LN(U993:U1012 / U992:U1011) )  - (1/20) * ( SUM( LN(U993:U1012 / U992:U1011) ) ^ 2 ) )</f>
        <v>0.01692706348</v>
      </c>
      <c r="X1014" s="9">
        <f t="shared" si="4"/>
        <v>1.5</v>
      </c>
      <c r="Y1014" s="14"/>
      <c r="Z1014" s="12">
        <f t="shared" si="5"/>
        <v>1.000861579</v>
      </c>
      <c r="AA1014" s="16">
        <f t="shared" si="8"/>
        <v>100.3016051</v>
      </c>
      <c r="AB1014" s="14"/>
      <c r="AC1014" s="9">
        <f t="shared" si="6"/>
        <v>0</v>
      </c>
    </row>
    <row r="1015">
      <c r="A1015" s="8">
        <v>43199.0</v>
      </c>
      <c r="B1015" s="14"/>
      <c r="C1015" s="12">
        <f t="array" ref="C1015">IFERROR(
  INDEX(
    IR!$B$2:$E2026,                
    MATCH($A1015, IR!$A$2:$A2026, 0), 
    MATCH(C$1, IR!$B$1:$E$1, 0) ), "")
</f>
        <v>-0.00372</v>
      </c>
      <c r="D1015" s="12">
        <f t="array" ref="D1015">IFERROR(
  INDEX(
    IR!$B$2:$E2026,                
    MATCH($A1015, IR!$A$2:$A2026, 0), 
    MATCH(D$1, IR!$B$1:$E$1, 0) ), "")
</f>
        <v>-0.00329</v>
      </c>
      <c r="E1015" s="12">
        <f t="array" ref="E1015">IFERROR(
  INDEX(
    IR!$B$2:$E2026,                
    MATCH($A1015, IR!$A$2:$A2026, 0), 
    MATCH(E$1, IR!$B$1:$E$1, 0) ), "")
</f>
        <v>-0.0027</v>
      </c>
      <c r="F1015" s="12">
        <f t="array" ref="F1015">IFERROR(
  INDEX(
    IR!$B$2:$E2026,                
    MATCH($A1015, IR!$A$2:$A2026, 0), 
    MATCH(F$1, IR!$B$1:$E$1, 0) ), "")
</f>
        <v>-0.00191</v>
      </c>
      <c r="G1015" s="25"/>
      <c r="H1015" s="12">
        <f t="array" ref="H1015">IFERROR(
  INDEX(
    SR!$B$2:$D2026,            
    MATCH($A1015, SR!$A$2:$A2026, 0),  
    MATCH(H$1, SR!$B$1:$D$1, 0) ), "")
</f>
        <v>-0.001489</v>
      </c>
      <c r="I1015" s="12">
        <f t="array" ref="I1015">IFERROR(
  INDEX(
    SR!$B$2:$D2026,            
    MATCH($A1015, SR!$A$2:$A2026, 0),  
    MATCH(I$1, SR!$B$1:$D$1, 0) ), "")
</f>
        <v>0.00027</v>
      </c>
      <c r="J1015" s="12">
        <f t="array" ref="J1015">IFERROR(
  INDEX(
    SR!$B$2:$D2026,            
    MATCH($A1015, SR!$A$2:$A2026, 0),  
    MATCH(J$1, SR!$B$1:$D$1, 0) ), "")
</f>
        <v>0.003649</v>
      </c>
      <c r="K1015" s="14"/>
      <c r="L1015" s="9">
        <v>115.8</v>
      </c>
      <c r="M1015" s="9">
        <v>23.99</v>
      </c>
      <c r="N1015" s="9">
        <v>115.34</v>
      </c>
      <c r="O1015" s="9">
        <v>115.32</v>
      </c>
      <c r="P1015" s="9">
        <v>128.07</v>
      </c>
      <c r="Q1015" s="9">
        <v>1423.624</v>
      </c>
      <c r="R1015" s="14"/>
      <c r="S1015" s="12">
        <f t="shared" si="2"/>
        <v>-0.0006515703025</v>
      </c>
      <c r="T1015" s="12">
        <f t="shared" si="3"/>
        <v>0.9993484297</v>
      </c>
      <c r="U1015" s="16">
        <f t="shared" si="7"/>
        <v>99.87711356</v>
      </c>
      <c r="V1015" s="17"/>
      <c r="W1015" s="12">
        <f t="array" ref="W1015">SQRT(252/20) *  SQRT( SUMSQ( LN(U994:U1013 / U993:U1012) )  - (1/20) * ( SUM( LN(U994:U1013 / U993:U1012) ) ^ 2 ) )</f>
        <v>0.01724996229</v>
      </c>
      <c r="X1015" s="9">
        <f t="shared" si="4"/>
        <v>1.5</v>
      </c>
      <c r="Y1015" s="14"/>
      <c r="Z1015" s="12">
        <f t="shared" si="5"/>
        <v>0.9990381445</v>
      </c>
      <c r="AA1015" s="16">
        <f t="shared" si="8"/>
        <v>100.2051295</v>
      </c>
      <c r="AB1015" s="14"/>
      <c r="AC1015" s="9">
        <f t="shared" si="6"/>
        <v>0</v>
      </c>
    </row>
    <row r="1016">
      <c r="A1016" s="8">
        <v>43200.0</v>
      </c>
      <c r="B1016" s="14"/>
      <c r="C1016" s="12">
        <f t="array" ref="C1016">IFERROR(
  INDEX(
    IR!$B$2:$E2026,                
    MATCH($A1016, IR!$A$2:$A2026, 0), 
    MATCH(C$1, IR!$B$1:$E$1, 0) ), "")
</f>
        <v>-0.00372</v>
      </c>
      <c r="D1016" s="12">
        <f t="array" ref="D1016">IFERROR(
  INDEX(
    IR!$B$2:$E2026,                
    MATCH($A1016, IR!$A$2:$A2026, 0), 
    MATCH(D$1, IR!$B$1:$E$1, 0) ), "")
</f>
        <v>-0.00329</v>
      </c>
      <c r="E1016" s="12">
        <f t="array" ref="E1016">IFERROR(
  INDEX(
    IR!$B$2:$E2026,                
    MATCH($A1016, IR!$A$2:$A2026, 0), 
    MATCH(E$1, IR!$B$1:$E$1, 0) ), "")
</f>
        <v>-0.00271</v>
      </c>
      <c r="F1016" s="12">
        <f t="array" ref="F1016">IFERROR(
  INDEX(
    IR!$B$2:$E2026,                
    MATCH($A1016, IR!$A$2:$A2026, 0), 
    MATCH(F$1, IR!$B$1:$E$1, 0) ), "")
</f>
        <v>-0.00191</v>
      </c>
      <c r="G1016" s="25"/>
      <c r="H1016" s="12">
        <f t="array" ref="H1016">IFERROR(
  INDEX(
    SR!$B$2:$D2026,            
    MATCH($A1016, SR!$A$2:$A2026, 0),  
    MATCH(H$1, SR!$B$1:$D$1, 0) ), "")
</f>
        <v>-0.00143</v>
      </c>
      <c r="I1016" s="12">
        <f t="array" ref="I1016">IFERROR(
  INDEX(
    SR!$B$2:$D2026,            
    MATCH($A1016, SR!$A$2:$A2026, 0),  
    MATCH(I$1, SR!$B$1:$D$1, 0) ), "")
</f>
        <v>0.000344</v>
      </c>
      <c r="J1016" s="12">
        <f t="array" ref="J1016">IFERROR(
  INDEX(
    SR!$B$2:$D2026,            
    MATCH($A1016, SR!$A$2:$A2026, 0),  
    MATCH(J$1, SR!$B$1:$D$1, 0) ), "")
</f>
        <v>0.003685</v>
      </c>
      <c r="K1016" s="14"/>
      <c r="L1016" s="9">
        <v>116.01</v>
      </c>
      <c r="M1016" s="9">
        <v>23.98</v>
      </c>
      <c r="N1016" s="9">
        <v>115.34</v>
      </c>
      <c r="O1016" s="9">
        <v>115.22</v>
      </c>
      <c r="P1016" s="9">
        <v>128.1</v>
      </c>
      <c r="Q1016" s="9">
        <v>1426.966</v>
      </c>
      <c r="R1016" s="14"/>
      <c r="S1016" s="12">
        <f t="shared" si="2"/>
        <v>0.0005185699597</v>
      </c>
      <c r="T1016" s="12">
        <f t="shared" si="3"/>
        <v>1.00051857</v>
      </c>
      <c r="U1016" s="16">
        <f t="shared" si="7"/>
        <v>99.92890683</v>
      </c>
      <c r="V1016" s="17"/>
      <c r="W1016" s="12">
        <f t="array" ref="W1016">SQRT(252/20) *  SQRT( SUMSQ( LN(U995:U1014 / U994:U1013) )  - (1/20) * ( SUM( LN(U995:U1014 / U994:U1013) ) ^ 2 ) )</f>
        <v>0.01734645994</v>
      </c>
      <c r="X1016" s="9">
        <f t="shared" si="4"/>
        <v>1.5</v>
      </c>
      <c r="Y1016" s="14"/>
      <c r="Z1016" s="12">
        <f t="shared" si="5"/>
        <v>1.000783022</v>
      </c>
      <c r="AA1016" s="16">
        <f t="shared" si="8"/>
        <v>100.2835922</v>
      </c>
      <c r="AB1016" s="14"/>
      <c r="AC1016" s="9">
        <f t="shared" si="6"/>
        <v>0</v>
      </c>
    </row>
    <row r="1017">
      <c r="A1017" s="8">
        <v>43201.0</v>
      </c>
      <c r="B1017" s="14"/>
      <c r="C1017" s="12">
        <f t="array" ref="C1017">IFERROR(
  INDEX(
    IR!$B$2:$E2026,                
    MATCH($A1017, IR!$A$2:$A2026, 0), 
    MATCH(C$1, IR!$B$1:$E$1, 0) ), "")
</f>
        <v>-0.00372</v>
      </c>
      <c r="D1017" s="12">
        <f t="array" ref="D1017">IFERROR(
  INDEX(
    IR!$B$2:$E2026,                
    MATCH($A1017, IR!$A$2:$A2026, 0), 
    MATCH(D$1, IR!$B$1:$E$1, 0) ), "")
</f>
        <v>-0.00329</v>
      </c>
      <c r="E1017" s="12">
        <f t="array" ref="E1017">IFERROR(
  INDEX(
    IR!$B$2:$E2026,                
    MATCH($A1017, IR!$A$2:$A2026, 0), 
    MATCH(E$1, IR!$B$1:$E$1, 0) ), "")
</f>
        <v>-0.0027</v>
      </c>
      <c r="F1017" s="12">
        <f t="array" ref="F1017">IFERROR(
  INDEX(
    IR!$B$2:$E2026,                
    MATCH($A1017, IR!$A$2:$A2026, 0), 
    MATCH(F$1, IR!$B$1:$E$1, 0) ), "")
</f>
        <v>-0.0019</v>
      </c>
      <c r="G1017" s="25"/>
      <c r="H1017" s="12">
        <f t="array" ref="H1017">IFERROR(
  INDEX(
    SR!$B$2:$D2026,            
    MATCH($A1017, SR!$A$2:$A2026, 0),  
    MATCH(H$1, SR!$B$1:$D$1, 0) ), "")
</f>
        <v>-0.00141</v>
      </c>
      <c r="I1017" s="12">
        <f t="array" ref="I1017">IFERROR(
  INDEX(
    SR!$B$2:$D2026,            
    MATCH($A1017, SR!$A$2:$A2026, 0),  
    MATCH(I$1, SR!$B$1:$D$1, 0) ), "")
</f>
        <v>0.000305</v>
      </c>
      <c r="J1017" s="12">
        <f t="array" ref="J1017">IFERROR(
  INDEX(
    SR!$B$2:$D2026,            
    MATCH($A1017, SR!$A$2:$A2026, 0),  
    MATCH(J$1, SR!$B$1:$D$1, 0) ), "")
</f>
        <v>0.003675</v>
      </c>
      <c r="K1017" s="14"/>
      <c r="L1017" s="9">
        <v>115.86</v>
      </c>
      <c r="M1017" s="9">
        <v>23.97</v>
      </c>
      <c r="N1017" s="9">
        <v>115.33</v>
      </c>
      <c r="O1017" s="9">
        <v>115.04</v>
      </c>
      <c r="P1017" s="9">
        <v>128.39</v>
      </c>
      <c r="Q1017" s="9">
        <v>1434.073</v>
      </c>
      <c r="R1017" s="14"/>
      <c r="S1017" s="12">
        <f t="shared" si="2"/>
        <v>0.0006478087406</v>
      </c>
      <c r="T1017" s="12">
        <f t="shared" si="3"/>
        <v>1.000647809</v>
      </c>
      <c r="U1017" s="16">
        <f t="shared" si="7"/>
        <v>99.99364165</v>
      </c>
      <c r="V1017" s="17"/>
      <c r="W1017" s="12">
        <f t="array" ref="W1017">SQRT(252/20) *  SQRT( SUMSQ( LN(U996:U1015 / U995:U1014) )  - (1/20) * ( SUM( LN(U996:U1015 / U995:U1014) ) ^ 2 ) )</f>
        <v>0.01682368046</v>
      </c>
      <c r="X1017" s="9">
        <f t="shared" si="4"/>
        <v>1.5</v>
      </c>
      <c r="Y1017" s="14"/>
      <c r="Z1017" s="12">
        <f t="shared" si="5"/>
        <v>1.00097688</v>
      </c>
      <c r="AA1017" s="16">
        <f t="shared" si="8"/>
        <v>100.3815573</v>
      </c>
      <c r="AB1017" s="14"/>
      <c r="AC1017" s="9">
        <f t="shared" si="6"/>
        <v>0</v>
      </c>
    </row>
    <row r="1018">
      <c r="A1018" s="8">
        <v>43202.0</v>
      </c>
      <c r="B1018" s="14"/>
      <c r="C1018" s="12">
        <f t="array" ref="C1018">IFERROR(
  INDEX(
    IR!$B$2:$E2026,                
    MATCH($A1018, IR!$A$2:$A2026, 0), 
    MATCH(C$1, IR!$B$1:$E$1, 0) ), "")
</f>
        <v>-0.00371</v>
      </c>
      <c r="D1018" s="12">
        <f t="array" ref="D1018">IFERROR(
  INDEX(
    IR!$B$2:$E2026,                
    MATCH($A1018, IR!$A$2:$A2026, 0), 
    MATCH(D$1, IR!$B$1:$E$1, 0) ), "")
</f>
        <v>-0.00329</v>
      </c>
      <c r="E1018" s="12">
        <f t="array" ref="E1018">IFERROR(
  INDEX(
    IR!$B$2:$E2026,                
    MATCH($A1018, IR!$A$2:$A2026, 0), 
    MATCH(E$1, IR!$B$1:$E$1, 0) ), "")
</f>
        <v>-0.00271</v>
      </c>
      <c r="F1018" s="12">
        <f t="array" ref="F1018">IFERROR(
  INDEX(
    IR!$B$2:$E2026,                
    MATCH($A1018, IR!$A$2:$A2026, 0), 
    MATCH(F$1, IR!$B$1:$E$1, 0) ), "")
</f>
        <v>-0.00191</v>
      </c>
      <c r="G1018" s="25"/>
      <c r="H1018" s="12">
        <f t="array" ref="H1018">IFERROR(
  INDEX(
    SR!$B$2:$D2026,            
    MATCH($A1018, SR!$A$2:$A2026, 0),  
    MATCH(H$1, SR!$B$1:$D$1, 0) ), "")
</f>
        <v>-0.001433</v>
      </c>
      <c r="I1018" s="12">
        <f t="array" ref="I1018">IFERROR(
  INDEX(
    SR!$B$2:$D2026,            
    MATCH($A1018, SR!$A$2:$A2026, 0),  
    MATCH(I$1, SR!$B$1:$D$1, 0) ), "")
</f>
        <v>0.000311</v>
      </c>
      <c r="J1018" s="12">
        <f t="array" ref="J1018">IFERROR(
  INDEX(
    SR!$B$2:$D2026,            
    MATCH($A1018, SR!$A$2:$A2026, 0),  
    MATCH(J$1, SR!$B$1:$D$1, 0) ), "")
</f>
        <v>0.003727</v>
      </c>
      <c r="K1018" s="14"/>
      <c r="L1018" s="9">
        <v>116.09</v>
      </c>
      <c r="M1018" s="9">
        <v>23.98</v>
      </c>
      <c r="N1018" s="9">
        <v>115.34</v>
      </c>
      <c r="O1018" s="9">
        <v>115.22</v>
      </c>
      <c r="P1018" s="9">
        <v>128.28</v>
      </c>
      <c r="Q1018" s="9">
        <v>1434.671</v>
      </c>
      <c r="R1018" s="14"/>
      <c r="S1018" s="12">
        <f t="shared" si="2"/>
        <v>0.000602126283</v>
      </c>
      <c r="T1018" s="12">
        <f t="shared" si="3"/>
        <v>1.000602126</v>
      </c>
      <c r="U1018" s="16">
        <f t="shared" si="7"/>
        <v>100.0538505</v>
      </c>
      <c r="V1018" s="17"/>
      <c r="W1018" s="12">
        <f t="array" ref="W1018">SQRT(252/20) *  SQRT( SUMSQ( LN(U997:U1016 / U996:U1015) )  - (1/20) * ( SUM( LN(U997:U1016 / U996:U1015) ) ^ 2 ) )</f>
        <v>0.01645890812</v>
      </c>
      <c r="X1018" s="9">
        <f t="shared" si="4"/>
        <v>1.5</v>
      </c>
      <c r="Y1018" s="14"/>
      <c r="Z1018" s="12">
        <f t="shared" si="5"/>
        <v>1.000908356</v>
      </c>
      <c r="AA1018" s="16">
        <f t="shared" si="8"/>
        <v>100.4727395</v>
      </c>
      <c r="AB1018" s="14"/>
      <c r="AC1018" s="9">
        <f t="shared" si="6"/>
        <v>0</v>
      </c>
    </row>
    <row r="1019">
      <c r="A1019" s="8">
        <v>43203.0</v>
      </c>
      <c r="B1019" s="14"/>
      <c r="C1019" s="12">
        <f t="array" ref="C1019">IFERROR(
  INDEX(
    IR!$B$2:$E2026,                
    MATCH($A1019, IR!$A$2:$A2026, 0), 
    MATCH(C$1, IR!$B$1:$E$1, 0) ), "")
</f>
        <v>-0.00371</v>
      </c>
      <c r="D1019" s="12">
        <f t="array" ref="D1019">IFERROR(
  INDEX(
    IR!$B$2:$E2026,                
    MATCH($A1019, IR!$A$2:$A2026, 0), 
    MATCH(D$1, IR!$B$1:$E$1, 0) ), "")
</f>
        <v>-0.00329</v>
      </c>
      <c r="E1019" s="12">
        <f t="array" ref="E1019">IFERROR(
  INDEX(
    IR!$B$2:$E2026,                
    MATCH($A1019, IR!$A$2:$A2026, 0), 
    MATCH(E$1, IR!$B$1:$E$1, 0) ), "")
</f>
        <v>-0.00271</v>
      </c>
      <c r="F1019" s="12">
        <f t="array" ref="F1019">IFERROR(
  INDEX(
    IR!$B$2:$E2026,                
    MATCH($A1019, IR!$A$2:$A2026, 0), 
    MATCH(F$1, IR!$B$1:$E$1, 0) ), "")
</f>
        <v>-0.0019</v>
      </c>
      <c r="G1019" s="25"/>
      <c r="H1019" s="12">
        <f t="array" ref="H1019">IFERROR(
  INDEX(
    SR!$B$2:$D2026,            
    MATCH($A1019, SR!$A$2:$A2026, 0),  
    MATCH(H$1, SR!$B$1:$D$1, 0) ), "")
</f>
        <v>-0.001459</v>
      </c>
      <c r="I1019" s="12">
        <f t="array" ref="I1019">IFERROR(
  INDEX(
    SR!$B$2:$D2026,            
    MATCH($A1019, SR!$A$2:$A2026, 0),  
    MATCH(I$1, SR!$B$1:$D$1, 0) ), "")
</f>
        <v>0.000314</v>
      </c>
      <c r="J1019" s="12">
        <f t="array" ref="J1019">IFERROR(
  INDEX(
    SR!$B$2:$D2026,            
    MATCH($A1019, SR!$A$2:$A2026, 0),  
    MATCH(J$1, SR!$B$1:$D$1, 0) ), "")
</f>
        <v>0.003675</v>
      </c>
      <c r="K1019" s="14"/>
      <c r="L1019" s="9">
        <v>116.26</v>
      </c>
      <c r="M1019" s="9">
        <v>23.98</v>
      </c>
      <c r="N1019" s="9">
        <v>115.34</v>
      </c>
      <c r="O1019" s="9">
        <v>115.04</v>
      </c>
      <c r="P1019" s="9">
        <v>128.42</v>
      </c>
      <c r="Q1019" s="9">
        <v>1437.714</v>
      </c>
      <c r="R1019" s="14"/>
      <c r="S1019" s="12">
        <f t="shared" si="2"/>
        <v>0.0005190975884</v>
      </c>
      <c r="T1019" s="12">
        <f t="shared" si="3"/>
        <v>1.000519098</v>
      </c>
      <c r="U1019" s="16">
        <f t="shared" si="7"/>
        <v>100.1057882</v>
      </c>
      <c r="V1019" s="17"/>
      <c r="W1019" s="12">
        <f t="array" ref="W1019">SQRT(252/20) *  SQRT( SUMSQ( LN(U998:U1017 / U997:U1016) )  - (1/20) * ( SUM( LN(U998:U1017 / U997:U1016) ) ^ 2 ) )</f>
        <v>0.0162997845</v>
      </c>
      <c r="X1019" s="9">
        <f t="shared" si="4"/>
        <v>1.5</v>
      </c>
      <c r="Y1019" s="14"/>
      <c r="Z1019" s="12">
        <f t="shared" si="5"/>
        <v>1.000783799</v>
      </c>
      <c r="AA1019" s="16">
        <f t="shared" si="8"/>
        <v>100.5514899</v>
      </c>
      <c r="AB1019" s="14"/>
      <c r="AC1019" s="9">
        <f t="shared" si="6"/>
        <v>0</v>
      </c>
    </row>
    <row r="1020">
      <c r="A1020" s="8">
        <v>43206.0</v>
      </c>
      <c r="B1020" s="14"/>
      <c r="C1020" s="12">
        <f t="array" ref="C1020">IFERROR(
  INDEX(
    IR!$B$2:$E2026,                
    MATCH($A1020, IR!$A$2:$A2026, 0), 
    MATCH(C$1, IR!$B$1:$E$1, 0) ), "")
</f>
        <v>-0.00371</v>
      </c>
      <c r="D1020" s="12">
        <f t="array" ref="D1020">IFERROR(
  INDEX(
    IR!$B$2:$E2026,                
    MATCH($A1020, IR!$A$2:$A2026, 0), 
    MATCH(D$1, IR!$B$1:$E$1, 0) ), "")
</f>
        <v>-0.00329</v>
      </c>
      <c r="E1020" s="12">
        <f t="array" ref="E1020">IFERROR(
  INDEX(
    IR!$B$2:$E2026,                
    MATCH($A1020, IR!$A$2:$A2026, 0), 
    MATCH(E$1, IR!$B$1:$E$1, 0) ), "")
</f>
        <v>-0.0027</v>
      </c>
      <c r="F1020" s="12">
        <f t="array" ref="F1020">IFERROR(
  INDEX(
    IR!$B$2:$E2026,                
    MATCH($A1020, IR!$A$2:$A2026, 0), 
    MATCH(F$1, IR!$B$1:$E$1, 0) ), "")
</f>
        <v>-0.00189</v>
      </c>
      <c r="G1020" s="25"/>
      <c r="H1020" s="12">
        <f t="array" ref="H1020">IFERROR(
  INDEX(
    SR!$B$2:$D2026,            
    MATCH($A1020, SR!$A$2:$A2026, 0),  
    MATCH(H$1, SR!$B$1:$D$1, 0) ), "")
</f>
        <v>-0.001435</v>
      </c>
      <c r="I1020" s="12">
        <f t="array" ref="I1020">IFERROR(
  INDEX(
    SR!$B$2:$D2026,            
    MATCH($A1020, SR!$A$2:$A2026, 0),  
    MATCH(I$1, SR!$B$1:$D$1, 0) ), "")
</f>
        <v>0.000312</v>
      </c>
      <c r="J1020" s="12">
        <f t="array" ref="J1020">IFERROR(
  INDEX(
    SR!$B$2:$D2026,            
    MATCH($A1020, SR!$A$2:$A2026, 0),  
    MATCH(J$1, SR!$B$1:$D$1, 0) ), "")
</f>
        <v>0.003758</v>
      </c>
      <c r="K1020" s="14"/>
      <c r="L1020" s="9">
        <v>116.14</v>
      </c>
      <c r="M1020" s="9">
        <v>23.96</v>
      </c>
      <c r="N1020" s="9">
        <v>115.35</v>
      </c>
      <c r="O1020" s="9">
        <v>115.07</v>
      </c>
      <c r="P1020" s="9">
        <v>128.44</v>
      </c>
      <c r="Q1020" s="9">
        <v>1434.221</v>
      </c>
      <c r="R1020" s="14"/>
      <c r="S1020" s="12">
        <f t="shared" si="2"/>
        <v>-0.0006320786128</v>
      </c>
      <c r="T1020" s="12">
        <f t="shared" si="3"/>
        <v>0.9993679214</v>
      </c>
      <c r="U1020" s="16">
        <f t="shared" si="7"/>
        <v>100.0425134</v>
      </c>
      <c r="V1020" s="17"/>
      <c r="W1020" s="12">
        <f t="array" ref="W1020">SQRT(252/20) *  SQRT( SUMSQ( LN(U999:U1018 / U998:U1017) )  - (1/20) * ( SUM( LN(U999:U1018 / U998:U1017) ) ^ 2 ) )</f>
        <v>0.01646938728</v>
      </c>
      <c r="X1020" s="9">
        <f t="shared" si="4"/>
        <v>1.5</v>
      </c>
      <c r="Y1020" s="14"/>
      <c r="Z1020" s="12">
        <f t="shared" si="5"/>
        <v>0.9990673404</v>
      </c>
      <c r="AA1020" s="16">
        <f t="shared" si="8"/>
        <v>100.4577096</v>
      </c>
      <c r="AB1020" s="14"/>
      <c r="AC1020" s="9">
        <f t="shared" si="6"/>
        <v>0</v>
      </c>
    </row>
    <row r="1021">
      <c r="A1021" s="8">
        <v>43207.0</v>
      </c>
      <c r="B1021" s="14"/>
      <c r="C1021" s="12">
        <f t="array" ref="C1021">IFERROR(
  INDEX(
    IR!$B$2:$E2026,                
    MATCH($A1021, IR!$A$2:$A2026, 0), 
    MATCH(C$1, IR!$B$1:$E$1, 0) ), "")
</f>
        <v>-0.00371</v>
      </c>
      <c r="D1021" s="12">
        <f t="array" ref="D1021">IFERROR(
  INDEX(
    IR!$B$2:$E2026,                
    MATCH($A1021, IR!$A$2:$A2026, 0), 
    MATCH(D$1, IR!$B$1:$E$1, 0) ), "")
</f>
        <v>-0.00328</v>
      </c>
      <c r="E1021" s="12">
        <f t="array" ref="E1021">IFERROR(
  INDEX(
    IR!$B$2:$E2026,                
    MATCH($A1021, IR!$A$2:$A2026, 0), 
    MATCH(E$1, IR!$B$1:$E$1, 0) ), "")
</f>
        <v>-0.0027</v>
      </c>
      <c r="F1021" s="12">
        <f t="array" ref="F1021">IFERROR(
  INDEX(
    IR!$B$2:$E2026,                
    MATCH($A1021, IR!$A$2:$A2026, 0), 
    MATCH(F$1, IR!$B$1:$E$1, 0) ), "")
</f>
        <v>-0.00189</v>
      </c>
      <c r="G1021" s="25"/>
      <c r="H1021" s="12">
        <f t="array" ref="H1021">IFERROR(
  INDEX(
    SR!$B$2:$D2026,            
    MATCH($A1021, SR!$A$2:$A2026, 0),  
    MATCH(H$1, SR!$B$1:$D$1, 0) ), "")
</f>
        <v>-0.001474</v>
      </c>
      <c r="I1021" s="12">
        <f t="array" ref="I1021">IFERROR(
  INDEX(
    SR!$B$2:$D2026,            
    MATCH($A1021, SR!$A$2:$A2026, 0),  
    MATCH(I$1, SR!$B$1:$D$1, 0) ), "")
</f>
        <v>0.000235</v>
      </c>
      <c r="J1021" s="12">
        <f t="array" ref="J1021">IFERROR(
  INDEX(
    SR!$B$2:$D2026,            
    MATCH($A1021, SR!$A$2:$A2026, 0),  
    MATCH(J$1, SR!$B$1:$D$1, 0) ), "")
</f>
        <v>0.00362</v>
      </c>
      <c r="K1021" s="14"/>
      <c r="L1021" s="9">
        <v>116.44</v>
      </c>
      <c r="M1021" s="9">
        <v>23.97</v>
      </c>
      <c r="N1021" s="9">
        <v>115.35</v>
      </c>
      <c r="O1021" s="9">
        <v>115.01</v>
      </c>
      <c r="P1021" s="9">
        <v>128.43</v>
      </c>
      <c r="Q1021" s="9">
        <v>1431.644</v>
      </c>
      <c r="R1021" s="14"/>
      <c r="S1021" s="12">
        <f t="shared" si="2"/>
        <v>0.0001005097485</v>
      </c>
      <c r="T1021" s="12">
        <f t="shared" si="3"/>
        <v>1.00010051</v>
      </c>
      <c r="U1021" s="16">
        <f t="shared" si="7"/>
        <v>100.0525687</v>
      </c>
      <c r="V1021" s="17"/>
      <c r="W1021" s="12">
        <f t="array" ref="W1021">SQRT(252/20) *  SQRT( SUMSQ( LN(U1000:U1019 / U999:U1018) )  - (1/20) * ( SUM( LN(U1000:U1019 / U999:U1018) ) ^ 2 ) )</f>
        <v>0.01631885944</v>
      </c>
      <c r="X1021" s="9">
        <f t="shared" si="4"/>
        <v>1.5</v>
      </c>
      <c r="Y1021" s="14"/>
      <c r="Z1021" s="12">
        <f t="shared" si="5"/>
        <v>1.000155917</v>
      </c>
      <c r="AA1021" s="16">
        <f t="shared" si="8"/>
        <v>100.4733727</v>
      </c>
      <c r="AB1021" s="14"/>
      <c r="AC1021" s="9">
        <f t="shared" si="6"/>
        <v>0</v>
      </c>
    </row>
    <row r="1022">
      <c r="A1022" s="8">
        <v>43208.0</v>
      </c>
      <c r="B1022" s="14"/>
      <c r="C1022" s="12">
        <f t="array" ref="C1022">IFERROR(
  INDEX(
    IR!$B$2:$E2026,                
    MATCH($A1022, IR!$A$2:$A2026, 0), 
    MATCH(C$1, IR!$B$1:$E$1, 0) ), "")
</f>
        <v>-0.00371</v>
      </c>
      <c r="D1022" s="12">
        <f t="array" ref="D1022">IFERROR(
  INDEX(
    IR!$B$2:$E2026,                
    MATCH($A1022, IR!$A$2:$A2026, 0), 
    MATCH(D$1, IR!$B$1:$E$1, 0) ), "")
</f>
        <v>-0.00328</v>
      </c>
      <c r="E1022" s="12">
        <f t="array" ref="E1022">IFERROR(
  INDEX(
    IR!$B$2:$E2026,                
    MATCH($A1022, IR!$A$2:$A2026, 0), 
    MATCH(E$1, IR!$B$1:$E$1, 0) ), "")
</f>
        <v>-0.00271</v>
      </c>
      <c r="F1022" s="12">
        <f t="array" ref="F1022">IFERROR(
  INDEX(
    IR!$B$2:$E2026,                
    MATCH($A1022, IR!$A$2:$A2026, 0), 
    MATCH(F$1, IR!$B$1:$E$1, 0) ), "")
</f>
        <v>-0.00189</v>
      </c>
      <c r="G1022" s="25"/>
      <c r="H1022" s="12">
        <f t="array" ref="H1022">IFERROR(
  INDEX(
    SR!$B$2:$D2026,            
    MATCH($A1022, SR!$A$2:$A2026, 0),  
    MATCH(H$1, SR!$B$1:$D$1, 0) ), "")
</f>
        <v>-0.001473</v>
      </c>
      <c r="I1022" s="12">
        <f t="array" ref="I1022">IFERROR(
  INDEX(
    SR!$B$2:$D2026,            
    MATCH($A1022, SR!$A$2:$A2026, 0),  
    MATCH(I$1, SR!$B$1:$D$1, 0) ), "")
</f>
        <v>0.000281</v>
      </c>
      <c r="J1022" s="12">
        <f t="array" ref="J1022">IFERROR(
  INDEX(
    SR!$B$2:$D2026,            
    MATCH($A1022, SR!$A$2:$A2026, 0),  
    MATCH(J$1, SR!$B$1:$D$1, 0) ), "")
</f>
        <v>0.003715</v>
      </c>
      <c r="K1022" s="14"/>
      <c r="L1022" s="9">
        <v>116.53</v>
      </c>
      <c r="M1022" s="9">
        <v>23.97</v>
      </c>
      <c r="N1022" s="9">
        <v>115.38</v>
      </c>
      <c r="O1022" s="9">
        <v>115.1</v>
      </c>
      <c r="P1022" s="9">
        <v>128.65</v>
      </c>
      <c r="Q1022" s="9">
        <v>1438.085</v>
      </c>
      <c r="R1022" s="14"/>
      <c r="S1022" s="12">
        <f t="shared" si="2"/>
        <v>0.001337842705</v>
      </c>
      <c r="T1022" s="12">
        <f t="shared" si="3"/>
        <v>1.001337843</v>
      </c>
      <c r="U1022" s="16">
        <f t="shared" si="7"/>
        <v>100.1864233</v>
      </c>
      <c r="V1022" s="17"/>
      <c r="W1022" s="12">
        <f t="array" ref="W1022">SQRT(252/20) *  SQRT( SUMSQ( LN(U1001:U1020 / U1000:U1019) )  - (1/20) * ( SUM( LN(U1001:U1020 / U1000:U1019) ) ^ 2 ) )</f>
        <v>0.01637103394</v>
      </c>
      <c r="X1022" s="9">
        <f t="shared" si="4"/>
        <v>1.5</v>
      </c>
      <c r="Y1022" s="14"/>
      <c r="Z1022" s="12">
        <f t="shared" si="5"/>
        <v>1.002011917</v>
      </c>
      <c r="AA1022" s="16">
        <f t="shared" si="8"/>
        <v>100.6755168</v>
      </c>
      <c r="AB1022" s="14"/>
      <c r="AC1022" s="9">
        <f t="shared" si="6"/>
        <v>0</v>
      </c>
    </row>
    <row r="1023">
      <c r="A1023" s="8">
        <v>43209.0</v>
      </c>
      <c r="B1023" s="14"/>
      <c r="C1023" s="12">
        <f t="array" ref="C1023">IFERROR(
  INDEX(
    IR!$B$2:$E2026,                
    MATCH($A1023, IR!$A$2:$A2026, 0), 
    MATCH(C$1, IR!$B$1:$E$1, 0) ), "")
</f>
        <v>-0.00372</v>
      </c>
      <c r="D1023" s="12">
        <f t="array" ref="D1023">IFERROR(
  INDEX(
    IR!$B$2:$E2026,                
    MATCH($A1023, IR!$A$2:$A2026, 0), 
    MATCH(D$1, IR!$B$1:$E$1, 0) ), "")
</f>
        <v>-0.00328</v>
      </c>
      <c r="E1023" s="12">
        <f t="array" ref="E1023">IFERROR(
  INDEX(
    IR!$B$2:$E2026,                
    MATCH($A1023, IR!$A$2:$A2026, 0), 
    MATCH(E$1, IR!$B$1:$E$1, 0) ), "")
</f>
        <v>-0.0027</v>
      </c>
      <c r="F1023" s="12">
        <f t="array" ref="F1023">IFERROR(
  INDEX(
    IR!$B$2:$E2026,                
    MATCH($A1023, IR!$A$2:$A2026, 0), 
    MATCH(F$1, IR!$B$1:$E$1, 0) ), "")
</f>
        <v>-0.00189</v>
      </c>
      <c r="G1023" s="25"/>
      <c r="H1023" s="12">
        <f t="array" ref="H1023">IFERROR(
  INDEX(
    SR!$B$2:$D2026,            
    MATCH($A1023, SR!$A$2:$A2026, 0),  
    MATCH(H$1, SR!$B$1:$D$1, 0) ), "")
</f>
        <v>-0.001422</v>
      </c>
      <c r="I1023" s="12">
        <f t="array" ref="I1023">IFERROR(
  INDEX(
    SR!$B$2:$D2026,            
    MATCH($A1023, SR!$A$2:$A2026, 0),  
    MATCH(I$1, SR!$B$1:$D$1, 0) ), "")
</f>
        <v>0.000433</v>
      </c>
      <c r="J1023" s="12">
        <f t="array" ref="J1023">IFERROR(
  INDEX(
    SR!$B$2:$D2026,            
    MATCH($A1023, SR!$A$2:$A2026, 0),  
    MATCH(J$1, SR!$B$1:$D$1, 0) ), "")
</f>
        <v>0.004135</v>
      </c>
      <c r="K1023" s="14"/>
      <c r="L1023" s="9">
        <v>116.42</v>
      </c>
      <c r="M1023" s="9">
        <v>23.96</v>
      </c>
      <c r="N1023" s="9">
        <v>115.4</v>
      </c>
      <c r="O1023" s="9">
        <v>114.86</v>
      </c>
      <c r="P1023" s="9">
        <v>128.73</v>
      </c>
      <c r="Q1023" s="9">
        <v>1442.247</v>
      </c>
      <c r="R1023" s="14"/>
      <c r="S1023" s="12">
        <f t="shared" si="2"/>
        <v>0.00004077564588</v>
      </c>
      <c r="T1023" s="12">
        <f t="shared" si="3"/>
        <v>1.000040776</v>
      </c>
      <c r="U1023" s="16">
        <f t="shared" si="7"/>
        <v>100.1905084</v>
      </c>
      <c r="V1023" s="17"/>
      <c r="W1023" s="12">
        <f t="array" ref="W1023">SQRT(252/20) *  SQRT( SUMSQ( LN(U1002:U1021 / U1001:U1020) )  - (1/20) * ( SUM( LN(U1002:U1021 / U1001:U1020) ) ^ 2 ) )</f>
        <v>0.01640233875</v>
      </c>
      <c r="X1023" s="9">
        <f t="shared" si="4"/>
        <v>1.5</v>
      </c>
      <c r="Y1023" s="14"/>
      <c r="Z1023" s="12">
        <f t="shared" si="5"/>
        <v>1.000066316</v>
      </c>
      <c r="AA1023" s="16">
        <f t="shared" si="8"/>
        <v>100.6821932</v>
      </c>
      <c r="AB1023" s="14"/>
      <c r="AC1023" s="9">
        <f t="shared" si="6"/>
        <v>0</v>
      </c>
    </row>
    <row r="1024">
      <c r="A1024" s="8">
        <v>43210.0</v>
      </c>
      <c r="B1024" s="14"/>
      <c r="C1024" s="12">
        <f t="array" ref="C1024">IFERROR(
  INDEX(
    IR!$B$2:$E2026,                
    MATCH($A1024, IR!$A$2:$A2026, 0), 
    MATCH(C$1, IR!$B$1:$E$1, 0) ), "")
</f>
        <v>-0.00372</v>
      </c>
      <c r="D1024" s="12">
        <f t="array" ref="D1024">IFERROR(
  INDEX(
    IR!$B$2:$E2026,                
    MATCH($A1024, IR!$A$2:$A2026, 0), 
    MATCH(D$1, IR!$B$1:$E$1, 0) ), "")
</f>
        <v>-0.00328</v>
      </c>
      <c r="E1024" s="12">
        <f t="array" ref="E1024">IFERROR(
  INDEX(
    IR!$B$2:$E2026,                
    MATCH($A1024, IR!$A$2:$A2026, 0), 
    MATCH(E$1, IR!$B$1:$E$1, 0) ), "")
</f>
        <v>-0.00271</v>
      </c>
      <c r="F1024" s="12">
        <f t="array" ref="F1024">IFERROR(
  INDEX(
    IR!$B$2:$E2026,                
    MATCH($A1024, IR!$A$2:$A2026, 0), 
    MATCH(F$1, IR!$B$1:$E$1, 0) ), "")
</f>
        <v>-0.00189</v>
      </c>
      <c r="G1024" s="25"/>
      <c r="H1024" s="12">
        <f t="array" ref="H1024">IFERROR(
  INDEX(
    SR!$B$2:$D2026,            
    MATCH($A1024, SR!$A$2:$A2026, 0),  
    MATCH(H$1, SR!$B$1:$D$1, 0) ), "")
</f>
        <v>-0.00142</v>
      </c>
      <c r="I1024" s="12">
        <f t="array" ref="I1024">IFERROR(
  INDEX(
    SR!$B$2:$D2026,            
    MATCH($A1024, SR!$A$2:$A2026, 0),  
    MATCH(I$1, SR!$B$1:$D$1, 0) ), "")
</f>
        <v>0.000452</v>
      </c>
      <c r="J1024" s="12">
        <f t="array" ref="J1024">IFERROR(
  INDEX(
    SR!$B$2:$D2026,            
    MATCH($A1024, SR!$A$2:$A2026, 0),  
    MATCH(J$1, SR!$B$1:$D$1, 0) ), "")
</f>
        <v>0.004085</v>
      </c>
      <c r="K1024" s="14"/>
      <c r="L1024" s="9">
        <v>116.44</v>
      </c>
      <c r="M1024" s="9">
        <v>23.97</v>
      </c>
      <c r="N1024" s="9">
        <v>115.41</v>
      </c>
      <c r="O1024" s="9">
        <v>114.47</v>
      </c>
      <c r="P1024" s="9">
        <v>128.71</v>
      </c>
      <c r="Q1024" s="9">
        <v>1437.953</v>
      </c>
      <c r="R1024" s="14"/>
      <c r="S1024" s="12">
        <f t="shared" si="2"/>
        <v>-0.0009752894623</v>
      </c>
      <c r="T1024" s="12">
        <f t="shared" si="3"/>
        <v>0.9990247105</v>
      </c>
      <c r="U1024" s="16">
        <f t="shared" si="7"/>
        <v>100.0927937</v>
      </c>
      <c r="V1024" s="17"/>
      <c r="W1024" s="12">
        <f t="array" ref="W1024">SQRT(252/20) *  SQRT( SUMSQ( LN(U1003:U1022 / U1002:U1021) )  - (1/20) * ( SUM( LN(U1003:U1022 / U1002:U1021) ) ^ 2 ) )</f>
        <v>0.01719804427</v>
      </c>
      <c r="X1024" s="9">
        <f t="shared" si="4"/>
        <v>1.5</v>
      </c>
      <c r="Y1024" s="14"/>
      <c r="Z1024" s="12">
        <f t="shared" si="5"/>
        <v>0.9985422325</v>
      </c>
      <c r="AA1024" s="16">
        <f t="shared" si="8"/>
        <v>100.535422</v>
      </c>
      <c r="AB1024" s="14"/>
      <c r="AC1024" s="9">
        <f t="shared" si="6"/>
        <v>0</v>
      </c>
    </row>
    <row r="1025">
      <c r="A1025" s="26">
        <v>43213.0</v>
      </c>
      <c r="B1025" s="27"/>
      <c r="C1025" s="28">
        <f t="array" ref="C1025">IFERROR(
  INDEX(
    IR!$B$2:$E2026,                
    MATCH($A1025, IR!$A$2:$A2026, 0), 
    MATCH(C$1, IR!$B$1:$E$1, 0) ), "")
</f>
        <v>-0.00372</v>
      </c>
      <c r="D1025" s="28">
        <f t="array" ref="D1025">IFERROR(
  INDEX(
    IR!$B$2:$E2026,                
    MATCH($A1025, IR!$A$2:$A2026, 0), 
    MATCH(D$1, IR!$B$1:$E$1, 0) ), "")
</f>
        <v>-0.00328</v>
      </c>
      <c r="E1025" s="28">
        <f t="array" ref="E1025">IFERROR(
  INDEX(
    IR!$B$2:$E2026,                
    MATCH($A1025, IR!$A$2:$A2026, 0), 
    MATCH(E$1, IR!$B$1:$E$1, 0) ), "")
</f>
        <v>-0.0027</v>
      </c>
      <c r="F1025" s="28">
        <f t="array" ref="F1025">IFERROR(
  INDEX(
    IR!$B$2:$E2026,                
    MATCH($A1025, IR!$A$2:$A2026, 0), 
    MATCH(F$1, IR!$B$1:$E$1, 0) ), "")
</f>
        <v>-0.00189</v>
      </c>
      <c r="G1025" s="28"/>
      <c r="H1025" s="28">
        <f t="array" ref="H1025">IFERROR(
  INDEX(
    SR!$B$2:$D2026,            
    MATCH($A1025, SR!$A$2:$A2026, 0),  
    MATCH(H$1, SR!$B$1:$D$1, 0) ), "")
</f>
        <v>-0.001325</v>
      </c>
      <c r="I1025" s="28">
        <f t="array" ref="I1025">IFERROR(
  INDEX(
    SR!$B$2:$D2026,            
    MATCH($A1025, SR!$A$2:$A2026, 0),  
    MATCH(I$1, SR!$B$1:$D$1, 0) ), "")
</f>
        <v>0.000565</v>
      </c>
      <c r="J1025" s="28">
        <f t="array" ref="J1025">IFERROR(
  INDEX(
    SR!$B$2:$D2026,            
    MATCH($A1025, SR!$A$2:$A2026, 0),  
    MATCH(J$1, SR!$B$1:$D$1, 0) ), "")
</f>
        <v>0.00424</v>
      </c>
      <c r="K1025" s="27"/>
      <c r="L1025" s="27">
        <v>116.41</v>
      </c>
      <c r="M1025" s="27">
        <v>23.97</v>
      </c>
      <c r="N1025" s="27">
        <v>115.43</v>
      </c>
      <c r="O1025" s="27">
        <v>114.35</v>
      </c>
      <c r="P1025" s="27">
        <v>128.55</v>
      </c>
      <c r="Q1025" s="27">
        <v>1434.435</v>
      </c>
      <c r="R1025" s="27"/>
      <c r="S1025" s="28">
        <f t="shared" si="2"/>
        <v>-0.00080363914</v>
      </c>
      <c r="T1025" s="28">
        <f t="shared" si="3"/>
        <v>0.9991963609</v>
      </c>
      <c r="U1025" s="29">
        <f t="shared" si="7"/>
        <v>100.0123552</v>
      </c>
      <c r="V1025" s="29"/>
      <c r="W1025" s="28">
        <f t="array" ref="W1025">SQRT(252/20) *  SQRT( SUMSQ( LN(U1004:U1023 / U1003:U1022) )  - (1/20) * ( SUM( LN(U1004:U1023 / U1003:U1022) ) ^ 2 ) )</f>
        <v>0.0167836378</v>
      </c>
      <c r="X1025" s="27">
        <f t="shared" si="4"/>
        <v>1.5</v>
      </c>
      <c r="Y1025" s="27"/>
      <c r="Z1025" s="28">
        <f t="shared" si="5"/>
        <v>0.9988100413</v>
      </c>
      <c r="AA1025" s="29">
        <f t="shared" si="8"/>
        <v>100.415789</v>
      </c>
      <c r="AB1025" s="27"/>
      <c r="AC1025" s="27">
        <f t="shared" si="6"/>
        <v>0</v>
      </c>
    </row>
    <row r="1026">
      <c r="A1026" s="8"/>
      <c r="C1026" s="12"/>
      <c r="D1026" s="12"/>
      <c r="E1026" s="12"/>
      <c r="F1026" s="12"/>
      <c r="G1026" s="12"/>
      <c r="H1026" s="12"/>
      <c r="I1026" s="12"/>
      <c r="J1026" s="12"/>
      <c r="S1026" s="12"/>
      <c r="T1026" s="12"/>
      <c r="U1026" s="16"/>
      <c r="V1026" s="16"/>
      <c r="W1026" s="12"/>
      <c r="Z1026" s="12"/>
      <c r="AA1026" s="16"/>
    </row>
    <row r="1027">
      <c r="A1027" s="8"/>
      <c r="C1027" s="12"/>
      <c r="D1027" s="12"/>
      <c r="E1027" s="12"/>
      <c r="F1027" s="12"/>
      <c r="G1027" s="12"/>
      <c r="H1027" s="12"/>
      <c r="I1027" s="12"/>
      <c r="J1027" s="12"/>
      <c r="S1027" s="12"/>
      <c r="T1027" s="12"/>
      <c r="U1027" s="16"/>
      <c r="V1027" s="16"/>
      <c r="W1027" s="12"/>
      <c r="Z1027" s="12"/>
      <c r="AA1027" s="16"/>
    </row>
    <row r="1028">
      <c r="A1028" s="8"/>
      <c r="C1028" s="12"/>
      <c r="D1028" s="12"/>
      <c r="E1028" s="12"/>
      <c r="F1028" s="12"/>
      <c r="G1028" s="12"/>
      <c r="H1028" s="12"/>
      <c r="I1028" s="12"/>
      <c r="J1028" s="12"/>
      <c r="S1028" s="12"/>
      <c r="T1028" s="12"/>
      <c r="U1028" s="16"/>
      <c r="V1028" s="16"/>
      <c r="W1028" s="12"/>
      <c r="Z1028" s="12"/>
      <c r="AA1028" s="16"/>
    </row>
    <row r="1029">
      <c r="A1029" s="8"/>
      <c r="C1029" s="12"/>
      <c r="D1029" s="12"/>
      <c r="E1029" s="12"/>
      <c r="F1029" s="12"/>
      <c r="G1029" s="12"/>
      <c r="H1029" s="12"/>
      <c r="I1029" s="12"/>
      <c r="J1029" s="12"/>
      <c r="S1029" s="12"/>
      <c r="T1029" s="12"/>
      <c r="U1029" s="16"/>
      <c r="V1029" s="16"/>
      <c r="W1029" s="12"/>
      <c r="Z1029" s="12"/>
      <c r="AA1029" s="16"/>
    </row>
    <row r="1030">
      <c r="A1030" s="8"/>
      <c r="C1030" s="12"/>
      <c r="D1030" s="12"/>
      <c r="E1030" s="12"/>
      <c r="F1030" s="12"/>
      <c r="G1030" s="12"/>
      <c r="H1030" s="12"/>
      <c r="I1030" s="12"/>
      <c r="J1030" s="12"/>
      <c r="S1030" s="12"/>
      <c r="T1030" s="12"/>
      <c r="U1030" s="16"/>
      <c r="V1030" s="16"/>
      <c r="W1030" s="12"/>
      <c r="Z1030" s="12"/>
      <c r="AA1030" s="16"/>
    </row>
    <row r="1031">
      <c r="A1031" s="8"/>
      <c r="C1031" s="12"/>
      <c r="D1031" s="12"/>
      <c r="E1031" s="12"/>
      <c r="F1031" s="12"/>
      <c r="G1031" s="12"/>
      <c r="H1031" s="12"/>
      <c r="I1031" s="12"/>
      <c r="J1031" s="12"/>
      <c r="S1031" s="12"/>
      <c r="T1031" s="12"/>
      <c r="U1031" s="16"/>
      <c r="V1031" s="16"/>
      <c r="W1031" s="12"/>
      <c r="Z1031" s="12"/>
      <c r="AA1031" s="16"/>
    </row>
    <row r="1032">
      <c r="A1032" s="8"/>
      <c r="C1032" s="12"/>
      <c r="D1032" s="12"/>
      <c r="E1032" s="12"/>
      <c r="F1032" s="12"/>
      <c r="G1032" s="12"/>
      <c r="H1032" s="12"/>
      <c r="I1032" s="12"/>
      <c r="J1032" s="12"/>
      <c r="S1032" s="12"/>
      <c r="T1032" s="12"/>
      <c r="U1032" s="16"/>
      <c r="V1032" s="16"/>
      <c r="W1032" s="12"/>
      <c r="Z1032" s="12"/>
      <c r="AA1032" s="16"/>
    </row>
    <row r="1033">
      <c r="A1033" s="8"/>
      <c r="C1033" s="12"/>
      <c r="D1033" s="12"/>
      <c r="E1033" s="12"/>
      <c r="F1033" s="12"/>
      <c r="G1033" s="12"/>
      <c r="H1033" s="12"/>
      <c r="I1033" s="12"/>
      <c r="J1033" s="12"/>
      <c r="S1033" s="12"/>
      <c r="T1033" s="12"/>
      <c r="U1033" s="16"/>
      <c r="V1033" s="16"/>
      <c r="W1033" s="12"/>
      <c r="Z1033" s="12"/>
      <c r="AA1033" s="16"/>
    </row>
    <row r="1034">
      <c r="A1034" s="8"/>
      <c r="C1034" s="12"/>
      <c r="D1034" s="12"/>
      <c r="E1034" s="12"/>
      <c r="F1034" s="12"/>
      <c r="G1034" s="12"/>
      <c r="H1034" s="12"/>
      <c r="I1034" s="12"/>
      <c r="J1034" s="12"/>
      <c r="S1034" s="12"/>
      <c r="T1034" s="12"/>
      <c r="U1034" s="16"/>
      <c r="V1034" s="16"/>
      <c r="W1034" s="12"/>
      <c r="Z1034" s="12"/>
      <c r="AA1034" s="16"/>
    </row>
    <row r="1035">
      <c r="A1035" s="8"/>
      <c r="C1035" s="12"/>
      <c r="D1035" s="12"/>
      <c r="E1035" s="12"/>
      <c r="F1035" s="12"/>
      <c r="G1035" s="12"/>
      <c r="H1035" s="12"/>
      <c r="I1035" s="12"/>
      <c r="J1035" s="12"/>
      <c r="S1035" s="12"/>
      <c r="T1035" s="12"/>
      <c r="U1035" s="16"/>
      <c r="V1035" s="16"/>
      <c r="W1035" s="12"/>
      <c r="Z1035" s="12"/>
      <c r="AA1035" s="16"/>
    </row>
    <row r="1036">
      <c r="A1036" s="8"/>
      <c r="C1036" s="12"/>
      <c r="D1036" s="12"/>
      <c r="E1036" s="12"/>
      <c r="F1036" s="12"/>
      <c r="G1036" s="12"/>
      <c r="H1036" s="12"/>
      <c r="I1036" s="12"/>
      <c r="J1036" s="12"/>
      <c r="S1036" s="12"/>
      <c r="T1036" s="12"/>
      <c r="U1036" s="16"/>
      <c r="V1036" s="16"/>
      <c r="W1036" s="12"/>
      <c r="Z1036" s="12"/>
      <c r="AA1036" s="16"/>
    </row>
    <row r="1037">
      <c r="A1037" s="8"/>
      <c r="C1037" s="12"/>
      <c r="D1037" s="12"/>
      <c r="E1037" s="12"/>
      <c r="F1037" s="12"/>
      <c r="G1037" s="12"/>
      <c r="H1037" s="12"/>
      <c r="I1037" s="12"/>
      <c r="J1037" s="12"/>
      <c r="S1037" s="12"/>
      <c r="T1037" s="12"/>
      <c r="U1037" s="16"/>
      <c r="V1037" s="16"/>
      <c r="W1037" s="12"/>
      <c r="Z1037" s="12"/>
      <c r="AA1037" s="16"/>
    </row>
    <row r="1038">
      <c r="A1038" s="8"/>
      <c r="C1038" s="12"/>
      <c r="D1038" s="12"/>
      <c r="E1038" s="12"/>
      <c r="F1038" s="12"/>
      <c r="G1038" s="12"/>
      <c r="H1038" s="12"/>
      <c r="I1038" s="12"/>
      <c r="J1038" s="12"/>
      <c r="S1038" s="12"/>
      <c r="T1038" s="12"/>
      <c r="U1038" s="16"/>
      <c r="V1038" s="16"/>
      <c r="W1038" s="12"/>
      <c r="Z1038" s="12"/>
      <c r="AA1038" s="16"/>
    </row>
    <row r="1039">
      <c r="A1039" s="8"/>
      <c r="C1039" s="12"/>
      <c r="D1039" s="12"/>
      <c r="E1039" s="12"/>
      <c r="F1039" s="12"/>
      <c r="G1039" s="12"/>
      <c r="H1039" s="12"/>
      <c r="I1039" s="12"/>
      <c r="J1039" s="12"/>
      <c r="S1039" s="12"/>
      <c r="T1039" s="12"/>
      <c r="U1039" s="16"/>
      <c r="V1039" s="16"/>
      <c r="W1039" s="12"/>
      <c r="Z1039" s="12"/>
      <c r="AA1039" s="16"/>
    </row>
    <row r="1040">
      <c r="A1040" s="8"/>
      <c r="C1040" s="12"/>
      <c r="D1040" s="12"/>
      <c r="E1040" s="12"/>
      <c r="F1040" s="12"/>
      <c r="G1040" s="12"/>
      <c r="H1040" s="12"/>
      <c r="I1040" s="12"/>
      <c r="J1040" s="12"/>
      <c r="S1040" s="12"/>
      <c r="T1040" s="12"/>
      <c r="U1040" s="16"/>
      <c r="V1040" s="16"/>
      <c r="W1040" s="12"/>
      <c r="Z1040" s="12"/>
      <c r="AA1040" s="16"/>
    </row>
    <row r="1041">
      <c r="A1041" s="8"/>
      <c r="C1041" s="12"/>
      <c r="D1041" s="12"/>
      <c r="E1041" s="12"/>
      <c r="F1041" s="12"/>
      <c r="G1041" s="12"/>
      <c r="H1041" s="12"/>
      <c r="I1041" s="12"/>
      <c r="J1041" s="12"/>
      <c r="S1041" s="12"/>
      <c r="T1041" s="12"/>
      <c r="U1041" s="16"/>
      <c r="V1041" s="16"/>
      <c r="W1041" s="12"/>
      <c r="Z1041" s="12"/>
      <c r="AA1041" s="16"/>
    </row>
    <row r="1042">
      <c r="A1042" s="8"/>
      <c r="C1042" s="12"/>
      <c r="D1042" s="12"/>
      <c r="E1042" s="12"/>
      <c r="F1042" s="12"/>
      <c r="G1042" s="12"/>
      <c r="H1042" s="12"/>
      <c r="I1042" s="12"/>
      <c r="J1042" s="12"/>
      <c r="S1042" s="12"/>
      <c r="T1042" s="12"/>
      <c r="U1042" s="16"/>
      <c r="V1042" s="16"/>
      <c r="W1042" s="12"/>
      <c r="Z1042" s="12"/>
      <c r="AA1042" s="16"/>
    </row>
    <row r="1043">
      <c r="A1043" s="8"/>
      <c r="C1043" s="12"/>
      <c r="D1043" s="12"/>
      <c r="E1043" s="12"/>
      <c r="F1043" s="12"/>
      <c r="G1043" s="12"/>
      <c r="H1043" s="12"/>
      <c r="I1043" s="12"/>
      <c r="J1043" s="12"/>
      <c r="S1043" s="12"/>
      <c r="T1043" s="12"/>
      <c r="U1043" s="16"/>
      <c r="V1043" s="16"/>
      <c r="W1043" s="12"/>
      <c r="Z1043" s="12"/>
      <c r="AA1043" s="16"/>
    </row>
    <row r="1044">
      <c r="A1044" s="8"/>
      <c r="C1044" s="12"/>
      <c r="D1044" s="12"/>
      <c r="E1044" s="12"/>
      <c r="F1044" s="12"/>
      <c r="G1044" s="12"/>
      <c r="H1044" s="12"/>
      <c r="I1044" s="12"/>
      <c r="J1044" s="12"/>
      <c r="S1044" s="12"/>
      <c r="T1044" s="12"/>
      <c r="U1044" s="16"/>
      <c r="V1044" s="16"/>
      <c r="W1044" s="12"/>
      <c r="Z1044" s="12"/>
      <c r="AA1044" s="16"/>
    </row>
    <row r="1045">
      <c r="A1045" s="8"/>
      <c r="C1045" s="12"/>
      <c r="D1045" s="12"/>
      <c r="E1045" s="12"/>
      <c r="F1045" s="12"/>
      <c r="G1045" s="12"/>
      <c r="H1045" s="12"/>
      <c r="I1045" s="12"/>
      <c r="J1045" s="12"/>
      <c r="S1045" s="12"/>
      <c r="T1045" s="12"/>
      <c r="U1045" s="16"/>
      <c r="V1045" s="16"/>
      <c r="W1045" s="12"/>
      <c r="Z1045" s="12"/>
      <c r="AA1045" s="16"/>
    </row>
    <row r="1046">
      <c r="A1046" s="8"/>
      <c r="C1046" s="12"/>
      <c r="D1046" s="12"/>
      <c r="E1046" s="12"/>
      <c r="F1046" s="12"/>
      <c r="G1046" s="12"/>
      <c r="H1046" s="12"/>
      <c r="I1046" s="12"/>
      <c r="J1046" s="12"/>
      <c r="S1046" s="12"/>
      <c r="T1046" s="12"/>
      <c r="U1046" s="16"/>
      <c r="V1046" s="16"/>
      <c r="W1046" s="12"/>
      <c r="Z1046" s="12"/>
      <c r="AA1046" s="16"/>
    </row>
    <row r="1047">
      <c r="A1047" s="8"/>
      <c r="C1047" s="12"/>
      <c r="D1047" s="12"/>
      <c r="E1047" s="12"/>
      <c r="F1047" s="12"/>
      <c r="G1047" s="12"/>
      <c r="H1047" s="12"/>
      <c r="I1047" s="12"/>
      <c r="J1047" s="12"/>
      <c r="S1047" s="12"/>
      <c r="T1047" s="12"/>
      <c r="U1047" s="16"/>
      <c r="V1047" s="16"/>
      <c r="W1047" s="12"/>
      <c r="Z1047" s="12"/>
      <c r="AA1047" s="16"/>
    </row>
    <row r="1048">
      <c r="A1048" s="8"/>
      <c r="C1048" s="12"/>
      <c r="D1048" s="12"/>
      <c r="E1048" s="12"/>
      <c r="F1048" s="12"/>
      <c r="G1048" s="12"/>
      <c r="H1048" s="12"/>
      <c r="I1048" s="12"/>
      <c r="J1048" s="12"/>
      <c r="S1048" s="12"/>
      <c r="T1048" s="12"/>
      <c r="U1048" s="16"/>
      <c r="V1048" s="16"/>
      <c r="W1048" s="12"/>
      <c r="Z1048" s="12"/>
      <c r="AA1048" s="16"/>
    </row>
    <row r="1049">
      <c r="A1049" s="8"/>
      <c r="C1049" s="12"/>
      <c r="D1049" s="12"/>
      <c r="E1049" s="12"/>
      <c r="F1049" s="12"/>
      <c r="G1049" s="12"/>
      <c r="H1049" s="12"/>
      <c r="I1049" s="12"/>
      <c r="J1049" s="12"/>
      <c r="S1049" s="12"/>
      <c r="T1049" s="12"/>
      <c r="U1049" s="16"/>
      <c r="V1049" s="16"/>
      <c r="W1049" s="12"/>
      <c r="Z1049" s="12"/>
      <c r="AA1049" s="16"/>
    </row>
    <row r="1050">
      <c r="A1050" s="8"/>
      <c r="C1050" s="12"/>
      <c r="D1050" s="12"/>
      <c r="E1050" s="12"/>
      <c r="F1050" s="12"/>
      <c r="G1050" s="12"/>
      <c r="H1050" s="12"/>
      <c r="I1050" s="12"/>
      <c r="J1050" s="12"/>
      <c r="S1050" s="12"/>
      <c r="T1050" s="12"/>
      <c r="U1050" s="16"/>
      <c r="V1050" s="16"/>
      <c r="W1050" s="12"/>
      <c r="Z1050" s="12"/>
      <c r="AA1050" s="16"/>
    </row>
    <row r="1051">
      <c r="A1051" s="8"/>
      <c r="C1051" s="12"/>
      <c r="D1051" s="12"/>
      <c r="E1051" s="12"/>
      <c r="F1051" s="12"/>
      <c r="G1051" s="12"/>
      <c r="H1051" s="12"/>
      <c r="I1051" s="12"/>
      <c r="J1051" s="12"/>
      <c r="S1051" s="12"/>
      <c r="T1051" s="12"/>
      <c r="U1051" s="16"/>
      <c r="V1051" s="16"/>
      <c r="W1051" s="12"/>
      <c r="Z1051" s="12"/>
      <c r="AA1051" s="16"/>
    </row>
    <row r="1052">
      <c r="A1052" s="8"/>
      <c r="C1052" s="12"/>
      <c r="D1052" s="12"/>
      <c r="E1052" s="12"/>
      <c r="F1052" s="12"/>
      <c r="G1052" s="12"/>
      <c r="H1052" s="12"/>
      <c r="I1052" s="12"/>
      <c r="J1052" s="12"/>
      <c r="S1052" s="12"/>
      <c r="T1052" s="12"/>
      <c r="U1052" s="16"/>
      <c r="V1052" s="16"/>
      <c r="W1052" s="12"/>
      <c r="Z1052" s="12"/>
      <c r="AA1052" s="16"/>
    </row>
    <row r="1053">
      <c r="A1053" s="8"/>
      <c r="C1053" s="12"/>
      <c r="D1053" s="12"/>
      <c r="E1053" s="12"/>
      <c r="F1053" s="12"/>
      <c r="G1053" s="12"/>
      <c r="H1053" s="12"/>
      <c r="I1053" s="12"/>
      <c r="J1053" s="12"/>
      <c r="S1053" s="12"/>
      <c r="T1053" s="12"/>
      <c r="U1053" s="16"/>
      <c r="V1053" s="16"/>
      <c r="W1053" s="12"/>
      <c r="Z1053" s="12"/>
      <c r="AA1053" s="16"/>
    </row>
    <row r="1054">
      <c r="A1054" s="8"/>
      <c r="C1054" s="12"/>
      <c r="D1054" s="12"/>
      <c r="E1054" s="12"/>
      <c r="F1054" s="12"/>
      <c r="G1054" s="12"/>
      <c r="H1054" s="12"/>
      <c r="I1054" s="12"/>
      <c r="J1054" s="12"/>
      <c r="S1054" s="12"/>
      <c r="T1054" s="12"/>
      <c r="U1054" s="16"/>
      <c r="V1054" s="16"/>
      <c r="W1054" s="12"/>
      <c r="Z1054" s="12"/>
      <c r="AA1054" s="16"/>
    </row>
    <row r="1055">
      <c r="A1055" s="8"/>
      <c r="C1055" s="12"/>
      <c r="D1055" s="12"/>
      <c r="E1055" s="12"/>
      <c r="F1055" s="12"/>
      <c r="G1055" s="12"/>
      <c r="H1055" s="12"/>
      <c r="I1055" s="12"/>
      <c r="J1055" s="12"/>
      <c r="S1055" s="12"/>
      <c r="T1055" s="12"/>
      <c r="U1055" s="16"/>
      <c r="V1055" s="16"/>
      <c r="W1055" s="12"/>
      <c r="Z1055" s="12"/>
      <c r="AA1055" s="16"/>
    </row>
    <row r="1056">
      <c r="A1056" s="8"/>
      <c r="C1056" s="12"/>
      <c r="D1056" s="12"/>
      <c r="E1056" s="12"/>
      <c r="F1056" s="12"/>
      <c r="G1056" s="12"/>
      <c r="H1056" s="12"/>
      <c r="I1056" s="12"/>
      <c r="J1056" s="12"/>
      <c r="S1056" s="12"/>
      <c r="T1056" s="12"/>
      <c r="U1056" s="16"/>
      <c r="V1056" s="16"/>
      <c r="W1056" s="12"/>
      <c r="Z1056" s="12"/>
      <c r="AA1056" s="16"/>
    </row>
    <row r="1057">
      <c r="A1057" s="8"/>
      <c r="C1057" s="12"/>
      <c r="D1057" s="12"/>
      <c r="E1057" s="12"/>
      <c r="F1057" s="12"/>
      <c r="G1057" s="12"/>
      <c r="H1057" s="12"/>
      <c r="I1057" s="12"/>
      <c r="J1057" s="12"/>
      <c r="S1057" s="12"/>
      <c r="T1057" s="12"/>
      <c r="U1057" s="16"/>
      <c r="V1057" s="16"/>
      <c r="W1057" s="12"/>
      <c r="Z1057" s="12"/>
      <c r="AA1057" s="16"/>
    </row>
    <row r="1058">
      <c r="A1058" s="8"/>
      <c r="C1058" s="12"/>
      <c r="D1058" s="12"/>
      <c r="E1058" s="12"/>
      <c r="F1058" s="12"/>
      <c r="G1058" s="12"/>
      <c r="H1058" s="12"/>
      <c r="I1058" s="12"/>
      <c r="J1058" s="12"/>
      <c r="S1058" s="12"/>
      <c r="T1058" s="12"/>
      <c r="U1058" s="16"/>
      <c r="V1058" s="16"/>
      <c r="W1058" s="12"/>
      <c r="Z1058" s="12"/>
      <c r="AA1058" s="16"/>
    </row>
    <row r="1059">
      <c r="A1059" s="8"/>
      <c r="C1059" s="12"/>
      <c r="D1059" s="12"/>
      <c r="E1059" s="12"/>
      <c r="F1059" s="12"/>
      <c r="G1059" s="12"/>
      <c r="H1059" s="12"/>
      <c r="I1059" s="12"/>
      <c r="J1059" s="12"/>
      <c r="S1059" s="12"/>
      <c r="T1059" s="12"/>
      <c r="U1059" s="16"/>
      <c r="V1059" s="16"/>
      <c r="W1059" s="12"/>
      <c r="Z1059" s="12"/>
      <c r="AA1059" s="16"/>
    </row>
    <row r="1060">
      <c r="A1060" s="8"/>
      <c r="C1060" s="12"/>
      <c r="D1060" s="12"/>
      <c r="E1060" s="12"/>
      <c r="F1060" s="12"/>
      <c r="G1060" s="12"/>
      <c r="H1060" s="12"/>
      <c r="I1060" s="12"/>
      <c r="J1060" s="12"/>
      <c r="S1060" s="12"/>
      <c r="T1060" s="12"/>
      <c r="U1060" s="16"/>
      <c r="V1060" s="16"/>
      <c r="W1060" s="12"/>
      <c r="Z1060" s="12"/>
      <c r="AA1060" s="16"/>
    </row>
    <row r="1061">
      <c r="A1061" s="8"/>
      <c r="C1061" s="12"/>
      <c r="D1061" s="12"/>
      <c r="E1061" s="12"/>
      <c r="F1061" s="12"/>
      <c r="G1061" s="12"/>
      <c r="H1061" s="12"/>
      <c r="I1061" s="12"/>
      <c r="J1061" s="12"/>
      <c r="S1061" s="12"/>
      <c r="T1061" s="12"/>
      <c r="U1061" s="16"/>
      <c r="V1061" s="16"/>
      <c r="W1061" s="12"/>
      <c r="Z1061" s="12"/>
      <c r="AA1061" s="16"/>
    </row>
    <row r="1062">
      <c r="A1062" s="8"/>
      <c r="C1062" s="12"/>
      <c r="D1062" s="12"/>
      <c r="E1062" s="12"/>
      <c r="F1062" s="12"/>
      <c r="G1062" s="12"/>
      <c r="H1062" s="12"/>
      <c r="I1062" s="12"/>
      <c r="J1062" s="12"/>
      <c r="S1062" s="12"/>
      <c r="T1062" s="12"/>
      <c r="U1062" s="16"/>
      <c r="V1062" s="16"/>
      <c r="W1062" s="12"/>
      <c r="Z1062" s="12"/>
      <c r="AA1062" s="16"/>
    </row>
    <row r="1063">
      <c r="A1063" s="8"/>
      <c r="C1063" s="12"/>
      <c r="D1063" s="12"/>
      <c r="E1063" s="12"/>
      <c r="F1063" s="12"/>
      <c r="G1063" s="12"/>
      <c r="H1063" s="12"/>
      <c r="I1063" s="12"/>
      <c r="J1063" s="12"/>
      <c r="S1063" s="12"/>
      <c r="T1063" s="12"/>
      <c r="U1063" s="16"/>
      <c r="V1063" s="16"/>
      <c r="W1063" s="12"/>
      <c r="Z1063" s="12"/>
      <c r="AA1063" s="16"/>
    </row>
    <row r="1064">
      <c r="A1064" s="8"/>
      <c r="C1064" s="12"/>
      <c r="D1064" s="12"/>
      <c r="E1064" s="12"/>
      <c r="F1064" s="12"/>
      <c r="G1064" s="12"/>
      <c r="H1064" s="12"/>
      <c r="I1064" s="12"/>
      <c r="J1064" s="12"/>
      <c r="S1064" s="12"/>
      <c r="T1064" s="12"/>
      <c r="U1064" s="16"/>
      <c r="V1064" s="16"/>
      <c r="W1064" s="12"/>
      <c r="Z1064" s="12"/>
      <c r="AA1064" s="16"/>
    </row>
    <row r="1065">
      <c r="A1065" s="8"/>
      <c r="C1065" s="12"/>
      <c r="D1065" s="12"/>
      <c r="E1065" s="12"/>
      <c r="F1065" s="12"/>
      <c r="G1065" s="12"/>
      <c r="H1065" s="12"/>
      <c r="I1065" s="12"/>
      <c r="J1065" s="12"/>
      <c r="S1065" s="12"/>
      <c r="T1065" s="12"/>
      <c r="U1065" s="16"/>
      <c r="V1065" s="16"/>
      <c r="W1065" s="12"/>
      <c r="Z1065" s="12"/>
      <c r="AA1065" s="16"/>
    </row>
    <row r="1066">
      <c r="A1066" s="8"/>
      <c r="C1066" s="12"/>
      <c r="D1066" s="12"/>
      <c r="E1066" s="12"/>
      <c r="F1066" s="12"/>
      <c r="G1066" s="12"/>
      <c r="H1066" s="12"/>
      <c r="I1066" s="12"/>
      <c r="J1066" s="12"/>
      <c r="S1066" s="12"/>
      <c r="T1066" s="12"/>
      <c r="U1066" s="16"/>
      <c r="V1066" s="16"/>
      <c r="W1066" s="12"/>
      <c r="Z1066" s="12"/>
      <c r="AA1066" s="16"/>
    </row>
    <row r="1067">
      <c r="A1067" s="8"/>
      <c r="C1067" s="12"/>
      <c r="D1067" s="12"/>
      <c r="E1067" s="12"/>
      <c r="F1067" s="12"/>
      <c r="G1067" s="12"/>
      <c r="H1067" s="12"/>
      <c r="I1067" s="12"/>
      <c r="J1067" s="12"/>
      <c r="S1067" s="12"/>
      <c r="T1067" s="12"/>
      <c r="U1067" s="16"/>
      <c r="V1067" s="16"/>
      <c r="W1067" s="12"/>
      <c r="Z1067" s="12"/>
      <c r="AA1067" s="16"/>
    </row>
    <row r="1068">
      <c r="A1068" s="8"/>
      <c r="C1068" s="12"/>
      <c r="D1068" s="12"/>
      <c r="E1068" s="12"/>
      <c r="F1068" s="12"/>
      <c r="G1068" s="12"/>
      <c r="H1068" s="12"/>
      <c r="I1068" s="12"/>
      <c r="J1068" s="12"/>
      <c r="S1068" s="12"/>
      <c r="T1068" s="12"/>
      <c r="U1068" s="16"/>
      <c r="V1068" s="16"/>
      <c r="W1068" s="12"/>
      <c r="Z1068" s="12"/>
      <c r="AA1068" s="16"/>
    </row>
    <row r="1069">
      <c r="A1069" s="8"/>
      <c r="C1069" s="12"/>
      <c r="D1069" s="12"/>
      <c r="E1069" s="12"/>
      <c r="F1069" s="12"/>
      <c r="G1069" s="12"/>
      <c r="H1069" s="12"/>
      <c r="I1069" s="12"/>
      <c r="J1069" s="12"/>
      <c r="S1069" s="12"/>
      <c r="T1069" s="12"/>
      <c r="U1069" s="16"/>
      <c r="V1069" s="16"/>
      <c r="W1069" s="12"/>
      <c r="Z1069" s="12"/>
      <c r="AA1069" s="16"/>
    </row>
    <row r="1070">
      <c r="A1070" s="8"/>
      <c r="C1070" s="12"/>
      <c r="D1070" s="12"/>
      <c r="E1070" s="12"/>
      <c r="F1070" s="12"/>
      <c r="G1070" s="12"/>
      <c r="H1070" s="12"/>
      <c r="I1070" s="12"/>
      <c r="J1070" s="12"/>
      <c r="S1070" s="12"/>
      <c r="T1070" s="12"/>
      <c r="U1070" s="16"/>
      <c r="V1070" s="16"/>
      <c r="W1070" s="12"/>
      <c r="Z1070" s="12"/>
      <c r="AA1070" s="16"/>
    </row>
    <row r="1071">
      <c r="A1071" s="8"/>
      <c r="C1071" s="12"/>
      <c r="D1071" s="12"/>
      <c r="E1071" s="12"/>
      <c r="F1071" s="12"/>
      <c r="G1071" s="12"/>
      <c r="H1071" s="12"/>
      <c r="I1071" s="12"/>
      <c r="J1071" s="12"/>
      <c r="S1071" s="12"/>
      <c r="T1071" s="12"/>
      <c r="U1071" s="16"/>
      <c r="V1071" s="16"/>
      <c r="W1071" s="12"/>
      <c r="Z1071" s="12"/>
      <c r="AA1071" s="16"/>
    </row>
    <row r="1072">
      <c r="A1072" s="8"/>
      <c r="C1072" s="12"/>
      <c r="D1072" s="12"/>
      <c r="E1072" s="12"/>
      <c r="F1072" s="12"/>
      <c r="G1072" s="12"/>
      <c r="H1072" s="12"/>
      <c r="I1072" s="12"/>
      <c r="J1072" s="12"/>
      <c r="S1072" s="12"/>
      <c r="T1072" s="12"/>
      <c r="U1072" s="16"/>
      <c r="V1072" s="16"/>
      <c r="W1072" s="12"/>
      <c r="Z1072" s="12"/>
      <c r="AA1072" s="16"/>
    </row>
    <row r="1073">
      <c r="A1073" s="8"/>
      <c r="C1073" s="12"/>
      <c r="D1073" s="12"/>
      <c r="E1073" s="12"/>
      <c r="F1073" s="12"/>
      <c r="G1073" s="12"/>
      <c r="H1073" s="12"/>
      <c r="I1073" s="12"/>
      <c r="J1073" s="12"/>
      <c r="S1073" s="12"/>
      <c r="T1073" s="12"/>
      <c r="U1073" s="16"/>
      <c r="V1073" s="16"/>
      <c r="W1073" s="12"/>
      <c r="Z1073" s="12"/>
      <c r="AA1073" s="16"/>
    </row>
    <row r="1074">
      <c r="A1074" s="8"/>
      <c r="C1074" s="12"/>
      <c r="D1074" s="12"/>
      <c r="E1074" s="12"/>
      <c r="F1074" s="12"/>
      <c r="G1074" s="12"/>
      <c r="H1074" s="12"/>
      <c r="I1074" s="12"/>
      <c r="J1074" s="12"/>
      <c r="S1074" s="12"/>
      <c r="T1074" s="12"/>
      <c r="U1074" s="16"/>
      <c r="V1074" s="16"/>
      <c r="W1074" s="12"/>
      <c r="Z1074" s="12"/>
      <c r="AA1074" s="16"/>
    </row>
    <row r="1075">
      <c r="A1075" s="8"/>
      <c r="C1075" s="12"/>
      <c r="D1075" s="12"/>
      <c r="E1075" s="12"/>
      <c r="F1075" s="12"/>
      <c r="G1075" s="12"/>
      <c r="H1075" s="12"/>
      <c r="I1075" s="12"/>
      <c r="J1075" s="12"/>
      <c r="S1075" s="12"/>
      <c r="T1075" s="12"/>
      <c r="U1075" s="16"/>
      <c r="V1075" s="16"/>
      <c r="W1075" s="12"/>
      <c r="Z1075" s="12"/>
      <c r="AA1075" s="16"/>
    </row>
    <row r="1076">
      <c r="A1076" s="8"/>
      <c r="C1076" s="12"/>
      <c r="D1076" s="12"/>
      <c r="E1076" s="12"/>
      <c r="F1076" s="12"/>
      <c r="G1076" s="12"/>
      <c r="H1076" s="12"/>
      <c r="I1076" s="12"/>
      <c r="J1076" s="12"/>
      <c r="S1076" s="12"/>
      <c r="T1076" s="12"/>
      <c r="U1076" s="16"/>
      <c r="V1076" s="16"/>
      <c r="W1076" s="12"/>
      <c r="Z1076" s="12"/>
      <c r="AA1076" s="16"/>
    </row>
    <row r="1077">
      <c r="A1077" s="8"/>
      <c r="C1077" s="12"/>
      <c r="D1077" s="12"/>
      <c r="E1077" s="12"/>
      <c r="F1077" s="12"/>
      <c r="G1077" s="12"/>
      <c r="H1077" s="12"/>
      <c r="I1077" s="12"/>
      <c r="J1077" s="12"/>
      <c r="S1077" s="12"/>
      <c r="T1077" s="12"/>
      <c r="U1077" s="16"/>
      <c r="V1077" s="16"/>
      <c r="W1077" s="12"/>
      <c r="Z1077" s="12"/>
      <c r="AA1077" s="16"/>
    </row>
    <row r="1078">
      <c r="A1078" s="8"/>
      <c r="C1078" s="12"/>
      <c r="D1078" s="12"/>
      <c r="E1078" s="12"/>
      <c r="F1078" s="12"/>
      <c r="G1078" s="12"/>
      <c r="H1078" s="12"/>
      <c r="I1078" s="12"/>
      <c r="J1078" s="12"/>
      <c r="S1078" s="12"/>
      <c r="T1078" s="12"/>
      <c r="U1078" s="16"/>
      <c r="V1078" s="16"/>
      <c r="W1078" s="12"/>
      <c r="Z1078" s="12"/>
      <c r="AA1078" s="16"/>
    </row>
    <row r="1079">
      <c r="A1079" s="8"/>
      <c r="C1079" s="12"/>
      <c r="D1079" s="12"/>
      <c r="E1079" s="12"/>
      <c r="F1079" s="12"/>
      <c r="G1079" s="12"/>
      <c r="H1079" s="12"/>
      <c r="I1079" s="12"/>
      <c r="J1079" s="12"/>
      <c r="S1079" s="12"/>
      <c r="T1079" s="12"/>
      <c r="U1079" s="16"/>
      <c r="V1079" s="16"/>
      <c r="W1079" s="12"/>
      <c r="Z1079" s="12"/>
      <c r="AA1079" s="16"/>
    </row>
    <row r="1080">
      <c r="A1080" s="8"/>
      <c r="C1080" s="12"/>
      <c r="D1080" s="12"/>
      <c r="E1080" s="12"/>
      <c r="F1080" s="12"/>
      <c r="G1080" s="12"/>
      <c r="H1080" s="12"/>
      <c r="I1080" s="12"/>
      <c r="J1080" s="12"/>
      <c r="S1080" s="12"/>
      <c r="T1080" s="12"/>
      <c r="U1080" s="16"/>
      <c r="V1080" s="16"/>
      <c r="W1080" s="12"/>
      <c r="Z1080" s="12"/>
      <c r="AA1080" s="16"/>
    </row>
    <row r="1081">
      <c r="A1081" s="8"/>
      <c r="C1081" s="12"/>
      <c r="D1081" s="12"/>
      <c r="E1081" s="12"/>
      <c r="F1081" s="12"/>
      <c r="G1081" s="12"/>
      <c r="H1081" s="12"/>
      <c r="I1081" s="12"/>
      <c r="J1081" s="12"/>
      <c r="S1081" s="12"/>
      <c r="T1081" s="12"/>
      <c r="U1081" s="16"/>
      <c r="V1081" s="16"/>
      <c r="W1081" s="12"/>
      <c r="Z1081" s="12"/>
      <c r="AA1081" s="16"/>
    </row>
    <row r="1082">
      <c r="A1082" s="8"/>
      <c r="C1082" s="12"/>
      <c r="D1082" s="12"/>
      <c r="E1082" s="12"/>
      <c r="F1082" s="12"/>
      <c r="G1082" s="12"/>
      <c r="H1082" s="12"/>
      <c r="I1082" s="12"/>
      <c r="J1082" s="12"/>
      <c r="S1082" s="12"/>
      <c r="T1082" s="12"/>
      <c r="U1082" s="16"/>
      <c r="V1082" s="16"/>
      <c r="W1082" s="12"/>
      <c r="Z1082" s="12"/>
      <c r="AA1082" s="16"/>
    </row>
    <row r="1083">
      <c r="A1083" s="8"/>
      <c r="C1083" s="12"/>
      <c r="D1083" s="12"/>
      <c r="E1083" s="12"/>
      <c r="F1083" s="12"/>
      <c r="G1083" s="12"/>
      <c r="H1083" s="12"/>
      <c r="I1083" s="12"/>
      <c r="J1083" s="12"/>
      <c r="S1083" s="12"/>
      <c r="T1083" s="12"/>
      <c r="U1083" s="16"/>
      <c r="V1083" s="16"/>
      <c r="W1083" s="12"/>
      <c r="Z1083" s="12"/>
      <c r="AA1083" s="16"/>
    </row>
    <row r="1084">
      <c r="A1084" s="8"/>
      <c r="C1084" s="12"/>
      <c r="D1084" s="12"/>
      <c r="E1084" s="12"/>
      <c r="F1084" s="12"/>
      <c r="G1084" s="12"/>
      <c r="H1084" s="12"/>
      <c r="I1084" s="12"/>
      <c r="J1084" s="12"/>
      <c r="S1084" s="12"/>
      <c r="T1084" s="12"/>
      <c r="U1084" s="16"/>
      <c r="V1084" s="16"/>
      <c r="W1084" s="12"/>
      <c r="Z1084" s="12"/>
      <c r="AA1084" s="16"/>
    </row>
    <row r="1085">
      <c r="A1085" s="8"/>
      <c r="C1085" s="12"/>
      <c r="D1085" s="12"/>
      <c r="E1085" s="12"/>
      <c r="F1085" s="12"/>
      <c r="G1085" s="12"/>
      <c r="H1085" s="12"/>
      <c r="I1085" s="12"/>
      <c r="J1085" s="12"/>
      <c r="S1085" s="12"/>
      <c r="T1085" s="12"/>
      <c r="U1085" s="16"/>
      <c r="V1085" s="16"/>
      <c r="W1085" s="12"/>
      <c r="Z1085" s="12"/>
      <c r="AA1085" s="16"/>
    </row>
    <row r="1086">
      <c r="A1086" s="8"/>
      <c r="C1086" s="12"/>
      <c r="D1086" s="12"/>
      <c r="E1086" s="12"/>
      <c r="F1086" s="12"/>
      <c r="G1086" s="12"/>
      <c r="H1086" s="12"/>
      <c r="I1086" s="12"/>
      <c r="J1086" s="12"/>
      <c r="S1086" s="12"/>
      <c r="T1086" s="12"/>
      <c r="U1086" s="16"/>
      <c r="V1086" s="16"/>
      <c r="W1086" s="12"/>
      <c r="Z1086" s="12"/>
      <c r="AA1086" s="16"/>
    </row>
    <row r="1087">
      <c r="A1087" s="8"/>
      <c r="C1087" s="12"/>
      <c r="D1087" s="12"/>
      <c r="E1087" s="12"/>
      <c r="F1087" s="12"/>
      <c r="G1087" s="12"/>
      <c r="H1087" s="12"/>
      <c r="I1087" s="12"/>
      <c r="J1087" s="12"/>
      <c r="S1087" s="12"/>
      <c r="T1087" s="12"/>
      <c r="U1087" s="16"/>
      <c r="V1087" s="16"/>
      <c r="W1087" s="12"/>
      <c r="Z1087" s="12"/>
      <c r="AA1087" s="16"/>
    </row>
    <row r="1088">
      <c r="A1088" s="8"/>
      <c r="C1088" s="12"/>
      <c r="D1088" s="12"/>
      <c r="E1088" s="12"/>
      <c r="F1088" s="12"/>
      <c r="G1088" s="12"/>
      <c r="H1088" s="12"/>
      <c r="I1088" s="12"/>
      <c r="J1088" s="12"/>
      <c r="S1088" s="12"/>
      <c r="T1088" s="12"/>
      <c r="U1088" s="16"/>
      <c r="V1088" s="16"/>
      <c r="W1088" s="12"/>
      <c r="Z1088" s="12"/>
      <c r="AA1088" s="16"/>
    </row>
    <row r="1089">
      <c r="A1089" s="8"/>
      <c r="C1089" s="12"/>
      <c r="D1089" s="12"/>
      <c r="E1089" s="12"/>
      <c r="F1089" s="12"/>
      <c r="G1089" s="12"/>
      <c r="H1089" s="12"/>
      <c r="I1089" s="12"/>
      <c r="J1089" s="12"/>
      <c r="S1089" s="12"/>
      <c r="T1089" s="12"/>
      <c r="U1089" s="16"/>
      <c r="V1089" s="16"/>
      <c r="W1089" s="12"/>
      <c r="Z1089" s="12"/>
      <c r="AA1089" s="16"/>
    </row>
    <row r="1090">
      <c r="A1090" s="8"/>
      <c r="C1090" s="12"/>
      <c r="D1090" s="12"/>
      <c r="E1090" s="12"/>
      <c r="F1090" s="12"/>
      <c r="G1090" s="12"/>
      <c r="H1090" s="12"/>
      <c r="I1090" s="12"/>
      <c r="J1090" s="12"/>
      <c r="S1090" s="12"/>
      <c r="T1090" s="12"/>
      <c r="U1090" s="16"/>
      <c r="V1090" s="16"/>
      <c r="W1090" s="12"/>
      <c r="Z1090" s="12"/>
      <c r="AA1090" s="16"/>
    </row>
    <row r="1091">
      <c r="A1091" s="8"/>
      <c r="C1091" s="12"/>
      <c r="D1091" s="12"/>
      <c r="E1091" s="12"/>
      <c r="F1091" s="12"/>
      <c r="G1091" s="12"/>
      <c r="H1091" s="12"/>
      <c r="I1091" s="12"/>
      <c r="J1091" s="12"/>
      <c r="S1091" s="12"/>
      <c r="T1091" s="12"/>
      <c r="U1091" s="16"/>
      <c r="V1091" s="16"/>
      <c r="W1091" s="12"/>
      <c r="Z1091" s="12"/>
      <c r="AA1091" s="16"/>
    </row>
    <row r="1092">
      <c r="A1092" s="8"/>
      <c r="C1092" s="12"/>
      <c r="D1092" s="12"/>
      <c r="E1092" s="12"/>
      <c r="F1092" s="12"/>
      <c r="G1092" s="12"/>
      <c r="H1092" s="12"/>
      <c r="I1092" s="12"/>
      <c r="J1092" s="12"/>
      <c r="S1092" s="12"/>
      <c r="T1092" s="12"/>
      <c r="U1092" s="16"/>
      <c r="V1092" s="16"/>
      <c r="W1092" s="12"/>
      <c r="Z1092" s="12"/>
      <c r="AA1092" s="16"/>
    </row>
    <row r="1093">
      <c r="A1093" s="8"/>
      <c r="C1093" s="12"/>
      <c r="D1093" s="12"/>
      <c r="E1093" s="12"/>
      <c r="F1093" s="12"/>
      <c r="G1093" s="12"/>
      <c r="H1093" s="12"/>
      <c r="I1093" s="12"/>
      <c r="J1093" s="12"/>
      <c r="S1093" s="12"/>
      <c r="T1093" s="12"/>
      <c r="U1093" s="16"/>
      <c r="V1093" s="16"/>
      <c r="W1093" s="12"/>
      <c r="Z1093" s="12"/>
      <c r="AA1093" s="16"/>
    </row>
    <row r="1094">
      <c r="A1094" s="8"/>
      <c r="C1094" s="12"/>
      <c r="D1094" s="12"/>
      <c r="E1094" s="12"/>
      <c r="F1094" s="12"/>
      <c r="G1094" s="12"/>
      <c r="H1094" s="12"/>
      <c r="I1094" s="12"/>
      <c r="J1094" s="12"/>
      <c r="S1094" s="12"/>
      <c r="T1094" s="12"/>
      <c r="U1094" s="16"/>
      <c r="V1094" s="16"/>
      <c r="W1094" s="12"/>
      <c r="Z1094" s="12"/>
      <c r="AA1094" s="16"/>
    </row>
    <row r="1095">
      <c r="A1095" s="8"/>
      <c r="C1095" s="12"/>
      <c r="D1095" s="12"/>
      <c r="E1095" s="12"/>
      <c r="F1095" s="12"/>
      <c r="G1095" s="12"/>
      <c r="H1095" s="12"/>
      <c r="I1095" s="12"/>
      <c r="J1095" s="12"/>
      <c r="S1095" s="12"/>
      <c r="T1095" s="12"/>
      <c r="U1095" s="16"/>
      <c r="V1095" s="16"/>
      <c r="W1095" s="12"/>
      <c r="Z1095" s="12"/>
      <c r="AA1095" s="16"/>
    </row>
    <row r="1096">
      <c r="A1096" s="8"/>
      <c r="C1096" s="12"/>
      <c r="D1096" s="12"/>
      <c r="E1096" s="12"/>
      <c r="F1096" s="12"/>
      <c r="G1096" s="12"/>
      <c r="H1096" s="12"/>
      <c r="I1096" s="12"/>
      <c r="J1096" s="12"/>
      <c r="S1096" s="12"/>
      <c r="T1096" s="12"/>
      <c r="U1096" s="16"/>
      <c r="V1096" s="16"/>
      <c r="W1096" s="12"/>
      <c r="Z1096" s="12"/>
      <c r="AA1096" s="16"/>
    </row>
    <row r="1097">
      <c r="A1097" s="8"/>
      <c r="C1097" s="12"/>
      <c r="D1097" s="12"/>
      <c r="E1097" s="12"/>
      <c r="F1097" s="12"/>
      <c r="G1097" s="12"/>
      <c r="H1097" s="12"/>
      <c r="I1097" s="12"/>
      <c r="J1097" s="12"/>
      <c r="S1097" s="12"/>
      <c r="T1097" s="12"/>
      <c r="U1097" s="16"/>
      <c r="V1097" s="16"/>
      <c r="W1097" s="12"/>
      <c r="Z1097" s="12"/>
      <c r="AA1097" s="16"/>
    </row>
    <row r="1098">
      <c r="A1098" s="8"/>
      <c r="C1098" s="12"/>
      <c r="D1098" s="12"/>
      <c r="E1098" s="12"/>
      <c r="F1098" s="12"/>
      <c r="G1098" s="12"/>
      <c r="H1098" s="12"/>
      <c r="I1098" s="12"/>
      <c r="J1098" s="12"/>
      <c r="S1098" s="12"/>
      <c r="T1098" s="12"/>
      <c r="U1098" s="16"/>
      <c r="V1098" s="16"/>
      <c r="W1098" s="12"/>
      <c r="Z1098" s="12"/>
      <c r="AA1098" s="16"/>
    </row>
    <row r="1099">
      <c r="A1099" s="8"/>
      <c r="C1099" s="12"/>
      <c r="D1099" s="12"/>
      <c r="E1099" s="12"/>
      <c r="F1099" s="12"/>
      <c r="G1099" s="12"/>
      <c r="H1099" s="12"/>
      <c r="I1099" s="12"/>
      <c r="J1099" s="12"/>
      <c r="S1099" s="12"/>
      <c r="T1099" s="12"/>
      <c r="U1099" s="16"/>
      <c r="V1099" s="16"/>
      <c r="W1099" s="12"/>
      <c r="Z1099" s="12"/>
      <c r="AA1099" s="16"/>
    </row>
    <row r="1100">
      <c r="A1100" s="8"/>
      <c r="C1100" s="12"/>
      <c r="D1100" s="12"/>
      <c r="E1100" s="12"/>
      <c r="F1100" s="12"/>
      <c r="G1100" s="12"/>
      <c r="H1100" s="12"/>
      <c r="I1100" s="12"/>
      <c r="J1100" s="12"/>
      <c r="S1100" s="12"/>
      <c r="T1100" s="12"/>
      <c r="U1100" s="16"/>
      <c r="V1100" s="16"/>
      <c r="W1100" s="12"/>
      <c r="Z1100" s="12"/>
      <c r="AA1100" s="16"/>
    </row>
    <row r="1101">
      <c r="A1101" s="8"/>
      <c r="C1101" s="12"/>
      <c r="D1101" s="12"/>
      <c r="E1101" s="12"/>
      <c r="F1101" s="12"/>
      <c r="G1101" s="12"/>
      <c r="H1101" s="12"/>
      <c r="I1101" s="12"/>
      <c r="J1101" s="12"/>
      <c r="S1101" s="12"/>
      <c r="T1101" s="12"/>
      <c r="U1101" s="16"/>
      <c r="V1101" s="16"/>
      <c r="W1101" s="12"/>
      <c r="Z1101" s="12"/>
      <c r="AA1101" s="16"/>
    </row>
    <row r="1102">
      <c r="A1102" s="8"/>
      <c r="C1102" s="12"/>
      <c r="D1102" s="12"/>
      <c r="E1102" s="12"/>
      <c r="F1102" s="12"/>
      <c r="G1102" s="12"/>
      <c r="H1102" s="12"/>
      <c r="I1102" s="12"/>
      <c r="J1102" s="12"/>
      <c r="S1102" s="12"/>
      <c r="T1102" s="12"/>
      <c r="U1102" s="16"/>
      <c r="V1102" s="16"/>
      <c r="W1102" s="12"/>
      <c r="Z1102" s="12"/>
      <c r="AA1102" s="16"/>
    </row>
    <row r="1103">
      <c r="A1103" s="8"/>
      <c r="C1103" s="12"/>
      <c r="D1103" s="12"/>
      <c r="E1103" s="12"/>
      <c r="F1103" s="12"/>
      <c r="G1103" s="12"/>
      <c r="H1103" s="12"/>
      <c r="I1103" s="12"/>
      <c r="J1103" s="12"/>
      <c r="S1103" s="12"/>
      <c r="T1103" s="12"/>
      <c r="U1103" s="16"/>
      <c r="V1103" s="16"/>
      <c r="W1103" s="12"/>
      <c r="Z1103" s="12"/>
      <c r="AA1103" s="16"/>
    </row>
    <row r="1104">
      <c r="A1104" s="8"/>
      <c r="C1104" s="12"/>
      <c r="D1104" s="12"/>
      <c r="E1104" s="12"/>
      <c r="F1104" s="12"/>
      <c r="G1104" s="12"/>
      <c r="H1104" s="12"/>
      <c r="I1104" s="12"/>
      <c r="J1104" s="12"/>
      <c r="S1104" s="12"/>
      <c r="T1104" s="12"/>
      <c r="U1104" s="16"/>
      <c r="V1104" s="16"/>
      <c r="W1104" s="12"/>
      <c r="Z1104" s="12"/>
      <c r="AA1104" s="16"/>
    </row>
    <row r="1105">
      <c r="A1105" s="8"/>
      <c r="C1105" s="12"/>
      <c r="D1105" s="12"/>
      <c r="E1105" s="12"/>
      <c r="F1105" s="12"/>
      <c r="G1105" s="12"/>
      <c r="H1105" s="12"/>
      <c r="I1105" s="12"/>
      <c r="J1105" s="12"/>
      <c r="S1105" s="12"/>
      <c r="T1105" s="12"/>
      <c r="U1105" s="16"/>
      <c r="V1105" s="16"/>
      <c r="W1105" s="12"/>
      <c r="Z1105" s="12"/>
      <c r="AA1105" s="16"/>
    </row>
    <row r="1106">
      <c r="A1106" s="8"/>
      <c r="C1106" s="12"/>
      <c r="D1106" s="12"/>
      <c r="E1106" s="12"/>
      <c r="F1106" s="12"/>
      <c r="G1106" s="12"/>
      <c r="H1106" s="12"/>
      <c r="I1106" s="12"/>
      <c r="J1106" s="12"/>
      <c r="S1106" s="12"/>
      <c r="T1106" s="12"/>
      <c r="U1106" s="16"/>
      <c r="V1106" s="16"/>
      <c r="W1106" s="12"/>
      <c r="Z1106" s="12"/>
      <c r="AA1106" s="16"/>
    </row>
    <row r="1107">
      <c r="A1107" s="8"/>
      <c r="C1107" s="12"/>
      <c r="D1107" s="12"/>
      <c r="E1107" s="12"/>
      <c r="F1107" s="12"/>
      <c r="G1107" s="12"/>
      <c r="H1107" s="12"/>
      <c r="I1107" s="12"/>
      <c r="J1107" s="12"/>
      <c r="S1107" s="12"/>
      <c r="T1107" s="12"/>
      <c r="U1107" s="16"/>
      <c r="V1107" s="16"/>
      <c r="W1107" s="12"/>
      <c r="Z1107" s="12"/>
      <c r="AA1107" s="16"/>
    </row>
    <row r="1108">
      <c r="A1108" s="8"/>
      <c r="C1108" s="12"/>
      <c r="D1108" s="12"/>
      <c r="E1108" s="12"/>
      <c r="F1108" s="12"/>
      <c r="G1108" s="12"/>
      <c r="H1108" s="12"/>
      <c r="I1108" s="12"/>
      <c r="J1108" s="12"/>
      <c r="S1108" s="12"/>
      <c r="T1108" s="12"/>
      <c r="U1108" s="16"/>
      <c r="V1108" s="16"/>
      <c r="W1108" s="12"/>
      <c r="Z1108" s="12"/>
      <c r="AA1108" s="16"/>
    </row>
    <row r="1109">
      <c r="A1109" s="8"/>
      <c r="C1109" s="12"/>
      <c r="D1109" s="12"/>
      <c r="E1109" s="12"/>
      <c r="F1109" s="12"/>
      <c r="G1109" s="12"/>
      <c r="H1109" s="12"/>
      <c r="I1109" s="12"/>
      <c r="J1109" s="12"/>
      <c r="S1109" s="12"/>
      <c r="T1109" s="12"/>
      <c r="U1109" s="16"/>
      <c r="V1109" s="16"/>
      <c r="W1109" s="12"/>
      <c r="Z1109" s="12"/>
      <c r="AA1109" s="16"/>
    </row>
    <row r="1110">
      <c r="A1110" s="8"/>
      <c r="C1110" s="12"/>
      <c r="D1110" s="12"/>
      <c r="E1110" s="12"/>
      <c r="F1110" s="12"/>
      <c r="G1110" s="12"/>
      <c r="H1110" s="12"/>
      <c r="I1110" s="12"/>
      <c r="J1110" s="12"/>
      <c r="S1110" s="12"/>
      <c r="T1110" s="12"/>
      <c r="U1110" s="16"/>
      <c r="V1110" s="16"/>
      <c r="W1110" s="12"/>
      <c r="Z1110" s="12"/>
      <c r="AA1110" s="16"/>
    </row>
    <row r="1111">
      <c r="A1111" s="8"/>
      <c r="C1111" s="12"/>
      <c r="D1111" s="12"/>
      <c r="E1111" s="12"/>
      <c r="F1111" s="12"/>
      <c r="G1111" s="12"/>
      <c r="H1111" s="12"/>
      <c r="I1111" s="12"/>
      <c r="J1111" s="12"/>
      <c r="S1111" s="12"/>
      <c r="T1111" s="12"/>
      <c r="U1111" s="16"/>
      <c r="V1111" s="16"/>
      <c r="W1111" s="12"/>
      <c r="Z1111" s="12"/>
      <c r="AA1111" s="16"/>
    </row>
    <row r="1112">
      <c r="A1112" s="8"/>
      <c r="C1112" s="12"/>
      <c r="D1112" s="12"/>
      <c r="E1112" s="12"/>
      <c r="F1112" s="12"/>
      <c r="G1112" s="12"/>
      <c r="H1112" s="12"/>
      <c r="I1112" s="12"/>
      <c r="J1112" s="12"/>
      <c r="S1112" s="12"/>
      <c r="T1112" s="12"/>
      <c r="U1112" s="16"/>
      <c r="V1112" s="16"/>
      <c r="W1112" s="12"/>
      <c r="Z1112" s="12"/>
      <c r="AA1112" s="16"/>
    </row>
    <row r="1113">
      <c r="A1113" s="8"/>
      <c r="C1113" s="12"/>
      <c r="D1113" s="12"/>
      <c r="E1113" s="12"/>
      <c r="F1113" s="12"/>
      <c r="G1113" s="12"/>
      <c r="H1113" s="12"/>
      <c r="I1113" s="12"/>
      <c r="J1113" s="12"/>
      <c r="S1113" s="12"/>
      <c r="T1113" s="12"/>
      <c r="U1113" s="16"/>
      <c r="V1113" s="16"/>
      <c r="W1113" s="12"/>
      <c r="Z1113" s="12"/>
      <c r="AA1113" s="16"/>
    </row>
    <row r="1114">
      <c r="A1114" s="8"/>
      <c r="C1114" s="12"/>
      <c r="D1114" s="12"/>
      <c r="E1114" s="12"/>
      <c r="F1114" s="12"/>
      <c r="G1114" s="12"/>
      <c r="H1114" s="12"/>
      <c r="I1114" s="12"/>
      <c r="J1114" s="12"/>
      <c r="S1114" s="12"/>
      <c r="T1114" s="12"/>
      <c r="U1114" s="16"/>
      <c r="V1114" s="16"/>
      <c r="W1114" s="12"/>
      <c r="Z1114" s="12"/>
      <c r="AA1114" s="16"/>
    </row>
    <row r="1115">
      <c r="A1115" s="8"/>
      <c r="C1115" s="12"/>
      <c r="D1115" s="12"/>
      <c r="E1115" s="12"/>
      <c r="F1115" s="12"/>
      <c r="G1115" s="12"/>
      <c r="H1115" s="12"/>
      <c r="I1115" s="12"/>
      <c r="J1115" s="12"/>
      <c r="S1115" s="12"/>
      <c r="T1115" s="12"/>
      <c r="U1115" s="16"/>
      <c r="V1115" s="16"/>
      <c r="W1115" s="12"/>
      <c r="Z1115" s="12"/>
      <c r="AA1115" s="16"/>
    </row>
    <row r="1116">
      <c r="A1116" s="8"/>
      <c r="C1116" s="12"/>
      <c r="D1116" s="12"/>
      <c r="E1116" s="12"/>
      <c r="F1116" s="12"/>
      <c r="G1116" s="12"/>
      <c r="H1116" s="12"/>
      <c r="I1116" s="12"/>
      <c r="J1116" s="12"/>
      <c r="S1116" s="12"/>
      <c r="T1116" s="12"/>
      <c r="U1116" s="16"/>
      <c r="V1116" s="16"/>
      <c r="W1116" s="12"/>
      <c r="Z1116" s="12"/>
      <c r="AA1116" s="16"/>
    </row>
    <row r="1117">
      <c r="A1117" s="8"/>
      <c r="C1117" s="12"/>
      <c r="D1117" s="12"/>
      <c r="E1117" s="12"/>
      <c r="F1117" s="12"/>
      <c r="G1117" s="12"/>
      <c r="H1117" s="12"/>
      <c r="I1117" s="12"/>
      <c r="J1117" s="12"/>
      <c r="S1117" s="12"/>
      <c r="T1117" s="12"/>
      <c r="U1117" s="16"/>
      <c r="V1117" s="16"/>
      <c r="W1117" s="12"/>
      <c r="Z1117" s="12"/>
      <c r="AA1117" s="16"/>
    </row>
    <row r="1118">
      <c r="A1118" s="8"/>
      <c r="C1118" s="12"/>
      <c r="D1118" s="12"/>
      <c r="E1118" s="12"/>
      <c r="F1118" s="12"/>
      <c r="G1118" s="12"/>
      <c r="H1118" s="12"/>
      <c r="I1118" s="12"/>
      <c r="J1118" s="12"/>
      <c r="S1118" s="12"/>
      <c r="T1118" s="12"/>
      <c r="U1118" s="16"/>
      <c r="V1118" s="16"/>
      <c r="W1118" s="12"/>
      <c r="Z1118" s="12"/>
      <c r="AA1118" s="16"/>
    </row>
    <row r="1119">
      <c r="A1119" s="8"/>
      <c r="C1119" s="12"/>
      <c r="D1119" s="12"/>
      <c r="E1119" s="12"/>
      <c r="F1119" s="12"/>
      <c r="G1119" s="12"/>
      <c r="H1119" s="12"/>
      <c r="I1119" s="12"/>
      <c r="J1119" s="12"/>
      <c r="S1119" s="12"/>
      <c r="T1119" s="12"/>
      <c r="U1119" s="16"/>
      <c r="V1119" s="16"/>
      <c r="W1119" s="12"/>
      <c r="Z1119" s="12"/>
      <c r="AA1119" s="16"/>
    </row>
    <row r="1120">
      <c r="A1120" s="8"/>
      <c r="C1120" s="12"/>
      <c r="D1120" s="12"/>
      <c r="E1120" s="12"/>
      <c r="F1120" s="12"/>
      <c r="G1120" s="12"/>
      <c r="H1120" s="12"/>
      <c r="I1120" s="12"/>
      <c r="J1120" s="12"/>
      <c r="S1120" s="12"/>
      <c r="T1120" s="12"/>
      <c r="U1120" s="16"/>
      <c r="V1120" s="16"/>
      <c r="W1120" s="12"/>
      <c r="Z1120" s="12"/>
      <c r="AA1120" s="16"/>
    </row>
    <row r="1121">
      <c r="A1121" s="8"/>
      <c r="C1121" s="12"/>
      <c r="D1121" s="12"/>
      <c r="E1121" s="12"/>
      <c r="F1121" s="12"/>
      <c r="G1121" s="12"/>
      <c r="H1121" s="12"/>
      <c r="I1121" s="12"/>
      <c r="J1121" s="12"/>
      <c r="S1121" s="12"/>
      <c r="T1121" s="12"/>
      <c r="U1121" s="16"/>
      <c r="V1121" s="16"/>
      <c r="W1121" s="12"/>
      <c r="Z1121" s="12"/>
      <c r="AA1121" s="16"/>
    </row>
    <row r="1122">
      <c r="A1122" s="8"/>
      <c r="C1122" s="12"/>
      <c r="D1122" s="12"/>
      <c r="E1122" s="12"/>
      <c r="F1122" s="12"/>
      <c r="G1122" s="12"/>
      <c r="H1122" s="12"/>
      <c r="I1122" s="12"/>
      <c r="J1122" s="12"/>
      <c r="S1122" s="12"/>
      <c r="T1122" s="12"/>
      <c r="U1122" s="16"/>
      <c r="V1122" s="16"/>
      <c r="W1122" s="12"/>
      <c r="Z1122" s="12"/>
      <c r="AA1122" s="16"/>
    </row>
    <row r="1123">
      <c r="A1123" s="8"/>
      <c r="C1123" s="12"/>
      <c r="D1123" s="12"/>
      <c r="E1123" s="12"/>
      <c r="F1123" s="12"/>
      <c r="G1123" s="12"/>
      <c r="H1123" s="12"/>
      <c r="I1123" s="12"/>
      <c r="J1123" s="12"/>
      <c r="S1123" s="12"/>
      <c r="T1123" s="12"/>
      <c r="U1123" s="16"/>
      <c r="V1123" s="16"/>
      <c r="W1123" s="12"/>
      <c r="Z1123" s="12"/>
      <c r="AA1123" s="16"/>
    </row>
    <row r="1124">
      <c r="A1124" s="8"/>
      <c r="C1124" s="12"/>
      <c r="D1124" s="12"/>
      <c r="E1124" s="12"/>
      <c r="F1124" s="12"/>
      <c r="G1124" s="12"/>
      <c r="H1124" s="12"/>
      <c r="I1124" s="12"/>
      <c r="J1124" s="12"/>
      <c r="S1124" s="12"/>
      <c r="T1124" s="12"/>
      <c r="U1124" s="16"/>
      <c r="V1124" s="16"/>
      <c r="W1124" s="12"/>
      <c r="Z1124" s="12"/>
      <c r="AA1124" s="16"/>
    </row>
    <row r="1125">
      <c r="A1125" s="8"/>
      <c r="C1125" s="12"/>
      <c r="D1125" s="12"/>
      <c r="E1125" s="12"/>
      <c r="F1125" s="12"/>
      <c r="G1125" s="12"/>
      <c r="H1125" s="12"/>
      <c r="I1125" s="12"/>
      <c r="J1125" s="12"/>
      <c r="S1125" s="12"/>
      <c r="T1125" s="12"/>
      <c r="U1125" s="16"/>
      <c r="V1125" s="16"/>
      <c r="W1125" s="12"/>
      <c r="Z1125" s="12"/>
      <c r="AA1125" s="16"/>
    </row>
    <row r="1126">
      <c r="A1126" s="8"/>
      <c r="C1126" s="12"/>
      <c r="D1126" s="12"/>
      <c r="E1126" s="12"/>
      <c r="F1126" s="12"/>
      <c r="G1126" s="12"/>
      <c r="H1126" s="12"/>
      <c r="I1126" s="12"/>
      <c r="J1126" s="12"/>
      <c r="S1126" s="12"/>
      <c r="T1126" s="12"/>
      <c r="U1126" s="16"/>
      <c r="V1126" s="16"/>
      <c r="W1126" s="12"/>
      <c r="Z1126" s="12"/>
      <c r="AA1126" s="16"/>
    </row>
    <row r="1127">
      <c r="A1127" s="8"/>
      <c r="C1127" s="12"/>
      <c r="D1127" s="12"/>
      <c r="E1127" s="12"/>
      <c r="F1127" s="12"/>
      <c r="G1127" s="12"/>
      <c r="H1127" s="12"/>
      <c r="I1127" s="12"/>
      <c r="J1127" s="12"/>
      <c r="S1127" s="12"/>
      <c r="T1127" s="12"/>
      <c r="U1127" s="16"/>
      <c r="V1127" s="16"/>
      <c r="W1127" s="12"/>
      <c r="Z1127" s="12"/>
      <c r="AA1127" s="16"/>
    </row>
    <row r="1128">
      <c r="A1128" s="8"/>
      <c r="C1128" s="12"/>
      <c r="D1128" s="12"/>
      <c r="E1128" s="12"/>
      <c r="F1128" s="12"/>
      <c r="G1128" s="12"/>
      <c r="H1128" s="12"/>
      <c r="I1128" s="12"/>
      <c r="J1128" s="12"/>
      <c r="S1128" s="12"/>
      <c r="T1128" s="12"/>
      <c r="U1128" s="16"/>
      <c r="V1128" s="16"/>
      <c r="W1128" s="12"/>
      <c r="Z1128" s="12"/>
      <c r="AA1128" s="16"/>
    </row>
    <row r="1129">
      <c r="A1129" s="8"/>
      <c r="C1129" s="12"/>
      <c r="D1129" s="12"/>
      <c r="E1129" s="12"/>
      <c r="F1129" s="12"/>
      <c r="G1129" s="12"/>
      <c r="H1129" s="12"/>
      <c r="I1129" s="12"/>
      <c r="J1129" s="12"/>
      <c r="S1129" s="12"/>
      <c r="T1129" s="12"/>
      <c r="U1129" s="16"/>
      <c r="V1129" s="16"/>
      <c r="W1129" s="12"/>
      <c r="Z1129" s="12"/>
      <c r="AA1129" s="16"/>
    </row>
    <row r="1130">
      <c r="A1130" s="8"/>
      <c r="C1130" s="12"/>
      <c r="D1130" s="12"/>
      <c r="E1130" s="12"/>
      <c r="F1130" s="12"/>
      <c r="G1130" s="12"/>
      <c r="H1130" s="12"/>
      <c r="I1130" s="12"/>
      <c r="J1130" s="12"/>
      <c r="S1130" s="12"/>
      <c r="T1130" s="12"/>
      <c r="U1130" s="16"/>
      <c r="V1130" s="16"/>
      <c r="W1130" s="12"/>
      <c r="Z1130" s="12"/>
      <c r="AA1130" s="16"/>
    </row>
    <row r="1131">
      <c r="A1131" s="8"/>
      <c r="C1131" s="12"/>
      <c r="D1131" s="12"/>
      <c r="E1131" s="12"/>
      <c r="F1131" s="12"/>
      <c r="G1131" s="12"/>
      <c r="H1131" s="12"/>
      <c r="I1131" s="12"/>
      <c r="J1131" s="12"/>
      <c r="S1131" s="12"/>
      <c r="T1131" s="12"/>
      <c r="U1131" s="16"/>
      <c r="V1131" s="16"/>
      <c r="W1131" s="12"/>
      <c r="Z1131" s="12"/>
      <c r="AA1131" s="16"/>
    </row>
    <row r="1132">
      <c r="A1132" s="8"/>
      <c r="C1132" s="12"/>
      <c r="D1132" s="12"/>
      <c r="E1132" s="12"/>
      <c r="F1132" s="12"/>
      <c r="G1132" s="12"/>
      <c r="H1132" s="12"/>
      <c r="I1132" s="12"/>
      <c r="J1132" s="12"/>
      <c r="S1132" s="12"/>
      <c r="T1132" s="12"/>
      <c r="U1132" s="16"/>
      <c r="V1132" s="16"/>
      <c r="W1132" s="12"/>
      <c r="Z1132" s="12"/>
      <c r="AA1132" s="16"/>
    </row>
    <row r="1133">
      <c r="A1133" s="8"/>
      <c r="C1133" s="12"/>
      <c r="D1133" s="12"/>
      <c r="E1133" s="12"/>
      <c r="F1133" s="12"/>
      <c r="G1133" s="12"/>
      <c r="H1133" s="12"/>
      <c r="I1133" s="12"/>
      <c r="J1133" s="12"/>
      <c r="S1133" s="12"/>
      <c r="T1133" s="12"/>
      <c r="U1133" s="16"/>
      <c r="V1133" s="16"/>
      <c r="W1133" s="12"/>
      <c r="Z1133" s="12"/>
      <c r="AA1133" s="16"/>
    </row>
    <row r="1134">
      <c r="A1134" s="8"/>
      <c r="C1134" s="12"/>
      <c r="D1134" s="12"/>
      <c r="E1134" s="12"/>
      <c r="F1134" s="12"/>
      <c r="G1134" s="12"/>
      <c r="H1134" s="12"/>
      <c r="I1134" s="12"/>
      <c r="J1134" s="12"/>
      <c r="S1134" s="12"/>
      <c r="T1134" s="12"/>
      <c r="U1134" s="16"/>
      <c r="V1134" s="16"/>
      <c r="W1134" s="12"/>
      <c r="Z1134" s="12"/>
      <c r="AA1134" s="16"/>
    </row>
    <row r="1135">
      <c r="A1135" s="8"/>
      <c r="C1135" s="12"/>
      <c r="D1135" s="12"/>
      <c r="E1135" s="12"/>
      <c r="F1135" s="12"/>
      <c r="G1135" s="12"/>
      <c r="H1135" s="12"/>
      <c r="I1135" s="12"/>
      <c r="J1135" s="12"/>
      <c r="S1135" s="12"/>
      <c r="T1135" s="12"/>
      <c r="U1135" s="16"/>
      <c r="V1135" s="16"/>
      <c r="W1135" s="12"/>
      <c r="Z1135" s="12"/>
      <c r="AA1135" s="16"/>
    </row>
    <row r="1136">
      <c r="A1136" s="8"/>
      <c r="C1136" s="12"/>
      <c r="D1136" s="12"/>
      <c r="E1136" s="12"/>
      <c r="F1136" s="12"/>
      <c r="G1136" s="12"/>
      <c r="H1136" s="12"/>
      <c r="I1136" s="12"/>
      <c r="J1136" s="12"/>
      <c r="S1136" s="12"/>
      <c r="T1136" s="12"/>
      <c r="U1136" s="16"/>
      <c r="V1136" s="16"/>
      <c r="W1136" s="12"/>
      <c r="Z1136" s="12"/>
      <c r="AA1136" s="16"/>
    </row>
    <row r="1137">
      <c r="A1137" s="8"/>
      <c r="C1137" s="12"/>
      <c r="D1137" s="12"/>
      <c r="E1137" s="12"/>
      <c r="F1137" s="12"/>
      <c r="G1137" s="12"/>
      <c r="H1137" s="12"/>
      <c r="I1137" s="12"/>
      <c r="J1137" s="12"/>
      <c r="S1137" s="12"/>
      <c r="T1137" s="12"/>
      <c r="U1137" s="16"/>
      <c r="V1137" s="16"/>
      <c r="W1137" s="12"/>
      <c r="Z1137" s="12"/>
      <c r="AA1137" s="16"/>
    </row>
    <row r="1138">
      <c r="A1138" s="8"/>
      <c r="C1138" s="12"/>
      <c r="D1138" s="12"/>
      <c r="E1138" s="12"/>
      <c r="F1138" s="12"/>
      <c r="G1138" s="12"/>
      <c r="H1138" s="12"/>
      <c r="I1138" s="12"/>
      <c r="J1138" s="12"/>
      <c r="S1138" s="12"/>
      <c r="T1138" s="12"/>
      <c r="U1138" s="16"/>
      <c r="V1138" s="16"/>
      <c r="W1138" s="12"/>
      <c r="Z1138" s="12"/>
      <c r="AA1138" s="16"/>
    </row>
    <row r="1139">
      <c r="A1139" s="8"/>
      <c r="C1139" s="12"/>
      <c r="D1139" s="12"/>
      <c r="E1139" s="12"/>
      <c r="F1139" s="12"/>
      <c r="G1139" s="12"/>
      <c r="H1139" s="12"/>
      <c r="I1139" s="12"/>
      <c r="J1139" s="12"/>
      <c r="S1139" s="12"/>
      <c r="T1139" s="12"/>
      <c r="U1139" s="16"/>
      <c r="V1139" s="16"/>
      <c r="W1139" s="12"/>
      <c r="Z1139" s="12"/>
      <c r="AA1139" s="16"/>
    </row>
    <row r="1140">
      <c r="A1140" s="8"/>
      <c r="C1140" s="12"/>
      <c r="D1140" s="12"/>
      <c r="E1140" s="12"/>
      <c r="F1140" s="12"/>
      <c r="G1140" s="12"/>
      <c r="H1140" s="12"/>
      <c r="I1140" s="12"/>
      <c r="J1140" s="12"/>
      <c r="S1140" s="12"/>
      <c r="T1140" s="12"/>
      <c r="U1140" s="16"/>
      <c r="V1140" s="16"/>
      <c r="W1140" s="12"/>
      <c r="Z1140" s="12"/>
      <c r="AA1140" s="16"/>
    </row>
    <row r="1141">
      <c r="A1141" s="8"/>
      <c r="C1141" s="12"/>
      <c r="D1141" s="12"/>
      <c r="E1141" s="12"/>
      <c r="F1141" s="12"/>
      <c r="G1141" s="12"/>
      <c r="H1141" s="12"/>
      <c r="I1141" s="12"/>
      <c r="J1141" s="12"/>
      <c r="S1141" s="12"/>
      <c r="T1141" s="12"/>
      <c r="U1141" s="16"/>
      <c r="V1141" s="16"/>
      <c r="W1141" s="12"/>
      <c r="Z1141" s="12"/>
      <c r="AA1141" s="16"/>
    </row>
    <row r="1142">
      <c r="A1142" s="8"/>
      <c r="C1142" s="12"/>
      <c r="D1142" s="12"/>
      <c r="E1142" s="12"/>
      <c r="F1142" s="12"/>
      <c r="G1142" s="12"/>
      <c r="H1142" s="12"/>
      <c r="I1142" s="12"/>
      <c r="J1142" s="12"/>
      <c r="S1142" s="12"/>
      <c r="T1142" s="12"/>
      <c r="U1142" s="16"/>
      <c r="V1142" s="16"/>
      <c r="W1142" s="12"/>
      <c r="Z1142" s="12"/>
      <c r="AA1142" s="16"/>
    </row>
    <row r="1143">
      <c r="A1143" s="8"/>
      <c r="C1143" s="12"/>
      <c r="D1143" s="12"/>
      <c r="E1143" s="12"/>
      <c r="F1143" s="12"/>
      <c r="G1143" s="12"/>
      <c r="H1143" s="12"/>
      <c r="I1143" s="12"/>
      <c r="J1143" s="12"/>
      <c r="S1143" s="12"/>
      <c r="T1143" s="12"/>
      <c r="U1143" s="16"/>
      <c r="V1143" s="16"/>
      <c r="W1143" s="12"/>
      <c r="Z1143" s="12"/>
      <c r="AA1143" s="16"/>
    </row>
    <row r="1144">
      <c r="A1144" s="8"/>
      <c r="C1144" s="12"/>
      <c r="D1144" s="12"/>
      <c r="E1144" s="12"/>
      <c r="F1144" s="12"/>
      <c r="G1144" s="12"/>
      <c r="H1144" s="12"/>
      <c r="I1144" s="12"/>
      <c r="J1144" s="12"/>
      <c r="S1144" s="12"/>
      <c r="T1144" s="12"/>
      <c r="U1144" s="16"/>
      <c r="V1144" s="16"/>
      <c r="W1144" s="12"/>
      <c r="Z1144" s="12"/>
      <c r="AA1144" s="16"/>
    </row>
    <row r="1145">
      <c r="A1145" s="8"/>
      <c r="C1145" s="12"/>
      <c r="D1145" s="12"/>
      <c r="E1145" s="12"/>
      <c r="F1145" s="12"/>
      <c r="G1145" s="12"/>
      <c r="H1145" s="12"/>
      <c r="I1145" s="12"/>
      <c r="J1145" s="12"/>
      <c r="S1145" s="12"/>
      <c r="T1145" s="12"/>
      <c r="U1145" s="16"/>
      <c r="V1145" s="16"/>
      <c r="W1145" s="12"/>
      <c r="Z1145" s="12"/>
      <c r="AA1145" s="16"/>
    </row>
    <row r="1146">
      <c r="A1146" s="8"/>
      <c r="C1146" s="12"/>
      <c r="D1146" s="12"/>
      <c r="E1146" s="12"/>
      <c r="F1146" s="12"/>
      <c r="G1146" s="12"/>
      <c r="H1146" s="12"/>
      <c r="I1146" s="12"/>
      <c r="J1146" s="12"/>
      <c r="S1146" s="12"/>
      <c r="T1146" s="12"/>
      <c r="U1146" s="16"/>
      <c r="V1146" s="16"/>
      <c r="W1146" s="12"/>
      <c r="Z1146" s="12"/>
      <c r="AA1146" s="16"/>
    </row>
    <row r="1147">
      <c r="A1147" s="8"/>
      <c r="C1147" s="12"/>
      <c r="D1147" s="12"/>
      <c r="E1147" s="12"/>
      <c r="F1147" s="12"/>
      <c r="G1147" s="12"/>
      <c r="H1147" s="12"/>
      <c r="I1147" s="12"/>
      <c r="J1147" s="12"/>
      <c r="S1147" s="12"/>
      <c r="T1147" s="12"/>
      <c r="U1147" s="16"/>
      <c r="V1147" s="16"/>
      <c r="W1147" s="12"/>
      <c r="Z1147" s="12"/>
      <c r="AA1147" s="16"/>
    </row>
    <row r="1148">
      <c r="A1148" s="8"/>
      <c r="C1148" s="12"/>
      <c r="D1148" s="12"/>
      <c r="E1148" s="12"/>
      <c r="F1148" s="12"/>
      <c r="G1148" s="12"/>
      <c r="H1148" s="12"/>
      <c r="I1148" s="12"/>
      <c r="J1148" s="12"/>
      <c r="S1148" s="12"/>
      <c r="T1148" s="12"/>
      <c r="U1148" s="16"/>
      <c r="V1148" s="16"/>
      <c r="W1148" s="12"/>
      <c r="Z1148" s="12"/>
      <c r="AA1148" s="16"/>
    </row>
    <row r="1149">
      <c r="A1149" s="8"/>
      <c r="C1149" s="12"/>
      <c r="D1149" s="12"/>
      <c r="E1149" s="12"/>
      <c r="F1149" s="12"/>
      <c r="G1149" s="12"/>
      <c r="H1149" s="12"/>
      <c r="I1149" s="12"/>
      <c r="J1149" s="12"/>
      <c r="S1149" s="12"/>
      <c r="T1149" s="12"/>
      <c r="U1149" s="16"/>
      <c r="V1149" s="16"/>
      <c r="W1149" s="12"/>
      <c r="Z1149" s="12"/>
      <c r="AA1149" s="16"/>
    </row>
    <row r="1150">
      <c r="A1150" s="8"/>
      <c r="C1150" s="12"/>
      <c r="D1150" s="12"/>
      <c r="E1150" s="12"/>
      <c r="F1150" s="12"/>
      <c r="G1150" s="12"/>
      <c r="H1150" s="12"/>
      <c r="I1150" s="12"/>
      <c r="J1150" s="12"/>
      <c r="S1150" s="12"/>
      <c r="T1150" s="12"/>
      <c r="U1150" s="16"/>
      <c r="V1150" s="16"/>
      <c r="W1150" s="12"/>
      <c r="Z1150" s="12"/>
      <c r="AA1150" s="16"/>
    </row>
    <row r="1151">
      <c r="A1151" s="8"/>
      <c r="C1151" s="12"/>
      <c r="D1151" s="12"/>
      <c r="E1151" s="12"/>
      <c r="F1151" s="12"/>
      <c r="G1151" s="12"/>
      <c r="H1151" s="12"/>
      <c r="I1151" s="12"/>
      <c r="J1151" s="12"/>
      <c r="S1151" s="12"/>
      <c r="T1151" s="12"/>
      <c r="U1151" s="16"/>
      <c r="V1151" s="16"/>
      <c r="W1151" s="12"/>
      <c r="Z1151" s="12"/>
      <c r="AA1151" s="16"/>
    </row>
    <row r="1152">
      <c r="A1152" s="8"/>
      <c r="C1152" s="12"/>
      <c r="D1152" s="12"/>
      <c r="E1152" s="12"/>
      <c r="F1152" s="12"/>
      <c r="G1152" s="12"/>
      <c r="H1152" s="12"/>
      <c r="I1152" s="12"/>
      <c r="J1152" s="12"/>
      <c r="S1152" s="12"/>
      <c r="T1152" s="12"/>
      <c r="U1152" s="16"/>
      <c r="V1152" s="16"/>
      <c r="W1152" s="12"/>
      <c r="Z1152" s="12"/>
      <c r="AA1152" s="16"/>
    </row>
    <row r="1153">
      <c r="A1153" s="8"/>
      <c r="C1153" s="12"/>
      <c r="D1153" s="12"/>
      <c r="E1153" s="12"/>
      <c r="F1153" s="12"/>
      <c r="G1153" s="12"/>
      <c r="H1153" s="12"/>
      <c r="I1153" s="12"/>
      <c r="J1153" s="12"/>
      <c r="S1153" s="12"/>
      <c r="T1153" s="12"/>
      <c r="U1153" s="16"/>
      <c r="V1153" s="16"/>
      <c r="W1153" s="12"/>
      <c r="Z1153" s="12"/>
      <c r="AA1153" s="16"/>
    </row>
    <row r="1154">
      <c r="A1154" s="8"/>
      <c r="C1154" s="12"/>
      <c r="D1154" s="12"/>
      <c r="E1154" s="12"/>
      <c r="F1154" s="12"/>
      <c r="G1154" s="12"/>
      <c r="H1154" s="12"/>
      <c r="I1154" s="12"/>
      <c r="J1154" s="12"/>
      <c r="S1154" s="12"/>
      <c r="T1154" s="12"/>
      <c r="U1154" s="16"/>
      <c r="V1154" s="16"/>
      <c r="W1154" s="12"/>
      <c r="Z1154" s="12"/>
      <c r="AA1154" s="16"/>
    </row>
    <row r="1155">
      <c r="A1155" s="8"/>
      <c r="C1155" s="12"/>
      <c r="D1155" s="12"/>
      <c r="E1155" s="12"/>
      <c r="F1155" s="12"/>
      <c r="G1155" s="12"/>
      <c r="H1155" s="12"/>
      <c r="I1155" s="12"/>
      <c r="J1155" s="12"/>
      <c r="S1155" s="12"/>
      <c r="T1155" s="12"/>
      <c r="U1155" s="16"/>
      <c r="V1155" s="16"/>
      <c r="W1155" s="12"/>
      <c r="Z1155" s="12"/>
      <c r="AA1155" s="16"/>
    </row>
    <row r="1156">
      <c r="A1156" s="8"/>
      <c r="C1156" s="12"/>
      <c r="D1156" s="12"/>
      <c r="E1156" s="12"/>
      <c r="F1156" s="12"/>
      <c r="G1156" s="12"/>
      <c r="H1156" s="12"/>
      <c r="I1156" s="12"/>
      <c r="J1156" s="12"/>
      <c r="S1156" s="12"/>
      <c r="T1156" s="12"/>
      <c r="U1156" s="16"/>
      <c r="V1156" s="16"/>
      <c r="W1156" s="12"/>
      <c r="Z1156" s="12"/>
      <c r="AA1156" s="16"/>
    </row>
    <row r="1157">
      <c r="A1157" s="8"/>
      <c r="C1157" s="12"/>
      <c r="D1157" s="12"/>
      <c r="E1157" s="12"/>
      <c r="F1157" s="12"/>
      <c r="G1157" s="12"/>
      <c r="H1157" s="12"/>
      <c r="I1157" s="12"/>
      <c r="J1157" s="12"/>
      <c r="S1157" s="12"/>
      <c r="T1157" s="12"/>
      <c r="U1157" s="16"/>
      <c r="V1157" s="16"/>
      <c r="W1157" s="12"/>
      <c r="Z1157" s="12"/>
      <c r="AA1157" s="16"/>
    </row>
    <row r="1158">
      <c r="A1158" s="8"/>
      <c r="C1158" s="12"/>
      <c r="D1158" s="12"/>
      <c r="E1158" s="12"/>
      <c r="F1158" s="12"/>
      <c r="G1158" s="12"/>
      <c r="H1158" s="12"/>
      <c r="I1158" s="12"/>
      <c r="J1158" s="12"/>
      <c r="S1158" s="12"/>
      <c r="T1158" s="12"/>
      <c r="U1158" s="16"/>
      <c r="V1158" s="16"/>
      <c r="W1158" s="12"/>
      <c r="Z1158" s="12"/>
      <c r="AA1158" s="16"/>
    </row>
    <row r="1159">
      <c r="A1159" s="8"/>
      <c r="C1159" s="12"/>
      <c r="D1159" s="12"/>
      <c r="E1159" s="12"/>
      <c r="F1159" s="12"/>
      <c r="G1159" s="12"/>
      <c r="H1159" s="12"/>
      <c r="I1159" s="12"/>
      <c r="J1159" s="12"/>
      <c r="S1159" s="12"/>
      <c r="T1159" s="12"/>
      <c r="U1159" s="16"/>
      <c r="V1159" s="16"/>
      <c r="W1159" s="12"/>
      <c r="Z1159" s="12"/>
      <c r="AA1159" s="16"/>
    </row>
    <row r="1160">
      <c r="A1160" s="8"/>
      <c r="C1160" s="12"/>
      <c r="D1160" s="12"/>
      <c r="E1160" s="12"/>
      <c r="F1160" s="12"/>
      <c r="G1160" s="12"/>
      <c r="H1160" s="12"/>
      <c r="I1160" s="12"/>
      <c r="J1160" s="12"/>
      <c r="S1160" s="12"/>
      <c r="T1160" s="12"/>
      <c r="U1160" s="16"/>
      <c r="V1160" s="16"/>
      <c r="W1160" s="12"/>
      <c r="Z1160" s="12"/>
      <c r="AA1160" s="16"/>
    </row>
    <row r="1161">
      <c r="A1161" s="8"/>
      <c r="C1161" s="12"/>
      <c r="D1161" s="12"/>
      <c r="E1161" s="12"/>
      <c r="F1161" s="12"/>
      <c r="G1161" s="12"/>
      <c r="H1161" s="12"/>
      <c r="I1161" s="12"/>
      <c r="J1161" s="12"/>
      <c r="S1161" s="12"/>
      <c r="T1161" s="12"/>
      <c r="U1161" s="16"/>
      <c r="V1161" s="16"/>
      <c r="W1161" s="12"/>
      <c r="Z1161" s="12"/>
      <c r="AA1161" s="16"/>
    </row>
    <row r="1162">
      <c r="A1162" s="8"/>
      <c r="C1162" s="12"/>
      <c r="D1162" s="12"/>
      <c r="E1162" s="12"/>
      <c r="F1162" s="12"/>
      <c r="G1162" s="12"/>
      <c r="H1162" s="12"/>
      <c r="I1162" s="12"/>
      <c r="J1162" s="12"/>
      <c r="S1162" s="12"/>
      <c r="T1162" s="12"/>
      <c r="U1162" s="16"/>
      <c r="V1162" s="16"/>
      <c r="W1162" s="12"/>
      <c r="Z1162" s="12"/>
      <c r="AA1162" s="16"/>
    </row>
    <row r="1163">
      <c r="A1163" s="8"/>
      <c r="C1163" s="12"/>
      <c r="D1163" s="12"/>
      <c r="E1163" s="12"/>
      <c r="F1163" s="12"/>
      <c r="G1163" s="12"/>
      <c r="H1163" s="12"/>
      <c r="I1163" s="12"/>
      <c r="J1163" s="12"/>
      <c r="S1163" s="12"/>
      <c r="T1163" s="12"/>
      <c r="U1163" s="16"/>
      <c r="V1163" s="16"/>
      <c r="W1163" s="12"/>
      <c r="Z1163" s="12"/>
      <c r="AA1163" s="16"/>
    </row>
    <row r="1164">
      <c r="A1164" s="8"/>
      <c r="C1164" s="12"/>
      <c r="D1164" s="12"/>
      <c r="E1164" s="12"/>
      <c r="F1164" s="12"/>
      <c r="G1164" s="12"/>
      <c r="H1164" s="12"/>
      <c r="I1164" s="12"/>
      <c r="J1164" s="12"/>
      <c r="S1164" s="12"/>
      <c r="T1164" s="12"/>
      <c r="U1164" s="16"/>
      <c r="V1164" s="16"/>
      <c r="W1164" s="12"/>
      <c r="Z1164" s="12"/>
      <c r="AA1164" s="16"/>
    </row>
    <row r="1165">
      <c r="A1165" s="8"/>
      <c r="C1165" s="12"/>
      <c r="D1165" s="12"/>
      <c r="E1165" s="12"/>
      <c r="F1165" s="12"/>
      <c r="G1165" s="12"/>
      <c r="H1165" s="12"/>
      <c r="I1165" s="12"/>
      <c r="J1165" s="12"/>
      <c r="S1165" s="12"/>
      <c r="T1165" s="12"/>
      <c r="U1165" s="16"/>
      <c r="V1165" s="16"/>
      <c r="W1165" s="12"/>
      <c r="Z1165" s="12"/>
      <c r="AA1165" s="16"/>
    </row>
    <row r="1166">
      <c r="A1166" s="8"/>
      <c r="C1166" s="12"/>
      <c r="D1166" s="12"/>
      <c r="E1166" s="12"/>
      <c r="F1166" s="12"/>
      <c r="G1166" s="12"/>
      <c r="H1166" s="12"/>
      <c r="I1166" s="12"/>
      <c r="J1166" s="12"/>
      <c r="S1166" s="12"/>
      <c r="T1166" s="12"/>
      <c r="U1166" s="16"/>
      <c r="V1166" s="16"/>
      <c r="W1166" s="12"/>
      <c r="Z1166" s="12"/>
      <c r="AA1166" s="16"/>
    </row>
    <row r="1167">
      <c r="A1167" s="8"/>
      <c r="C1167" s="12"/>
      <c r="D1167" s="12"/>
      <c r="E1167" s="12"/>
      <c r="F1167" s="12"/>
      <c r="G1167" s="12"/>
      <c r="H1167" s="12"/>
      <c r="I1167" s="12"/>
      <c r="J1167" s="12"/>
      <c r="S1167" s="12"/>
      <c r="T1167" s="12"/>
      <c r="U1167" s="16"/>
      <c r="V1167" s="16"/>
      <c r="W1167" s="12"/>
      <c r="Z1167" s="12"/>
      <c r="AA1167" s="16"/>
    </row>
    <row r="1168">
      <c r="A1168" s="8"/>
      <c r="C1168" s="12"/>
      <c r="D1168" s="12"/>
      <c r="E1168" s="12"/>
      <c r="F1168" s="12"/>
      <c r="G1168" s="12"/>
      <c r="H1168" s="12"/>
      <c r="I1168" s="12"/>
      <c r="J1168" s="12"/>
      <c r="S1168" s="12"/>
      <c r="T1168" s="12"/>
      <c r="U1168" s="16"/>
      <c r="V1168" s="16"/>
      <c r="W1168" s="12"/>
      <c r="Z1168" s="12"/>
      <c r="AA1168" s="16"/>
    </row>
    <row r="1169">
      <c r="A1169" s="8"/>
      <c r="C1169" s="12"/>
      <c r="D1169" s="12"/>
      <c r="E1169" s="12"/>
      <c r="F1169" s="12"/>
      <c r="G1169" s="12"/>
      <c r="H1169" s="12"/>
      <c r="I1169" s="12"/>
      <c r="J1169" s="12"/>
      <c r="S1169" s="12"/>
      <c r="T1169" s="12"/>
      <c r="U1169" s="16"/>
      <c r="V1169" s="16"/>
      <c r="W1169" s="12"/>
      <c r="Z1169" s="12"/>
      <c r="AA1169" s="16"/>
    </row>
    <row r="1170">
      <c r="A1170" s="8"/>
      <c r="C1170" s="12"/>
      <c r="D1170" s="12"/>
      <c r="E1170" s="12"/>
      <c r="F1170" s="12"/>
      <c r="G1170" s="12"/>
      <c r="H1170" s="12"/>
      <c r="I1170" s="12"/>
      <c r="J1170" s="12"/>
      <c r="S1170" s="12"/>
      <c r="T1170" s="12"/>
      <c r="U1170" s="16"/>
      <c r="V1170" s="16"/>
      <c r="W1170" s="12"/>
      <c r="Z1170" s="12"/>
      <c r="AA1170" s="16"/>
    </row>
    <row r="1171">
      <c r="A1171" s="8"/>
      <c r="C1171" s="12"/>
      <c r="D1171" s="12"/>
      <c r="E1171" s="12"/>
      <c r="F1171" s="12"/>
      <c r="G1171" s="12"/>
      <c r="H1171" s="12"/>
      <c r="I1171" s="12"/>
      <c r="J1171" s="12"/>
      <c r="S1171" s="12"/>
      <c r="T1171" s="12"/>
      <c r="U1171" s="16"/>
      <c r="V1171" s="16"/>
      <c r="W1171" s="12"/>
      <c r="Z1171" s="12"/>
      <c r="AA1171" s="16"/>
    </row>
    <row r="1172">
      <c r="A1172" s="8"/>
      <c r="C1172" s="12"/>
      <c r="D1172" s="12"/>
      <c r="E1172" s="12"/>
      <c r="F1172" s="12"/>
      <c r="G1172" s="12"/>
      <c r="H1172" s="12"/>
      <c r="I1172" s="12"/>
      <c r="J1172" s="12"/>
      <c r="S1172" s="12"/>
      <c r="T1172" s="12"/>
      <c r="U1172" s="16"/>
      <c r="V1172" s="16"/>
      <c r="W1172" s="12"/>
      <c r="Z1172" s="12"/>
      <c r="AA1172" s="16"/>
    </row>
    <row r="1173">
      <c r="A1173" s="8"/>
      <c r="C1173" s="12"/>
      <c r="D1173" s="12"/>
      <c r="E1173" s="12"/>
      <c r="F1173" s="12"/>
      <c r="G1173" s="12"/>
      <c r="H1173" s="12"/>
      <c r="I1173" s="12"/>
      <c r="J1173" s="12"/>
      <c r="S1173" s="12"/>
      <c r="T1173" s="12"/>
      <c r="U1173" s="16"/>
      <c r="V1173" s="16"/>
      <c r="W1173" s="12"/>
      <c r="Z1173" s="12"/>
      <c r="AA1173" s="16"/>
    </row>
    <row r="1174">
      <c r="A1174" s="8"/>
      <c r="C1174" s="12"/>
      <c r="D1174" s="12"/>
      <c r="E1174" s="12"/>
      <c r="F1174" s="12"/>
      <c r="G1174" s="12"/>
      <c r="H1174" s="12"/>
      <c r="I1174" s="12"/>
      <c r="J1174" s="12"/>
      <c r="S1174" s="12"/>
      <c r="T1174" s="12"/>
      <c r="U1174" s="16"/>
      <c r="V1174" s="16"/>
      <c r="W1174" s="12"/>
      <c r="Z1174" s="12"/>
      <c r="AA1174" s="16"/>
    </row>
    <row r="1175">
      <c r="A1175" s="8"/>
      <c r="C1175" s="12"/>
      <c r="D1175" s="12"/>
      <c r="E1175" s="12"/>
      <c r="F1175" s="12"/>
      <c r="G1175" s="12"/>
      <c r="H1175" s="12"/>
      <c r="I1175" s="12"/>
      <c r="J1175" s="12"/>
      <c r="S1175" s="12"/>
      <c r="T1175" s="12"/>
      <c r="U1175" s="16"/>
      <c r="V1175" s="16"/>
      <c r="W1175" s="12"/>
      <c r="Z1175" s="12"/>
      <c r="AA1175" s="16"/>
    </row>
    <row r="1176">
      <c r="A1176" s="8"/>
      <c r="C1176" s="12"/>
      <c r="D1176" s="12"/>
      <c r="E1176" s="12"/>
      <c r="F1176" s="12"/>
      <c r="G1176" s="12"/>
      <c r="H1176" s="12"/>
      <c r="I1176" s="12"/>
      <c r="J1176" s="12"/>
      <c r="S1176" s="12"/>
      <c r="T1176" s="12"/>
      <c r="U1176" s="16"/>
      <c r="V1176" s="16"/>
      <c r="W1176" s="12"/>
      <c r="Z1176" s="12"/>
      <c r="AA1176" s="16"/>
    </row>
    <row r="1177">
      <c r="A1177" s="8"/>
      <c r="C1177" s="12"/>
      <c r="D1177" s="12"/>
      <c r="E1177" s="12"/>
      <c r="F1177" s="12"/>
      <c r="G1177" s="12"/>
      <c r="H1177" s="12"/>
      <c r="I1177" s="12"/>
      <c r="J1177" s="12"/>
      <c r="S1177" s="12"/>
      <c r="T1177" s="12"/>
      <c r="U1177" s="16"/>
      <c r="V1177" s="16"/>
      <c r="W1177" s="12"/>
      <c r="Z1177" s="12"/>
      <c r="AA1177" s="16"/>
    </row>
    <row r="1178">
      <c r="A1178" s="8"/>
      <c r="C1178" s="12"/>
      <c r="D1178" s="12"/>
      <c r="E1178" s="12"/>
      <c r="F1178" s="12"/>
      <c r="G1178" s="12"/>
      <c r="H1178" s="12"/>
      <c r="I1178" s="12"/>
      <c r="J1178" s="12"/>
      <c r="S1178" s="12"/>
      <c r="T1178" s="12"/>
      <c r="U1178" s="16"/>
      <c r="V1178" s="16"/>
      <c r="W1178" s="12"/>
      <c r="Z1178" s="12"/>
      <c r="AA1178" s="16"/>
    </row>
    <row r="1179">
      <c r="A1179" s="8"/>
      <c r="C1179" s="12"/>
      <c r="D1179" s="12"/>
      <c r="E1179" s="12"/>
      <c r="F1179" s="12"/>
      <c r="G1179" s="12"/>
      <c r="H1179" s="12"/>
      <c r="I1179" s="12"/>
      <c r="J1179" s="12"/>
      <c r="S1179" s="12"/>
      <c r="T1179" s="12"/>
      <c r="U1179" s="16"/>
      <c r="V1179" s="16"/>
      <c r="W1179" s="12"/>
      <c r="Z1179" s="12"/>
      <c r="AA1179" s="16"/>
    </row>
    <row r="1180">
      <c r="A1180" s="8"/>
      <c r="C1180" s="12"/>
      <c r="D1180" s="12"/>
      <c r="E1180" s="12"/>
      <c r="F1180" s="12"/>
      <c r="G1180" s="12"/>
      <c r="H1180" s="12"/>
      <c r="I1180" s="12"/>
      <c r="J1180" s="12"/>
      <c r="S1180" s="12"/>
      <c r="T1180" s="12"/>
      <c r="U1180" s="16"/>
      <c r="V1180" s="16"/>
      <c r="W1180" s="12"/>
      <c r="Z1180" s="12"/>
      <c r="AA1180" s="16"/>
    </row>
    <row r="1181">
      <c r="A1181" s="8"/>
      <c r="C1181" s="12"/>
      <c r="D1181" s="12"/>
      <c r="E1181" s="12"/>
      <c r="F1181" s="12"/>
      <c r="G1181" s="12"/>
      <c r="H1181" s="12"/>
      <c r="I1181" s="12"/>
      <c r="J1181" s="12"/>
      <c r="S1181" s="12"/>
      <c r="T1181" s="12"/>
      <c r="U1181" s="16"/>
      <c r="V1181" s="16"/>
      <c r="W1181" s="12"/>
      <c r="Z1181" s="12"/>
      <c r="AA1181" s="16"/>
    </row>
    <row r="1182">
      <c r="A1182" s="8"/>
      <c r="C1182" s="12"/>
      <c r="D1182" s="12"/>
      <c r="E1182" s="12"/>
      <c r="F1182" s="12"/>
      <c r="G1182" s="12"/>
      <c r="H1182" s="12"/>
      <c r="I1182" s="12"/>
      <c r="J1182" s="12"/>
      <c r="S1182" s="12"/>
      <c r="T1182" s="12"/>
      <c r="U1182" s="16"/>
      <c r="V1182" s="16"/>
      <c r="W1182" s="12"/>
      <c r="Z1182" s="12"/>
      <c r="AA1182" s="16"/>
    </row>
    <row r="1183">
      <c r="A1183" s="8"/>
      <c r="C1183" s="12"/>
      <c r="D1183" s="12"/>
      <c r="E1183" s="12"/>
      <c r="F1183" s="12"/>
      <c r="G1183" s="12"/>
      <c r="H1183" s="12"/>
      <c r="I1183" s="12"/>
      <c r="J1183" s="12"/>
      <c r="S1183" s="12"/>
      <c r="T1183" s="12"/>
      <c r="U1183" s="16"/>
      <c r="V1183" s="16"/>
      <c r="W1183" s="12"/>
      <c r="Z1183" s="12"/>
      <c r="AA1183" s="16"/>
    </row>
    <row r="1184">
      <c r="A1184" s="8"/>
      <c r="C1184" s="12"/>
      <c r="D1184" s="12"/>
      <c r="E1184" s="12"/>
      <c r="F1184" s="12"/>
      <c r="G1184" s="12"/>
      <c r="H1184" s="12"/>
      <c r="I1184" s="12"/>
      <c r="J1184" s="12"/>
      <c r="S1184" s="12"/>
      <c r="T1184" s="12"/>
      <c r="U1184" s="16"/>
      <c r="V1184" s="16"/>
      <c r="W1184" s="12"/>
      <c r="Z1184" s="12"/>
      <c r="AA1184" s="16"/>
    </row>
    <row r="1185">
      <c r="A1185" s="8"/>
      <c r="C1185" s="12"/>
      <c r="D1185" s="12"/>
      <c r="E1185" s="12"/>
      <c r="F1185" s="12"/>
      <c r="G1185" s="12"/>
      <c r="H1185" s="12"/>
      <c r="I1185" s="12"/>
      <c r="J1185" s="12"/>
      <c r="S1185" s="12"/>
      <c r="T1185" s="12"/>
      <c r="U1185" s="16"/>
      <c r="V1185" s="16"/>
      <c r="W1185" s="12"/>
      <c r="Z1185" s="12"/>
      <c r="AA1185" s="16"/>
    </row>
    <row r="1186">
      <c r="A1186" s="8"/>
      <c r="C1186" s="12"/>
      <c r="D1186" s="12"/>
      <c r="E1186" s="12"/>
      <c r="F1186" s="12"/>
      <c r="G1186" s="12"/>
      <c r="H1186" s="12"/>
      <c r="I1186" s="12"/>
      <c r="J1186" s="12"/>
      <c r="S1186" s="12"/>
      <c r="T1186" s="12"/>
      <c r="U1186" s="16"/>
      <c r="V1186" s="16"/>
      <c r="W1186" s="12"/>
      <c r="Z1186" s="12"/>
      <c r="AA1186" s="16"/>
    </row>
    <row r="1187">
      <c r="A1187" s="8"/>
      <c r="C1187" s="12"/>
      <c r="D1187" s="12"/>
      <c r="E1187" s="12"/>
      <c r="F1187" s="12"/>
      <c r="G1187" s="12"/>
      <c r="H1187" s="12"/>
      <c r="I1187" s="12"/>
      <c r="J1187" s="12"/>
      <c r="S1187" s="12"/>
      <c r="T1187" s="12"/>
      <c r="U1187" s="16"/>
      <c r="V1187" s="16"/>
      <c r="W1187" s="12"/>
      <c r="Z1187" s="12"/>
      <c r="AA1187" s="16"/>
    </row>
    <row r="1188">
      <c r="A1188" s="8"/>
      <c r="C1188" s="12"/>
      <c r="D1188" s="12"/>
      <c r="E1188" s="12"/>
      <c r="F1188" s="12"/>
      <c r="G1188" s="12"/>
      <c r="H1188" s="12"/>
      <c r="I1188" s="12"/>
      <c r="J1188" s="12"/>
      <c r="S1188" s="12"/>
      <c r="T1188" s="12"/>
      <c r="U1188" s="16"/>
      <c r="V1188" s="16"/>
      <c r="W1188" s="12"/>
      <c r="Z1188" s="12"/>
      <c r="AA1188" s="16"/>
    </row>
    <row r="1189">
      <c r="A1189" s="8"/>
      <c r="C1189" s="12"/>
      <c r="D1189" s="12"/>
      <c r="E1189" s="12"/>
      <c r="F1189" s="12"/>
      <c r="G1189" s="12"/>
      <c r="H1189" s="12"/>
      <c r="I1189" s="12"/>
      <c r="J1189" s="12"/>
      <c r="S1189" s="12"/>
      <c r="T1189" s="12"/>
      <c r="U1189" s="16"/>
      <c r="V1189" s="16"/>
      <c r="W1189" s="12"/>
      <c r="Z1189" s="12"/>
      <c r="AA1189" s="16"/>
    </row>
    <row r="1190">
      <c r="A1190" s="8"/>
      <c r="C1190" s="12"/>
      <c r="D1190" s="12"/>
      <c r="E1190" s="12"/>
      <c r="F1190" s="12"/>
      <c r="G1190" s="12"/>
      <c r="H1190" s="12"/>
      <c r="I1190" s="12"/>
      <c r="J1190" s="12"/>
      <c r="S1190" s="12"/>
      <c r="T1190" s="12"/>
      <c r="U1190" s="16"/>
      <c r="V1190" s="16"/>
      <c r="W1190" s="12"/>
      <c r="Z1190" s="12"/>
      <c r="AA1190" s="16"/>
    </row>
    <row r="1191">
      <c r="A1191" s="8"/>
      <c r="C1191" s="12"/>
      <c r="D1191" s="12"/>
      <c r="E1191" s="12"/>
      <c r="F1191" s="12"/>
      <c r="G1191" s="12"/>
      <c r="H1191" s="12"/>
      <c r="I1191" s="12"/>
      <c r="J1191" s="12"/>
      <c r="S1191" s="12"/>
      <c r="T1191" s="12"/>
      <c r="U1191" s="16"/>
      <c r="V1191" s="16"/>
      <c r="W1191" s="12"/>
      <c r="Z1191" s="12"/>
      <c r="AA1191" s="16"/>
    </row>
    <row r="1192">
      <c r="A1192" s="8"/>
      <c r="C1192" s="12"/>
      <c r="D1192" s="12"/>
      <c r="E1192" s="12"/>
      <c r="F1192" s="12"/>
      <c r="G1192" s="12"/>
      <c r="H1192" s="12"/>
      <c r="I1192" s="12"/>
      <c r="J1192" s="12"/>
      <c r="S1192" s="12"/>
      <c r="T1192" s="12"/>
      <c r="U1192" s="16"/>
      <c r="V1192" s="16"/>
      <c r="W1192" s="12"/>
      <c r="Z1192" s="12"/>
      <c r="AA1192" s="16"/>
    </row>
    <row r="1193">
      <c r="A1193" s="8"/>
      <c r="C1193" s="12"/>
      <c r="D1193" s="12"/>
      <c r="E1193" s="12"/>
      <c r="F1193" s="12"/>
      <c r="G1193" s="12"/>
      <c r="H1193" s="12"/>
      <c r="I1193" s="12"/>
      <c r="J1193" s="12"/>
      <c r="S1193" s="12"/>
      <c r="T1193" s="12"/>
      <c r="U1193" s="16"/>
      <c r="V1193" s="16"/>
      <c r="W1193" s="12"/>
      <c r="Z1193" s="12"/>
      <c r="AA1193" s="16"/>
    </row>
    <row r="1194">
      <c r="A1194" s="8"/>
      <c r="C1194" s="12"/>
      <c r="D1194" s="12"/>
      <c r="E1194" s="12"/>
      <c r="F1194" s="12"/>
      <c r="G1194" s="12"/>
      <c r="H1194" s="12"/>
      <c r="I1194" s="12"/>
      <c r="J1194" s="12"/>
      <c r="S1194" s="12"/>
      <c r="T1194" s="12"/>
      <c r="U1194" s="16"/>
      <c r="V1194" s="16"/>
      <c r="W1194" s="12"/>
      <c r="Z1194" s="12"/>
      <c r="AA1194" s="16"/>
    </row>
    <row r="1195">
      <c r="A1195" s="8"/>
      <c r="C1195" s="12"/>
      <c r="D1195" s="12"/>
      <c r="E1195" s="12"/>
      <c r="F1195" s="12"/>
      <c r="G1195" s="12"/>
      <c r="H1195" s="12"/>
      <c r="I1195" s="12"/>
      <c r="J1195" s="12"/>
      <c r="S1195" s="12"/>
      <c r="T1195" s="12"/>
      <c r="U1195" s="16"/>
      <c r="V1195" s="16"/>
      <c r="W1195" s="12"/>
      <c r="Z1195" s="12"/>
      <c r="AA1195" s="16"/>
    </row>
    <row r="1196">
      <c r="A1196" s="8"/>
      <c r="C1196" s="12"/>
      <c r="D1196" s="12"/>
      <c r="E1196" s="12"/>
      <c r="F1196" s="12"/>
      <c r="G1196" s="12"/>
      <c r="H1196" s="12"/>
      <c r="I1196" s="12"/>
      <c r="J1196" s="12"/>
      <c r="S1196" s="12"/>
      <c r="T1196" s="12"/>
      <c r="U1196" s="16"/>
      <c r="V1196" s="16"/>
      <c r="W1196" s="12"/>
      <c r="Z1196" s="12"/>
      <c r="AA1196" s="16"/>
    </row>
    <row r="1197">
      <c r="A1197" s="8"/>
      <c r="C1197" s="12"/>
      <c r="D1197" s="12"/>
      <c r="E1197" s="12"/>
      <c r="F1197" s="12"/>
      <c r="G1197" s="12"/>
      <c r="H1197" s="12"/>
      <c r="I1197" s="12"/>
      <c r="J1197" s="12"/>
      <c r="S1197" s="12"/>
      <c r="T1197" s="12"/>
      <c r="U1197" s="16"/>
      <c r="V1197" s="16"/>
      <c r="W1197" s="12"/>
      <c r="Z1197" s="12"/>
      <c r="AA1197" s="16"/>
    </row>
    <row r="1198">
      <c r="A1198" s="8"/>
      <c r="C1198" s="12"/>
      <c r="D1198" s="12"/>
      <c r="E1198" s="12"/>
      <c r="F1198" s="12"/>
      <c r="G1198" s="12"/>
      <c r="H1198" s="12"/>
      <c r="I1198" s="12"/>
      <c r="J1198" s="12"/>
      <c r="S1198" s="12"/>
      <c r="T1198" s="12"/>
      <c r="U1198" s="16"/>
      <c r="V1198" s="16"/>
      <c r="W1198" s="12"/>
      <c r="Z1198" s="12"/>
      <c r="AA1198" s="16"/>
    </row>
    <row r="1199">
      <c r="A1199" s="8"/>
      <c r="C1199" s="12"/>
      <c r="D1199" s="12"/>
      <c r="E1199" s="12"/>
      <c r="F1199" s="12"/>
      <c r="G1199" s="12"/>
      <c r="H1199" s="12"/>
      <c r="I1199" s="12"/>
      <c r="J1199" s="12"/>
      <c r="S1199" s="12"/>
      <c r="T1199" s="12"/>
      <c r="U1199" s="16"/>
      <c r="V1199" s="16"/>
      <c r="W1199" s="12"/>
      <c r="Z1199" s="12"/>
      <c r="AA1199" s="16"/>
    </row>
    <row r="1200">
      <c r="A1200" s="8"/>
      <c r="C1200" s="12"/>
      <c r="D1200" s="12"/>
      <c r="E1200" s="12"/>
      <c r="F1200" s="12"/>
      <c r="G1200" s="12"/>
      <c r="H1200" s="12"/>
      <c r="I1200" s="12"/>
      <c r="J1200" s="12"/>
      <c r="S1200" s="12"/>
      <c r="T1200" s="12"/>
      <c r="U1200" s="16"/>
      <c r="V1200" s="16"/>
      <c r="W1200" s="12"/>
      <c r="Z1200" s="12"/>
      <c r="AA1200" s="16"/>
    </row>
    <row r="1201">
      <c r="A1201" s="8"/>
      <c r="C1201" s="12"/>
      <c r="D1201" s="12"/>
      <c r="E1201" s="12"/>
      <c r="F1201" s="12"/>
      <c r="G1201" s="12"/>
      <c r="H1201" s="12"/>
      <c r="I1201" s="12"/>
      <c r="J1201" s="12"/>
      <c r="S1201" s="12"/>
      <c r="T1201" s="12"/>
      <c r="U1201" s="16"/>
      <c r="V1201" s="16"/>
      <c r="W1201" s="12"/>
      <c r="Z1201" s="12"/>
      <c r="AA1201" s="16"/>
    </row>
    <row r="1202">
      <c r="A1202" s="8"/>
      <c r="C1202" s="12"/>
      <c r="D1202" s="12"/>
      <c r="E1202" s="12"/>
      <c r="F1202" s="12"/>
      <c r="G1202" s="12"/>
      <c r="H1202" s="12"/>
      <c r="I1202" s="12"/>
      <c r="J1202" s="12"/>
      <c r="S1202" s="12"/>
      <c r="T1202" s="12"/>
      <c r="U1202" s="16"/>
      <c r="V1202" s="16"/>
      <c r="W1202" s="12"/>
      <c r="Z1202" s="12"/>
      <c r="AA1202" s="16"/>
    </row>
    <row r="1203">
      <c r="A1203" s="8"/>
      <c r="C1203" s="12"/>
      <c r="D1203" s="12"/>
      <c r="E1203" s="12"/>
      <c r="F1203" s="12"/>
      <c r="G1203" s="12"/>
      <c r="H1203" s="12"/>
      <c r="I1203" s="12"/>
      <c r="J1203" s="12"/>
      <c r="S1203" s="12"/>
      <c r="T1203" s="12"/>
      <c r="U1203" s="16"/>
      <c r="V1203" s="16"/>
      <c r="W1203" s="12"/>
      <c r="Z1203" s="12"/>
      <c r="AA1203" s="16"/>
    </row>
    <row r="1204">
      <c r="A1204" s="8"/>
      <c r="C1204" s="12"/>
      <c r="D1204" s="12"/>
      <c r="E1204" s="12"/>
      <c r="F1204" s="12"/>
      <c r="G1204" s="12"/>
      <c r="H1204" s="12"/>
      <c r="I1204" s="12"/>
      <c r="J1204" s="12"/>
      <c r="S1204" s="12"/>
      <c r="T1204" s="12"/>
      <c r="U1204" s="16"/>
      <c r="V1204" s="16"/>
      <c r="W1204" s="12"/>
      <c r="Z1204" s="12"/>
      <c r="AA1204" s="16"/>
    </row>
    <row r="1205">
      <c r="A1205" s="8"/>
      <c r="C1205" s="12"/>
      <c r="D1205" s="12"/>
      <c r="E1205" s="12"/>
      <c r="F1205" s="12"/>
      <c r="G1205" s="12"/>
      <c r="H1205" s="12"/>
      <c r="I1205" s="12"/>
      <c r="J1205" s="12"/>
      <c r="S1205" s="12"/>
      <c r="T1205" s="12"/>
      <c r="U1205" s="16"/>
      <c r="V1205" s="16"/>
      <c r="W1205" s="12"/>
      <c r="Z1205" s="12"/>
      <c r="AA1205" s="16"/>
    </row>
    <row r="1206">
      <c r="A1206" s="8"/>
      <c r="C1206" s="12"/>
      <c r="D1206" s="12"/>
      <c r="E1206" s="12"/>
      <c r="F1206" s="12"/>
      <c r="G1206" s="12"/>
      <c r="H1206" s="12"/>
      <c r="I1206" s="12"/>
      <c r="J1206" s="12"/>
      <c r="S1206" s="12"/>
      <c r="T1206" s="12"/>
      <c r="U1206" s="16"/>
      <c r="V1206" s="16"/>
      <c r="W1206" s="12"/>
      <c r="Z1206" s="12"/>
      <c r="AA1206" s="16"/>
    </row>
    <row r="1207">
      <c r="A1207" s="8"/>
      <c r="C1207" s="12"/>
      <c r="D1207" s="12"/>
      <c r="E1207" s="12"/>
      <c r="F1207" s="12"/>
      <c r="G1207" s="12"/>
      <c r="H1207" s="12"/>
      <c r="I1207" s="12"/>
      <c r="J1207" s="12"/>
      <c r="S1207" s="12"/>
      <c r="T1207" s="12"/>
      <c r="U1207" s="16"/>
      <c r="V1207" s="16"/>
      <c r="W1207" s="12"/>
      <c r="Z1207" s="12"/>
      <c r="AA1207" s="16"/>
    </row>
    <row r="1208">
      <c r="A1208" s="8"/>
      <c r="C1208" s="12"/>
      <c r="D1208" s="12"/>
      <c r="E1208" s="12"/>
      <c r="F1208" s="12"/>
      <c r="G1208" s="12"/>
      <c r="H1208" s="12"/>
      <c r="I1208" s="12"/>
      <c r="J1208" s="12"/>
      <c r="S1208" s="12"/>
      <c r="T1208" s="12"/>
      <c r="U1208" s="16"/>
      <c r="V1208" s="16"/>
      <c r="W1208" s="12"/>
      <c r="Z1208" s="12"/>
      <c r="AA1208" s="16"/>
    </row>
    <row r="1209">
      <c r="A1209" s="8"/>
      <c r="C1209" s="12"/>
      <c r="D1209" s="12"/>
      <c r="E1209" s="12"/>
      <c r="F1209" s="12"/>
      <c r="G1209" s="12"/>
      <c r="H1209" s="12"/>
      <c r="I1209" s="12"/>
      <c r="J1209" s="12"/>
      <c r="S1209" s="12"/>
      <c r="T1209" s="12"/>
      <c r="U1209" s="16"/>
      <c r="V1209" s="16"/>
      <c r="W1209" s="12"/>
      <c r="Z1209" s="12"/>
      <c r="AA1209" s="16"/>
    </row>
    <row r="1210">
      <c r="A1210" s="8"/>
      <c r="C1210" s="12"/>
      <c r="D1210" s="12"/>
      <c r="E1210" s="12"/>
      <c r="F1210" s="12"/>
      <c r="G1210" s="12"/>
      <c r="H1210" s="12"/>
      <c r="I1210" s="12"/>
      <c r="J1210" s="12"/>
      <c r="S1210" s="12"/>
      <c r="T1210" s="12"/>
      <c r="U1210" s="16"/>
      <c r="V1210" s="16"/>
      <c r="W1210" s="12"/>
      <c r="Z1210" s="12"/>
      <c r="AA1210" s="16"/>
    </row>
    <row r="1211">
      <c r="A1211" s="8"/>
      <c r="C1211" s="12"/>
      <c r="D1211" s="12"/>
      <c r="E1211" s="12"/>
      <c r="F1211" s="12"/>
      <c r="G1211" s="12"/>
      <c r="H1211" s="12"/>
      <c r="I1211" s="12"/>
      <c r="J1211" s="12"/>
      <c r="S1211" s="12"/>
      <c r="T1211" s="12"/>
      <c r="U1211" s="16"/>
      <c r="V1211" s="16"/>
      <c r="W1211" s="12"/>
      <c r="Z1211" s="12"/>
      <c r="AA1211" s="16"/>
    </row>
    <row r="1212">
      <c r="A1212" s="8"/>
      <c r="C1212" s="12"/>
      <c r="D1212" s="12"/>
      <c r="E1212" s="12"/>
      <c r="F1212" s="12"/>
      <c r="G1212" s="12"/>
      <c r="H1212" s="12"/>
      <c r="I1212" s="12"/>
      <c r="J1212" s="12"/>
      <c r="S1212" s="12"/>
      <c r="T1212" s="12"/>
      <c r="U1212" s="16"/>
      <c r="V1212" s="16"/>
      <c r="W1212" s="12"/>
      <c r="Z1212" s="12"/>
      <c r="AA1212" s="16"/>
    </row>
    <row r="1213">
      <c r="A1213" s="8"/>
      <c r="C1213" s="12"/>
      <c r="D1213" s="12"/>
      <c r="E1213" s="12"/>
      <c r="F1213" s="12"/>
      <c r="G1213" s="12"/>
      <c r="H1213" s="12"/>
      <c r="I1213" s="12"/>
      <c r="J1213" s="12"/>
      <c r="S1213" s="12"/>
      <c r="T1213" s="12"/>
      <c r="U1213" s="16"/>
      <c r="V1213" s="16"/>
      <c r="W1213" s="12"/>
      <c r="Z1213" s="12"/>
      <c r="AA1213" s="16"/>
    </row>
    <row r="1214">
      <c r="A1214" s="8"/>
      <c r="C1214" s="12"/>
      <c r="D1214" s="12"/>
      <c r="E1214" s="12"/>
      <c r="F1214" s="12"/>
      <c r="G1214" s="12"/>
      <c r="H1214" s="12"/>
      <c r="I1214" s="12"/>
      <c r="J1214" s="12"/>
      <c r="S1214" s="12"/>
      <c r="T1214" s="12"/>
      <c r="U1214" s="16"/>
      <c r="V1214" s="16"/>
      <c r="W1214" s="12"/>
      <c r="Z1214" s="12"/>
      <c r="AA1214" s="16"/>
    </row>
    <row r="1215">
      <c r="A1215" s="8"/>
      <c r="C1215" s="12"/>
      <c r="D1215" s="12"/>
      <c r="E1215" s="12"/>
      <c r="F1215" s="12"/>
      <c r="G1215" s="12"/>
      <c r="H1215" s="12"/>
      <c r="I1215" s="12"/>
      <c r="J1215" s="12"/>
      <c r="S1215" s="12"/>
      <c r="T1215" s="12"/>
      <c r="U1215" s="16"/>
      <c r="V1215" s="16"/>
      <c r="W1215" s="12"/>
      <c r="Z1215" s="12"/>
      <c r="AA1215" s="16"/>
    </row>
    <row r="1216">
      <c r="A1216" s="8"/>
      <c r="C1216" s="12"/>
      <c r="D1216" s="12"/>
      <c r="E1216" s="12"/>
      <c r="F1216" s="12"/>
      <c r="G1216" s="12"/>
      <c r="H1216" s="12"/>
      <c r="I1216" s="12"/>
      <c r="J1216" s="12"/>
      <c r="S1216" s="12"/>
      <c r="T1216" s="12"/>
      <c r="U1216" s="16"/>
      <c r="V1216" s="16"/>
      <c r="W1216" s="12"/>
      <c r="Z1216" s="12"/>
      <c r="AA1216" s="16"/>
    </row>
    <row r="1217">
      <c r="A1217" s="8"/>
      <c r="C1217" s="12"/>
      <c r="D1217" s="12"/>
      <c r="E1217" s="12"/>
      <c r="F1217" s="12"/>
      <c r="G1217" s="12"/>
      <c r="H1217" s="12"/>
      <c r="I1217" s="12"/>
      <c r="J1217" s="12"/>
      <c r="S1217" s="12"/>
      <c r="T1217" s="12"/>
      <c r="U1217" s="16"/>
      <c r="V1217" s="16"/>
      <c r="W1217" s="12"/>
      <c r="Z1217" s="12"/>
      <c r="AA1217" s="16"/>
    </row>
    <row r="1218">
      <c r="A1218" s="8"/>
      <c r="C1218" s="12"/>
      <c r="D1218" s="12"/>
      <c r="E1218" s="12"/>
      <c r="F1218" s="12"/>
      <c r="G1218" s="12"/>
      <c r="H1218" s="12"/>
      <c r="I1218" s="12"/>
      <c r="J1218" s="12"/>
      <c r="S1218" s="12"/>
      <c r="T1218" s="12"/>
      <c r="U1218" s="16"/>
      <c r="V1218" s="16"/>
      <c r="W1218" s="12"/>
      <c r="Z1218" s="12"/>
      <c r="AA1218" s="16"/>
    </row>
    <row r="1219">
      <c r="A1219" s="8"/>
      <c r="C1219" s="12"/>
      <c r="D1219" s="12"/>
      <c r="E1219" s="12"/>
      <c r="F1219" s="12"/>
      <c r="G1219" s="12"/>
      <c r="H1219" s="12"/>
      <c r="I1219" s="12"/>
      <c r="J1219" s="12"/>
      <c r="S1219" s="12"/>
      <c r="T1219" s="12"/>
      <c r="U1219" s="16"/>
      <c r="V1219" s="16"/>
      <c r="W1219" s="12"/>
      <c r="Z1219" s="12"/>
      <c r="AA1219" s="16"/>
    </row>
    <row r="1220">
      <c r="A1220" s="8"/>
      <c r="C1220" s="12"/>
      <c r="D1220" s="12"/>
      <c r="E1220" s="12"/>
      <c r="F1220" s="12"/>
      <c r="G1220" s="12"/>
      <c r="H1220" s="12"/>
      <c r="I1220" s="12"/>
      <c r="J1220" s="12"/>
      <c r="S1220" s="12"/>
      <c r="T1220" s="12"/>
      <c r="U1220" s="16"/>
      <c r="V1220" s="16"/>
      <c r="W1220" s="12"/>
      <c r="Z1220" s="12"/>
      <c r="AA1220" s="16"/>
    </row>
    <row r="1221">
      <c r="A1221" s="8"/>
      <c r="C1221" s="12"/>
      <c r="D1221" s="12"/>
      <c r="E1221" s="12"/>
      <c r="F1221" s="12"/>
      <c r="G1221" s="12"/>
      <c r="H1221" s="12"/>
      <c r="I1221" s="12"/>
      <c r="J1221" s="12"/>
      <c r="S1221" s="12"/>
      <c r="T1221" s="12"/>
      <c r="U1221" s="16"/>
      <c r="V1221" s="16"/>
      <c r="W1221" s="12"/>
      <c r="Z1221" s="12"/>
      <c r="AA1221" s="16"/>
    </row>
    <row r="1222">
      <c r="A1222" s="8"/>
      <c r="C1222" s="12"/>
      <c r="D1222" s="12"/>
      <c r="E1222" s="12"/>
      <c r="F1222" s="12"/>
      <c r="G1222" s="12"/>
      <c r="H1222" s="12"/>
      <c r="I1222" s="12"/>
      <c r="J1222" s="12"/>
      <c r="S1222" s="12"/>
      <c r="T1222" s="12"/>
      <c r="U1222" s="16"/>
      <c r="V1222" s="16"/>
      <c r="W1222" s="12"/>
      <c r="Z1222" s="12"/>
      <c r="AA1222" s="16"/>
    </row>
    <row r="1223">
      <c r="A1223" s="8"/>
      <c r="C1223" s="12"/>
      <c r="D1223" s="12"/>
      <c r="E1223" s="12"/>
      <c r="F1223" s="12"/>
      <c r="G1223" s="12"/>
      <c r="H1223" s="12"/>
      <c r="I1223" s="12"/>
      <c r="J1223" s="12"/>
      <c r="S1223" s="12"/>
      <c r="T1223" s="12"/>
      <c r="U1223" s="16"/>
      <c r="V1223" s="16"/>
      <c r="W1223" s="12"/>
      <c r="Z1223" s="12"/>
      <c r="AA1223" s="16"/>
    </row>
    <row r="1224">
      <c r="A1224" s="8"/>
      <c r="C1224" s="12"/>
      <c r="D1224" s="12"/>
      <c r="E1224" s="12"/>
      <c r="F1224" s="12"/>
      <c r="G1224" s="12"/>
      <c r="H1224" s="12"/>
      <c r="I1224" s="12"/>
      <c r="J1224" s="12"/>
      <c r="S1224" s="12"/>
      <c r="T1224" s="12"/>
      <c r="U1224" s="16"/>
      <c r="V1224" s="16"/>
      <c r="W1224" s="12"/>
      <c r="Z1224" s="12"/>
      <c r="AA1224" s="16"/>
    </row>
    <row r="1225">
      <c r="A1225" s="8"/>
      <c r="C1225" s="12"/>
      <c r="D1225" s="12"/>
      <c r="E1225" s="12"/>
      <c r="F1225" s="12"/>
      <c r="G1225" s="12"/>
      <c r="H1225" s="12"/>
      <c r="I1225" s="12"/>
      <c r="J1225" s="12"/>
      <c r="S1225" s="12"/>
      <c r="T1225" s="12"/>
      <c r="U1225" s="16"/>
      <c r="V1225" s="16"/>
      <c r="W1225" s="12"/>
      <c r="Z1225" s="12"/>
      <c r="AA1225" s="16"/>
    </row>
    <row r="1226">
      <c r="A1226" s="8"/>
      <c r="C1226" s="12"/>
      <c r="D1226" s="12"/>
      <c r="E1226" s="12"/>
      <c r="F1226" s="12"/>
      <c r="G1226" s="12"/>
      <c r="H1226" s="12"/>
      <c r="I1226" s="12"/>
      <c r="J1226" s="12"/>
      <c r="S1226" s="12"/>
      <c r="T1226" s="12"/>
      <c r="U1226" s="16"/>
      <c r="V1226" s="16"/>
      <c r="W1226" s="12"/>
      <c r="Z1226" s="12"/>
      <c r="AA1226" s="16"/>
    </row>
    <row r="1227">
      <c r="A1227" s="8"/>
      <c r="C1227" s="12"/>
      <c r="D1227" s="12"/>
      <c r="E1227" s="12"/>
      <c r="F1227" s="12"/>
      <c r="G1227" s="12"/>
      <c r="H1227" s="12"/>
      <c r="I1227" s="12"/>
      <c r="J1227" s="12"/>
      <c r="S1227" s="12"/>
      <c r="T1227" s="12"/>
      <c r="U1227" s="16"/>
      <c r="V1227" s="16"/>
      <c r="W1227" s="12"/>
      <c r="Z1227" s="12"/>
      <c r="AA1227" s="16"/>
    </row>
    <row r="1228">
      <c r="A1228" s="8"/>
      <c r="C1228" s="12"/>
      <c r="D1228" s="12"/>
      <c r="E1228" s="12"/>
      <c r="F1228" s="12"/>
      <c r="G1228" s="12"/>
      <c r="H1228" s="12"/>
      <c r="I1228" s="12"/>
      <c r="J1228" s="12"/>
      <c r="S1228" s="12"/>
      <c r="T1228" s="12"/>
      <c r="U1228" s="16"/>
      <c r="V1228" s="16"/>
      <c r="W1228" s="12"/>
      <c r="Z1228" s="12"/>
      <c r="AA1228" s="16"/>
    </row>
    <row r="1229">
      <c r="A1229" s="8"/>
      <c r="C1229" s="12"/>
      <c r="D1229" s="12"/>
      <c r="E1229" s="12"/>
      <c r="F1229" s="12"/>
      <c r="G1229" s="12"/>
      <c r="H1229" s="12"/>
      <c r="I1229" s="12"/>
      <c r="J1229" s="12"/>
      <c r="S1229" s="12"/>
      <c r="T1229" s="12"/>
      <c r="U1229" s="16"/>
      <c r="V1229" s="16"/>
      <c r="W1229" s="12"/>
      <c r="Z1229" s="12"/>
      <c r="AA1229" s="16"/>
    </row>
    <row r="1230">
      <c r="A1230" s="8"/>
      <c r="C1230" s="12"/>
      <c r="D1230" s="12"/>
      <c r="E1230" s="12"/>
      <c r="F1230" s="12"/>
      <c r="G1230" s="12"/>
      <c r="H1230" s="12"/>
      <c r="I1230" s="12"/>
      <c r="J1230" s="12"/>
      <c r="S1230" s="12"/>
      <c r="T1230" s="12"/>
      <c r="U1230" s="16"/>
      <c r="V1230" s="16"/>
      <c r="W1230" s="12"/>
      <c r="Z1230" s="12"/>
      <c r="AA1230" s="16"/>
    </row>
    <row r="1231">
      <c r="A1231" s="8"/>
      <c r="C1231" s="12"/>
      <c r="D1231" s="12"/>
      <c r="E1231" s="12"/>
      <c r="F1231" s="12"/>
      <c r="G1231" s="12"/>
      <c r="H1231" s="12"/>
      <c r="I1231" s="12"/>
      <c r="J1231" s="12"/>
      <c r="S1231" s="12"/>
      <c r="T1231" s="12"/>
      <c r="U1231" s="16"/>
      <c r="V1231" s="16"/>
      <c r="W1231" s="12"/>
      <c r="Z1231" s="12"/>
      <c r="AA1231" s="16"/>
    </row>
    <row r="1232">
      <c r="A1232" s="8"/>
      <c r="C1232" s="12"/>
      <c r="D1232" s="12"/>
      <c r="E1232" s="12"/>
      <c r="F1232" s="12"/>
      <c r="G1232" s="12"/>
      <c r="H1232" s="12"/>
      <c r="I1232" s="12"/>
      <c r="J1232" s="12"/>
      <c r="S1232" s="12"/>
      <c r="T1232" s="12"/>
      <c r="U1232" s="16"/>
      <c r="V1232" s="16"/>
      <c r="W1232" s="12"/>
      <c r="Z1232" s="12"/>
      <c r="AA1232" s="16"/>
    </row>
    <row r="1233">
      <c r="A1233" s="8"/>
      <c r="C1233" s="12"/>
      <c r="D1233" s="12"/>
      <c r="E1233" s="12"/>
      <c r="F1233" s="12"/>
      <c r="G1233" s="12"/>
      <c r="H1233" s="12"/>
      <c r="I1233" s="12"/>
      <c r="J1233" s="12"/>
      <c r="S1233" s="12"/>
      <c r="T1233" s="12"/>
      <c r="U1233" s="16"/>
      <c r="V1233" s="16"/>
      <c r="W1233" s="12"/>
      <c r="Z1233" s="12"/>
      <c r="AA1233" s="16"/>
    </row>
    <row r="1234">
      <c r="A1234" s="8"/>
      <c r="C1234" s="12"/>
      <c r="D1234" s="12"/>
      <c r="E1234" s="12"/>
      <c r="F1234" s="12"/>
      <c r="G1234" s="12"/>
      <c r="H1234" s="12"/>
      <c r="I1234" s="12"/>
      <c r="J1234" s="12"/>
      <c r="S1234" s="12"/>
      <c r="T1234" s="12"/>
      <c r="U1234" s="16"/>
      <c r="V1234" s="16"/>
      <c r="W1234" s="12"/>
      <c r="Z1234" s="12"/>
      <c r="AA1234" s="16"/>
    </row>
    <row r="1235">
      <c r="A1235" s="8"/>
      <c r="C1235" s="12"/>
      <c r="D1235" s="12"/>
      <c r="E1235" s="12"/>
      <c r="F1235" s="12"/>
      <c r="G1235" s="12"/>
      <c r="H1235" s="12"/>
      <c r="I1235" s="12"/>
      <c r="J1235" s="12"/>
      <c r="S1235" s="12"/>
      <c r="T1235" s="12"/>
      <c r="U1235" s="16"/>
      <c r="V1235" s="16"/>
      <c r="W1235" s="12"/>
      <c r="Z1235" s="12"/>
      <c r="AA1235" s="16"/>
    </row>
    <row r="1236">
      <c r="A1236" s="8"/>
      <c r="C1236" s="12"/>
      <c r="D1236" s="12"/>
      <c r="E1236" s="12"/>
      <c r="F1236" s="12"/>
      <c r="G1236" s="12"/>
      <c r="H1236" s="12"/>
      <c r="I1236" s="12"/>
      <c r="J1236" s="12"/>
      <c r="S1236" s="12"/>
      <c r="T1236" s="12"/>
      <c r="U1236" s="16"/>
      <c r="V1236" s="16"/>
      <c r="W1236" s="12"/>
      <c r="Z1236" s="12"/>
      <c r="AA1236" s="16"/>
    </row>
    <row r="1237">
      <c r="A1237" s="8"/>
      <c r="C1237" s="12"/>
      <c r="D1237" s="12"/>
      <c r="E1237" s="12"/>
      <c r="F1237" s="12"/>
      <c r="G1237" s="12"/>
      <c r="H1237" s="12"/>
      <c r="I1237" s="12"/>
      <c r="J1237" s="12"/>
      <c r="S1237" s="12"/>
      <c r="T1237" s="12"/>
      <c r="U1237" s="16"/>
      <c r="V1237" s="16"/>
      <c r="W1237" s="12"/>
      <c r="Z1237" s="12"/>
      <c r="AA1237" s="16"/>
    </row>
    <row r="1238">
      <c r="A1238" s="8"/>
      <c r="C1238" s="12"/>
      <c r="D1238" s="12"/>
      <c r="E1238" s="12"/>
      <c r="F1238" s="12"/>
      <c r="G1238" s="12"/>
      <c r="H1238" s="12"/>
      <c r="I1238" s="12"/>
      <c r="J1238" s="12"/>
      <c r="S1238" s="12"/>
      <c r="T1238" s="12"/>
      <c r="U1238" s="16"/>
      <c r="V1238" s="16"/>
      <c r="W1238" s="12"/>
      <c r="Z1238" s="12"/>
      <c r="AA1238" s="16"/>
    </row>
    <row r="1239">
      <c r="A1239" s="8"/>
      <c r="C1239" s="12"/>
      <c r="D1239" s="12"/>
      <c r="E1239" s="12"/>
      <c r="F1239" s="12"/>
      <c r="G1239" s="12"/>
      <c r="H1239" s="12"/>
      <c r="I1239" s="12"/>
      <c r="J1239" s="12"/>
      <c r="S1239" s="12"/>
      <c r="T1239" s="12"/>
      <c r="U1239" s="16"/>
      <c r="V1239" s="16"/>
      <c r="W1239" s="12"/>
      <c r="Z1239" s="12"/>
      <c r="AA1239" s="16"/>
    </row>
    <row r="1240">
      <c r="A1240" s="8"/>
      <c r="C1240" s="12"/>
      <c r="D1240" s="12"/>
      <c r="E1240" s="12"/>
      <c r="F1240" s="12"/>
      <c r="G1240" s="12"/>
      <c r="H1240" s="12"/>
      <c r="I1240" s="12"/>
      <c r="J1240" s="12"/>
      <c r="S1240" s="12"/>
      <c r="T1240" s="12"/>
      <c r="U1240" s="16"/>
      <c r="V1240" s="16"/>
      <c r="W1240" s="12"/>
      <c r="Z1240" s="12"/>
      <c r="AA1240" s="16"/>
    </row>
    <row r="1241">
      <c r="A1241" s="8"/>
      <c r="C1241" s="12"/>
      <c r="D1241" s="12"/>
      <c r="E1241" s="12"/>
      <c r="F1241" s="12"/>
      <c r="G1241" s="12"/>
      <c r="H1241" s="12"/>
      <c r="I1241" s="12"/>
      <c r="J1241" s="12"/>
      <c r="S1241" s="12"/>
      <c r="T1241" s="12"/>
      <c r="U1241" s="16"/>
      <c r="V1241" s="16"/>
      <c r="W1241" s="12"/>
      <c r="Z1241" s="12"/>
      <c r="AA1241" s="16"/>
    </row>
    <row r="1242">
      <c r="A1242" s="8"/>
      <c r="C1242" s="12"/>
      <c r="D1242" s="12"/>
      <c r="E1242" s="12"/>
      <c r="F1242" s="12"/>
      <c r="G1242" s="12"/>
      <c r="H1242" s="12"/>
      <c r="I1242" s="12"/>
      <c r="J1242" s="12"/>
      <c r="S1242" s="12"/>
      <c r="T1242" s="12"/>
      <c r="U1242" s="16"/>
      <c r="V1242" s="16"/>
      <c r="W1242" s="12"/>
      <c r="Z1242" s="12"/>
      <c r="AA1242" s="16"/>
    </row>
    <row r="1243">
      <c r="A1243" s="8"/>
      <c r="C1243" s="12"/>
      <c r="D1243" s="12"/>
      <c r="E1243" s="12"/>
      <c r="F1243" s="12"/>
      <c r="G1243" s="12"/>
      <c r="H1243" s="12"/>
      <c r="I1243" s="12"/>
      <c r="J1243" s="12"/>
      <c r="S1243" s="12"/>
      <c r="T1243" s="12"/>
      <c r="U1243" s="16"/>
      <c r="V1243" s="16"/>
      <c r="W1243" s="12"/>
      <c r="Z1243" s="12"/>
      <c r="AA1243" s="16"/>
    </row>
    <row r="1244">
      <c r="A1244" s="8"/>
      <c r="C1244" s="12"/>
      <c r="D1244" s="12"/>
      <c r="E1244" s="12"/>
      <c r="F1244" s="12"/>
      <c r="G1244" s="12"/>
      <c r="H1244" s="12"/>
      <c r="I1244" s="12"/>
      <c r="J1244" s="12"/>
      <c r="S1244" s="12"/>
      <c r="T1244" s="12"/>
      <c r="U1244" s="16"/>
      <c r="V1244" s="16"/>
      <c r="W1244" s="12"/>
      <c r="Z1244" s="12"/>
      <c r="AA1244" s="16"/>
    </row>
    <row r="1245">
      <c r="A1245" s="8"/>
      <c r="C1245" s="12"/>
      <c r="D1245" s="12"/>
      <c r="E1245" s="12"/>
      <c r="F1245" s="12"/>
      <c r="G1245" s="12"/>
      <c r="H1245" s="12"/>
      <c r="I1245" s="12"/>
      <c r="J1245" s="12"/>
      <c r="S1245" s="12"/>
      <c r="T1245" s="12"/>
      <c r="U1245" s="16"/>
      <c r="V1245" s="16"/>
      <c r="W1245" s="12"/>
      <c r="Z1245" s="12"/>
      <c r="AA1245" s="16"/>
    </row>
    <row r="1246">
      <c r="A1246" s="8"/>
      <c r="C1246" s="12"/>
      <c r="D1246" s="12"/>
      <c r="E1246" s="12"/>
      <c r="F1246" s="12"/>
      <c r="G1246" s="12"/>
      <c r="H1246" s="12"/>
      <c r="I1246" s="12"/>
      <c r="J1246" s="12"/>
      <c r="S1246" s="12"/>
      <c r="T1246" s="12"/>
      <c r="U1246" s="16"/>
      <c r="V1246" s="16"/>
      <c r="W1246" s="12"/>
      <c r="Z1246" s="12"/>
      <c r="AA1246" s="16"/>
    </row>
    <row r="1247">
      <c r="A1247" s="8"/>
      <c r="C1247" s="12"/>
      <c r="D1247" s="12"/>
      <c r="E1247" s="12"/>
      <c r="F1247" s="12"/>
      <c r="G1247" s="12"/>
      <c r="H1247" s="12"/>
      <c r="I1247" s="12"/>
      <c r="J1247" s="12"/>
      <c r="S1247" s="12"/>
      <c r="T1247" s="12"/>
      <c r="U1247" s="16"/>
      <c r="V1247" s="16"/>
      <c r="W1247" s="12"/>
      <c r="Z1247" s="12"/>
      <c r="AA1247" s="16"/>
    </row>
    <row r="1248">
      <c r="A1248" s="8"/>
      <c r="C1248" s="12"/>
      <c r="D1248" s="12"/>
      <c r="E1248" s="12"/>
      <c r="F1248" s="12"/>
      <c r="G1248" s="12"/>
      <c r="H1248" s="12"/>
      <c r="I1248" s="12"/>
      <c r="J1248" s="12"/>
      <c r="S1248" s="12"/>
      <c r="T1248" s="12"/>
      <c r="U1248" s="16"/>
      <c r="V1248" s="16"/>
      <c r="W1248" s="12"/>
      <c r="Z1248" s="12"/>
      <c r="AA1248" s="16"/>
    </row>
    <row r="1249">
      <c r="A1249" s="8"/>
      <c r="C1249" s="12"/>
      <c r="D1249" s="12"/>
      <c r="E1249" s="12"/>
      <c r="F1249" s="12"/>
      <c r="G1249" s="12"/>
      <c r="H1249" s="12"/>
      <c r="I1249" s="12"/>
      <c r="J1249" s="12"/>
      <c r="S1249" s="12"/>
      <c r="T1249" s="12"/>
      <c r="U1249" s="16"/>
      <c r="V1249" s="16"/>
      <c r="W1249" s="12"/>
      <c r="Z1249" s="12"/>
      <c r="AA1249" s="16"/>
    </row>
    <row r="1250">
      <c r="A1250" s="8"/>
      <c r="C1250" s="12"/>
      <c r="D1250" s="12"/>
      <c r="E1250" s="12"/>
      <c r="F1250" s="12"/>
      <c r="G1250" s="12"/>
      <c r="H1250" s="12"/>
      <c r="I1250" s="12"/>
      <c r="J1250" s="12"/>
      <c r="S1250" s="12"/>
      <c r="T1250" s="12"/>
      <c r="U1250" s="16"/>
      <c r="V1250" s="16"/>
      <c r="W1250" s="12"/>
      <c r="Z1250" s="12"/>
      <c r="AA1250" s="16"/>
    </row>
    <row r="1251">
      <c r="A1251" s="8"/>
      <c r="C1251" s="12"/>
      <c r="D1251" s="12"/>
      <c r="E1251" s="12"/>
      <c r="F1251" s="12"/>
      <c r="G1251" s="12"/>
      <c r="H1251" s="12"/>
      <c r="I1251" s="12"/>
      <c r="J1251" s="12"/>
      <c r="S1251" s="12"/>
      <c r="T1251" s="12"/>
      <c r="U1251" s="16"/>
      <c r="V1251" s="16"/>
      <c r="W1251" s="12"/>
      <c r="Z1251" s="12"/>
      <c r="AA1251" s="16"/>
    </row>
    <row r="1252">
      <c r="A1252" s="8"/>
      <c r="C1252" s="12"/>
      <c r="D1252" s="12"/>
      <c r="E1252" s="12"/>
      <c r="F1252" s="12"/>
      <c r="G1252" s="12"/>
      <c r="H1252" s="12"/>
      <c r="I1252" s="12"/>
      <c r="J1252" s="12"/>
      <c r="S1252" s="12"/>
      <c r="T1252" s="12"/>
      <c r="U1252" s="16"/>
      <c r="V1252" s="16"/>
      <c r="W1252" s="12"/>
      <c r="Z1252" s="12"/>
      <c r="AA1252" s="16"/>
    </row>
    <row r="1253">
      <c r="A1253" s="8"/>
      <c r="C1253" s="12"/>
      <c r="D1253" s="12"/>
      <c r="E1253" s="12"/>
      <c r="F1253" s="12"/>
      <c r="G1253" s="12"/>
      <c r="H1253" s="12"/>
      <c r="I1253" s="12"/>
      <c r="J1253" s="12"/>
      <c r="S1253" s="12"/>
      <c r="T1253" s="12"/>
      <c r="U1253" s="16"/>
      <c r="V1253" s="16"/>
      <c r="W1253" s="12"/>
      <c r="Z1253" s="12"/>
      <c r="AA1253" s="16"/>
    </row>
    <row r="1254">
      <c r="A1254" s="8"/>
      <c r="C1254" s="12"/>
      <c r="D1254" s="12"/>
      <c r="E1254" s="12"/>
      <c r="F1254" s="12"/>
      <c r="G1254" s="12"/>
      <c r="H1254" s="12"/>
      <c r="I1254" s="12"/>
      <c r="J1254" s="12"/>
      <c r="S1254" s="12"/>
      <c r="T1254" s="12"/>
      <c r="U1254" s="16"/>
      <c r="V1254" s="16"/>
      <c r="W1254" s="12"/>
      <c r="Z1254" s="12"/>
      <c r="AA1254" s="16"/>
    </row>
    <row r="1255">
      <c r="A1255" s="8"/>
      <c r="C1255" s="12"/>
      <c r="D1255" s="12"/>
      <c r="E1255" s="12"/>
      <c r="F1255" s="12"/>
      <c r="G1255" s="12"/>
      <c r="H1255" s="12"/>
      <c r="I1255" s="12"/>
      <c r="J1255" s="12"/>
      <c r="S1255" s="12"/>
      <c r="T1255" s="12"/>
      <c r="U1255" s="16"/>
      <c r="V1255" s="16"/>
      <c r="W1255" s="12"/>
      <c r="Z1255" s="12"/>
      <c r="AA1255" s="16"/>
    </row>
    <row r="1256">
      <c r="A1256" s="8"/>
      <c r="C1256" s="12"/>
      <c r="D1256" s="12"/>
      <c r="E1256" s="12"/>
      <c r="F1256" s="12"/>
      <c r="G1256" s="12"/>
      <c r="H1256" s="12"/>
      <c r="I1256" s="12"/>
      <c r="J1256" s="12"/>
      <c r="S1256" s="12"/>
      <c r="T1256" s="12"/>
      <c r="U1256" s="16"/>
      <c r="V1256" s="16"/>
      <c r="W1256" s="12"/>
      <c r="Z1256" s="12"/>
      <c r="AA1256" s="16"/>
    </row>
    <row r="1257">
      <c r="A1257" s="8"/>
      <c r="C1257" s="12"/>
      <c r="D1257" s="12"/>
      <c r="E1257" s="12"/>
      <c r="F1257" s="12"/>
      <c r="G1257" s="12"/>
      <c r="H1257" s="12"/>
      <c r="I1257" s="12"/>
      <c r="J1257" s="12"/>
      <c r="S1257" s="12"/>
      <c r="T1257" s="12"/>
      <c r="U1257" s="16"/>
      <c r="V1257" s="16"/>
      <c r="W1257" s="12"/>
      <c r="Z1257" s="12"/>
      <c r="AA1257" s="16"/>
    </row>
    <row r="1258">
      <c r="A1258" s="8"/>
      <c r="C1258" s="12"/>
      <c r="D1258" s="12"/>
      <c r="E1258" s="12"/>
      <c r="F1258" s="12"/>
      <c r="G1258" s="12"/>
      <c r="H1258" s="12"/>
      <c r="I1258" s="12"/>
      <c r="J1258" s="12"/>
      <c r="S1258" s="12"/>
      <c r="T1258" s="12"/>
      <c r="U1258" s="16"/>
      <c r="V1258" s="16"/>
      <c r="W1258" s="12"/>
      <c r="Z1258" s="12"/>
      <c r="AA1258" s="16"/>
    </row>
    <row r="1259">
      <c r="A1259" s="8"/>
      <c r="C1259" s="12"/>
      <c r="D1259" s="12"/>
      <c r="E1259" s="12"/>
      <c r="F1259" s="12"/>
      <c r="G1259" s="12"/>
      <c r="H1259" s="12"/>
      <c r="I1259" s="12"/>
      <c r="J1259" s="12"/>
      <c r="S1259" s="12"/>
      <c r="T1259" s="12"/>
      <c r="U1259" s="16"/>
      <c r="V1259" s="16"/>
      <c r="W1259" s="12"/>
      <c r="Z1259" s="12"/>
      <c r="AA1259" s="16"/>
    </row>
    <row r="1260">
      <c r="A1260" s="8"/>
      <c r="C1260" s="12"/>
      <c r="D1260" s="12"/>
      <c r="E1260" s="12"/>
      <c r="F1260" s="12"/>
      <c r="G1260" s="12"/>
      <c r="H1260" s="12"/>
      <c r="I1260" s="12"/>
      <c r="J1260" s="12"/>
      <c r="S1260" s="12"/>
      <c r="T1260" s="12"/>
      <c r="U1260" s="16"/>
      <c r="V1260" s="16"/>
      <c r="W1260" s="12"/>
      <c r="Z1260" s="12"/>
      <c r="AA1260" s="16"/>
    </row>
    <row r="1261">
      <c r="A1261" s="8"/>
      <c r="C1261" s="12"/>
      <c r="D1261" s="12"/>
      <c r="E1261" s="12"/>
      <c r="F1261" s="12"/>
      <c r="G1261" s="12"/>
      <c r="H1261" s="12"/>
      <c r="I1261" s="12"/>
      <c r="J1261" s="12"/>
      <c r="S1261" s="12"/>
      <c r="T1261" s="12"/>
      <c r="U1261" s="16"/>
      <c r="V1261" s="16"/>
      <c r="W1261" s="12"/>
      <c r="Z1261" s="12"/>
      <c r="AA1261" s="16"/>
    </row>
    <row r="1262">
      <c r="A1262" s="8"/>
      <c r="C1262" s="12"/>
      <c r="D1262" s="12"/>
      <c r="E1262" s="12"/>
      <c r="F1262" s="12"/>
      <c r="G1262" s="12"/>
      <c r="H1262" s="12"/>
      <c r="I1262" s="12"/>
      <c r="J1262" s="12"/>
      <c r="S1262" s="12"/>
      <c r="T1262" s="12"/>
      <c r="U1262" s="16"/>
      <c r="V1262" s="16"/>
      <c r="W1262" s="12"/>
      <c r="Z1262" s="12"/>
      <c r="AA1262" s="16"/>
    </row>
    <row r="1263">
      <c r="A1263" s="8"/>
      <c r="C1263" s="12"/>
      <c r="D1263" s="12"/>
      <c r="E1263" s="12"/>
      <c r="F1263" s="12"/>
      <c r="G1263" s="12"/>
      <c r="H1263" s="12"/>
      <c r="I1263" s="12"/>
      <c r="J1263" s="12"/>
      <c r="S1263" s="12"/>
      <c r="T1263" s="12"/>
      <c r="U1263" s="16"/>
      <c r="V1263" s="16"/>
      <c r="W1263" s="12"/>
      <c r="Z1263" s="12"/>
      <c r="AA1263" s="16"/>
    </row>
    <row r="1264">
      <c r="A1264" s="8"/>
      <c r="C1264" s="12"/>
      <c r="D1264" s="12"/>
      <c r="E1264" s="12"/>
      <c r="F1264" s="12"/>
      <c r="G1264" s="12"/>
      <c r="H1264" s="12"/>
      <c r="I1264" s="12"/>
      <c r="J1264" s="12"/>
      <c r="S1264" s="12"/>
      <c r="T1264" s="12"/>
      <c r="U1264" s="16"/>
      <c r="V1264" s="16"/>
      <c r="W1264" s="12"/>
      <c r="Z1264" s="12"/>
      <c r="AA1264" s="16"/>
    </row>
    <row r="1265">
      <c r="A1265" s="8"/>
      <c r="C1265" s="12"/>
      <c r="D1265" s="12"/>
      <c r="E1265" s="12"/>
      <c r="F1265" s="12"/>
      <c r="G1265" s="12"/>
      <c r="H1265" s="12"/>
      <c r="I1265" s="12"/>
      <c r="J1265" s="12"/>
      <c r="S1265" s="12"/>
      <c r="T1265" s="12"/>
      <c r="U1265" s="16"/>
      <c r="V1265" s="16"/>
      <c r="W1265" s="12"/>
      <c r="Z1265" s="12"/>
      <c r="AA1265" s="16"/>
    </row>
    <row r="1266">
      <c r="A1266" s="8"/>
      <c r="C1266" s="12"/>
      <c r="D1266" s="12"/>
      <c r="E1266" s="12"/>
      <c r="F1266" s="12"/>
      <c r="G1266" s="12"/>
      <c r="H1266" s="12"/>
      <c r="I1266" s="12"/>
      <c r="J1266" s="12"/>
      <c r="S1266" s="12"/>
      <c r="T1266" s="12"/>
      <c r="U1266" s="16"/>
      <c r="V1266" s="16"/>
      <c r="W1266" s="12"/>
      <c r="Z1266" s="12"/>
      <c r="AA1266" s="16"/>
    </row>
    <row r="1267">
      <c r="A1267" s="8"/>
      <c r="C1267" s="12"/>
      <c r="D1267" s="12"/>
      <c r="E1267" s="12"/>
      <c r="F1267" s="12"/>
      <c r="G1267" s="12"/>
      <c r="H1267" s="12"/>
      <c r="I1267" s="12"/>
      <c r="J1267" s="12"/>
      <c r="S1267" s="12"/>
      <c r="T1267" s="12"/>
      <c r="U1267" s="16"/>
      <c r="V1267" s="16"/>
      <c r="W1267" s="12"/>
      <c r="Z1267" s="12"/>
      <c r="AA1267" s="16"/>
    </row>
    <row r="1268">
      <c r="A1268" s="8"/>
      <c r="C1268" s="12"/>
      <c r="D1268" s="12"/>
      <c r="E1268" s="12"/>
      <c r="F1268" s="12"/>
      <c r="G1268" s="12"/>
      <c r="H1268" s="12"/>
      <c r="I1268" s="12"/>
      <c r="J1268" s="12"/>
      <c r="S1268" s="12"/>
      <c r="T1268" s="12"/>
      <c r="U1268" s="16"/>
      <c r="V1268" s="16"/>
      <c r="W1268" s="12"/>
      <c r="Z1268" s="12"/>
      <c r="AA1268" s="16"/>
    </row>
    <row r="1269">
      <c r="A1269" s="8"/>
      <c r="C1269" s="12"/>
      <c r="D1269" s="12"/>
      <c r="E1269" s="12"/>
      <c r="F1269" s="12"/>
      <c r="G1269" s="12"/>
      <c r="H1269" s="12"/>
      <c r="I1269" s="12"/>
      <c r="J1269" s="12"/>
      <c r="S1269" s="12"/>
      <c r="T1269" s="12"/>
      <c r="U1269" s="16"/>
      <c r="V1269" s="16"/>
      <c r="W1269" s="12"/>
      <c r="Z1269" s="12"/>
      <c r="AA1269" s="16"/>
    </row>
    <row r="1270">
      <c r="A1270" s="8"/>
      <c r="C1270" s="12"/>
      <c r="D1270" s="12"/>
      <c r="E1270" s="12"/>
      <c r="F1270" s="12"/>
      <c r="G1270" s="12"/>
      <c r="H1270" s="12"/>
      <c r="I1270" s="12"/>
      <c r="J1270" s="12"/>
      <c r="S1270" s="12"/>
      <c r="T1270" s="12"/>
      <c r="U1270" s="16"/>
      <c r="V1270" s="16"/>
      <c r="W1270" s="12"/>
      <c r="Z1270" s="12"/>
      <c r="AA1270" s="16"/>
    </row>
    <row r="1271">
      <c r="A1271" s="8"/>
      <c r="C1271" s="12"/>
      <c r="D1271" s="12"/>
      <c r="E1271" s="12"/>
      <c r="F1271" s="12"/>
      <c r="G1271" s="12"/>
      <c r="H1271" s="12"/>
      <c r="I1271" s="12"/>
      <c r="J1271" s="12"/>
      <c r="S1271" s="12"/>
      <c r="T1271" s="12"/>
      <c r="U1271" s="16"/>
      <c r="V1271" s="16"/>
      <c r="W1271" s="12"/>
      <c r="Z1271" s="12"/>
      <c r="AA1271" s="16"/>
    </row>
    <row r="1272">
      <c r="A1272" s="8"/>
      <c r="C1272" s="12"/>
      <c r="D1272" s="12"/>
      <c r="E1272" s="12"/>
      <c r="F1272" s="12"/>
      <c r="G1272" s="12"/>
      <c r="H1272" s="12"/>
      <c r="I1272" s="12"/>
      <c r="J1272" s="12"/>
      <c r="S1272" s="12"/>
      <c r="T1272" s="12"/>
      <c r="U1272" s="16"/>
      <c r="V1272" s="16"/>
      <c r="W1272" s="12"/>
      <c r="Z1272" s="12"/>
      <c r="AA1272" s="16"/>
    </row>
    <row r="1273">
      <c r="A1273" s="8"/>
      <c r="C1273" s="12"/>
      <c r="D1273" s="12"/>
      <c r="E1273" s="12"/>
      <c r="F1273" s="12"/>
      <c r="G1273" s="12"/>
      <c r="H1273" s="12"/>
      <c r="I1273" s="12"/>
      <c r="J1273" s="12"/>
      <c r="S1273" s="12"/>
      <c r="T1273" s="12"/>
      <c r="U1273" s="16"/>
      <c r="V1273" s="16"/>
      <c r="W1273" s="12"/>
      <c r="Z1273" s="12"/>
      <c r="AA1273" s="16"/>
    </row>
    <row r="1274">
      <c r="A1274" s="8"/>
      <c r="C1274" s="12"/>
      <c r="D1274" s="12"/>
      <c r="E1274" s="12"/>
      <c r="F1274" s="12"/>
      <c r="G1274" s="12"/>
      <c r="H1274" s="12"/>
      <c r="I1274" s="12"/>
      <c r="J1274" s="12"/>
      <c r="S1274" s="12"/>
      <c r="T1274" s="12"/>
      <c r="U1274" s="16"/>
      <c r="V1274" s="16"/>
      <c r="W1274" s="12"/>
      <c r="Z1274" s="12"/>
      <c r="AA1274" s="16"/>
    </row>
    <row r="1275">
      <c r="A1275" s="8"/>
      <c r="C1275" s="12"/>
      <c r="D1275" s="12"/>
      <c r="E1275" s="12"/>
      <c r="F1275" s="12"/>
      <c r="G1275" s="12"/>
      <c r="H1275" s="12"/>
      <c r="I1275" s="12"/>
      <c r="J1275" s="12"/>
      <c r="S1275" s="12"/>
      <c r="T1275" s="12"/>
      <c r="U1275" s="16"/>
      <c r="V1275" s="16"/>
      <c r="W1275" s="12"/>
      <c r="Z1275" s="12"/>
      <c r="AA1275" s="16"/>
    </row>
    <row r="1276">
      <c r="A1276" s="8"/>
      <c r="C1276" s="12"/>
      <c r="D1276" s="12"/>
      <c r="E1276" s="12"/>
      <c r="F1276" s="12"/>
      <c r="G1276" s="12"/>
      <c r="H1276" s="12"/>
      <c r="I1276" s="12"/>
      <c r="J1276" s="12"/>
      <c r="S1276" s="12"/>
      <c r="T1276" s="12"/>
      <c r="U1276" s="16"/>
      <c r="V1276" s="16"/>
      <c r="W1276" s="12"/>
      <c r="Z1276" s="12"/>
      <c r="AA1276" s="16"/>
    </row>
    <row r="1277">
      <c r="A1277" s="8"/>
      <c r="C1277" s="12"/>
      <c r="D1277" s="12"/>
      <c r="E1277" s="12"/>
      <c r="F1277" s="12"/>
      <c r="G1277" s="12"/>
      <c r="H1277" s="12"/>
      <c r="I1277" s="12"/>
      <c r="J1277" s="12"/>
      <c r="S1277" s="12"/>
      <c r="T1277" s="12"/>
      <c r="U1277" s="16"/>
      <c r="V1277" s="16"/>
      <c r="W1277" s="12"/>
      <c r="Z1277" s="12"/>
      <c r="AA1277" s="16"/>
    </row>
    <row r="1278">
      <c r="A1278" s="8"/>
      <c r="C1278" s="12"/>
      <c r="D1278" s="12"/>
      <c r="E1278" s="12"/>
      <c r="F1278" s="12"/>
      <c r="G1278" s="12"/>
      <c r="H1278" s="12"/>
      <c r="I1278" s="12"/>
      <c r="J1278" s="12"/>
      <c r="S1278" s="12"/>
      <c r="T1278" s="12"/>
      <c r="U1278" s="16"/>
      <c r="V1278" s="16"/>
      <c r="W1278" s="12"/>
      <c r="Z1278" s="12"/>
      <c r="AA1278" s="16"/>
    </row>
    <row r="1279">
      <c r="A1279" s="8"/>
      <c r="C1279" s="12"/>
      <c r="D1279" s="12"/>
      <c r="E1279" s="12"/>
      <c r="F1279" s="12"/>
      <c r="G1279" s="12"/>
      <c r="H1279" s="12"/>
      <c r="I1279" s="12"/>
      <c r="J1279" s="12"/>
      <c r="S1279" s="12"/>
      <c r="T1279" s="12"/>
      <c r="U1279" s="16"/>
      <c r="V1279" s="16"/>
      <c r="W1279" s="12"/>
      <c r="Z1279" s="12"/>
      <c r="AA1279" s="16"/>
    </row>
    <row r="1280">
      <c r="A1280" s="8"/>
      <c r="C1280" s="12"/>
      <c r="D1280" s="12"/>
      <c r="E1280" s="12"/>
      <c r="F1280" s="12"/>
      <c r="G1280" s="12"/>
      <c r="H1280" s="12"/>
      <c r="I1280" s="12"/>
      <c r="J1280" s="12"/>
      <c r="S1280" s="12"/>
      <c r="T1280" s="12"/>
      <c r="U1280" s="16"/>
      <c r="V1280" s="16"/>
      <c r="W1280" s="12"/>
      <c r="Z1280" s="12"/>
      <c r="AA1280" s="16"/>
    </row>
    <row r="1281">
      <c r="A1281" s="8"/>
      <c r="C1281" s="12"/>
      <c r="D1281" s="12"/>
      <c r="E1281" s="12"/>
      <c r="F1281" s="12"/>
      <c r="G1281" s="12"/>
      <c r="H1281" s="12"/>
      <c r="I1281" s="12"/>
      <c r="J1281" s="12"/>
      <c r="S1281" s="12"/>
      <c r="T1281" s="12"/>
      <c r="U1281" s="16"/>
      <c r="V1281" s="16"/>
      <c r="W1281" s="12"/>
      <c r="Z1281" s="12"/>
      <c r="AA1281" s="16"/>
    </row>
    <row r="1282">
      <c r="A1282" s="8"/>
      <c r="C1282" s="12"/>
      <c r="D1282" s="12"/>
      <c r="E1282" s="12"/>
      <c r="F1282" s="12"/>
      <c r="G1282" s="12"/>
      <c r="H1282" s="12"/>
      <c r="I1282" s="12"/>
      <c r="J1282" s="12"/>
      <c r="S1282" s="12"/>
      <c r="T1282" s="12"/>
      <c r="U1282" s="16"/>
      <c r="V1282" s="16"/>
      <c r="W1282" s="12"/>
      <c r="Z1282" s="12"/>
      <c r="AA1282" s="16"/>
    </row>
    <row r="1283">
      <c r="A1283" s="8"/>
      <c r="C1283" s="12"/>
      <c r="D1283" s="12"/>
      <c r="E1283" s="12"/>
      <c r="F1283" s="12"/>
      <c r="G1283" s="12"/>
      <c r="H1283" s="12"/>
      <c r="I1283" s="12"/>
      <c r="J1283" s="12"/>
      <c r="S1283" s="12"/>
      <c r="T1283" s="12"/>
      <c r="U1283" s="16"/>
      <c r="V1283" s="16"/>
      <c r="W1283" s="12"/>
      <c r="Z1283" s="12"/>
      <c r="AA1283" s="16"/>
    </row>
    <row r="1284">
      <c r="A1284" s="8"/>
      <c r="C1284" s="12"/>
      <c r="D1284" s="12"/>
      <c r="E1284" s="12"/>
      <c r="F1284" s="12"/>
      <c r="G1284" s="12"/>
      <c r="H1284" s="12"/>
      <c r="I1284" s="12"/>
      <c r="J1284" s="12"/>
      <c r="S1284" s="12"/>
      <c r="T1284" s="12"/>
      <c r="U1284" s="16"/>
      <c r="V1284" s="16"/>
      <c r="W1284" s="12"/>
      <c r="Z1284" s="12"/>
      <c r="AA1284" s="16"/>
    </row>
    <row r="1285">
      <c r="A1285" s="8"/>
      <c r="C1285" s="12"/>
      <c r="D1285" s="12"/>
      <c r="E1285" s="12"/>
      <c r="F1285" s="12"/>
      <c r="G1285" s="12"/>
      <c r="H1285" s="12"/>
      <c r="I1285" s="12"/>
      <c r="J1285" s="12"/>
      <c r="S1285" s="12"/>
      <c r="T1285" s="12"/>
      <c r="U1285" s="16"/>
      <c r="V1285" s="16"/>
      <c r="W1285" s="12"/>
      <c r="Z1285" s="12"/>
      <c r="AA1285" s="16"/>
    </row>
    <row r="1286">
      <c r="A1286" s="8"/>
      <c r="C1286" s="12"/>
      <c r="D1286" s="12"/>
      <c r="E1286" s="12"/>
      <c r="F1286" s="12"/>
      <c r="G1286" s="12"/>
      <c r="H1286" s="12"/>
      <c r="I1286" s="12"/>
      <c r="J1286" s="12"/>
      <c r="S1286" s="12"/>
      <c r="T1286" s="12"/>
      <c r="U1286" s="16"/>
      <c r="V1286" s="16"/>
      <c r="W1286" s="12"/>
      <c r="Z1286" s="12"/>
      <c r="AA1286" s="16"/>
    </row>
    <row r="1287">
      <c r="A1287" s="8"/>
      <c r="C1287" s="12"/>
      <c r="D1287" s="12"/>
      <c r="E1287" s="12"/>
      <c r="F1287" s="12"/>
      <c r="G1287" s="12"/>
      <c r="H1287" s="12"/>
      <c r="I1287" s="12"/>
      <c r="J1287" s="12"/>
      <c r="S1287" s="12"/>
      <c r="T1287" s="12"/>
      <c r="U1287" s="16"/>
      <c r="V1287" s="16"/>
      <c r="W1287" s="12"/>
      <c r="Z1287" s="12"/>
      <c r="AA1287" s="16"/>
    </row>
    <row r="1288">
      <c r="A1288" s="8"/>
      <c r="C1288" s="12"/>
      <c r="D1288" s="12"/>
      <c r="E1288" s="12"/>
      <c r="F1288" s="12"/>
      <c r="G1288" s="12"/>
      <c r="H1288" s="12"/>
      <c r="I1288" s="12"/>
      <c r="J1288" s="12"/>
      <c r="S1288" s="12"/>
      <c r="T1288" s="12"/>
      <c r="U1288" s="16"/>
      <c r="V1288" s="16"/>
      <c r="W1288" s="12"/>
      <c r="Z1288" s="12"/>
      <c r="AA1288" s="16"/>
    </row>
    <row r="1289">
      <c r="A1289" s="8"/>
      <c r="C1289" s="12"/>
      <c r="D1289" s="12"/>
      <c r="E1289" s="12"/>
      <c r="F1289" s="12"/>
      <c r="G1289" s="12"/>
      <c r="H1289" s="12"/>
      <c r="I1289" s="12"/>
      <c r="J1289" s="12"/>
      <c r="S1289" s="12"/>
      <c r="T1289" s="12"/>
      <c r="U1289" s="16"/>
      <c r="V1289" s="16"/>
      <c r="W1289" s="12"/>
      <c r="Z1289" s="12"/>
      <c r="AA1289" s="16"/>
    </row>
    <row r="1290">
      <c r="A1290" s="8"/>
      <c r="C1290" s="12"/>
      <c r="D1290" s="12"/>
      <c r="E1290" s="12"/>
      <c r="F1290" s="12"/>
      <c r="G1290" s="12"/>
      <c r="H1290" s="12"/>
      <c r="I1290" s="12"/>
      <c r="J1290" s="12"/>
      <c r="S1290" s="12"/>
      <c r="T1290" s="12"/>
      <c r="U1290" s="16"/>
      <c r="V1290" s="16"/>
      <c r="W1290" s="12"/>
      <c r="Z1290" s="12"/>
      <c r="AA1290" s="16"/>
    </row>
    <row r="1291">
      <c r="A1291" s="8"/>
      <c r="C1291" s="12"/>
      <c r="D1291" s="12"/>
      <c r="E1291" s="12"/>
      <c r="F1291" s="12"/>
      <c r="G1291" s="12"/>
      <c r="H1291" s="12"/>
      <c r="I1291" s="12"/>
      <c r="J1291" s="12"/>
      <c r="S1291" s="12"/>
      <c r="T1291" s="12"/>
      <c r="U1291" s="16"/>
      <c r="V1291" s="16"/>
      <c r="W1291" s="12"/>
      <c r="Z1291" s="12"/>
      <c r="AA1291" s="16"/>
    </row>
    <row r="1292">
      <c r="A1292" s="8"/>
      <c r="C1292" s="12"/>
      <c r="D1292" s="12"/>
      <c r="E1292" s="12"/>
      <c r="F1292" s="12"/>
      <c r="G1292" s="12"/>
      <c r="H1292" s="12"/>
      <c r="I1292" s="12"/>
      <c r="J1292" s="12"/>
      <c r="S1292" s="12"/>
      <c r="T1292" s="12"/>
      <c r="U1292" s="16"/>
      <c r="V1292" s="16"/>
      <c r="W1292" s="12"/>
      <c r="Z1292" s="12"/>
      <c r="AA1292" s="16"/>
    </row>
    <row r="1293">
      <c r="A1293" s="8"/>
      <c r="C1293" s="12"/>
      <c r="D1293" s="12"/>
      <c r="E1293" s="12"/>
      <c r="F1293" s="12"/>
      <c r="G1293" s="12"/>
      <c r="H1293" s="12"/>
      <c r="I1293" s="12"/>
      <c r="J1293" s="12"/>
      <c r="S1293" s="12"/>
      <c r="T1293" s="12"/>
      <c r="U1293" s="16"/>
      <c r="V1293" s="16"/>
      <c r="W1293" s="12"/>
      <c r="Z1293" s="12"/>
      <c r="AA1293" s="16"/>
    </row>
    <row r="1294">
      <c r="A1294" s="8"/>
      <c r="C1294" s="12"/>
      <c r="D1294" s="12"/>
      <c r="E1294" s="12"/>
      <c r="F1294" s="12"/>
      <c r="G1294" s="12"/>
      <c r="H1294" s="12"/>
      <c r="I1294" s="12"/>
      <c r="J1294" s="12"/>
      <c r="S1294" s="12"/>
      <c r="T1294" s="12"/>
      <c r="U1294" s="16"/>
      <c r="V1294" s="16"/>
      <c r="W1294" s="12"/>
      <c r="Z1294" s="12"/>
      <c r="AA1294" s="16"/>
    </row>
    <row r="1295">
      <c r="A1295" s="8"/>
      <c r="C1295" s="12"/>
      <c r="D1295" s="12"/>
      <c r="E1295" s="12"/>
      <c r="F1295" s="12"/>
      <c r="G1295" s="12"/>
      <c r="H1295" s="12"/>
      <c r="I1295" s="12"/>
      <c r="J1295" s="12"/>
      <c r="S1295" s="12"/>
      <c r="T1295" s="12"/>
      <c r="U1295" s="16"/>
      <c r="V1295" s="16"/>
      <c r="W1295" s="12"/>
      <c r="Z1295" s="12"/>
      <c r="AA1295" s="16"/>
    </row>
    <row r="1296">
      <c r="A1296" s="8"/>
      <c r="C1296" s="12"/>
      <c r="D1296" s="12"/>
      <c r="E1296" s="12"/>
      <c r="F1296" s="12"/>
      <c r="G1296" s="12"/>
      <c r="H1296" s="12"/>
      <c r="I1296" s="12"/>
      <c r="J1296" s="12"/>
      <c r="S1296" s="12"/>
      <c r="T1296" s="12"/>
      <c r="U1296" s="16"/>
      <c r="V1296" s="16"/>
      <c r="W1296" s="12"/>
      <c r="Z1296" s="12"/>
      <c r="AA1296" s="16"/>
    </row>
    <row r="1297">
      <c r="A1297" s="8"/>
      <c r="C1297" s="12"/>
      <c r="D1297" s="12"/>
      <c r="E1297" s="12"/>
      <c r="F1297" s="12"/>
      <c r="G1297" s="12"/>
      <c r="H1297" s="12"/>
      <c r="I1297" s="12"/>
      <c r="J1297" s="12"/>
      <c r="S1297" s="12"/>
      <c r="T1297" s="12"/>
      <c r="U1297" s="16"/>
      <c r="V1297" s="16"/>
      <c r="W1297" s="12"/>
      <c r="Z1297" s="12"/>
      <c r="AA1297" s="16"/>
    </row>
    <row r="1298">
      <c r="A1298" s="8"/>
      <c r="C1298" s="12"/>
      <c r="D1298" s="12"/>
      <c r="E1298" s="12"/>
      <c r="F1298" s="12"/>
      <c r="G1298" s="12"/>
      <c r="H1298" s="12"/>
      <c r="I1298" s="12"/>
      <c r="J1298" s="12"/>
      <c r="S1298" s="12"/>
      <c r="T1298" s="12"/>
      <c r="U1298" s="16"/>
      <c r="V1298" s="16"/>
      <c r="W1298" s="12"/>
      <c r="Z1298" s="12"/>
      <c r="AA1298" s="16"/>
    </row>
    <row r="1299">
      <c r="A1299" s="8"/>
      <c r="C1299" s="12"/>
      <c r="D1299" s="12"/>
      <c r="E1299" s="12"/>
      <c r="F1299" s="12"/>
      <c r="G1299" s="12"/>
      <c r="H1299" s="12"/>
      <c r="I1299" s="12"/>
      <c r="J1299" s="12"/>
      <c r="S1299" s="12"/>
      <c r="T1299" s="12"/>
      <c r="U1299" s="16"/>
      <c r="V1299" s="16"/>
      <c r="W1299" s="12"/>
      <c r="Z1299" s="12"/>
      <c r="AA1299" s="16"/>
    </row>
    <row r="1300">
      <c r="A1300" s="8"/>
      <c r="C1300" s="12"/>
      <c r="D1300" s="12"/>
      <c r="E1300" s="12"/>
      <c r="F1300" s="12"/>
      <c r="G1300" s="12"/>
      <c r="H1300" s="12"/>
      <c r="I1300" s="12"/>
      <c r="J1300" s="12"/>
      <c r="S1300" s="12"/>
      <c r="T1300" s="12"/>
      <c r="U1300" s="16"/>
      <c r="V1300" s="16"/>
      <c r="W1300" s="12"/>
      <c r="Z1300" s="12"/>
      <c r="AA1300" s="16"/>
    </row>
    <row r="1301">
      <c r="A1301" s="8"/>
      <c r="C1301" s="12"/>
      <c r="D1301" s="12"/>
      <c r="E1301" s="12"/>
      <c r="F1301" s="12"/>
      <c r="G1301" s="12"/>
      <c r="H1301" s="12"/>
      <c r="I1301" s="12"/>
      <c r="J1301" s="12"/>
      <c r="S1301" s="12"/>
      <c r="T1301" s="12"/>
      <c r="U1301" s="16"/>
      <c r="V1301" s="16"/>
      <c r="W1301" s="12"/>
      <c r="Z1301" s="12"/>
      <c r="AA1301" s="16"/>
    </row>
    <row r="1302">
      <c r="A1302" s="8"/>
      <c r="C1302" s="12"/>
      <c r="D1302" s="12"/>
      <c r="E1302" s="12"/>
      <c r="F1302" s="12"/>
      <c r="G1302" s="12"/>
      <c r="H1302" s="12"/>
      <c r="I1302" s="12"/>
      <c r="J1302" s="12"/>
      <c r="S1302" s="12"/>
      <c r="T1302" s="12"/>
      <c r="U1302" s="16"/>
      <c r="V1302" s="16"/>
      <c r="W1302" s="12"/>
      <c r="Z1302" s="12"/>
      <c r="AA1302" s="16"/>
    </row>
    <row r="1303">
      <c r="A1303" s="8"/>
      <c r="C1303" s="12"/>
      <c r="D1303" s="12"/>
      <c r="E1303" s="12"/>
      <c r="F1303" s="12"/>
      <c r="G1303" s="12"/>
      <c r="H1303" s="12"/>
      <c r="I1303" s="12"/>
      <c r="J1303" s="12"/>
      <c r="S1303" s="12"/>
      <c r="T1303" s="12"/>
      <c r="U1303" s="16"/>
      <c r="V1303" s="16"/>
      <c r="W1303" s="12"/>
      <c r="Z1303" s="12"/>
      <c r="AA1303" s="16"/>
    </row>
    <row r="1304">
      <c r="A1304" s="8"/>
      <c r="C1304" s="12"/>
      <c r="D1304" s="12"/>
      <c r="E1304" s="12"/>
      <c r="F1304" s="12"/>
      <c r="G1304" s="12"/>
      <c r="H1304" s="12"/>
      <c r="I1304" s="12"/>
      <c r="J1304" s="12"/>
      <c r="S1304" s="12"/>
      <c r="T1304" s="12"/>
      <c r="U1304" s="16"/>
      <c r="V1304" s="16"/>
      <c r="W1304" s="12"/>
      <c r="Z1304" s="12"/>
      <c r="AA1304" s="16"/>
    </row>
    <row r="1305">
      <c r="A1305" s="8"/>
      <c r="C1305" s="12"/>
      <c r="D1305" s="12"/>
      <c r="E1305" s="12"/>
      <c r="F1305" s="12"/>
      <c r="G1305" s="12"/>
      <c r="H1305" s="12"/>
      <c r="I1305" s="12"/>
      <c r="J1305" s="12"/>
      <c r="S1305" s="12"/>
      <c r="T1305" s="12"/>
      <c r="U1305" s="16"/>
      <c r="V1305" s="16"/>
      <c r="W1305" s="12"/>
      <c r="Z1305" s="12"/>
      <c r="AA1305" s="16"/>
    </row>
    <row r="1306">
      <c r="A1306" s="8"/>
      <c r="C1306" s="12"/>
      <c r="D1306" s="12"/>
      <c r="E1306" s="12"/>
      <c r="F1306" s="12"/>
      <c r="G1306" s="12"/>
      <c r="H1306" s="12"/>
      <c r="I1306" s="12"/>
      <c r="J1306" s="12"/>
      <c r="S1306" s="12"/>
      <c r="T1306" s="12"/>
      <c r="U1306" s="16"/>
      <c r="V1306" s="16"/>
      <c r="W1306" s="12"/>
      <c r="Z1306" s="12"/>
      <c r="AA1306" s="16"/>
    </row>
    <row r="1307">
      <c r="A1307" s="8"/>
      <c r="C1307" s="12"/>
      <c r="D1307" s="12"/>
      <c r="E1307" s="12"/>
      <c r="F1307" s="12"/>
      <c r="G1307" s="12"/>
      <c r="H1307" s="12"/>
      <c r="I1307" s="12"/>
      <c r="J1307" s="12"/>
      <c r="S1307" s="12"/>
      <c r="T1307" s="12"/>
      <c r="U1307" s="16"/>
      <c r="V1307" s="16"/>
      <c r="W1307" s="12"/>
      <c r="Z1307" s="12"/>
      <c r="AA1307" s="16"/>
    </row>
    <row r="1308">
      <c r="A1308" s="8"/>
      <c r="C1308" s="12"/>
      <c r="D1308" s="12"/>
      <c r="E1308" s="12"/>
      <c r="F1308" s="12"/>
      <c r="G1308" s="12"/>
      <c r="H1308" s="12"/>
      <c r="I1308" s="12"/>
      <c r="J1308" s="12"/>
      <c r="S1308" s="12"/>
      <c r="T1308" s="12"/>
      <c r="U1308" s="16"/>
      <c r="V1308" s="16"/>
      <c r="W1308" s="12"/>
      <c r="Z1308" s="12"/>
      <c r="AA1308" s="16"/>
    </row>
    <row r="1309">
      <c r="A1309" s="8"/>
      <c r="C1309" s="12"/>
      <c r="D1309" s="12"/>
      <c r="E1309" s="12"/>
      <c r="F1309" s="12"/>
      <c r="G1309" s="12"/>
      <c r="H1309" s="12"/>
      <c r="I1309" s="12"/>
      <c r="J1309" s="12"/>
      <c r="S1309" s="12"/>
      <c r="T1309" s="12"/>
      <c r="U1309" s="16"/>
      <c r="V1309" s="16"/>
      <c r="W1309" s="12"/>
      <c r="Z1309" s="12"/>
      <c r="AA1309" s="16"/>
    </row>
    <row r="1310">
      <c r="A1310" s="8"/>
      <c r="C1310" s="12"/>
      <c r="D1310" s="12"/>
      <c r="E1310" s="12"/>
      <c r="F1310" s="12"/>
      <c r="G1310" s="12"/>
      <c r="H1310" s="12"/>
      <c r="I1310" s="12"/>
      <c r="J1310" s="12"/>
      <c r="S1310" s="12"/>
      <c r="T1310" s="12"/>
      <c r="U1310" s="16"/>
      <c r="V1310" s="16"/>
      <c r="W1310" s="12"/>
      <c r="Z1310" s="12"/>
      <c r="AA1310" s="16"/>
    </row>
    <row r="1311">
      <c r="A1311" s="8"/>
      <c r="C1311" s="12"/>
      <c r="D1311" s="12"/>
      <c r="E1311" s="12"/>
      <c r="F1311" s="12"/>
      <c r="G1311" s="12"/>
      <c r="H1311" s="12"/>
      <c r="I1311" s="12"/>
      <c r="J1311" s="12"/>
      <c r="S1311" s="12"/>
      <c r="T1311" s="12"/>
      <c r="U1311" s="16"/>
      <c r="V1311" s="16"/>
      <c r="W1311" s="12"/>
      <c r="Z1311" s="12"/>
      <c r="AA1311" s="16"/>
    </row>
    <row r="1312">
      <c r="A1312" s="8"/>
      <c r="C1312" s="12"/>
      <c r="D1312" s="12"/>
      <c r="E1312" s="12"/>
      <c r="F1312" s="12"/>
      <c r="G1312" s="12"/>
      <c r="H1312" s="12"/>
      <c r="I1312" s="12"/>
      <c r="J1312" s="12"/>
      <c r="S1312" s="12"/>
      <c r="T1312" s="12"/>
      <c r="U1312" s="16"/>
      <c r="V1312" s="16"/>
      <c r="W1312" s="12"/>
      <c r="Z1312" s="12"/>
      <c r="AA1312" s="16"/>
    </row>
    <row r="1313">
      <c r="A1313" s="8"/>
      <c r="C1313" s="12"/>
      <c r="D1313" s="12"/>
      <c r="E1313" s="12"/>
      <c r="F1313" s="12"/>
      <c r="G1313" s="12"/>
      <c r="H1313" s="12"/>
      <c r="I1313" s="12"/>
      <c r="J1313" s="12"/>
      <c r="S1313" s="12"/>
      <c r="T1313" s="12"/>
      <c r="U1313" s="16"/>
      <c r="V1313" s="16"/>
      <c r="W1313" s="12"/>
      <c r="Z1313" s="12"/>
      <c r="AA1313" s="16"/>
    </row>
    <row r="1314">
      <c r="A1314" s="8"/>
      <c r="C1314" s="12"/>
      <c r="D1314" s="12"/>
      <c r="E1314" s="12"/>
      <c r="F1314" s="12"/>
      <c r="G1314" s="12"/>
      <c r="H1314" s="12"/>
      <c r="I1314" s="12"/>
      <c r="J1314" s="12"/>
      <c r="S1314" s="12"/>
      <c r="T1314" s="12"/>
      <c r="U1314" s="16"/>
      <c r="V1314" s="16"/>
      <c r="W1314" s="12"/>
      <c r="Z1314" s="12"/>
      <c r="AA1314" s="16"/>
    </row>
    <row r="1315">
      <c r="A1315" s="8"/>
      <c r="C1315" s="12"/>
      <c r="D1315" s="12"/>
      <c r="E1315" s="12"/>
      <c r="F1315" s="12"/>
      <c r="G1315" s="12"/>
      <c r="H1315" s="12"/>
      <c r="I1315" s="12"/>
      <c r="J1315" s="12"/>
      <c r="S1315" s="12"/>
      <c r="T1315" s="12"/>
      <c r="U1315" s="16"/>
      <c r="V1315" s="16"/>
      <c r="W1315" s="12"/>
      <c r="Z1315" s="12"/>
      <c r="AA1315" s="16"/>
    </row>
    <row r="1316">
      <c r="A1316" s="8"/>
      <c r="C1316" s="12"/>
      <c r="D1316" s="12"/>
      <c r="E1316" s="12"/>
      <c r="F1316" s="12"/>
      <c r="G1316" s="12"/>
      <c r="H1316" s="12"/>
      <c r="I1316" s="12"/>
      <c r="J1316" s="12"/>
      <c r="S1316" s="12"/>
      <c r="T1316" s="12"/>
      <c r="U1316" s="16"/>
      <c r="V1316" s="16"/>
      <c r="W1316" s="12"/>
      <c r="Z1316" s="12"/>
      <c r="AA1316" s="16"/>
    </row>
    <row r="1317">
      <c r="A1317" s="8"/>
      <c r="C1317" s="12"/>
      <c r="D1317" s="12"/>
      <c r="E1317" s="12"/>
      <c r="F1317" s="12"/>
      <c r="G1317" s="12"/>
      <c r="H1317" s="12"/>
      <c r="I1317" s="12"/>
      <c r="J1317" s="12"/>
      <c r="S1317" s="12"/>
      <c r="T1317" s="12"/>
      <c r="U1317" s="16"/>
      <c r="V1317" s="16"/>
      <c r="W1317" s="12"/>
      <c r="Z1317" s="12"/>
      <c r="AA1317" s="16"/>
    </row>
    <row r="1318">
      <c r="A1318" s="8"/>
      <c r="C1318" s="12"/>
      <c r="D1318" s="12"/>
      <c r="E1318" s="12"/>
      <c r="F1318" s="12"/>
      <c r="G1318" s="12"/>
      <c r="H1318" s="12"/>
      <c r="I1318" s="12"/>
      <c r="J1318" s="12"/>
      <c r="S1318" s="12"/>
      <c r="T1318" s="12"/>
      <c r="U1318" s="16"/>
      <c r="V1318" s="16"/>
      <c r="W1318" s="12"/>
      <c r="Z1318" s="12"/>
      <c r="AA1318" s="16"/>
    </row>
    <row r="1319">
      <c r="A1319" s="8"/>
      <c r="C1319" s="12"/>
      <c r="D1319" s="12"/>
      <c r="E1319" s="12"/>
      <c r="F1319" s="12"/>
      <c r="G1319" s="12"/>
      <c r="H1319" s="12"/>
      <c r="I1319" s="12"/>
      <c r="J1319" s="12"/>
      <c r="S1319" s="12"/>
      <c r="T1319" s="12"/>
      <c r="U1319" s="16"/>
      <c r="V1319" s="16"/>
      <c r="W1319" s="12"/>
      <c r="Z1319" s="12"/>
      <c r="AA1319" s="16"/>
    </row>
    <row r="1320">
      <c r="A1320" s="8"/>
      <c r="C1320" s="12"/>
      <c r="D1320" s="12"/>
      <c r="E1320" s="12"/>
      <c r="F1320" s="12"/>
      <c r="G1320" s="12"/>
      <c r="H1320" s="12"/>
      <c r="I1320" s="12"/>
      <c r="J1320" s="12"/>
      <c r="S1320" s="12"/>
      <c r="T1320" s="12"/>
      <c r="U1320" s="16"/>
      <c r="V1320" s="16"/>
      <c r="W1320" s="12"/>
      <c r="Z1320" s="12"/>
      <c r="AA1320" s="16"/>
    </row>
    <row r="1321">
      <c r="A1321" s="8"/>
      <c r="C1321" s="12"/>
      <c r="D1321" s="12"/>
      <c r="E1321" s="12"/>
      <c r="F1321" s="12"/>
      <c r="G1321" s="12"/>
      <c r="H1321" s="12"/>
      <c r="I1321" s="12"/>
      <c r="J1321" s="12"/>
      <c r="S1321" s="12"/>
      <c r="T1321" s="12"/>
      <c r="U1321" s="16"/>
      <c r="V1321" s="16"/>
      <c r="W1321" s="12"/>
      <c r="Z1321" s="12"/>
      <c r="AA1321" s="16"/>
    </row>
    <row r="1322">
      <c r="A1322" s="8"/>
      <c r="C1322" s="12"/>
      <c r="D1322" s="12"/>
      <c r="E1322" s="12"/>
      <c r="F1322" s="12"/>
      <c r="G1322" s="12"/>
      <c r="H1322" s="12"/>
      <c r="I1322" s="12"/>
      <c r="J1322" s="12"/>
      <c r="S1322" s="12"/>
      <c r="T1322" s="12"/>
      <c r="U1322" s="16"/>
      <c r="V1322" s="16"/>
      <c r="W1322" s="12"/>
      <c r="Z1322" s="12"/>
      <c r="AA1322" s="16"/>
    </row>
    <row r="1323">
      <c r="A1323" s="8"/>
      <c r="C1323" s="12"/>
      <c r="D1323" s="12"/>
      <c r="E1323" s="12"/>
      <c r="F1323" s="12"/>
      <c r="G1323" s="12"/>
      <c r="H1323" s="12"/>
      <c r="I1323" s="12"/>
      <c r="J1323" s="12"/>
      <c r="S1323" s="12"/>
      <c r="T1323" s="12"/>
      <c r="U1323" s="16"/>
      <c r="V1323" s="16"/>
      <c r="W1323" s="12"/>
      <c r="Z1323" s="12"/>
      <c r="AA1323" s="16"/>
    </row>
    <row r="1324">
      <c r="A1324" s="8"/>
      <c r="C1324" s="12"/>
      <c r="D1324" s="12"/>
      <c r="E1324" s="12"/>
      <c r="F1324" s="12"/>
      <c r="G1324" s="12"/>
      <c r="H1324" s="12"/>
      <c r="I1324" s="12"/>
      <c r="J1324" s="12"/>
      <c r="S1324" s="12"/>
      <c r="T1324" s="12"/>
      <c r="U1324" s="16"/>
      <c r="V1324" s="16"/>
      <c r="W1324" s="12"/>
      <c r="Z1324" s="12"/>
      <c r="AA1324" s="16"/>
    </row>
    <row r="1325">
      <c r="A1325" s="8"/>
      <c r="C1325" s="12"/>
      <c r="D1325" s="12"/>
      <c r="E1325" s="12"/>
      <c r="F1325" s="12"/>
      <c r="G1325" s="12"/>
      <c r="H1325" s="12"/>
      <c r="I1325" s="12"/>
      <c r="J1325" s="12"/>
      <c r="S1325" s="12"/>
      <c r="T1325" s="12"/>
      <c r="U1325" s="16"/>
      <c r="V1325" s="16"/>
      <c r="W1325" s="12"/>
      <c r="Z1325" s="12"/>
      <c r="AA1325" s="16"/>
    </row>
    <row r="1326">
      <c r="A1326" s="8"/>
      <c r="C1326" s="12"/>
      <c r="D1326" s="12"/>
      <c r="E1326" s="12"/>
      <c r="F1326" s="12"/>
      <c r="G1326" s="12"/>
      <c r="H1326" s="12"/>
      <c r="I1326" s="12"/>
      <c r="J1326" s="12"/>
      <c r="S1326" s="12"/>
      <c r="T1326" s="12"/>
      <c r="U1326" s="16"/>
      <c r="V1326" s="16"/>
      <c r="W1326" s="12"/>
      <c r="Z1326" s="12"/>
      <c r="AA1326" s="16"/>
    </row>
    <row r="1327">
      <c r="A1327" s="8"/>
      <c r="C1327" s="12"/>
      <c r="D1327" s="12"/>
      <c r="E1327" s="12"/>
      <c r="F1327" s="12"/>
      <c r="G1327" s="12"/>
      <c r="H1327" s="12"/>
      <c r="I1327" s="12"/>
      <c r="J1327" s="12"/>
      <c r="S1327" s="12"/>
      <c r="T1327" s="12"/>
      <c r="U1327" s="16"/>
      <c r="V1327" s="16"/>
      <c r="W1327" s="12"/>
      <c r="Z1327" s="12"/>
      <c r="AA1327" s="16"/>
    </row>
    <row r="1328">
      <c r="A1328" s="8"/>
      <c r="C1328" s="12"/>
      <c r="D1328" s="12"/>
      <c r="E1328" s="12"/>
      <c r="F1328" s="12"/>
      <c r="G1328" s="12"/>
      <c r="H1328" s="12"/>
      <c r="I1328" s="12"/>
      <c r="J1328" s="12"/>
      <c r="S1328" s="12"/>
      <c r="T1328" s="12"/>
      <c r="U1328" s="16"/>
      <c r="V1328" s="16"/>
      <c r="W1328" s="12"/>
      <c r="Z1328" s="12"/>
      <c r="AA1328" s="16"/>
    </row>
    <row r="1329">
      <c r="A1329" s="8"/>
      <c r="C1329" s="12"/>
      <c r="D1329" s="12"/>
      <c r="E1329" s="12"/>
      <c r="F1329" s="12"/>
      <c r="G1329" s="12"/>
      <c r="H1329" s="12"/>
      <c r="I1329" s="12"/>
      <c r="J1329" s="12"/>
      <c r="S1329" s="12"/>
      <c r="T1329" s="12"/>
      <c r="U1329" s="16"/>
      <c r="V1329" s="16"/>
      <c r="W1329" s="12"/>
      <c r="Z1329" s="12"/>
      <c r="AA1329" s="16"/>
    </row>
    <row r="1330">
      <c r="A1330" s="8"/>
      <c r="C1330" s="12"/>
      <c r="D1330" s="12"/>
      <c r="E1330" s="12"/>
      <c r="F1330" s="12"/>
      <c r="G1330" s="12"/>
      <c r="H1330" s="12"/>
      <c r="I1330" s="12"/>
      <c r="J1330" s="12"/>
      <c r="S1330" s="12"/>
      <c r="T1330" s="12"/>
      <c r="U1330" s="16"/>
      <c r="V1330" s="16"/>
      <c r="W1330" s="12"/>
      <c r="Z1330" s="12"/>
      <c r="AA1330" s="16"/>
    </row>
    <row r="1331">
      <c r="A1331" s="8"/>
      <c r="C1331" s="12"/>
      <c r="D1331" s="12"/>
      <c r="E1331" s="12"/>
      <c r="F1331" s="12"/>
      <c r="G1331" s="12"/>
      <c r="H1331" s="12"/>
      <c r="I1331" s="12"/>
      <c r="J1331" s="12"/>
      <c r="S1331" s="12"/>
      <c r="T1331" s="12"/>
      <c r="U1331" s="16"/>
      <c r="V1331" s="16"/>
      <c r="W1331" s="12"/>
      <c r="Z1331" s="12"/>
      <c r="AA1331" s="16"/>
    </row>
    <row r="1332">
      <c r="A1332" s="8"/>
      <c r="C1332" s="12"/>
      <c r="D1332" s="12"/>
      <c r="E1332" s="12"/>
      <c r="F1332" s="12"/>
      <c r="G1332" s="12"/>
      <c r="H1332" s="12"/>
      <c r="I1332" s="12"/>
      <c r="J1332" s="12"/>
      <c r="S1332" s="12"/>
      <c r="T1332" s="12"/>
      <c r="U1332" s="16"/>
      <c r="V1332" s="16"/>
      <c r="W1332" s="12"/>
      <c r="Z1332" s="12"/>
      <c r="AA1332" s="16"/>
    </row>
    <row r="1333">
      <c r="A1333" s="8"/>
      <c r="C1333" s="12"/>
      <c r="D1333" s="12"/>
      <c r="E1333" s="12"/>
      <c r="F1333" s="12"/>
      <c r="G1333" s="12"/>
      <c r="H1333" s="12"/>
      <c r="I1333" s="12"/>
      <c r="J1333" s="12"/>
      <c r="S1333" s="12"/>
      <c r="T1333" s="12"/>
      <c r="U1333" s="16"/>
      <c r="V1333" s="16"/>
      <c r="W1333" s="12"/>
      <c r="Z1333" s="12"/>
      <c r="AA1333" s="16"/>
    </row>
    <row r="1334">
      <c r="A1334" s="8"/>
      <c r="C1334" s="12"/>
      <c r="D1334" s="12"/>
      <c r="E1334" s="12"/>
      <c r="F1334" s="12"/>
      <c r="G1334" s="12"/>
      <c r="H1334" s="12"/>
      <c r="I1334" s="12"/>
      <c r="J1334" s="12"/>
      <c r="S1334" s="12"/>
      <c r="T1334" s="12"/>
      <c r="U1334" s="16"/>
      <c r="V1334" s="16"/>
      <c r="W1334" s="12"/>
      <c r="Z1334" s="12"/>
      <c r="AA1334" s="16"/>
    </row>
    <row r="1335">
      <c r="A1335" s="8"/>
      <c r="C1335" s="12"/>
      <c r="D1335" s="12"/>
      <c r="E1335" s="12"/>
      <c r="F1335" s="12"/>
      <c r="G1335" s="12"/>
      <c r="H1335" s="12"/>
      <c r="I1335" s="12"/>
      <c r="J1335" s="12"/>
      <c r="S1335" s="12"/>
      <c r="T1335" s="12"/>
      <c r="U1335" s="16"/>
      <c r="V1335" s="16"/>
      <c r="W1335" s="12"/>
      <c r="Z1335" s="12"/>
      <c r="AA1335" s="16"/>
    </row>
    <row r="1336">
      <c r="A1336" s="8"/>
      <c r="C1336" s="12"/>
      <c r="D1336" s="12"/>
      <c r="E1336" s="12"/>
      <c r="F1336" s="12"/>
      <c r="G1336" s="12"/>
      <c r="H1336" s="12"/>
      <c r="I1336" s="12"/>
      <c r="J1336" s="12"/>
      <c r="S1336" s="12"/>
      <c r="T1336" s="12"/>
      <c r="U1336" s="16"/>
      <c r="V1336" s="16"/>
      <c r="W1336" s="12"/>
      <c r="Z1336" s="12"/>
      <c r="AA1336" s="16"/>
    </row>
    <row r="1337">
      <c r="A1337" s="8"/>
      <c r="C1337" s="12"/>
      <c r="D1337" s="12"/>
      <c r="E1337" s="12"/>
      <c r="F1337" s="12"/>
      <c r="G1337" s="12"/>
      <c r="H1337" s="12"/>
      <c r="I1337" s="12"/>
      <c r="J1337" s="12"/>
      <c r="S1337" s="12"/>
      <c r="T1337" s="12"/>
      <c r="U1337" s="16"/>
      <c r="V1337" s="16"/>
      <c r="W1337" s="12"/>
      <c r="Z1337" s="12"/>
      <c r="AA1337" s="16"/>
    </row>
    <row r="1338">
      <c r="A1338" s="8"/>
      <c r="C1338" s="12"/>
      <c r="D1338" s="12"/>
      <c r="E1338" s="12"/>
      <c r="F1338" s="12"/>
      <c r="G1338" s="12"/>
      <c r="H1338" s="12"/>
      <c r="I1338" s="12"/>
      <c r="J1338" s="12"/>
      <c r="S1338" s="12"/>
      <c r="T1338" s="12"/>
      <c r="U1338" s="16"/>
      <c r="V1338" s="16"/>
      <c r="W1338" s="12"/>
      <c r="Z1338" s="12"/>
      <c r="AA1338" s="16"/>
    </row>
    <row r="1339">
      <c r="A1339" s="8"/>
      <c r="C1339" s="12"/>
      <c r="D1339" s="12"/>
      <c r="E1339" s="12"/>
      <c r="F1339" s="12"/>
      <c r="G1339" s="12"/>
      <c r="H1339" s="12"/>
      <c r="I1339" s="12"/>
      <c r="J1339" s="12"/>
      <c r="S1339" s="12"/>
      <c r="T1339" s="12"/>
      <c r="U1339" s="16"/>
      <c r="V1339" s="16"/>
      <c r="W1339" s="12"/>
      <c r="Z1339" s="12"/>
      <c r="AA1339" s="16"/>
    </row>
    <row r="1340">
      <c r="A1340" s="8"/>
      <c r="C1340" s="12"/>
      <c r="D1340" s="12"/>
      <c r="E1340" s="12"/>
      <c r="F1340" s="12"/>
      <c r="G1340" s="12"/>
      <c r="H1340" s="12"/>
      <c r="I1340" s="12"/>
      <c r="J1340" s="12"/>
      <c r="S1340" s="12"/>
      <c r="T1340" s="12"/>
      <c r="U1340" s="16"/>
      <c r="V1340" s="16"/>
      <c r="W1340" s="12"/>
      <c r="Z1340" s="12"/>
      <c r="AA1340" s="16"/>
    </row>
    <row r="1341">
      <c r="A1341" s="8"/>
      <c r="C1341" s="12"/>
      <c r="D1341" s="12"/>
      <c r="E1341" s="12"/>
      <c r="F1341" s="12"/>
      <c r="G1341" s="12"/>
      <c r="H1341" s="12"/>
      <c r="I1341" s="12"/>
      <c r="J1341" s="12"/>
      <c r="S1341" s="12"/>
      <c r="T1341" s="12"/>
      <c r="U1341" s="16"/>
      <c r="V1341" s="16"/>
      <c r="W1341" s="12"/>
      <c r="Z1341" s="12"/>
      <c r="AA1341" s="16"/>
    </row>
    <row r="1342">
      <c r="A1342" s="8"/>
      <c r="C1342" s="12"/>
      <c r="D1342" s="12"/>
      <c r="E1342" s="12"/>
      <c r="F1342" s="12"/>
      <c r="G1342" s="12"/>
      <c r="H1342" s="12"/>
      <c r="I1342" s="12"/>
      <c r="J1342" s="12"/>
      <c r="S1342" s="12"/>
      <c r="T1342" s="12"/>
      <c r="U1342" s="16"/>
      <c r="V1342" s="16"/>
      <c r="W1342" s="12"/>
      <c r="Z1342" s="12"/>
      <c r="AA1342" s="16"/>
    </row>
    <row r="1343">
      <c r="A1343" s="8"/>
      <c r="C1343" s="12"/>
      <c r="D1343" s="12"/>
      <c r="E1343" s="12"/>
      <c r="F1343" s="12"/>
      <c r="G1343" s="12"/>
      <c r="H1343" s="12"/>
      <c r="I1343" s="12"/>
      <c r="J1343" s="12"/>
      <c r="S1343" s="12"/>
      <c r="T1343" s="12"/>
      <c r="U1343" s="16"/>
      <c r="V1343" s="16"/>
      <c r="W1343" s="12"/>
      <c r="Z1343" s="12"/>
      <c r="AA1343" s="16"/>
    </row>
    <row r="1344">
      <c r="A1344" s="8"/>
      <c r="C1344" s="12"/>
      <c r="D1344" s="12"/>
      <c r="E1344" s="12"/>
      <c r="F1344" s="12"/>
      <c r="G1344" s="12"/>
      <c r="H1344" s="12"/>
      <c r="I1344" s="12"/>
      <c r="J1344" s="12"/>
      <c r="S1344" s="12"/>
      <c r="T1344" s="12"/>
      <c r="U1344" s="16"/>
      <c r="V1344" s="16"/>
      <c r="W1344" s="12"/>
      <c r="Z1344" s="12"/>
      <c r="AA1344" s="16"/>
    </row>
    <row r="1345">
      <c r="A1345" s="8"/>
      <c r="C1345" s="12"/>
      <c r="D1345" s="12"/>
      <c r="E1345" s="12"/>
      <c r="F1345" s="12"/>
      <c r="G1345" s="12"/>
      <c r="H1345" s="12"/>
      <c r="I1345" s="12"/>
      <c r="J1345" s="12"/>
      <c r="S1345" s="12"/>
      <c r="T1345" s="12"/>
      <c r="U1345" s="16"/>
      <c r="V1345" s="16"/>
      <c r="W1345" s="12"/>
      <c r="Z1345" s="12"/>
      <c r="AA1345" s="16"/>
    </row>
    <row r="1346">
      <c r="A1346" s="8"/>
      <c r="C1346" s="12"/>
      <c r="D1346" s="12"/>
      <c r="E1346" s="12"/>
      <c r="F1346" s="12"/>
      <c r="G1346" s="12"/>
      <c r="H1346" s="12"/>
      <c r="I1346" s="12"/>
      <c r="J1346" s="12"/>
      <c r="S1346" s="12"/>
      <c r="T1346" s="12"/>
      <c r="U1346" s="16"/>
      <c r="V1346" s="16"/>
      <c r="W1346" s="12"/>
      <c r="Z1346" s="12"/>
      <c r="AA1346" s="16"/>
    </row>
    <row r="1347">
      <c r="A1347" s="8"/>
      <c r="C1347" s="12"/>
      <c r="D1347" s="12"/>
      <c r="E1347" s="12"/>
      <c r="F1347" s="12"/>
      <c r="G1347" s="12"/>
      <c r="H1347" s="12"/>
      <c r="I1347" s="12"/>
      <c r="J1347" s="12"/>
      <c r="S1347" s="12"/>
      <c r="T1347" s="12"/>
      <c r="U1347" s="16"/>
      <c r="V1347" s="16"/>
      <c r="W1347" s="12"/>
      <c r="Z1347" s="12"/>
      <c r="AA1347" s="16"/>
    </row>
    <row r="1348">
      <c r="A1348" s="8"/>
      <c r="C1348" s="12"/>
      <c r="D1348" s="12"/>
      <c r="E1348" s="12"/>
      <c r="F1348" s="12"/>
      <c r="G1348" s="12"/>
      <c r="H1348" s="12"/>
      <c r="I1348" s="12"/>
      <c r="J1348" s="12"/>
      <c r="S1348" s="12"/>
      <c r="T1348" s="12"/>
      <c r="U1348" s="16"/>
      <c r="V1348" s="16"/>
      <c r="W1348" s="12"/>
      <c r="Z1348" s="12"/>
      <c r="AA1348" s="16"/>
    </row>
    <row r="1349">
      <c r="A1349" s="8"/>
      <c r="C1349" s="12"/>
      <c r="D1349" s="12"/>
      <c r="E1349" s="12"/>
      <c r="F1349" s="12"/>
      <c r="G1349" s="12"/>
      <c r="H1349" s="12"/>
      <c r="I1349" s="12"/>
      <c r="J1349" s="12"/>
      <c r="S1349" s="12"/>
      <c r="T1349" s="12"/>
      <c r="U1349" s="16"/>
      <c r="V1349" s="16"/>
      <c r="W1349" s="12"/>
      <c r="Z1349" s="12"/>
      <c r="AA1349" s="16"/>
    </row>
    <row r="1350">
      <c r="A1350" s="8"/>
      <c r="C1350" s="12"/>
      <c r="D1350" s="12"/>
      <c r="E1350" s="12"/>
      <c r="F1350" s="12"/>
      <c r="G1350" s="12"/>
      <c r="H1350" s="12"/>
      <c r="I1350" s="12"/>
      <c r="J1350" s="12"/>
      <c r="S1350" s="12"/>
      <c r="T1350" s="12"/>
      <c r="U1350" s="16"/>
      <c r="V1350" s="16"/>
      <c r="W1350" s="12"/>
      <c r="Z1350" s="12"/>
      <c r="AA1350" s="16"/>
    </row>
    <row r="1351">
      <c r="A1351" s="8"/>
      <c r="C1351" s="12"/>
      <c r="D1351" s="12"/>
      <c r="E1351" s="12"/>
      <c r="F1351" s="12"/>
      <c r="G1351" s="12"/>
      <c r="H1351" s="12"/>
      <c r="I1351" s="12"/>
      <c r="J1351" s="12"/>
      <c r="S1351" s="12"/>
      <c r="T1351" s="12"/>
      <c r="U1351" s="16"/>
      <c r="V1351" s="16"/>
      <c r="W1351" s="12"/>
      <c r="Z1351" s="12"/>
      <c r="AA1351" s="16"/>
    </row>
    <row r="1352">
      <c r="A1352" s="8"/>
      <c r="C1352" s="12"/>
      <c r="D1352" s="12"/>
      <c r="E1352" s="12"/>
      <c r="F1352" s="12"/>
      <c r="G1352" s="12"/>
      <c r="H1352" s="12"/>
      <c r="I1352" s="12"/>
      <c r="J1352" s="12"/>
      <c r="S1352" s="12"/>
      <c r="T1352" s="12"/>
      <c r="U1352" s="16"/>
      <c r="V1352" s="16"/>
      <c r="W1352" s="12"/>
      <c r="Z1352" s="12"/>
      <c r="AA1352" s="16"/>
    </row>
    <row r="1353">
      <c r="A1353" s="8"/>
      <c r="C1353" s="12"/>
      <c r="D1353" s="12"/>
      <c r="E1353" s="12"/>
      <c r="F1353" s="12"/>
      <c r="G1353" s="12"/>
      <c r="H1353" s="12"/>
      <c r="I1353" s="12"/>
      <c r="J1353" s="12"/>
      <c r="S1353" s="12"/>
      <c r="T1353" s="12"/>
      <c r="U1353" s="16"/>
      <c r="V1353" s="16"/>
      <c r="W1353" s="12"/>
      <c r="Z1353" s="12"/>
      <c r="AA1353" s="16"/>
    </row>
    <row r="1354">
      <c r="A1354" s="8"/>
      <c r="C1354" s="12"/>
      <c r="D1354" s="12"/>
      <c r="E1354" s="12"/>
      <c r="F1354" s="12"/>
      <c r="G1354" s="12"/>
      <c r="H1354" s="12"/>
      <c r="I1354" s="12"/>
      <c r="J1354" s="12"/>
      <c r="S1354" s="12"/>
      <c r="T1354" s="12"/>
      <c r="U1354" s="16"/>
      <c r="V1354" s="16"/>
      <c r="W1354" s="12"/>
      <c r="Z1354" s="12"/>
      <c r="AA1354" s="16"/>
    </row>
    <row r="1355">
      <c r="A1355" s="8"/>
      <c r="C1355" s="12"/>
      <c r="D1355" s="12"/>
      <c r="E1355" s="12"/>
      <c r="F1355" s="12"/>
      <c r="G1355" s="12"/>
      <c r="H1355" s="12"/>
      <c r="I1355" s="12"/>
      <c r="J1355" s="12"/>
      <c r="S1355" s="12"/>
      <c r="T1355" s="12"/>
      <c r="U1355" s="16"/>
      <c r="V1355" s="16"/>
      <c r="W1355" s="12"/>
      <c r="Z1355" s="12"/>
      <c r="AA1355" s="16"/>
    </row>
    <row r="1356">
      <c r="A1356" s="8"/>
      <c r="C1356" s="12"/>
      <c r="D1356" s="12"/>
      <c r="E1356" s="12"/>
      <c r="F1356" s="12"/>
      <c r="G1356" s="12"/>
      <c r="H1356" s="12"/>
      <c r="I1356" s="12"/>
      <c r="J1356" s="12"/>
      <c r="S1356" s="12"/>
      <c r="T1356" s="12"/>
      <c r="U1356" s="16"/>
      <c r="V1356" s="16"/>
      <c r="W1356" s="12"/>
      <c r="Z1356" s="12"/>
      <c r="AA1356" s="16"/>
    </row>
    <row r="1357">
      <c r="A1357" s="8"/>
      <c r="C1357" s="12"/>
      <c r="D1357" s="12"/>
      <c r="E1357" s="12"/>
      <c r="F1357" s="12"/>
      <c r="G1357" s="12"/>
      <c r="H1357" s="12"/>
      <c r="I1357" s="12"/>
      <c r="J1357" s="12"/>
      <c r="S1357" s="12"/>
      <c r="T1357" s="12"/>
      <c r="U1357" s="16"/>
      <c r="V1357" s="16"/>
      <c r="W1357" s="12"/>
      <c r="Z1357" s="12"/>
      <c r="AA1357" s="16"/>
    </row>
    <row r="1358">
      <c r="A1358" s="8"/>
      <c r="C1358" s="12"/>
      <c r="D1358" s="12"/>
      <c r="E1358" s="12"/>
      <c r="F1358" s="12"/>
      <c r="G1358" s="12"/>
      <c r="H1358" s="12"/>
      <c r="I1358" s="12"/>
      <c r="J1358" s="12"/>
      <c r="S1358" s="12"/>
      <c r="T1358" s="12"/>
      <c r="U1358" s="16"/>
      <c r="V1358" s="16"/>
      <c r="W1358" s="12"/>
      <c r="Z1358" s="12"/>
      <c r="AA1358" s="16"/>
    </row>
    <row r="1359">
      <c r="A1359" s="8"/>
      <c r="C1359" s="12"/>
      <c r="D1359" s="12"/>
      <c r="E1359" s="12"/>
      <c r="F1359" s="12"/>
      <c r="G1359" s="12"/>
      <c r="H1359" s="12"/>
      <c r="I1359" s="12"/>
      <c r="J1359" s="12"/>
      <c r="S1359" s="12"/>
      <c r="T1359" s="12"/>
      <c r="U1359" s="16"/>
      <c r="V1359" s="16"/>
      <c r="W1359" s="12"/>
      <c r="Z1359" s="12"/>
      <c r="AA1359" s="16"/>
    </row>
    <row r="1360">
      <c r="A1360" s="8"/>
      <c r="C1360" s="12"/>
      <c r="D1360" s="12"/>
      <c r="E1360" s="12"/>
      <c r="F1360" s="12"/>
      <c r="G1360" s="12"/>
      <c r="H1360" s="12"/>
      <c r="I1360" s="12"/>
      <c r="J1360" s="12"/>
      <c r="S1360" s="12"/>
      <c r="T1360" s="12"/>
      <c r="U1360" s="16"/>
      <c r="V1360" s="16"/>
      <c r="W1360" s="12"/>
      <c r="Z1360" s="12"/>
      <c r="AA1360" s="16"/>
    </row>
    <row r="1361">
      <c r="A1361" s="8"/>
      <c r="C1361" s="12"/>
      <c r="D1361" s="12"/>
      <c r="E1361" s="12"/>
      <c r="F1361" s="12"/>
      <c r="G1361" s="12"/>
      <c r="H1361" s="12"/>
      <c r="I1361" s="12"/>
      <c r="J1361" s="12"/>
      <c r="S1361" s="12"/>
      <c r="T1361" s="12"/>
      <c r="U1361" s="16"/>
      <c r="V1361" s="16"/>
      <c r="W1361" s="12"/>
      <c r="Z1361" s="12"/>
      <c r="AA1361" s="16"/>
    </row>
    <row r="1362">
      <c r="A1362" s="8"/>
      <c r="C1362" s="12"/>
      <c r="D1362" s="12"/>
      <c r="E1362" s="12"/>
      <c r="F1362" s="12"/>
      <c r="G1362" s="12"/>
      <c r="H1362" s="12"/>
      <c r="I1362" s="12"/>
      <c r="J1362" s="12"/>
      <c r="S1362" s="12"/>
      <c r="T1362" s="12"/>
      <c r="U1362" s="16"/>
      <c r="V1362" s="16"/>
      <c r="W1362" s="12"/>
      <c r="Z1362" s="12"/>
      <c r="AA1362" s="16"/>
    </row>
    <row r="1363">
      <c r="A1363" s="8"/>
      <c r="C1363" s="12"/>
      <c r="D1363" s="12"/>
      <c r="E1363" s="12"/>
      <c r="F1363" s="12"/>
      <c r="G1363" s="12"/>
      <c r="H1363" s="12"/>
      <c r="I1363" s="12"/>
      <c r="J1363" s="12"/>
      <c r="S1363" s="12"/>
      <c r="T1363" s="12"/>
      <c r="U1363" s="16"/>
      <c r="V1363" s="16"/>
      <c r="W1363" s="12"/>
      <c r="Z1363" s="12"/>
      <c r="AA1363" s="16"/>
    </row>
    <row r="1364">
      <c r="A1364" s="8"/>
      <c r="C1364" s="12"/>
      <c r="D1364" s="12"/>
      <c r="E1364" s="12"/>
      <c r="F1364" s="12"/>
      <c r="G1364" s="12"/>
      <c r="H1364" s="12"/>
      <c r="I1364" s="12"/>
      <c r="J1364" s="12"/>
      <c r="S1364" s="12"/>
      <c r="T1364" s="12"/>
      <c r="U1364" s="16"/>
      <c r="V1364" s="16"/>
      <c r="W1364" s="12"/>
      <c r="Z1364" s="12"/>
      <c r="AA1364" s="16"/>
    </row>
    <row r="1365">
      <c r="A1365" s="8"/>
      <c r="C1365" s="12"/>
      <c r="D1365" s="12"/>
      <c r="E1365" s="12"/>
      <c r="F1365" s="12"/>
      <c r="G1365" s="12"/>
      <c r="H1365" s="12"/>
      <c r="I1365" s="12"/>
      <c r="J1365" s="12"/>
      <c r="S1365" s="12"/>
      <c r="T1365" s="12"/>
      <c r="U1365" s="16"/>
      <c r="V1365" s="16"/>
      <c r="W1365" s="12"/>
      <c r="Z1365" s="12"/>
      <c r="AA1365" s="16"/>
    </row>
    <row r="1366">
      <c r="A1366" s="8"/>
      <c r="C1366" s="12"/>
      <c r="D1366" s="12"/>
      <c r="E1366" s="12"/>
      <c r="F1366" s="12"/>
      <c r="G1366" s="12"/>
      <c r="H1366" s="12"/>
      <c r="I1366" s="12"/>
      <c r="J1366" s="12"/>
      <c r="S1366" s="12"/>
      <c r="T1366" s="12"/>
      <c r="U1366" s="16"/>
      <c r="V1366" s="16"/>
      <c r="W1366" s="12"/>
      <c r="Z1366" s="12"/>
      <c r="AA1366" s="16"/>
    </row>
    <row r="1367">
      <c r="A1367" s="8"/>
      <c r="C1367" s="12"/>
      <c r="D1367" s="12"/>
      <c r="E1367" s="12"/>
      <c r="F1367" s="12"/>
      <c r="G1367" s="12"/>
      <c r="H1367" s="12"/>
      <c r="I1367" s="12"/>
      <c r="J1367" s="12"/>
      <c r="S1367" s="12"/>
      <c r="T1367" s="12"/>
      <c r="U1367" s="16"/>
      <c r="V1367" s="16"/>
      <c r="W1367" s="12"/>
      <c r="Z1367" s="12"/>
      <c r="AA1367" s="16"/>
    </row>
    <row r="1368">
      <c r="A1368" s="8"/>
      <c r="C1368" s="12"/>
      <c r="D1368" s="12"/>
      <c r="E1368" s="12"/>
      <c r="F1368" s="12"/>
      <c r="G1368" s="12"/>
      <c r="H1368" s="12"/>
      <c r="I1368" s="12"/>
      <c r="J1368" s="12"/>
      <c r="S1368" s="12"/>
      <c r="T1368" s="12"/>
      <c r="U1368" s="16"/>
      <c r="V1368" s="16"/>
      <c r="W1368" s="12"/>
      <c r="Z1368" s="12"/>
      <c r="AA1368" s="16"/>
    </row>
    <row r="1369">
      <c r="A1369" s="8"/>
      <c r="C1369" s="12"/>
      <c r="D1369" s="12"/>
      <c r="E1369" s="12"/>
      <c r="F1369" s="12"/>
      <c r="G1369" s="12"/>
      <c r="H1369" s="12"/>
      <c r="I1369" s="12"/>
      <c r="J1369" s="12"/>
      <c r="S1369" s="12"/>
      <c r="T1369" s="12"/>
      <c r="U1369" s="16"/>
      <c r="V1369" s="16"/>
      <c r="W1369" s="12"/>
      <c r="Z1369" s="12"/>
      <c r="AA1369" s="16"/>
    </row>
    <row r="1370">
      <c r="A1370" s="8"/>
      <c r="C1370" s="12"/>
      <c r="D1370" s="12"/>
      <c r="E1370" s="12"/>
      <c r="F1370" s="12"/>
      <c r="G1370" s="12"/>
      <c r="H1370" s="12"/>
      <c r="I1370" s="12"/>
      <c r="J1370" s="12"/>
      <c r="S1370" s="12"/>
      <c r="T1370" s="12"/>
      <c r="U1370" s="16"/>
      <c r="V1370" s="16"/>
      <c r="W1370" s="12"/>
      <c r="Z1370" s="12"/>
      <c r="AA1370" s="16"/>
    </row>
    <row r="1371">
      <c r="A1371" s="8"/>
      <c r="C1371" s="12"/>
      <c r="D1371" s="12"/>
      <c r="E1371" s="12"/>
      <c r="F1371" s="12"/>
      <c r="G1371" s="12"/>
      <c r="H1371" s="12"/>
      <c r="I1371" s="12"/>
      <c r="J1371" s="12"/>
      <c r="S1371" s="12"/>
      <c r="T1371" s="12"/>
      <c r="U1371" s="16"/>
      <c r="V1371" s="16"/>
      <c r="W1371" s="12"/>
      <c r="Z1371" s="12"/>
      <c r="AA1371" s="16"/>
    </row>
    <row r="1372">
      <c r="A1372" s="8"/>
      <c r="C1372" s="12"/>
      <c r="D1372" s="12"/>
      <c r="E1372" s="12"/>
      <c r="F1372" s="12"/>
      <c r="G1372" s="12"/>
      <c r="H1372" s="12"/>
      <c r="I1372" s="12"/>
      <c r="J1372" s="12"/>
      <c r="S1372" s="12"/>
      <c r="T1372" s="12"/>
      <c r="U1372" s="16"/>
      <c r="V1372" s="16"/>
      <c r="W1372" s="12"/>
      <c r="Z1372" s="12"/>
      <c r="AA1372" s="16"/>
    </row>
    <row r="1373">
      <c r="A1373" s="8"/>
      <c r="C1373" s="12"/>
      <c r="D1373" s="12"/>
      <c r="E1373" s="12"/>
      <c r="F1373" s="12"/>
      <c r="G1373" s="12"/>
      <c r="H1373" s="12"/>
      <c r="I1373" s="12"/>
      <c r="J1373" s="12"/>
      <c r="S1373" s="12"/>
      <c r="T1373" s="12"/>
      <c r="U1373" s="16"/>
      <c r="V1373" s="16"/>
      <c r="W1373" s="12"/>
      <c r="Z1373" s="12"/>
      <c r="AA1373" s="16"/>
    </row>
    <row r="1374">
      <c r="A1374" s="8"/>
      <c r="C1374" s="12"/>
      <c r="D1374" s="12"/>
      <c r="E1374" s="12"/>
      <c r="F1374" s="12"/>
      <c r="G1374" s="12"/>
      <c r="H1374" s="12"/>
      <c r="I1374" s="12"/>
      <c r="J1374" s="12"/>
      <c r="S1374" s="12"/>
      <c r="T1374" s="12"/>
      <c r="U1374" s="16"/>
      <c r="V1374" s="16"/>
      <c r="W1374" s="12"/>
      <c r="Z1374" s="12"/>
      <c r="AA1374" s="16"/>
    </row>
    <row r="1375">
      <c r="A1375" s="8"/>
      <c r="C1375" s="12"/>
      <c r="D1375" s="12"/>
      <c r="E1375" s="12"/>
      <c r="F1375" s="12"/>
      <c r="G1375" s="12"/>
      <c r="H1375" s="12"/>
      <c r="I1375" s="12"/>
      <c r="J1375" s="12"/>
      <c r="S1375" s="12"/>
      <c r="T1375" s="12"/>
      <c r="U1375" s="16"/>
      <c r="V1375" s="16"/>
      <c r="W1375" s="12"/>
      <c r="Z1375" s="12"/>
      <c r="AA1375" s="16"/>
    </row>
    <row r="1376">
      <c r="A1376" s="8"/>
      <c r="C1376" s="12"/>
      <c r="D1376" s="12"/>
      <c r="E1376" s="12"/>
      <c r="F1376" s="12"/>
      <c r="G1376" s="12"/>
      <c r="H1376" s="12"/>
      <c r="I1376" s="12"/>
      <c r="J1376" s="12"/>
      <c r="S1376" s="12"/>
      <c r="T1376" s="12"/>
      <c r="U1376" s="16"/>
      <c r="V1376" s="16"/>
      <c r="W1376" s="12"/>
      <c r="Z1376" s="12"/>
      <c r="AA1376" s="16"/>
    </row>
    <row r="1377">
      <c r="A1377" s="8"/>
      <c r="C1377" s="12"/>
      <c r="D1377" s="12"/>
      <c r="E1377" s="12"/>
      <c r="F1377" s="12"/>
      <c r="G1377" s="12"/>
      <c r="H1377" s="12"/>
      <c r="I1377" s="12"/>
      <c r="J1377" s="12"/>
      <c r="S1377" s="12"/>
      <c r="T1377" s="12"/>
      <c r="U1377" s="16"/>
      <c r="V1377" s="16"/>
      <c r="W1377" s="12"/>
      <c r="Z1377" s="12"/>
      <c r="AA1377" s="16"/>
    </row>
    <row r="1378">
      <c r="A1378" s="8"/>
      <c r="C1378" s="12"/>
      <c r="D1378" s="12"/>
      <c r="E1378" s="12"/>
      <c r="F1378" s="12"/>
      <c r="G1378" s="12"/>
      <c r="H1378" s="12"/>
      <c r="I1378" s="12"/>
      <c r="J1378" s="12"/>
      <c r="S1378" s="12"/>
      <c r="T1378" s="12"/>
      <c r="U1378" s="16"/>
      <c r="V1378" s="16"/>
      <c r="W1378" s="12"/>
      <c r="Z1378" s="12"/>
      <c r="AA1378" s="16"/>
    </row>
    <row r="1379">
      <c r="A1379" s="8"/>
      <c r="C1379" s="12"/>
      <c r="D1379" s="12"/>
      <c r="E1379" s="12"/>
      <c r="F1379" s="12"/>
      <c r="G1379" s="12"/>
      <c r="H1379" s="12"/>
      <c r="I1379" s="12"/>
      <c r="J1379" s="12"/>
      <c r="S1379" s="12"/>
      <c r="T1379" s="12"/>
      <c r="U1379" s="16"/>
      <c r="V1379" s="16"/>
      <c r="W1379" s="12"/>
      <c r="Z1379" s="12"/>
      <c r="AA1379" s="16"/>
    </row>
    <row r="1380">
      <c r="A1380" s="8"/>
      <c r="C1380" s="12"/>
      <c r="D1380" s="12"/>
      <c r="E1380" s="12"/>
      <c r="F1380" s="12"/>
      <c r="G1380" s="12"/>
      <c r="H1380" s="12"/>
      <c r="I1380" s="12"/>
      <c r="J1380" s="12"/>
      <c r="S1380" s="12"/>
      <c r="T1380" s="12"/>
      <c r="U1380" s="16"/>
      <c r="V1380" s="16"/>
      <c r="W1380" s="12"/>
      <c r="Z1380" s="12"/>
      <c r="AA1380" s="16"/>
    </row>
    <row r="1381">
      <c r="A1381" s="8"/>
      <c r="C1381" s="12"/>
      <c r="D1381" s="12"/>
      <c r="E1381" s="12"/>
      <c r="F1381" s="12"/>
      <c r="G1381" s="12"/>
      <c r="H1381" s="12"/>
      <c r="I1381" s="12"/>
      <c r="J1381" s="12"/>
      <c r="S1381" s="12"/>
      <c r="T1381" s="12"/>
      <c r="U1381" s="16"/>
      <c r="V1381" s="16"/>
      <c r="W1381" s="12"/>
      <c r="Z1381" s="12"/>
      <c r="AA1381" s="16"/>
    </row>
    <row r="1382">
      <c r="A1382" s="8"/>
      <c r="C1382" s="12"/>
      <c r="D1382" s="12"/>
      <c r="E1382" s="12"/>
      <c r="F1382" s="12"/>
      <c r="G1382" s="12"/>
      <c r="H1382" s="12"/>
      <c r="I1382" s="12"/>
      <c r="J1382" s="12"/>
      <c r="S1382" s="12"/>
      <c r="T1382" s="12"/>
      <c r="U1382" s="16"/>
      <c r="V1382" s="16"/>
      <c r="W1382" s="12"/>
      <c r="Z1382" s="12"/>
      <c r="AA1382" s="16"/>
    </row>
    <row r="1383">
      <c r="A1383" s="8"/>
      <c r="C1383" s="12"/>
      <c r="D1383" s="12"/>
      <c r="E1383" s="12"/>
      <c r="F1383" s="12"/>
      <c r="G1383" s="12"/>
      <c r="H1383" s="12"/>
      <c r="I1383" s="12"/>
      <c r="J1383" s="12"/>
      <c r="S1383" s="12"/>
      <c r="T1383" s="12"/>
      <c r="U1383" s="16"/>
      <c r="V1383" s="16"/>
      <c r="W1383" s="12"/>
      <c r="Z1383" s="12"/>
      <c r="AA1383" s="16"/>
    </row>
    <row r="1384">
      <c r="A1384" s="8"/>
      <c r="C1384" s="12"/>
      <c r="D1384" s="12"/>
      <c r="E1384" s="12"/>
      <c r="F1384" s="12"/>
      <c r="G1384" s="12"/>
      <c r="H1384" s="12"/>
      <c r="I1384" s="12"/>
      <c r="J1384" s="12"/>
      <c r="S1384" s="12"/>
      <c r="T1384" s="12"/>
      <c r="U1384" s="16"/>
      <c r="V1384" s="16"/>
      <c r="W1384" s="12"/>
      <c r="Z1384" s="12"/>
      <c r="AA1384" s="16"/>
    </row>
    <row r="1385">
      <c r="A1385" s="8"/>
      <c r="C1385" s="12"/>
      <c r="D1385" s="12"/>
      <c r="E1385" s="12"/>
      <c r="F1385" s="12"/>
      <c r="G1385" s="12"/>
      <c r="H1385" s="12"/>
      <c r="I1385" s="12"/>
      <c r="J1385" s="12"/>
      <c r="S1385" s="12"/>
      <c r="T1385" s="12"/>
      <c r="U1385" s="16"/>
      <c r="V1385" s="16"/>
      <c r="W1385" s="12"/>
      <c r="Z1385" s="12"/>
      <c r="AA1385" s="16"/>
    </row>
    <row r="1386">
      <c r="A1386" s="8"/>
      <c r="C1386" s="12"/>
      <c r="D1386" s="12"/>
      <c r="E1386" s="12"/>
      <c r="F1386" s="12"/>
      <c r="G1386" s="12"/>
      <c r="H1386" s="12"/>
      <c r="I1386" s="12"/>
      <c r="J1386" s="12"/>
      <c r="S1386" s="12"/>
      <c r="T1386" s="12"/>
      <c r="U1386" s="16"/>
      <c r="V1386" s="16"/>
      <c r="W1386" s="12"/>
      <c r="Z1386" s="12"/>
      <c r="AA1386" s="16"/>
    </row>
    <row r="1387">
      <c r="A1387" s="8"/>
      <c r="C1387" s="12"/>
      <c r="D1387" s="12"/>
      <c r="E1387" s="12"/>
      <c r="F1387" s="12"/>
      <c r="G1387" s="12"/>
      <c r="H1387" s="12"/>
      <c r="I1387" s="12"/>
      <c r="J1387" s="12"/>
      <c r="S1387" s="12"/>
      <c r="T1387" s="12"/>
      <c r="U1387" s="16"/>
      <c r="V1387" s="16"/>
      <c r="W1387" s="12"/>
      <c r="Z1387" s="12"/>
      <c r="AA1387" s="16"/>
    </row>
    <row r="1388">
      <c r="A1388" s="8"/>
      <c r="C1388" s="12"/>
      <c r="D1388" s="12"/>
      <c r="E1388" s="12"/>
      <c r="F1388" s="12"/>
      <c r="G1388" s="12"/>
      <c r="H1388" s="12"/>
      <c r="I1388" s="12"/>
      <c r="J1388" s="12"/>
      <c r="S1388" s="12"/>
      <c r="T1388" s="12"/>
      <c r="U1388" s="16"/>
      <c r="V1388" s="16"/>
      <c r="W1388" s="12"/>
      <c r="Z1388" s="12"/>
      <c r="AA1388" s="16"/>
    </row>
    <row r="1389">
      <c r="A1389" s="8"/>
      <c r="C1389" s="12"/>
      <c r="D1389" s="12"/>
      <c r="E1389" s="12"/>
      <c r="F1389" s="12"/>
      <c r="G1389" s="12"/>
      <c r="H1389" s="12"/>
      <c r="I1389" s="12"/>
      <c r="J1389" s="12"/>
      <c r="S1389" s="12"/>
      <c r="T1389" s="12"/>
      <c r="U1389" s="16"/>
      <c r="V1389" s="16"/>
      <c r="W1389" s="12"/>
      <c r="Z1389" s="12"/>
      <c r="AA1389" s="16"/>
    </row>
    <row r="1390">
      <c r="A1390" s="8"/>
      <c r="C1390" s="12"/>
      <c r="D1390" s="12"/>
      <c r="E1390" s="12"/>
      <c r="F1390" s="12"/>
      <c r="G1390" s="12"/>
      <c r="H1390" s="12"/>
      <c r="I1390" s="12"/>
      <c r="J1390" s="12"/>
      <c r="S1390" s="12"/>
      <c r="T1390" s="12"/>
      <c r="U1390" s="16"/>
      <c r="V1390" s="16"/>
      <c r="W1390" s="12"/>
      <c r="Z1390" s="12"/>
      <c r="AA1390" s="16"/>
    </row>
    <row r="1391">
      <c r="A1391" s="8"/>
      <c r="C1391" s="12"/>
      <c r="D1391" s="12"/>
      <c r="E1391" s="12"/>
      <c r="F1391" s="12"/>
      <c r="G1391" s="12"/>
      <c r="H1391" s="12"/>
      <c r="I1391" s="12"/>
      <c r="J1391" s="12"/>
      <c r="S1391" s="12"/>
      <c r="T1391" s="12"/>
      <c r="U1391" s="16"/>
      <c r="V1391" s="16"/>
      <c r="W1391" s="12"/>
      <c r="Z1391" s="12"/>
      <c r="AA1391" s="16"/>
    </row>
    <row r="1392">
      <c r="A1392" s="8"/>
      <c r="C1392" s="12"/>
      <c r="D1392" s="12"/>
      <c r="E1392" s="12"/>
      <c r="F1392" s="12"/>
      <c r="G1392" s="12"/>
      <c r="H1392" s="12"/>
      <c r="I1392" s="12"/>
      <c r="J1392" s="12"/>
      <c r="S1392" s="12"/>
      <c r="T1392" s="12"/>
      <c r="U1392" s="16"/>
      <c r="V1392" s="16"/>
      <c r="W1392" s="12"/>
      <c r="Z1392" s="12"/>
      <c r="AA1392" s="16"/>
    </row>
    <row r="1393">
      <c r="A1393" s="8"/>
      <c r="C1393" s="12"/>
      <c r="D1393" s="12"/>
      <c r="E1393" s="12"/>
      <c r="F1393" s="12"/>
      <c r="G1393" s="12"/>
      <c r="H1393" s="12"/>
      <c r="I1393" s="12"/>
      <c r="J1393" s="12"/>
      <c r="S1393" s="12"/>
      <c r="T1393" s="12"/>
      <c r="U1393" s="16"/>
      <c r="V1393" s="16"/>
      <c r="W1393" s="12"/>
      <c r="Z1393" s="12"/>
      <c r="AA1393" s="16"/>
    </row>
    <row r="1394">
      <c r="A1394" s="8"/>
      <c r="C1394" s="12"/>
      <c r="D1394" s="12"/>
      <c r="E1394" s="12"/>
      <c r="F1394" s="12"/>
      <c r="G1394" s="12"/>
      <c r="H1394" s="12"/>
      <c r="I1394" s="12"/>
      <c r="J1394" s="12"/>
      <c r="S1394" s="12"/>
      <c r="T1394" s="12"/>
      <c r="U1394" s="16"/>
      <c r="V1394" s="16"/>
      <c r="W1394" s="12"/>
      <c r="Z1394" s="12"/>
      <c r="AA1394" s="16"/>
    </row>
    <row r="1395">
      <c r="A1395" s="8"/>
      <c r="C1395" s="12"/>
      <c r="D1395" s="12"/>
      <c r="E1395" s="12"/>
      <c r="F1395" s="12"/>
      <c r="G1395" s="12"/>
      <c r="H1395" s="12"/>
      <c r="I1395" s="12"/>
      <c r="J1395" s="12"/>
      <c r="S1395" s="12"/>
      <c r="T1395" s="12"/>
      <c r="U1395" s="16"/>
      <c r="V1395" s="16"/>
      <c r="W1395" s="12"/>
      <c r="Z1395" s="12"/>
      <c r="AA1395" s="16"/>
    </row>
    <row r="1396">
      <c r="A1396" s="8"/>
      <c r="C1396" s="12"/>
      <c r="D1396" s="12"/>
      <c r="E1396" s="12"/>
      <c r="F1396" s="12"/>
      <c r="G1396" s="12"/>
      <c r="H1396" s="12"/>
      <c r="I1396" s="12"/>
      <c r="J1396" s="12"/>
      <c r="S1396" s="12"/>
      <c r="T1396" s="12"/>
      <c r="U1396" s="16"/>
      <c r="V1396" s="16"/>
      <c r="W1396" s="12"/>
      <c r="Z1396" s="12"/>
      <c r="AA1396" s="16"/>
    </row>
    <row r="1397">
      <c r="A1397" s="8"/>
      <c r="C1397" s="12"/>
      <c r="D1397" s="12"/>
      <c r="E1397" s="12"/>
      <c r="F1397" s="12"/>
      <c r="G1397" s="12"/>
      <c r="H1397" s="12"/>
      <c r="I1397" s="12"/>
      <c r="J1397" s="12"/>
      <c r="S1397" s="12"/>
      <c r="T1397" s="12"/>
      <c r="U1397" s="16"/>
      <c r="V1397" s="16"/>
      <c r="W1397" s="12"/>
      <c r="Z1397" s="12"/>
      <c r="AA1397" s="16"/>
    </row>
    <row r="1398">
      <c r="A1398" s="8"/>
      <c r="C1398" s="12"/>
      <c r="D1398" s="12"/>
      <c r="E1398" s="12"/>
      <c r="F1398" s="12"/>
      <c r="G1398" s="12"/>
      <c r="H1398" s="12"/>
      <c r="I1398" s="12"/>
      <c r="J1398" s="12"/>
      <c r="S1398" s="12"/>
      <c r="T1398" s="12"/>
      <c r="U1398" s="16"/>
      <c r="V1398" s="16"/>
      <c r="W1398" s="12"/>
      <c r="Z1398" s="12"/>
      <c r="AA1398" s="16"/>
    </row>
    <row r="1399">
      <c r="A1399" s="8"/>
      <c r="C1399" s="12"/>
      <c r="D1399" s="12"/>
      <c r="E1399" s="12"/>
      <c r="F1399" s="12"/>
      <c r="G1399" s="12"/>
      <c r="H1399" s="12"/>
      <c r="I1399" s="12"/>
      <c r="J1399" s="12"/>
      <c r="S1399" s="12"/>
      <c r="T1399" s="12"/>
      <c r="U1399" s="16"/>
      <c r="V1399" s="16"/>
      <c r="W1399" s="12"/>
      <c r="Z1399" s="12"/>
      <c r="AA1399" s="16"/>
    </row>
    <row r="1400">
      <c r="A1400" s="8"/>
      <c r="C1400" s="12"/>
      <c r="D1400" s="12"/>
      <c r="E1400" s="12"/>
      <c r="F1400" s="12"/>
      <c r="G1400" s="12"/>
      <c r="H1400" s="12"/>
      <c r="I1400" s="12"/>
      <c r="J1400" s="12"/>
      <c r="S1400" s="12"/>
      <c r="T1400" s="12"/>
      <c r="U1400" s="16"/>
      <c r="V1400" s="16"/>
      <c r="W1400" s="12"/>
      <c r="Z1400" s="12"/>
      <c r="AA1400" s="16"/>
    </row>
    <row r="1401">
      <c r="A1401" s="8"/>
      <c r="C1401" s="12"/>
      <c r="D1401" s="12"/>
      <c r="E1401" s="12"/>
      <c r="F1401" s="12"/>
      <c r="G1401" s="12"/>
      <c r="H1401" s="12"/>
      <c r="I1401" s="12"/>
      <c r="J1401" s="12"/>
      <c r="S1401" s="12"/>
      <c r="T1401" s="12"/>
      <c r="U1401" s="16"/>
      <c r="V1401" s="16"/>
      <c r="W1401" s="12"/>
      <c r="Z1401" s="12"/>
      <c r="AA1401" s="16"/>
    </row>
    <row r="1402">
      <c r="A1402" s="8"/>
      <c r="C1402" s="12"/>
      <c r="D1402" s="12"/>
      <c r="E1402" s="12"/>
      <c r="F1402" s="12"/>
      <c r="G1402" s="12"/>
      <c r="H1402" s="12"/>
      <c r="I1402" s="12"/>
      <c r="J1402" s="12"/>
      <c r="S1402" s="12"/>
      <c r="T1402" s="12"/>
      <c r="U1402" s="16"/>
      <c r="V1402" s="16"/>
      <c r="W1402" s="12"/>
      <c r="Z1402" s="12"/>
      <c r="AA1402" s="16"/>
    </row>
    <row r="1403">
      <c r="A1403" s="8"/>
      <c r="C1403" s="12"/>
      <c r="D1403" s="12"/>
      <c r="E1403" s="12"/>
      <c r="F1403" s="12"/>
      <c r="G1403" s="12"/>
      <c r="H1403" s="12"/>
      <c r="I1403" s="12"/>
      <c r="J1403" s="12"/>
      <c r="S1403" s="12"/>
      <c r="T1403" s="12"/>
      <c r="U1403" s="16"/>
      <c r="V1403" s="16"/>
      <c r="W1403" s="12"/>
      <c r="Z1403" s="12"/>
      <c r="AA1403" s="16"/>
    </row>
    <row r="1404">
      <c r="A1404" s="8"/>
      <c r="C1404" s="12"/>
      <c r="D1404" s="12"/>
      <c r="E1404" s="12"/>
      <c r="F1404" s="12"/>
      <c r="G1404" s="12"/>
      <c r="H1404" s="12"/>
      <c r="I1404" s="12"/>
      <c r="J1404" s="12"/>
      <c r="S1404" s="12"/>
      <c r="T1404" s="12"/>
      <c r="U1404" s="16"/>
      <c r="V1404" s="16"/>
      <c r="W1404" s="12"/>
      <c r="Z1404" s="12"/>
      <c r="AA1404" s="16"/>
    </row>
    <row r="1405">
      <c r="A1405" s="8"/>
      <c r="C1405" s="12"/>
      <c r="D1405" s="12"/>
      <c r="E1405" s="12"/>
      <c r="F1405" s="12"/>
      <c r="G1405" s="12"/>
      <c r="H1405" s="12"/>
      <c r="I1405" s="12"/>
      <c r="J1405" s="12"/>
      <c r="S1405" s="12"/>
      <c r="T1405" s="12"/>
      <c r="U1405" s="16"/>
      <c r="V1405" s="16"/>
      <c r="W1405" s="12"/>
      <c r="Z1405" s="12"/>
      <c r="AA1405" s="16"/>
    </row>
    <row r="1406">
      <c r="A1406" s="8"/>
      <c r="C1406" s="12"/>
      <c r="D1406" s="12"/>
      <c r="E1406" s="12"/>
      <c r="F1406" s="12"/>
      <c r="G1406" s="12"/>
      <c r="H1406" s="12"/>
      <c r="I1406" s="12"/>
      <c r="J1406" s="12"/>
      <c r="S1406" s="12"/>
      <c r="T1406" s="12"/>
      <c r="U1406" s="16"/>
      <c r="V1406" s="16"/>
      <c r="W1406" s="12"/>
      <c r="Z1406" s="12"/>
      <c r="AA1406" s="16"/>
    </row>
    <row r="1407">
      <c r="A1407" s="8"/>
      <c r="C1407" s="12"/>
      <c r="D1407" s="12"/>
      <c r="E1407" s="12"/>
      <c r="F1407" s="12"/>
      <c r="G1407" s="12"/>
      <c r="H1407" s="12"/>
      <c r="I1407" s="12"/>
      <c r="J1407" s="12"/>
      <c r="S1407" s="12"/>
      <c r="T1407" s="12"/>
      <c r="U1407" s="16"/>
      <c r="V1407" s="16"/>
      <c r="W1407" s="12"/>
      <c r="Z1407" s="12"/>
      <c r="AA1407" s="16"/>
    </row>
    <row r="1408">
      <c r="A1408" s="8"/>
      <c r="C1408" s="12"/>
      <c r="D1408" s="12"/>
      <c r="E1408" s="12"/>
      <c r="F1408" s="12"/>
      <c r="G1408" s="12"/>
      <c r="H1408" s="12"/>
      <c r="I1408" s="12"/>
      <c r="J1408" s="12"/>
      <c r="S1408" s="12"/>
      <c r="T1408" s="12"/>
      <c r="U1408" s="16"/>
      <c r="V1408" s="16"/>
      <c r="W1408" s="12"/>
      <c r="Z1408" s="12"/>
      <c r="AA1408" s="16"/>
    </row>
    <row r="1409">
      <c r="A1409" s="8"/>
      <c r="C1409" s="12"/>
      <c r="D1409" s="12"/>
      <c r="E1409" s="12"/>
      <c r="F1409" s="12"/>
      <c r="G1409" s="12"/>
      <c r="H1409" s="12"/>
      <c r="I1409" s="12"/>
      <c r="J1409" s="12"/>
      <c r="S1409" s="12"/>
      <c r="T1409" s="12"/>
      <c r="U1409" s="16"/>
      <c r="V1409" s="16"/>
      <c r="W1409" s="12"/>
      <c r="Z1409" s="12"/>
      <c r="AA1409" s="16"/>
    </row>
    <row r="1410">
      <c r="A1410" s="8"/>
      <c r="C1410" s="12"/>
      <c r="D1410" s="12"/>
      <c r="E1410" s="12"/>
      <c r="F1410" s="12"/>
      <c r="G1410" s="12"/>
      <c r="H1410" s="12"/>
      <c r="I1410" s="12"/>
      <c r="J1410" s="12"/>
      <c r="S1410" s="12"/>
      <c r="T1410" s="12"/>
      <c r="U1410" s="16"/>
      <c r="V1410" s="16"/>
      <c r="W1410" s="12"/>
      <c r="Z1410" s="12"/>
      <c r="AA1410" s="16"/>
    </row>
    <row r="1411">
      <c r="A1411" s="8"/>
      <c r="C1411" s="12"/>
      <c r="D1411" s="12"/>
      <c r="E1411" s="12"/>
      <c r="F1411" s="12"/>
      <c r="G1411" s="12"/>
      <c r="H1411" s="12"/>
      <c r="I1411" s="12"/>
      <c r="J1411" s="12"/>
      <c r="S1411" s="12"/>
      <c r="T1411" s="12"/>
      <c r="U1411" s="16"/>
      <c r="V1411" s="16"/>
      <c r="W1411" s="12"/>
      <c r="Z1411" s="12"/>
      <c r="AA1411" s="16"/>
    </row>
    <row r="1412">
      <c r="A1412" s="8"/>
      <c r="C1412" s="12"/>
      <c r="D1412" s="12"/>
      <c r="E1412" s="12"/>
      <c r="F1412" s="12"/>
      <c r="G1412" s="12"/>
      <c r="H1412" s="12"/>
      <c r="I1412" s="12"/>
      <c r="J1412" s="12"/>
      <c r="S1412" s="12"/>
      <c r="T1412" s="12"/>
      <c r="U1412" s="16"/>
      <c r="V1412" s="16"/>
      <c r="W1412" s="12"/>
      <c r="Z1412" s="12"/>
      <c r="AA1412" s="16"/>
    </row>
    <row r="1413">
      <c r="A1413" s="8"/>
      <c r="C1413" s="12"/>
      <c r="D1413" s="12"/>
      <c r="E1413" s="12"/>
      <c r="F1413" s="12"/>
      <c r="G1413" s="12"/>
      <c r="H1413" s="12"/>
      <c r="I1413" s="12"/>
      <c r="J1413" s="12"/>
      <c r="S1413" s="12"/>
      <c r="T1413" s="12"/>
      <c r="U1413" s="16"/>
      <c r="V1413" s="16"/>
      <c r="W1413" s="12"/>
      <c r="Z1413" s="12"/>
      <c r="AA1413" s="16"/>
    </row>
    <row r="1414">
      <c r="A1414" s="8"/>
      <c r="C1414" s="12"/>
      <c r="D1414" s="12"/>
      <c r="E1414" s="12"/>
      <c r="F1414" s="12"/>
      <c r="G1414" s="12"/>
      <c r="H1414" s="12"/>
      <c r="I1414" s="12"/>
      <c r="J1414" s="12"/>
      <c r="S1414" s="12"/>
      <c r="T1414" s="12"/>
      <c r="U1414" s="16"/>
      <c r="V1414" s="16"/>
      <c r="W1414" s="12"/>
      <c r="Z1414" s="12"/>
      <c r="AA1414" s="16"/>
    </row>
    <row r="1415">
      <c r="A1415" s="8"/>
      <c r="C1415" s="12"/>
      <c r="D1415" s="12"/>
      <c r="E1415" s="12"/>
      <c r="F1415" s="12"/>
      <c r="G1415" s="12"/>
      <c r="H1415" s="12"/>
      <c r="I1415" s="12"/>
      <c r="J1415" s="12"/>
      <c r="S1415" s="12"/>
      <c r="T1415" s="12"/>
      <c r="U1415" s="16"/>
      <c r="V1415" s="16"/>
      <c r="W1415" s="12"/>
      <c r="Z1415" s="12"/>
      <c r="AA1415" s="16"/>
    </row>
    <row r="1416">
      <c r="A1416" s="8"/>
      <c r="C1416" s="12"/>
      <c r="D1416" s="12"/>
      <c r="E1416" s="12"/>
      <c r="F1416" s="12"/>
      <c r="G1416" s="12"/>
      <c r="H1416" s="12"/>
      <c r="I1416" s="12"/>
      <c r="J1416" s="12"/>
      <c r="S1416" s="12"/>
      <c r="T1416" s="12"/>
      <c r="U1416" s="16"/>
      <c r="V1416" s="16"/>
      <c r="W1416" s="12"/>
      <c r="Z1416" s="12"/>
      <c r="AA1416" s="16"/>
    </row>
    <row r="1417">
      <c r="A1417" s="8"/>
      <c r="C1417" s="12"/>
      <c r="D1417" s="12"/>
      <c r="E1417" s="12"/>
      <c r="F1417" s="12"/>
      <c r="G1417" s="12"/>
      <c r="H1417" s="12"/>
      <c r="I1417" s="12"/>
      <c r="J1417" s="12"/>
      <c r="S1417" s="12"/>
      <c r="T1417" s="12"/>
      <c r="U1417" s="16"/>
      <c r="V1417" s="16"/>
      <c r="W1417" s="12"/>
      <c r="Z1417" s="12"/>
      <c r="AA1417" s="16"/>
    </row>
    <row r="1418">
      <c r="A1418" s="8"/>
      <c r="C1418" s="12"/>
      <c r="D1418" s="12"/>
      <c r="E1418" s="12"/>
      <c r="F1418" s="12"/>
      <c r="G1418" s="12"/>
      <c r="H1418" s="12"/>
      <c r="I1418" s="12"/>
      <c r="J1418" s="12"/>
      <c r="S1418" s="12"/>
      <c r="T1418" s="12"/>
      <c r="U1418" s="16"/>
      <c r="V1418" s="16"/>
      <c r="W1418" s="12"/>
      <c r="Z1418" s="12"/>
      <c r="AA1418" s="16"/>
    </row>
    <row r="1419">
      <c r="A1419" s="8"/>
      <c r="C1419" s="12"/>
      <c r="D1419" s="12"/>
      <c r="E1419" s="12"/>
      <c r="F1419" s="12"/>
      <c r="G1419" s="12"/>
      <c r="H1419" s="12"/>
      <c r="I1419" s="12"/>
      <c r="J1419" s="12"/>
      <c r="S1419" s="12"/>
      <c r="T1419" s="12"/>
      <c r="U1419" s="16"/>
      <c r="V1419" s="16"/>
      <c r="W1419" s="12"/>
      <c r="Z1419" s="12"/>
      <c r="AA1419" s="16"/>
    </row>
    <row r="1420">
      <c r="A1420" s="8"/>
      <c r="C1420" s="12"/>
      <c r="D1420" s="12"/>
      <c r="E1420" s="12"/>
      <c r="F1420" s="12"/>
      <c r="G1420" s="12"/>
      <c r="H1420" s="12"/>
      <c r="I1420" s="12"/>
      <c r="J1420" s="12"/>
      <c r="S1420" s="12"/>
      <c r="T1420" s="12"/>
      <c r="U1420" s="16"/>
      <c r="V1420" s="16"/>
      <c r="W1420" s="12"/>
      <c r="Z1420" s="12"/>
      <c r="AA1420" s="16"/>
    </row>
    <row r="1421">
      <c r="A1421" s="8"/>
      <c r="C1421" s="12"/>
      <c r="D1421" s="12"/>
      <c r="E1421" s="12"/>
      <c r="F1421" s="12"/>
      <c r="G1421" s="12"/>
      <c r="H1421" s="12"/>
      <c r="I1421" s="12"/>
      <c r="J1421" s="12"/>
      <c r="S1421" s="12"/>
      <c r="T1421" s="12"/>
      <c r="U1421" s="16"/>
      <c r="V1421" s="16"/>
      <c r="W1421" s="12"/>
      <c r="Z1421" s="12"/>
      <c r="AA1421" s="16"/>
    </row>
    <row r="1422">
      <c r="A1422" s="8"/>
      <c r="C1422" s="12"/>
      <c r="D1422" s="12"/>
      <c r="E1422" s="12"/>
      <c r="F1422" s="12"/>
      <c r="G1422" s="12"/>
      <c r="H1422" s="12"/>
      <c r="I1422" s="12"/>
      <c r="J1422" s="12"/>
      <c r="S1422" s="12"/>
      <c r="T1422" s="12"/>
      <c r="U1422" s="16"/>
      <c r="V1422" s="16"/>
      <c r="W1422" s="12"/>
      <c r="Z1422" s="12"/>
      <c r="AA1422" s="16"/>
    </row>
    <row r="1423">
      <c r="A1423" s="8"/>
      <c r="C1423" s="12"/>
      <c r="D1423" s="12"/>
      <c r="E1423" s="12"/>
      <c r="F1423" s="12"/>
      <c r="G1423" s="12"/>
      <c r="H1423" s="12"/>
      <c r="I1423" s="12"/>
      <c r="J1423" s="12"/>
      <c r="S1423" s="12"/>
      <c r="T1423" s="12"/>
      <c r="U1423" s="16"/>
      <c r="V1423" s="16"/>
      <c r="W1423" s="12"/>
      <c r="Z1423" s="12"/>
      <c r="AA1423" s="16"/>
    </row>
    <row r="1424">
      <c r="A1424" s="8"/>
      <c r="C1424" s="12"/>
      <c r="D1424" s="12"/>
      <c r="E1424" s="12"/>
      <c r="F1424" s="12"/>
      <c r="G1424" s="12"/>
      <c r="H1424" s="12"/>
      <c r="I1424" s="12"/>
      <c r="J1424" s="12"/>
      <c r="S1424" s="12"/>
      <c r="T1424" s="12"/>
      <c r="U1424" s="16"/>
      <c r="V1424" s="16"/>
      <c r="W1424" s="12"/>
      <c r="Z1424" s="12"/>
      <c r="AA1424" s="16"/>
    </row>
    <row r="1425">
      <c r="A1425" s="8"/>
      <c r="C1425" s="12"/>
      <c r="D1425" s="12"/>
      <c r="E1425" s="12"/>
      <c r="F1425" s="12"/>
      <c r="G1425" s="12"/>
      <c r="H1425" s="12"/>
      <c r="I1425" s="12"/>
      <c r="J1425" s="12"/>
      <c r="S1425" s="12"/>
      <c r="T1425" s="12"/>
      <c r="U1425" s="16"/>
      <c r="V1425" s="16"/>
      <c r="W1425" s="12"/>
      <c r="Z1425" s="12"/>
      <c r="AA1425" s="16"/>
    </row>
    <row r="1426">
      <c r="A1426" s="8"/>
      <c r="C1426" s="12"/>
      <c r="D1426" s="12"/>
      <c r="E1426" s="12"/>
      <c r="F1426" s="12"/>
      <c r="G1426" s="12"/>
      <c r="H1426" s="12"/>
      <c r="I1426" s="12"/>
      <c r="J1426" s="12"/>
      <c r="S1426" s="12"/>
      <c r="T1426" s="12"/>
      <c r="U1426" s="16"/>
      <c r="V1426" s="16"/>
      <c r="W1426" s="12"/>
      <c r="Z1426" s="12"/>
      <c r="AA1426" s="16"/>
    </row>
    <row r="1427">
      <c r="A1427" s="8"/>
      <c r="C1427" s="12"/>
      <c r="D1427" s="12"/>
      <c r="E1427" s="12"/>
      <c r="F1427" s="12"/>
      <c r="G1427" s="12"/>
      <c r="H1427" s="12"/>
      <c r="I1427" s="12"/>
      <c r="J1427" s="12"/>
      <c r="S1427" s="12"/>
      <c r="T1427" s="12"/>
      <c r="U1427" s="16"/>
      <c r="V1427" s="16"/>
      <c r="W1427" s="12"/>
      <c r="Z1427" s="12"/>
      <c r="AA1427" s="16"/>
    </row>
    <row r="1428">
      <c r="A1428" s="8"/>
      <c r="C1428" s="12"/>
      <c r="D1428" s="12"/>
      <c r="E1428" s="12"/>
      <c r="F1428" s="12"/>
      <c r="G1428" s="12"/>
      <c r="H1428" s="12"/>
      <c r="I1428" s="12"/>
      <c r="J1428" s="12"/>
      <c r="S1428" s="12"/>
      <c r="T1428" s="12"/>
      <c r="U1428" s="16"/>
      <c r="V1428" s="16"/>
      <c r="W1428" s="12"/>
      <c r="Z1428" s="12"/>
      <c r="AA1428" s="16"/>
    </row>
    <row r="1429">
      <c r="A1429" s="8"/>
      <c r="C1429" s="12"/>
      <c r="D1429" s="12"/>
      <c r="E1429" s="12"/>
      <c r="F1429" s="12"/>
      <c r="G1429" s="12"/>
      <c r="H1429" s="12"/>
      <c r="I1429" s="12"/>
      <c r="J1429" s="12"/>
      <c r="S1429" s="12"/>
      <c r="T1429" s="12"/>
      <c r="U1429" s="16"/>
      <c r="V1429" s="16"/>
      <c r="W1429" s="12"/>
      <c r="Z1429" s="12"/>
      <c r="AA1429" s="16"/>
    </row>
    <row r="1430">
      <c r="A1430" s="8"/>
      <c r="C1430" s="12"/>
      <c r="D1430" s="12"/>
      <c r="E1430" s="12"/>
      <c r="F1430" s="12"/>
      <c r="G1430" s="12"/>
      <c r="H1430" s="12"/>
      <c r="I1430" s="12"/>
      <c r="J1430" s="12"/>
      <c r="S1430" s="12"/>
      <c r="T1430" s="12"/>
      <c r="U1430" s="16"/>
      <c r="V1430" s="16"/>
      <c r="W1430" s="12"/>
      <c r="Z1430" s="12"/>
      <c r="AA1430" s="16"/>
    </row>
    <row r="1431">
      <c r="A1431" s="8"/>
      <c r="C1431" s="12"/>
      <c r="D1431" s="12"/>
      <c r="E1431" s="12"/>
      <c r="F1431" s="12"/>
      <c r="G1431" s="12"/>
      <c r="H1431" s="12"/>
      <c r="I1431" s="12"/>
      <c r="J1431" s="12"/>
      <c r="S1431" s="12"/>
      <c r="T1431" s="12"/>
      <c r="U1431" s="16"/>
      <c r="V1431" s="16"/>
      <c r="W1431" s="12"/>
      <c r="Z1431" s="12"/>
      <c r="AA1431" s="16"/>
    </row>
    <row r="1432">
      <c r="A1432" s="8"/>
      <c r="C1432" s="12"/>
      <c r="D1432" s="12"/>
      <c r="E1432" s="12"/>
      <c r="F1432" s="12"/>
      <c r="G1432" s="12"/>
      <c r="H1432" s="12"/>
      <c r="I1432" s="12"/>
      <c r="J1432" s="12"/>
      <c r="S1432" s="12"/>
      <c r="T1432" s="12"/>
      <c r="U1432" s="16"/>
      <c r="V1432" s="16"/>
      <c r="W1432" s="12"/>
      <c r="Z1432" s="12"/>
      <c r="AA1432" s="16"/>
    </row>
    <row r="1433">
      <c r="A1433" s="8"/>
      <c r="C1433" s="12"/>
      <c r="D1433" s="12"/>
      <c r="E1433" s="12"/>
      <c r="F1433" s="12"/>
      <c r="G1433" s="12"/>
      <c r="H1433" s="12"/>
      <c r="I1433" s="12"/>
      <c r="J1433" s="12"/>
      <c r="S1433" s="12"/>
      <c r="T1433" s="12"/>
      <c r="U1433" s="16"/>
      <c r="V1433" s="16"/>
      <c r="W1433" s="12"/>
      <c r="Z1433" s="12"/>
      <c r="AA1433" s="16"/>
    </row>
    <row r="1434">
      <c r="A1434" s="8"/>
      <c r="C1434" s="12"/>
      <c r="D1434" s="12"/>
      <c r="E1434" s="12"/>
      <c r="F1434" s="12"/>
      <c r="G1434" s="12"/>
      <c r="H1434" s="12"/>
      <c r="I1434" s="12"/>
      <c r="J1434" s="12"/>
      <c r="S1434" s="12"/>
      <c r="T1434" s="12"/>
      <c r="U1434" s="16"/>
      <c r="V1434" s="16"/>
      <c r="W1434" s="12"/>
      <c r="Z1434" s="12"/>
      <c r="AA1434" s="16"/>
    </row>
    <row r="1435">
      <c r="A1435" s="8"/>
      <c r="C1435" s="12"/>
      <c r="D1435" s="12"/>
      <c r="E1435" s="12"/>
      <c r="F1435" s="12"/>
      <c r="G1435" s="12"/>
      <c r="H1435" s="12"/>
      <c r="I1435" s="12"/>
      <c r="J1435" s="12"/>
      <c r="S1435" s="12"/>
      <c r="T1435" s="12"/>
      <c r="U1435" s="16"/>
      <c r="V1435" s="16"/>
      <c r="W1435" s="12"/>
      <c r="Z1435" s="12"/>
      <c r="AA1435" s="16"/>
    </row>
    <row r="1436">
      <c r="A1436" s="8"/>
      <c r="C1436" s="12"/>
      <c r="D1436" s="12"/>
      <c r="E1436" s="12"/>
      <c r="F1436" s="12"/>
      <c r="G1436" s="12"/>
      <c r="H1436" s="12"/>
      <c r="I1436" s="12"/>
      <c r="J1436" s="12"/>
      <c r="S1436" s="12"/>
      <c r="T1436" s="12"/>
      <c r="U1436" s="16"/>
      <c r="V1436" s="16"/>
      <c r="W1436" s="12"/>
      <c r="Z1436" s="12"/>
      <c r="AA1436" s="16"/>
    </row>
    <row r="1437">
      <c r="A1437" s="8"/>
      <c r="C1437" s="12"/>
      <c r="D1437" s="12"/>
      <c r="E1437" s="12"/>
      <c r="F1437" s="12"/>
      <c r="G1437" s="12"/>
      <c r="H1437" s="12"/>
      <c r="I1437" s="12"/>
      <c r="J1437" s="12"/>
      <c r="S1437" s="12"/>
      <c r="T1437" s="12"/>
      <c r="U1437" s="16"/>
      <c r="V1437" s="16"/>
      <c r="W1437" s="12"/>
      <c r="Z1437" s="12"/>
      <c r="AA1437" s="16"/>
    </row>
    <row r="1438">
      <c r="A1438" s="8"/>
      <c r="C1438" s="12"/>
      <c r="D1438" s="12"/>
      <c r="E1438" s="12"/>
      <c r="F1438" s="12"/>
      <c r="G1438" s="12"/>
      <c r="H1438" s="12"/>
      <c r="I1438" s="12"/>
      <c r="J1438" s="12"/>
      <c r="S1438" s="12"/>
      <c r="T1438" s="12"/>
      <c r="U1438" s="16"/>
      <c r="V1438" s="16"/>
      <c r="W1438" s="12"/>
      <c r="Z1438" s="12"/>
      <c r="AA1438" s="16"/>
    </row>
    <row r="1439">
      <c r="A1439" s="8"/>
      <c r="C1439" s="12"/>
      <c r="D1439" s="12"/>
      <c r="E1439" s="12"/>
      <c r="F1439" s="12"/>
      <c r="G1439" s="12"/>
      <c r="H1439" s="12"/>
      <c r="I1439" s="12"/>
      <c r="J1439" s="12"/>
      <c r="S1439" s="12"/>
      <c r="T1439" s="12"/>
      <c r="U1439" s="16"/>
      <c r="V1439" s="16"/>
      <c r="W1439" s="12"/>
      <c r="Z1439" s="12"/>
      <c r="AA1439" s="16"/>
    </row>
    <row r="1440">
      <c r="A1440" s="8"/>
      <c r="C1440" s="12"/>
      <c r="D1440" s="12"/>
      <c r="E1440" s="12"/>
      <c r="F1440" s="12"/>
      <c r="G1440" s="12"/>
      <c r="H1440" s="12"/>
      <c r="I1440" s="12"/>
      <c r="J1440" s="12"/>
      <c r="S1440" s="12"/>
      <c r="T1440" s="12"/>
      <c r="U1440" s="16"/>
      <c r="V1440" s="16"/>
      <c r="W1440" s="12"/>
      <c r="Z1440" s="12"/>
      <c r="AA1440" s="16"/>
    </row>
    <row r="1441">
      <c r="A1441" s="8"/>
      <c r="C1441" s="12"/>
      <c r="D1441" s="12"/>
      <c r="E1441" s="12"/>
      <c r="F1441" s="12"/>
      <c r="G1441" s="12"/>
      <c r="H1441" s="12"/>
      <c r="I1441" s="12"/>
      <c r="J1441" s="12"/>
      <c r="S1441" s="12"/>
      <c r="T1441" s="12"/>
      <c r="U1441" s="16"/>
      <c r="V1441" s="16"/>
      <c r="W1441" s="12"/>
      <c r="Z1441" s="12"/>
      <c r="AA1441" s="16"/>
    </row>
    <row r="1442">
      <c r="A1442" s="8"/>
      <c r="C1442" s="12"/>
      <c r="D1442" s="12"/>
      <c r="E1442" s="12"/>
      <c r="F1442" s="12"/>
      <c r="G1442" s="12"/>
      <c r="H1442" s="12"/>
      <c r="I1442" s="12"/>
      <c r="J1442" s="12"/>
      <c r="S1442" s="12"/>
      <c r="T1442" s="12"/>
      <c r="U1442" s="16"/>
      <c r="V1442" s="16"/>
      <c r="W1442" s="12"/>
      <c r="Z1442" s="12"/>
      <c r="AA1442" s="16"/>
    </row>
    <row r="1443">
      <c r="A1443" s="8"/>
      <c r="C1443" s="12"/>
      <c r="D1443" s="12"/>
      <c r="E1443" s="12"/>
      <c r="F1443" s="12"/>
      <c r="G1443" s="12"/>
      <c r="H1443" s="12"/>
      <c r="I1443" s="12"/>
      <c r="J1443" s="12"/>
      <c r="S1443" s="12"/>
      <c r="T1443" s="12"/>
      <c r="U1443" s="16"/>
      <c r="V1443" s="16"/>
      <c r="W1443" s="12"/>
      <c r="Z1443" s="12"/>
      <c r="AA1443" s="16"/>
    </row>
    <row r="1444">
      <c r="A1444" s="8"/>
      <c r="C1444" s="12"/>
      <c r="D1444" s="12"/>
      <c r="E1444" s="12"/>
      <c r="F1444" s="12"/>
      <c r="G1444" s="12"/>
      <c r="H1444" s="12"/>
      <c r="I1444" s="12"/>
      <c r="J1444" s="12"/>
      <c r="S1444" s="12"/>
      <c r="T1444" s="12"/>
      <c r="U1444" s="16"/>
      <c r="V1444" s="16"/>
      <c r="W1444" s="12"/>
      <c r="Z1444" s="12"/>
      <c r="AA1444" s="16"/>
    </row>
    <row r="1445">
      <c r="A1445" s="8"/>
      <c r="C1445" s="12"/>
      <c r="D1445" s="12"/>
      <c r="E1445" s="12"/>
      <c r="F1445" s="12"/>
      <c r="G1445" s="12"/>
      <c r="H1445" s="12"/>
      <c r="I1445" s="12"/>
      <c r="J1445" s="12"/>
      <c r="S1445" s="12"/>
      <c r="T1445" s="12"/>
      <c r="U1445" s="16"/>
      <c r="V1445" s="16"/>
      <c r="W1445" s="12"/>
      <c r="Z1445" s="12"/>
      <c r="AA1445" s="16"/>
    </row>
    <row r="1446">
      <c r="A1446" s="8"/>
      <c r="C1446" s="12"/>
      <c r="D1446" s="12"/>
      <c r="E1446" s="12"/>
      <c r="F1446" s="12"/>
      <c r="G1446" s="12"/>
      <c r="H1446" s="12"/>
      <c r="I1446" s="12"/>
      <c r="J1446" s="12"/>
      <c r="S1446" s="12"/>
      <c r="T1446" s="12"/>
      <c r="U1446" s="16"/>
      <c r="V1446" s="16"/>
      <c r="W1446" s="12"/>
      <c r="Z1446" s="12"/>
      <c r="AA1446" s="16"/>
    </row>
    <row r="1447">
      <c r="A1447" s="8"/>
      <c r="C1447" s="12"/>
      <c r="D1447" s="12"/>
      <c r="E1447" s="12"/>
      <c r="F1447" s="12"/>
      <c r="G1447" s="12"/>
      <c r="H1447" s="12"/>
      <c r="I1447" s="12"/>
      <c r="J1447" s="12"/>
      <c r="S1447" s="12"/>
      <c r="T1447" s="12"/>
      <c r="U1447" s="16"/>
      <c r="V1447" s="16"/>
      <c r="W1447" s="12"/>
      <c r="Z1447" s="12"/>
      <c r="AA1447" s="16"/>
    </row>
    <row r="1448">
      <c r="A1448" s="8"/>
      <c r="C1448" s="12"/>
      <c r="D1448" s="12"/>
      <c r="E1448" s="12"/>
      <c r="F1448" s="12"/>
      <c r="G1448" s="12"/>
      <c r="H1448" s="12"/>
      <c r="I1448" s="12"/>
      <c r="J1448" s="12"/>
      <c r="S1448" s="12"/>
      <c r="T1448" s="12"/>
      <c r="U1448" s="16"/>
      <c r="V1448" s="16"/>
      <c r="W1448" s="12"/>
      <c r="Z1448" s="12"/>
      <c r="AA1448" s="16"/>
    </row>
    <row r="1449">
      <c r="A1449" s="8"/>
      <c r="C1449" s="12"/>
      <c r="D1449" s="12"/>
      <c r="E1449" s="12"/>
      <c r="F1449" s="12"/>
      <c r="G1449" s="12"/>
      <c r="H1449" s="12"/>
      <c r="I1449" s="12"/>
      <c r="J1449" s="12"/>
      <c r="S1449" s="12"/>
      <c r="T1449" s="12"/>
      <c r="U1449" s="16"/>
      <c r="V1449" s="16"/>
      <c r="W1449" s="12"/>
      <c r="Z1449" s="12"/>
      <c r="AA1449" s="16"/>
    </row>
    <row r="1450">
      <c r="A1450" s="8"/>
      <c r="C1450" s="12"/>
      <c r="D1450" s="12"/>
      <c r="E1450" s="12"/>
      <c r="F1450" s="12"/>
      <c r="G1450" s="12"/>
      <c r="H1450" s="12"/>
      <c r="I1450" s="12"/>
      <c r="J1450" s="12"/>
      <c r="S1450" s="12"/>
      <c r="T1450" s="12"/>
      <c r="U1450" s="16"/>
      <c r="V1450" s="16"/>
      <c r="W1450" s="12"/>
      <c r="Z1450" s="12"/>
      <c r="AA1450" s="16"/>
    </row>
    <row r="1451">
      <c r="A1451" s="8"/>
      <c r="C1451" s="12"/>
      <c r="D1451" s="12"/>
      <c r="E1451" s="12"/>
      <c r="F1451" s="12"/>
      <c r="G1451" s="12"/>
      <c r="H1451" s="12"/>
      <c r="I1451" s="12"/>
      <c r="J1451" s="12"/>
      <c r="S1451" s="12"/>
      <c r="T1451" s="12"/>
      <c r="U1451" s="16"/>
      <c r="V1451" s="16"/>
      <c r="W1451" s="12"/>
      <c r="Z1451" s="12"/>
      <c r="AA1451" s="16"/>
    </row>
    <row r="1452">
      <c r="A1452" s="8"/>
      <c r="C1452" s="12"/>
      <c r="D1452" s="12"/>
      <c r="E1452" s="12"/>
      <c r="F1452" s="12"/>
      <c r="G1452" s="12"/>
      <c r="H1452" s="12"/>
      <c r="I1452" s="12"/>
      <c r="J1452" s="12"/>
      <c r="S1452" s="12"/>
      <c r="T1452" s="12"/>
      <c r="U1452" s="16"/>
      <c r="V1452" s="16"/>
      <c r="W1452" s="12"/>
      <c r="Z1452" s="12"/>
      <c r="AA1452" s="16"/>
    </row>
    <row r="1453">
      <c r="A1453" s="8"/>
      <c r="C1453" s="12"/>
      <c r="D1453" s="12"/>
      <c r="E1453" s="12"/>
      <c r="F1453" s="12"/>
      <c r="G1453" s="12"/>
      <c r="H1453" s="12"/>
      <c r="I1453" s="12"/>
      <c r="J1453" s="12"/>
      <c r="S1453" s="12"/>
      <c r="T1453" s="12"/>
      <c r="U1453" s="16"/>
      <c r="V1453" s="16"/>
      <c r="W1453" s="12"/>
      <c r="Z1453" s="12"/>
      <c r="AA1453" s="16"/>
    </row>
    <row r="1454">
      <c r="A1454" s="8"/>
      <c r="C1454" s="12"/>
      <c r="D1454" s="12"/>
      <c r="E1454" s="12"/>
      <c r="F1454" s="12"/>
      <c r="G1454" s="12"/>
      <c r="H1454" s="12"/>
      <c r="I1454" s="12"/>
      <c r="J1454" s="12"/>
      <c r="S1454" s="12"/>
      <c r="T1454" s="12"/>
      <c r="U1454" s="16"/>
      <c r="V1454" s="16"/>
      <c r="W1454" s="12"/>
      <c r="Z1454" s="12"/>
      <c r="AA1454" s="16"/>
    </row>
    <row r="1455">
      <c r="A1455" s="8"/>
      <c r="C1455" s="12"/>
      <c r="D1455" s="12"/>
      <c r="E1455" s="12"/>
      <c r="F1455" s="12"/>
      <c r="G1455" s="12"/>
      <c r="H1455" s="12"/>
      <c r="I1455" s="12"/>
      <c r="J1455" s="12"/>
      <c r="S1455" s="12"/>
      <c r="T1455" s="12"/>
      <c r="U1455" s="16"/>
      <c r="V1455" s="16"/>
      <c r="W1455" s="12"/>
      <c r="Z1455" s="12"/>
      <c r="AA1455" s="16"/>
    </row>
    <row r="1456">
      <c r="A1456" s="8"/>
      <c r="C1456" s="12"/>
      <c r="D1456" s="12"/>
      <c r="E1456" s="12"/>
      <c r="F1456" s="12"/>
      <c r="G1456" s="12"/>
      <c r="H1456" s="12"/>
      <c r="I1456" s="12"/>
      <c r="J1456" s="12"/>
      <c r="S1456" s="12"/>
      <c r="T1456" s="12"/>
      <c r="U1456" s="16"/>
      <c r="V1456" s="16"/>
      <c r="W1456" s="12"/>
      <c r="Z1456" s="12"/>
      <c r="AA1456" s="16"/>
    </row>
    <row r="1457">
      <c r="A1457" s="8"/>
      <c r="C1457" s="12"/>
      <c r="D1457" s="12"/>
      <c r="E1457" s="12"/>
      <c r="F1457" s="12"/>
      <c r="G1457" s="12"/>
      <c r="H1457" s="12"/>
      <c r="I1457" s="12"/>
      <c r="J1457" s="12"/>
      <c r="S1457" s="12"/>
      <c r="T1457" s="12"/>
      <c r="U1457" s="16"/>
      <c r="V1457" s="16"/>
      <c r="W1457" s="12"/>
      <c r="Z1457" s="12"/>
      <c r="AA1457" s="16"/>
    </row>
    <row r="1458">
      <c r="A1458" s="8"/>
      <c r="C1458" s="12"/>
      <c r="D1458" s="12"/>
      <c r="E1458" s="12"/>
      <c r="F1458" s="12"/>
      <c r="G1458" s="12"/>
      <c r="H1458" s="12"/>
      <c r="I1458" s="12"/>
      <c r="J1458" s="12"/>
      <c r="S1458" s="12"/>
      <c r="T1458" s="12"/>
      <c r="U1458" s="16"/>
      <c r="V1458" s="16"/>
      <c r="W1458" s="12"/>
      <c r="Z1458" s="12"/>
      <c r="AA1458" s="16"/>
    </row>
    <row r="1459">
      <c r="A1459" s="8"/>
      <c r="C1459" s="12"/>
      <c r="D1459" s="12"/>
      <c r="E1459" s="12"/>
      <c r="F1459" s="12"/>
      <c r="G1459" s="12"/>
      <c r="H1459" s="12"/>
      <c r="I1459" s="12"/>
      <c r="J1459" s="12"/>
      <c r="S1459" s="12"/>
      <c r="T1459" s="12"/>
      <c r="U1459" s="16"/>
      <c r="V1459" s="16"/>
      <c r="W1459" s="12"/>
      <c r="Z1459" s="12"/>
      <c r="AA1459" s="16"/>
    </row>
    <row r="1460">
      <c r="A1460" s="8"/>
      <c r="C1460" s="12"/>
      <c r="D1460" s="12"/>
      <c r="E1460" s="12"/>
      <c r="F1460" s="12"/>
      <c r="G1460" s="12"/>
      <c r="H1460" s="12"/>
      <c r="I1460" s="12"/>
      <c r="J1460" s="12"/>
      <c r="S1460" s="12"/>
      <c r="T1460" s="12"/>
      <c r="U1460" s="16"/>
      <c r="V1460" s="16"/>
      <c r="W1460" s="12"/>
      <c r="Z1460" s="12"/>
      <c r="AA1460" s="16"/>
    </row>
    <row r="1461">
      <c r="A1461" s="8"/>
      <c r="C1461" s="12"/>
      <c r="D1461" s="12"/>
      <c r="E1461" s="12"/>
      <c r="F1461" s="12"/>
      <c r="G1461" s="12"/>
      <c r="H1461" s="12"/>
      <c r="I1461" s="12"/>
      <c r="J1461" s="12"/>
      <c r="S1461" s="12"/>
      <c r="T1461" s="12"/>
      <c r="U1461" s="16"/>
      <c r="V1461" s="16"/>
      <c r="W1461" s="12"/>
      <c r="Z1461" s="12"/>
      <c r="AA1461" s="16"/>
    </row>
    <row r="1462">
      <c r="A1462" s="8"/>
      <c r="C1462" s="12"/>
      <c r="D1462" s="12"/>
      <c r="E1462" s="12"/>
      <c r="F1462" s="12"/>
      <c r="G1462" s="12"/>
      <c r="H1462" s="12"/>
      <c r="I1462" s="12"/>
      <c r="J1462" s="12"/>
      <c r="S1462" s="12"/>
      <c r="T1462" s="12"/>
      <c r="U1462" s="16"/>
      <c r="V1462" s="16"/>
      <c r="W1462" s="12"/>
      <c r="Z1462" s="12"/>
      <c r="AA1462" s="16"/>
    </row>
    <row r="1463">
      <c r="A1463" s="8"/>
      <c r="C1463" s="12"/>
      <c r="D1463" s="12"/>
      <c r="E1463" s="12"/>
      <c r="F1463" s="12"/>
      <c r="G1463" s="12"/>
      <c r="H1463" s="12"/>
      <c r="I1463" s="12"/>
      <c r="J1463" s="12"/>
      <c r="S1463" s="12"/>
      <c r="T1463" s="12"/>
      <c r="U1463" s="16"/>
      <c r="V1463" s="16"/>
      <c r="W1463" s="12"/>
      <c r="Z1463" s="12"/>
      <c r="AA1463" s="16"/>
    </row>
    <row r="1464">
      <c r="A1464" s="8"/>
      <c r="C1464" s="12"/>
      <c r="D1464" s="12"/>
      <c r="E1464" s="12"/>
      <c r="F1464" s="12"/>
      <c r="G1464" s="12"/>
      <c r="H1464" s="12"/>
      <c r="I1464" s="12"/>
      <c r="J1464" s="12"/>
      <c r="S1464" s="12"/>
      <c r="T1464" s="12"/>
      <c r="U1464" s="16"/>
      <c r="V1464" s="16"/>
      <c r="W1464" s="12"/>
      <c r="Z1464" s="12"/>
      <c r="AA1464" s="16"/>
    </row>
    <row r="1465">
      <c r="A1465" s="8"/>
      <c r="C1465" s="12"/>
      <c r="D1465" s="12"/>
      <c r="E1465" s="12"/>
      <c r="F1465" s="12"/>
      <c r="G1465" s="12"/>
      <c r="H1465" s="12"/>
      <c r="I1465" s="12"/>
      <c r="J1465" s="12"/>
      <c r="S1465" s="12"/>
      <c r="T1465" s="12"/>
      <c r="U1465" s="16"/>
      <c r="V1465" s="16"/>
      <c r="W1465" s="12"/>
      <c r="Z1465" s="12"/>
      <c r="AA1465" s="16"/>
    </row>
    <row r="1466">
      <c r="A1466" s="8"/>
      <c r="C1466" s="12"/>
      <c r="D1466" s="12"/>
      <c r="E1466" s="12"/>
      <c r="F1466" s="12"/>
      <c r="G1466" s="12"/>
      <c r="H1466" s="12"/>
      <c r="I1466" s="12"/>
      <c r="J1466" s="12"/>
      <c r="S1466" s="12"/>
      <c r="T1466" s="12"/>
      <c r="U1466" s="16"/>
      <c r="V1466" s="16"/>
      <c r="W1466" s="12"/>
      <c r="Z1466" s="12"/>
      <c r="AA1466" s="16"/>
    </row>
    <row r="1467">
      <c r="A1467" s="8"/>
      <c r="C1467" s="12"/>
      <c r="D1467" s="12"/>
      <c r="E1467" s="12"/>
      <c r="F1467" s="12"/>
      <c r="G1467" s="12"/>
      <c r="H1467" s="12"/>
      <c r="I1467" s="12"/>
      <c r="J1467" s="12"/>
      <c r="S1467" s="12"/>
      <c r="T1467" s="12"/>
      <c r="U1467" s="16"/>
      <c r="V1467" s="16"/>
      <c r="W1467" s="12"/>
      <c r="Z1467" s="12"/>
      <c r="AA1467" s="16"/>
    </row>
    <row r="1468">
      <c r="A1468" s="8"/>
      <c r="C1468" s="12"/>
      <c r="D1468" s="12"/>
      <c r="E1468" s="12"/>
      <c r="F1468" s="12"/>
      <c r="G1468" s="12"/>
      <c r="H1468" s="12"/>
      <c r="I1468" s="12"/>
      <c r="J1468" s="12"/>
      <c r="S1468" s="12"/>
      <c r="T1468" s="12"/>
      <c r="U1468" s="16"/>
      <c r="V1468" s="16"/>
      <c r="W1468" s="12"/>
      <c r="Z1468" s="12"/>
      <c r="AA1468" s="16"/>
    </row>
    <row r="1469">
      <c r="A1469" s="8"/>
      <c r="C1469" s="12"/>
      <c r="D1469" s="12"/>
      <c r="E1469" s="12"/>
      <c r="F1469" s="12"/>
      <c r="G1469" s="12"/>
      <c r="H1469" s="12"/>
      <c r="I1469" s="12"/>
      <c r="J1469" s="12"/>
      <c r="S1469" s="12"/>
      <c r="T1469" s="12"/>
      <c r="U1469" s="16"/>
      <c r="V1469" s="16"/>
      <c r="W1469" s="12"/>
      <c r="Z1469" s="12"/>
      <c r="AA1469" s="16"/>
    </row>
    <row r="1470">
      <c r="A1470" s="8"/>
      <c r="C1470" s="12"/>
      <c r="D1470" s="12"/>
      <c r="E1470" s="12"/>
      <c r="F1470" s="12"/>
      <c r="G1470" s="12"/>
      <c r="H1470" s="12"/>
      <c r="I1470" s="12"/>
      <c r="J1470" s="12"/>
      <c r="S1470" s="12"/>
      <c r="T1470" s="12"/>
      <c r="U1470" s="16"/>
      <c r="V1470" s="16"/>
      <c r="W1470" s="12"/>
      <c r="Z1470" s="12"/>
      <c r="AA1470" s="16"/>
    </row>
    <row r="1471">
      <c r="A1471" s="8"/>
      <c r="C1471" s="12"/>
      <c r="D1471" s="12"/>
      <c r="E1471" s="12"/>
      <c r="F1471" s="12"/>
      <c r="G1471" s="12"/>
      <c r="H1471" s="12"/>
      <c r="I1471" s="12"/>
      <c r="J1471" s="12"/>
      <c r="S1471" s="12"/>
      <c r="T1471" s="12"/>
      <c r="U1471" s="16"/>
      <c r="V1471" s="16"/>
      <c r="W1471" s="12"/>
      <c r="Z1471" s="12"/>
      <c r="AA1471" s="16"/>
    </row>
    <row r="1472">
      <c r="A1472" s="8"/>
      <c r="C1472" s="12"/>
      <c r="D1472" s="12"/>
      <c r="E1472" s="12"/>
      <c r="F1472" s="12"/>
      <c r="G1472" s="12"/>
      <c r="H1472" s="12"/>
      <c r="I1472" s="12"/>
      <c r="J1472" s="12"/>
      <c r="S1472" s="12"/>
      <c r="T1472" s="12"/>
      <c r="U1472" s="16"/>
      <c r="V1472" s="16"/>
      <c r="W1472" s="12"/>
      <c r="Z1472" s="12"/>
      <c r="AA1472" s="16"/>
    </row>
    <row r="1473">
      <c r="A1473" s="8"/>
      <c r="C1473" s="12"/>
      <c r="D1473" s="12"/>
      <c r="E1473" s="12"/>
      <c r="F1473" s="12"/>
      <c r="G1473" s="12"/>
      <c r="H1473" s="12"/>
      <c r="I1473" s="12"/>
      <c r="J1473" s="12"/>
      <c r="S1473" s="12"/>
      <c r="T1473" s="12"/>
      <c r="U1473" s="16"/>
      <c r="V1473" s="16"/>
      <c r="W1473" s="12"/>
      <c r="Z1473" s="12"/>
      <c r="AA1473" s="16"/>
    </row>
    <row r="1474">
      <c r="A1474" s="8"/>
      <c r="C1474" s="12"/>
      <c r="D1474" s="12"/>
      <c r="E1474" s="12"/>
      <c r="F1474" s="12"/>
      <c r="G1474" s="12"/>
      <c r="H1474" s="12"/>
      <c r="I1474" s="12"/>
      <c r="J1474" s="12"/>
      <c r="S1474" s="12"/>
      <c r="T1474" s="12"/>
      <c r="U1474" s="16"/>
      <c r="V1474" s="16"/>
      <c r="W1474" s="12"/>
      <c r="Z1474" s="12"/>
      <c r="AA1474" s="16"/>
    </row>
    <row r="1475">
      <c r="A1475" s="8"/>
      <c r="C1475" s="12"/>
      <c r="D1475" s="12"/>
      <c r="E1475" s="12"/>
      <c r="F1475" s="12"/>
      <c r="G1475" s="12"/>
      <c r="H1475" s="12"/>
      <c r="I1475" s="12"/>
      <c r="J1475" s="12"/>
      <c r="S1475" s="12"/>
      <c r="T1475" s="12"/>
      <c r="U1475" s="16"/>
      <c r="V1475" s="16"/>
      <c r="W1475" s="12"/>
      <c r="Z1475" s="12"/>
      <c r="AA1475" s="16"/>
    </row>
    <row r="1476">
      <c r="A1476" s="8"/>
      <c r="C1476" s="12"/>
      <c r="D1476" s="12"/>
      <c r="E1476" s="12"/>
      <c r="F1476" s="12"/>
      <c r="G1476" s="12"/>
      <c r="H1476" s="12"/>
      <c r="I1476" s="12"/>
      <c r="J1476" s="12"/>
      <c r="S1476" s="12"/>
      <c r="T1476" s="12"/>
      <c r="U1476" s="16"/>
      <c r="V1476" s="16"/>
      <c r="W1476" s="12"/>
      <c r="Z1476" s="12"/>
      <c r="AA1476" s="16"/>
    </row>
    <row r="1477">
      <c r="A1477" s="8"/>
      <c r="C1477" s="12"/>
      <c r="D1477" s="12"/>
      <c r="E1477" s="12"/>
      <c r="F1477" s="12"/>
      <c r="G1477" s="12"/>
      <c r="H1477" s="12"/>
      <c r="I1477" s="12"/>
      <c r="J1477" s="12"/>
      <c r="S1477" s="12"/>
      <c r="T1477" s="12"/>
      <c r="U1477" s="16"/>
      <c r="V1477" s="16"/>
      <c r="W1477" s="12"/>
      <c r="Z1477" s="12"/>
      <c r="AA1477" s="16"/>
    </row>
    <row r="1478">
      <c r="A1478" s="8"/>
      <c r="C1478" s="12"/>
      <c r="D1478" s="12"/>
      <c r="E1478" s="12"/>
      <c r="F1478" s="12"/>
      <c r="G1478" s="12"/>
      <c r="H1478" s="12"/>
      <c r="I1478" s="12"/>
      <c r="J1478" s="12"/>
      <c r="S1478" s="12"/>
      <c r="T1478" s="12"/>
      <c r="U1478" s="16"/>
      <c r="V1478" s="16"/>
      <c r="W1478" s="12"/>
      <c r="Z1478" s="12"/>
      <c r="AA1478" s="16"/>
    </row>
    <row r="1479">
      <c r="A1479" s="8"/>
      <c r="C1479" s="12"/>
      <c r="D1479" s="12"/>
      <c r="E1479" s="12"/>
      <c r="F1479" s="12"/>
      <c r="G1479" s="12"/>
      <c r="H1479" s="12"/>
      <c r="I1479" s="12"/>
      <c r="J1479" s="12"/>
      <c r="S1479" s="12"/>
      <c r="T1479" s="12"/>
      <c r="U1479" s="16"/>
      <c r="V1479" s="16"/>
      <c r="W1479" s="12"/>
      <c r="Z1479" s="12"/>
      <c r="AA1479" s="16"/>
    </row>
    <row r="1480">
      <c r="A1480" s="8"/>
      <c r="C1480" s="12"/>
      <c r="D1480" s="12"/>
      <c r="E1480" s="12"/>
      <c r="F1480" s="12"/>
      <c r="G1480" s="12"/>
      <c r="H1480" s="12"/>
      <c r="I1480" s="12"/>
      <c r="J1480" s="12"/>
      <c r="S1480" s="12"/>
      <c r="T1480" s="12"/>
      <c r="U1480" s="16"/>
      <c r="V1480" s="16"/>
      <c r="W1480" s="12"/>
      <c r="Z1480" s="12"/>
      <c r="AA1480" s="16"/>
    </row>
    <row r="1481">
      <c r="A1481" s="8"/>
      <c r="C1481" s="12"/>
      <c r="D1481" s="12"/>
      <c r="E1481" s="12"/>
      <c r="F1481" s="12"/>
      <c r="G1481" s="12"/>
      <c r="H1481" s="12"/>
      <c r="I1481" s="12"/>
      <c r="J1481" s="12"/>
      <c r="S1481" s="12"/>
      <c r="T1481" s="12"/>
      <c r="U1481" s="16"/>
      <c r="V1481" s="16"/>
      <c r="W1481" s="12"/>
      <c r="Z1481" s="12"/>
      <c r="AA1481" s="16"/>
    </row>
    <row r="1482">
      <c r="A1482" s="8"/>
      <c r="C1482" s="12"/>
      <c r="D1482" s="12"/>
      <c r="E1482" s="12"/>
      <c r="F1482" s="12"/>
      <c r="G1482" s="12"/>
      <c r="H1482" s="12"/>
      <c r="I1482" s="12"/>
      <c r="J1482" s="12"/>
      <c r="S1482" s="12"/>
      <c r="T1482" s="12"/>
      <c r="U1482" s="16"/>
      <c r="V1482" s="16"/>
      <c r="W1482" s="12"/>
      <c r="Z1482" s="12"/>
      <c r="AA1482" s="16"/>
    </row>
    <row r="1483">
      <c r="A1483" s="8"/>
      <c r="C1483" s="12"/>
      <c r="D1483" s="12"/>
      <c r="E1483" s="12"/>
      <c r="F1483" s="12"/>
      <c r="G1483" s="12"/>
      <c r="H1483" s="12"/>
      <c r="I1483" s="12"/>
      <c r="J1483" s="12"/>
      <c r="S1483" s="12"/>
      <c r="T1483" s="12"/>
      <c r="U1483" s="16"/>
      <c r="V1483" s="16"/>
      <c r="W1483" s="12"/>
      <c r="Z1483" s="12"/>
      <c r="AA1483" s="16"/>
    </row>
    <row r="1484">
      <c r="A1484" s="8"/>
      <c r="C1484" s="12"/>
      <c r="D1484" s="12"/>
      <c r="E1484" s="12"/>
      <c r="F1484" s="12"/>
      <c r="G1484" s="12"/>
      <c r="H1484" s="12"/>
      <c r="I1484" s="12"/>
      <c r="J1484" s="12"/>
      <c r="S1484" s="12"/>
      <c r="T1484" s="12"/>
      <c r="U1484" s="16"/>
      <c r="V1484" s="16"/>
      <c r="W1484" s="12"/>
      <c r="Z1484" s="12"/>
      <c r="AA1484" s="16"/>
    </row>
    <row r="1485">
      <c r="A1485" s="8"/>
      <c r="C1485" s="12"/>
      <c r="D1485" s="12"/>
      <c r="E1485" s="12"/>
      <c r="F1485" s="12"/>
      <c r="G1485" s="12"/>
      <c r="H1485" s="12"/>
      <c r="I1485" s="12"/>
      <c r="J1485" s="12"/>
      <c r="S1485" s="12"/>
      <c r="T1485" s="12"/>
      <c r="U1485" s="16"/>
      <c r="V1485" s="16"/>
      <c r="W1485" s="12"/>
      <c r="Z1485" s="12"/>
      <c r="AA1485" s="16"/>
    </row>
    <row r="1486">
      <c r="A1486" s="8"/>
      <c r="C1486" s="12"/>
      <c r="D1486" s="12"/>
      <c r="E1486" s="12"/>
      <c r="F1486" s="12"/>
      <c r="G1486" s="12"/>
      <c r="H1486" s="12"/>
      <c r="I1486" s="12"/>
      <c r="J1486" s="12"/>
      <c r="S1486" s="12"/>
      <c r="T1486" s="12"/>
      <c r="U1486" s="16"/>
      <c r="V1486" s="16"/>
      <c r="W1486" s="12"/>
      <c r="Z1486" s="12"/>
      <c r="AA1486" s="16"/>
    </row>
    <row r="1487">
      <c r="A1487" s="8"/>
      <c r="C1487" s="12"/>
      <c r="D1487" s="12"/>
      <c r="E1487" s="12"/>
      <c r="F1487" s="12"/>
      <c r="G1487" s="12"/>
      <c r="H1487" s="12"/>
      <c r="I1487" s="12"/>
      <c r="J1487" s="12"/>
      <c r="S1487" s="12"/>
      <c r="T1487" s="12"/>
      <c r="U1487" s="16"/>
      <c r="V1487" s="16"/>
      <c r="W1487" s="12"/>
      <c r="Z1487" s="12"/>
      <c r="AA1487" s="16"/>
    </row>
    <row r="1488">
      <c r="A1488" s="8"/>
      <c r="C1488" s="12"/>
      <c r="D1488" s="12"/>
      <c r="E1488" s="12"/>
      <c r="F1488" s="12"/>
      <c r="G1488" s="12"/>
      <c r="H1488" s="12"/>
      <c r="I1488" s="12"/>
      <c r="J1488" s="12"/>
      <c r="S1488" s="12"/>
      <c r="T1488" s="12"/>
      <c r="U1488" s="16"/>
      <c r="V1488" s="16"/>
      <c r="W1488" s="12"/>
      <c r="Z1488" s="12"/>
      <c r="AA1488" s="16"/>
    </row>
    <row r="1489">
      <c r="A1489" s="8"/>
      <c r="C1489" s="12"/>
      <c r="D1489" s="12"/>
      <c r="E1489" s="12"/>
      <c r="F1489" s="12"/>
      <c r="G1489" s="12"/>
      <c r="H1489" s="12"/>
      <c r="I1489" s="12"/>
      <c r="J1489" s="12"/>
      <c r="S1489" s="12"/>
      <c r="T1489" s="12"/>
      <c r="U1489" s="16"/>
      <c r="V1489" s="16"/>
      <c r="W1489" s="12"/>
      <c r="Z1489" s="12"/>
      <c r="AA1489" s="16"/>
    </row>
    <row r="1490">
      <c r="A1490" s="8"/>
      <c r="C1490" s="12"/>
      <c r="D1490" s="12"/>
      <c r="E1490" s="12"/>
      <c r="F1490" s="12"/>
      <c r="G1490" s="12"/>
      <c r="H1490" s="12"/>
      <c r="I1490" s="12"/>
      <c r="J1490" s="12"/>
      <c r="S1490" s="12"/>
      <c r="T1490" s="12"/>
      <c r="U1490" s="16"/>
      <c r="V1490" s="16"/>
      <c r="W1490" s="12"/>
      <c r="Z1490" s="12"/>
      <c r="AA1490" s="16"/>
    </row>
    <row r="1491">
      <c r="A1491" s="8"/>
      <c r="C1491" s="12"/>
      <c r="D1491" s="12"/>
      <c r="E1491" s="12"/>
      <c r="F1491" s="12"/>
      <c r="G1491" s="12"/>
      <c r="H1491" s="12"/>
      <c r="I1491" s="12"/>
      <c r="J1491" s="12"/>
      <c r="S1491" s="12"/>
      <c r="T1491" s="12"/>
      <c r="U1491" s="16"/>
      <c r="V1491" s="16"/>
      <c r="W1491" s="12"/>
      <c r="Z1491" s="12"/>
      <c r="AA1491" s="16"/>
    </row>
    <row r="1492">
      <c r="A1492" s="8"/>
      <c r="C1492" s="12"/>
      <c r="D1492" s="12"/>
      <c r="E1492" s="12"/>
      <c r="F1492" s="12"/>
      <c r="G1492" s="12"/>
      <c r="H1492" s="12"/>
      <c r="I1492" s="12"/>
      <c r="J1492" s="12"/>
      <c r="S1492" s="12"/>
      <c r="T1492" s="12"/>
      <c r="U1492" s="16"/>
      <c r="V1492" s="16"/>
      <c r="W1492" s="12"/>
      <c r="Z1492" s="12"/>
      <c r="AA1492" s="16"/>
    </row>
    <row r="1493">
      <c r="A1493" s="8"/>
      <c r="C1493" s="12"/>
      <c r="D1493" s="12"/>
      <c r="E1493" s="12"/>
      <c r="F1493" s="12"/>
      <c r="G1493" s="12"/>
      <c r="H1493" s="12"/>
      <c r="I1493" s="12"/>
      <c r="J1493" s="12"/>
      <c r="S1493" s="12"/>
      <c r="T1493" s="12"/>
      <c r="U1493" s="16"/>
      <c r="V1493" s="16"/>
      <c r="W1493" s="12"/>
      <c r="Z1493" s="12"/>
      <c r="AA1493" s="16"/>
    </row>
    <row r="1494">
      <c r="A1494" s="8"/>
      <c r="C1494" s="12"/>
      <c r="D1494" s="12"/>
      <c r="E1494" s="12"/>
      <c r="F1494" s="12"/>
      <c r="G1494" s="12"/>
      <c r="H1494" s="12"/>
      <c r="I1494" s="12"/>
      <c r="J1494" s="12"/>
      <c r="S1494" s="12"/>
      <c r="T1494" s="12"/>
      <c r="U1494" s="16"/>
      <c r="V1494" s="16"/>
      <c r="W1494" s="12"/>
      <c r="Z1494" s="12"/>
      <c r="AA1494" s="16"/>
    </row>
    <row r="1495">
      <c r="A1495" s="8"/>
      <c r="C1495" s="12"/>
      <c r="D1495" s="12"/>
      <c r="E1495" s="12"/>
      <c r="F1495" s="12"/>
      <c r="G1495" s="12"/>
      <c r="H1495" s="12"/>
      <c r="I1495" s="12"/>
      <c r="J1495" s="12"/>
      <c r="S1495" s="12"/>
      <c r="T1495" s="12"/>
      <c r="U1495" s="16"/>
      <c r="V1495" s="16"/>
      <c r="W1495" s="12"/>
      <c r="Z1495" s="12"/>
      <c r="AA1495" s="16"/>
    </row>
    <row r="1496">
      <c r="A1496" s="8"/>
      <c r="C1496" s="12"/>
      <c r="D1496" s="12"/>
      <c r="E1496" s="12"/>
      <c r="F1496" s="12"/>
      <c r="G1496" s="12"/>
      <c r="H1496" s="12"/>
      <c r="I1496" s="12"/>
      <c r="J1496" s="12"/>
      <c r="S1496" s="12"/>
      <c r="T1496" s="12"/>
      <c r="U1496" s="16"/>
      <c r="V1496" s="16"/>
      <c r="W1496" s="12"/>
      <c r="Z1496" s="12"/>
      <c r="AA1496" s="16"/>
    </row>
    <row r="1497">
      <c r="A1497" s="8"/>
      <c r="C1497" s="12"/>
      <c r="D1497" s="12"/>
      <c r="E1497" s="12"/>
      <c r="F1497" s="12"/>
      <c r="G1497" s="12"/>
      <c r="H1497" s="12"/>
      <c r="I1497" s="12"/>
      <c r="J1497" s="12"/>
      <c r="S1497" s="12"/>
      <c r="T1497" s="12"/>
      <c r="U1497" s="16"/>
      <c r="V1497" s="16"/>
      <c r="W1497" s="12"/>
      <c r="Z1497" s="12"/>
      <c r="AA1497" s="16"/>
    </row>
    <row r="1498">
      <c r="A1498" s="8"/>
      <c r="C1498" s="12"/>
      <c r="D1498" s="12"/>
      <c r="E1498" s="12"/>
      <c r="F1498" s="12"/>
      <c r="G1498" s="12"/>
      <c r="H1498" s="12"/>
      <c r="I1498" s="12"/>
      <c r="J1498" s="12"/>
      <c r="S1498" s="12"/>
      <c r="T1498" s="12"/>
      <c r="U1498" s="16"/>
      <c r="V1498" s="16"/>
      <c r="W1498" s="12"/>
      <c r="Z1498" s="12"/>
      <c r="AA1498" s="16"/>
    </row>
    <row r="1499">
      <c r="A1499" s="8"/>
      <c r="C1499" s="12"/>
      <c r="D1499" s="12"/>
      <c r="E1499" s="12"/>
      <c r="F1499" s="12"/>
      <c r="G1499" s="12"/>
      <c r="H1499" s="12"/>
      <c r="I1499" s="12"/>
      <c r="J1499" s="12"/>
      <c r="S1499" s="12"/>
      <c r="T1499" s="12"/>
      <c r="U1499" s="16"/>
      <c r="V1499" s="16"/>
      <c r="W1499" s="12"/>
      <c r="Z1499" s="12"/>
      <c r="AA1499" s="16"/>
    </row>
    <row r="1500">
      <c r="A1500" s="8"/>
      <c r="C1500" s="12"/>
      <c r="D1500" s="12"/>
      <c r="E1500" s="12"/>
      <c r="F1500" s="12"/>
      <c r="G1500" s="12"/>
      <c r="H1500" s="12"/>
      <c r="I1500" s="12"/>
      <c r="J1500" s="12"/>
      <c r="S1500" s="12"/>
      <c r="T1500" s="12"/>
      <c r="U1500" s="16"/>
      <c r="V1500" s="16"/>
      <c r="W1500" s="12"/>
      <c r="Z1500" s="12"/>
      <c r="AA1500" s="16"/>
    </row>
    <row r="1501">
      <c r="A1501" s="8"/>
      <c r="C1501" s="12"/>
      <c r="D1501" s="12"/>
      <c r="E1501" s="12"/>
      <c r="F1501" s="12"/>
      <c r="G1501" s="12"/>
      <c r="H1501" s="12"/>
      <c r="I1501" s="12"/>
      <c r="J1501" s="12"/>
      <c r="S1501" s="12"/>
      <c r="T1501" s="12"/>
      <c r="U1501" s="16"/>
      <c r="V1501" s="16"/>
      <c r="W1501" s="12"/>
      <c r="Z1501" s="12"/>
      <c r="AA1501" s="16"/>
    </row>
    <row r="1502">
      <c r="A1502" s="8"/>
      <c r="C1502" s="12"/>
      <c r="D1502" s="12"/>
      <c r="E1502" s="12"/>
      <c r="F1502" s="12"/>
      <c r="G1502" s="12"/>
      <c r="H1502" s="12"/>
      <c r="I1502" s="12"/>
      <c r="J1502" s="12"/>
      <c r="S1502" s="12"/>
      <c r="T1502" s="12"/>
      <c r="U1502" s="16"/>
      <c r="V1502" s="16"/>
      <c r="W1502" s="12"/>
      <c r="Z1502" s="12"/>
      <c r="AA1502" s="16"/>
    </row>
    <row r="1503">
      <c r="A1503" s="8"/>
      <c r="C1503" s="12"/>
      <c r="D1503" s="12"/>
      <c r="E1503" s="12"/>
      <c r="F1503" s="12"/>
      <c r="G1503" s="12"/>
      <c r="H1503" s="12"/>
      <c r="I1503" s="12"/>
      <c r="J1503" s="12"/>
      <c r="S1503" s="12"/>
      <c r="T1503" s="12"/>
      <c r="U1503" s="16"/>
      <c r="V1503" s="16"/>
      <c r="W1503" s="12"/>
      <c r="Z1503" s="12"/>
      <c r="AA1503" s="16"/>
    </row>
    <row r="1504">
      <c r="A1504" s="8"/>
      <c r="C1504" s="12"/>
      <c r="D1504" s="12"/>
      <c r="E1504" s="12"/>
      <c r="F1504" s="12"/>
      <c r="G1504" s="12"/>
      <c r="H1504" s="12"/>
      <c r="I1504" s="12"/>
      <c r="J1504" s="12"/>
      <c r="S1504" s="12"/>
      <c r="T1504" s="12"/>
      <c r="U1504" s="16"/>
      <c r="V1504" s="16"/>
      <c r="W1504" s="12"/>
      <c r="Z1504" s="12"/>
      <c r="AA1504" s="16"/>
    </row>
    <row r="1505">
      <c r="A1505" s="8"/>
      <c r="C1505" s="12"/>
      <c r="D1505" s="12"/>
      <c r="E1505" s="12"/>
      <c r="F1505" s="12"/>
      <c r="G1505" s="12"/>
      <c r="H1505" s="12"/>
      <c r="I1505" s="12"/>
      <c r="J1505" s="12"/>
      <c r="S1505" s="12"/>
      <c r="T1505" s="12"/>
      <c r="U1505" s="16"/>
      <c r="V1505" s="16"/>
      <c r="W1505" s="12"/>
      <c r="Z1505" s="12"/>
      <c r="AA1505" s="16"/>
    </row>
    <row r="1506">
      <c r="A1506" s="8"/>
      <c r="C1506" s="12"/>
      <c r="D1506" s="12"/>
      <c r="E1506" s="12"/>
      <c r="F1506" s="12"/>
      <c r="G1506" s="12"/>
      <c r="H1506" s="12"/>
      <c r="I1506" s="12"/>
      <c r="J1506" s="12"/>
      <c r="S1506" s="12"/>
      <c r="T1506" s="12"/>
      <c r="U1506" s="16"/>
      <c r="V1506" s="16"/>
      <c r="W1506" s="12"/>
      <c r="Z1506" s="12"/>
      <c r="AA1506" s="16"/>
    </row>
    <row r="1507">
      <c r="A1507" s="8"/>
      <c r="C1507" s="12"/>
      <c r="D1507" s="12"/>
      <c r="E1507" s="12"/>
      <c r="F1507" s="12"/>
      <c r="G1507" s="12"/>
      <c r="H1507" s="12"/>
      <c r="I1507" s="12"/>
      <c r="J1507" s="12"/>
      <c r="S1507" s="12"/>
      <c r="T1507" s="12"/>
      <c r="U1507" s="16"/>
      <c r="V1507" s="16"/>
      <c r="W1507" s="12"/>
      <c r="Z1507" s="12"/>
      <c r="AA1507" s="16"/>
    </row>
    <row r="1508">
      <c r="A1508" s="8"/>
      <c r="C1508" s="12"/>
      <c r="D1508" s="12"/>
      <c r="E1508" s="12"/>
      <c r="F1508" s="12"/>
      <c r="G1508" s="12"/>
      <c r="H1508" s="12"/>
      <c r="I1508" s="12"/>
      <c r="J1508" s="12"/>
      <c r="S1508" s="12"/>
      <c r="T1508" s="12"/>
      <c r="U1508" s="16"/>
      <c r="V1508" s="16"/>
      <c r="W1508" s="12"/>
      <c r="Z1508" s="12"/>
      <c r="AA1508" s="16"/>
    </row>
    <row r="1509">
      <c r="A1509" s="8"/>
      <c r="C1509" s="12"/>
      <c r="D1509" s="12"/>
      <c r="E1509" s="12"/>
      <c r="F1509" s="12"/>
      <c r="G1509" s="12"/>
      <c r="H1509" s="12"/>
      <c r="I1509" s="12"/>
      <c r="J1509" s="12"/>
      <c r="S1509" s="12"/>
      <c r="T1509" s="12"/>
      <c r="U1509" s="16"/>
      <c r="V1509" s="16"/>
      <c r="W1509" s="12"/>
      <c r="Z1509" s="12"/>
      <c r="AA1509" s="16"/>
    </row>
    <row r="1510">
      <c r="A1510" s="8"/>
      <c r="C1510" s="12"/>
      <c r="D1510" s="12"/>
      <c r="E1510" s="12"/>
      <c r="F1510" s="12"/>
      <c r="G1510" s="12"/>
      <c r="H1510" s="12"/>
      <c r="I1510" s="12"/>
      <c r="J1510" s="12"/>
      <c r="S1510" s="12"/>
      <c r="T1510" s="12"/>
      <c r="U1510" s="16"/>
      <c r="V1510" s="16"/>
      <c r="W1510" s="12"/>
      <c r="Z1510" s="12"/>
      <c r="AA1510" s="16"/>
    </row>
    <row r="1511">
      <c r="A1511" s="8"/>
      <c r="C1511" s="12"/>
      <c r="D1511" s="12"/>
      <c r="E1511" s="12"/>
      <c r="F1511" s="12"/>
      <c r="G1511" s="12"/>
      <c r="H1511" s="12"/>
      <c r="I1511" s="12"/>
      <c r="J1511" s="12"/>
      <c r="S1511" s="12"/>
      <c r="T1511" s="12"/>
      <c r="U1511" s="16"/>
      <c r="V1511" s="16"/>
      <c r="W1511" s="12"/>
      <c r="Z1511" s="12"/>
      <c r="AA1511" s="16"/>
    </row>
    <row r="1512">
      <c r="A1512" s="8"/>
      <c r="C1512" s="12"/>
      <c r="D1512" s="12"/>
      <c r="E1512" s="12"/>
      <c r="F1512" s="12"/>
      <c r="G1512" s="12"/>
      <c r="H1512" s="12"/>
      <c r="I1512" s="12"/>
      <c r="J1512" s="12"/>
      <c r="S1512" s="12"/>
      <c r="T1512" s="12"/>
      <c r="U1512" s="16"/>
      <c r="V1512" s="16"/>
      <c r="W1512" s="12"/>
      <c r="Z1512" s="12"/>
      <c r="AA1512" s="16"/>
    </row>
    <row r="1513">
      <c r="A1513" s="8"/>
      <c r="C1513" s="12"/>
      <c r="D1513" s="12"/>
      <c r="E1513" s="12"/>
      <c r="F1513" s="12"/>
      <c r="G1513" s="12"/>
      <c r="H1513" s="12"/>
      <c r="I1513" s="12"/>
      <c r="J1513" s="12"/>
      <c r="S1513" s="12"/>
      <c r="T1513" s="12"/>
      <c r="U1513" s="16"/>
      <c r="V1513" s="16"/>
      <c r="W1513" s="12"/>
      <c r="Z1513" s="12"/>
      <c r="AA1513" s="16"/>
    </row>
    <row r="1514">
      <c r="A1514" s="8"/>
      <c r="C1514" s="12"/>
      <c r="D1514" s="12"/>
      <c r="E1514" s="12"/>
      <c r="F1514" s="12"/>
      <c r="G1514" s="12"/>
      <c r="H1514" s="12"/>
      <c r="I1514" s="12"/>
      <c r="J1514" s="12"/>
      <c r="S1514" s="12"/>
      <c r="T1514" s="12"/>
      <c r="U1514" s="16"/>
      <c r="V1514" s="16"/>
      <c r="W1514" s="12"/>
      <c r="Z1514" s="12"/>
      <c r="AA1514" s="16"/>
    </row>
    <row r="1515">
      <c r="A1515" s="8"/>
      <c r="C1515" s="12"/>
      <c r="D1515" s="12"/>
      <c r="E1515" s="12"/>
      <c r="F1515" s="12"/>
      <c r="G1515" s="12"/>
      <c r="H1515" s="12"/>
      <c r="I1515" s="12"/>
      <c r="J1515" s="12"/>
      <c r="S1515" s="12"/>
      <c r="T1515" s="12"/>
      <c r="U1515" s="16"/>
      <c r="V1515" s="16"/>
      <c r="W1515" s="12"/>
      <c r="Z1515" s="12"/>
      <c r="AA1515" s="16"/>
    </row>
    <row r="1516">
      <c r="A1516" s="8"/>
      <c r="C1516" s="12"/>
      <c r="D1516" s="12"/>
      <c r="E1516" s="12"/>
      <c r="F1516" s="12"/>
      <c r="G1516" s="12"/>
      <c r="H1516" s="12"/>
      <c r="I1516" s="12"/>
      <c r="J1516" s="12"/>
      <c r="S1516" s="12"/>
      <c r="T1516" s="12"/>
      <c r="U1516" s="16"/>
      <c r="V1516" s="16"/>
      <c r="W1516" s="12"/>
      <c r="Z1516" s="12"/>
      <c r="AA1516" s="16"/>
    </row>
    <row r="1517">
      <c r="A1517" s="8"/>
      <c r="C1517" s="12"/>
      <c r="D1517" s="12"/>
      <c r="E1517" s="12"/>
      <c r="F1517" s="12"/>
      <c r="G1517" s="12"/>
      <c r="H1517" s="12"/>
      <c r="I1517" s="12"/>
      <c r="J1517" s="12"/>
      <c r="S1517" s="12"/>
      <c r="T1517" s="12"/>
      <c r="U1517" s="16"/>
      <c r="V1517" s="16"/>
      <c r="W1517" s="12"/>
      <c r="Z1517" s="12"/>
      <c r="AA1517" s="16"/>
    </row>
    <row r="1518">
      <c r="A1518" s="8"/>
      <c r="C1518" s="12"/>
      <c r="D1518" s="12"/>
      <c r="E1518" s="12"/>
      <c r="F1518" s="12"/>
      <c r="G1518" s="12"/>
      <c r="H1518" s="12"/>
      <c r="I1518" s="12"/>
      <c r="J1518" s="12"/>
      <c r="S1518" s="12"/>
      <c r="T1518" s="12"/>
      <c r="U1518" s="16"/>
      <c r="V1518" s="16"/>
      <c r="W1518" s="12"/>
      <c r="Z1518" s="12"/>
      <c r="AA1518" s="16"/>
    </row>
    <row r="1519">
      <c r="A1519" s="8"/>
      <c r="C1519" s="12"/>
      <c r="D1519" s="12"/>
      <c r="E1519" s="12"/>
      <c r="F1519" s="12"/>
      <c r="G1519" s="12"/>
      <c r="H1519" s="12"/>
      <c r="I1519" s="12"/>
      <c r="J1519" s="12"/>
      <c r="S1519" s="12"/>
      <c r="T1519" s="12"/>
      <c r="U1519" s="16"/>
      <c r="V1519" s="16"/>
      <c r="W1519" s="12"/>
      <c r="Z1519" s="12"/>
      <c r="AA1519" s="16"/>
    </row>
    <row r="1520">
      <c r="A1520" s="8"/>
      <c r="C1520" s="12"/>
      <c r="D1520" s="12"/>
      <c r="E1520" s="12"/>
      <c r="F1520" s="12"/>
      <c r="G1520" s="12"/>
      <c r="H1520" s="12"/>
      <c r="I1520" s="12"/>
      <c r="J1520" s="12"/>
      <c r="S1520" s="12"/>
      <c r="T1520" s="12"/>
      <c r="U1520" s="16"/>
      <c r="V1520" s="16"/>
      <c r="W1520" s="12"/>
      <c r="Z1520" s="12"/>
      <c r="AA1520" s="16"/>
    </row>
    <row r="1521">
      <c r="A1521" s="8"/>
      <c r="C1521" s="12"/>
      <c r="D1521" s="12"/>
      <c r="E1521" s="12"/>
      <c r="F1521" s="12"/>
      <c r="G1521" s="12"/>
      <c r="H1521" s="12"/>
      <c r="I1521" s="12"/>
      <c r="J1521" s="12"/>
      <c r="S1521" s="12"/>
      <c r="T1521" s="12"/>
      <c r="U1521" s="16"/>
      <c r="V1521" s="16"/>
      <c r="W1521" s="12"/>
      <c r="Z1521" s="12"/>
      <c r="AA1521" s="16"/>
    </row>
    <row r="1522">
      <c r="A1522" s="8"/>
      <c r="C1522" s="12"/>
      <c r="D1522" s="12"/>
      <c r="E1522" s="12"/>
      <c r="F1522" s="12"/>
      <c r="G1522" s="12"/>
      <c r="H1522" s="12"/>
      <c r="I1522" s="12"/>
      <c r="J1522" s="12"/>
      <c r="S1522" s="12"/>
      <c r="T1522" s="12"/>
      <c r="U1522" s="16"/>
      <c r="V1522" s="16"/>
      <c r="W1522" s="12"/>
      <c r="Z1522" s="12"/>
      <c r="AA1522" s="16"/>
    </row>
    <row r="1523">
      <c r="A1523" s="8"/>
      <c r="C1523" s="12"/>
      <c r="D1523" s="12"/>
      <c r="E1523" s="12"/>
      <c r="F1523" s="12"/>
      <c r="G1523" s="12"/>
      <c r="H1523" s="12"/>
      <c r="I1523" s="12"/>
      <c r="J1523" s="12"/>
      <c r="S1523" s="12"/>
      <c r="T1523" s="12"/>
      <c r="U1523" s="16"/>
      <c r="V1523" s="16"/>
      <c r="W1523" s="12"/>
      <c r="Z1523" s="12"/>
      <c r="AA1523" s="16"/>
    </row>
    <row r="1524">
      <c r="A1524" s="8"/>
      <c r="C1524" s="12"/>
      <c r="D1524" s="12"/>
      <c r="E1524" s="12"/>
      <c r="F1524" s="12"/>
      <c r="G1524" s="12"/>
      <c r="H1524" s="12"/>
      <c r="I1524" s="12"/>
      <c r="J1524" s="12"/>
      <c r="S1524" s="12"/>
      <c r="T1524" s="12"/>
      <c r="U1524" s="16"/>
      <c r="V1524" s="16"/>
      <c r="W1524" s="12"/>
      <c r="Z1524" s="12"/>
      <c r="AA1524" s="16"/>
    </row>
    <row r="1525">
      <c r="A1525" s="8"/>
      <c r="C1525" s="12"/>
      <c r="D1525" s="12"/>
      <c r="E1525" s="12"/>
      <c r="F1525" s="12"/>
      <c r="G1525" s="12"/>
      <c r="H1525" s="12"/>
      <c r="I1525" s="12"/>
      <c r="J1525" s="12"/>
      <c r="S1525" s="12"/>
      <c r="T1525" s="12"/>
      <c r="U1525" s="16"/>
      <c r="V1525" s="16"/>
      <c r="W1525" s="12"/>
      <c r="Z1525" s="12"/>
      <c r="AA1525" s="16"/>
    </row>
    <row r="1526">
      <c r="A1526" s="8"/>
      <c r="C1526" s="12"/>
      <c r="D1526" s="12"/>
      <c r="E1526" s="12"/>
      <c r="F1526" s="12"/>
      <c r="G1526" s="12"/>
      <c r="H1526" s="12"/>
      <c r="I1526" s="12"/>
      <c r="J1526" s="12"/>
      <c r="S1526" s="12"/>
      <c r="T1526" s="12"/>
      <c r="U1526" s="16"/>
      <c r="V1526" s="16"/>
      <c r="W1526" s="12"/>
      <c r="Z1526" s="12"/>
      <c r="AA1526" s="16"/>
    </row>
    <row r="1527">
      <c r="A1527" s="8"/>
      <c r="C1527" s="12"/>
      <c r="D1527" s="12"/>
      <c r="E1527" s="12"/>
      <c r="F1527" s="12"/>
      <c r="G1527" s="12"/>
      <c r="H1527" s="12"/>
      <c r="I1527" s="12"/>
      <c r="J1527" s="12"/>
      <c r="S1527" s="12"/>
      <c r="T1527" s="12"/>
      <c r="U1527" s="16"/>
      <c r="V1527" s="16"/>
      <c r="W1527" s="12"/>
      <c r="Z1527" s="12"/>
      <c r="AA1527" s="16"/>
    </row>
    <row r="1528">
      <c r="A1528" s="8"/>
      <c r="C1528" s="12"/>
      <c r="D1528" s="12"/>
      <c r="E1528" s="12"/>
      <c r="F1528" s="12"/>
      <c r="G1528" s="12"/>
      <c r="H1528" s="12"/>
      <c r="I1528" s="12"/>
      <c r="J1528" s="12"/>
      <c r="S1528" s="12"/>
      <c r="T1528" s="12"/>
      <c r="U1528" s="16"/>
      <c r="V1528" s="16"/>
      <c r="W1528" s="12"/>
      <c r="Z1528" s="12"/>
      <c r="AA1528" s="16"/>
    </row>
    <row r="1529">
      <c r="A1529" s="8"/>
      <c r="C1529" s="12"/>
      <c r="D1529" s="12"/>
      <c r="E1529" s="12"/>
      <c r="F1529" s="12"/>
      <c r="G1529" s="12"/>
      <c r="H1529" s="12"/>
      <c r="I1529" s="12"/>
      <c r="J1529" s="12"/>
      <c r="S1529" s="12"/>
      <c r="T1529" s="12"/>
      <c r="U1529" s="16"/>
      <c r="V1529" s="16"/>
      <c r="W1529" s="12"/>
      <c r="Z1529" s="12"/>
      <c r="AA1529" s="16"/>
    </row>
    <row r="1530">
      <c r="A1530" s="8"/>
      <c r="C1530" s="12"/>
      <c r="D1530" s="12"/>
      <c r="E1530" s="12"/>
      <c r="F1530" s="12"/>
      <c r="G1530" s="12"/>
      <c r="H1530" s="12"/>
      <c r="I1530" s="12"/>
      <c r="J1530" s="12"/>
      <c r="S1530" s="12"/>
      <c r="T1530" s="12"/>
      <c r="U1530" s="16"/>
      <c r="V1530" s="16"/>
      <c r="W1530" s="12"/>
      <c r="Z1530" s="12"/>
      <c r="AA1530" s="16"/>
    </row>
    <row r="1531">
      <c r="A1531" s="8"/>
      <c r="C1531" s="12"/>
      <c r="D1531" s="12"/>
      <c r="E1531" s="12"/>
      <c r="F1531" s="12"/>
      <c r="G1531" s="12"/>
      <c r="H1531" s="12"/>
      <c r="I1531" s="12"/>
      <c r="J1531" s="12"/>
      <c r="S1531" s="12"/>
      <c r="T1531" s="12"/>
      <c r="U1531" s="16"/>
      <c r="V1531" s="16"/>
      <c r="W1531" s="12"/>
      <c r="Z1531" s="12"/>
      <c r="AA1531" s="16"/>
    </row>
    <row r="1532">
      <c r="A1532" s="8"/>
      <c r="C1532" s="12"/>
      <c r="D1532" s="12"/>
      <c r="E1532" s="12"/>
      <c r="F1532" s="12"/>
      <c r="G1532" s="12"/>
      <c r="H1532" s="12"/>
      <c r="I1532" s="12"/>
      <c r="J1532" s="12"/>
      <c r="S1532" s="12"/>
      <c r="T1532" s="12"/>
      <c r="U1532" s="16"/>
      <c r="V1532" s="16"/>
      <c r="W1532" s="12"/>
      <c r="Z1532" s="12"/>
      <c r="AA1532" s="16"/>
    </row>
    <row r="1533">
      <c r="A1533" s="8"/>
      <c r="C1533" s="12"/>
      <c r="D1533" s="12"/>
      <c r="E1533" s="12"/>
      <c r="F1533" s="12"/>
      <c r="G1533" s="12"/>
      <c r="H1533" s="12"/>
      <c r="I1533" s="12"/>
      <c r="J1533" s="12"/>
      <c r="S1533" s="12"/>
      <c r="T1533" s="12"/>
      <c r="U1533" s="16"/>
      <c r="V1533" s="16"/>
      <c r="W1533" s="12"/>
      <c r="Z1533" s="12"/>
      <c r="AA1533" s="16"/>
    </row>
    <row r="1534">
      <c r="A1534" s="8"/>
      <c r="C1534" s="12"/>
      <c r="D1534" s="12"/>
      <c r="E1534" s="12"/>
      <c r="F1534" s="12"/>
      <c r="G1534" s="12"/>
      <c r="H1534" s="12"/>
      <c r="I1534" s="12"/>
      <c r="J1534" s="12"/>
      <c r="S1534" s="12"/>
      <c r="T1534" s="12"/>
      <c r="U1534" s="16"/>
      <c r="V1534" s="16"/>
      <c r="W1534" s="12"/>
      <c r="Z1534" s="12"/>
      <c r="AA1534" s="16"/>
    </row>
    <row r="1535">
      <c r="A1535" s="8"/>
      <c r="C1535" s="12"/>
      <c r="D1535" s="12"/>
      <c r="E1535" s="12"/>
      <c r="F1535" s="12"/>
      <c r="G1535" s="12"/>
      <c r="H1535" s="12"/>
      <c r="I1535" s="12"/>
      <c r="J1535" s="12"/>
      <c r="S1535" s="12"/>
      <c r="T1535" s="12"/>
      <c r="U1535" s="16"/>
      <c r="V1535" s="16"/>
      <c r="W1535" s="12"/>
      <c r="Z1535" s="12"/>
      <c r="AA1535" s="16"/>
    </row>
    <row r="1536">
      <c r="A1536" s="8"/>
      <c r="C1536" s="12"/>
      <c r="D1536" s="12"/>
      <c r="E1536" s="12"/>
      <c r="F1536" s="12"/>
      <c r="G1536" s="12"/>
      <c r="H1536" s="12"/>
      <c r="I1536" s="12"/>
      <c r="J1536" s="12"/>
      <c r="S1536" s="12"/>
      <c r="T1536" s="12"/>
      <c r="U1536" s="16"/>
      <c r="V1536" s="16"/>
      <c r="W1536" s="12"/>
      <c r="Z1536" s="12"/>
      <c r="AA1536" s="16"/>
    </row>
    <row r="1537">
      <c r="A1537" s="8"/>
      <c r="C1537" s="12"/>
      <c r="D1537" s="12"/>
      <c r="E1537" s="12"/>
      <c r="F1537" s="12"/>
      <c r="G1537" s="12"/>
      <c r="H1537" s="12"/>
      <c r="I1537" s="12"/>
      <c r="J1537" s="12"/>
      <c r="S1537" s="12"/>
      <c r="T1537" s="12"/>
      <c r="U1537" s="16"/>
      <c r="V1537" s="16"/>
      <c r="W1537" s="12"/>
      <c r="Z1537" s="12"/>
      <c r="AA1537" s="16"/>
    </row>
    <row r="1538">
      <c r="A1538" s="8"/>
      <c r="C1538" s="12"/>
      <c r="D1538" s="12"/>
      <c r="E1538" s="12"/>
      <c r="F1538" s="12"/>
      <c r="G1538" s="12"/>
      <c r="H1538" s="12"/>
      <c r="I1538" s="12"/>
      <c r="J1538" s="12"/>
      <c r="S1538" s="12"/>
      <c r="T1538" s="12"/>
      <c r="U1538" s="16"/>
      <c r="V1538" s="16"/>
      <c r="W1538" s="12"/>
      <c r="Z1538" s="12"/>
      <c r="AA1538" s="16"/>
    </row>
    <row r="1539">
      <c r="A1539" s="8"/>
      <c r="C1539" s="12"/>
      <c r="D1539" s="12"/>
      <c r="E1539" s="12"/>
      <c r="F1539" s="12"/>
      <c r="G1539" s="12"/>
      <c r="H1539" s="12"/>
      <c r="I1539" s="12"/>
      <c r="J1539" s="12"/>
      <c r="S1539" s="12"/>
      <c r="T1539" s="12"/>
      <c r="U1539" s="16"/>
      <c r="V1539" s="16"/>
      <c r="W1539" s="12"/>
      <c r="Z1539" s="12"/>
      <c r="AA1539" s="16"/>
    </row>
    <row r="1540">
      <c r="A1540" s="8"/>
      <c r="C1540" s="12"/>
      <c r="D1540" s="12"/>
      <c r="E1540" s="12"/>
      <c r="F1540" s="12"/>
      <c r="G1540" s="12"/>
      <c r="H1540" s="12"/>
      <c r="I1540" s="12"/>
      <c r="J1540" s="12"/>
      <c r="S1540" s="12"/>
      <c r="T1540" s="12"/>
      <c r="U1540" s="16"/>
      <c r="V1540" s="16"/>
      <c r="W1540" s="12"/>
      <c r="Z1540" s="12"/>
      <c r="AA1540" s="16"/>
    </row>
    <row r="1541">
      <c r="A1541" s="8"/>
      <c r="C1541" s="12"/>
      <c r="D1541" s="12"/>
      <c r="E1541" s="12"/>
      <c r="F1541" s="12"/>
      <c r="G1541" s="12"/>
      <c r="H1541" s="12"/>
      <c r="I1541" s="12"/>
      <c r="J1541" s="12"/>
      <c r="S1541" s="12"/>
      <c r="T1541" s="12"/>
      <c r="U1541" s="16"/>
      <c r="V1541" s="16"/>
      <c r="W1541" s="12"/>
      <c r="Z1541" s="12"/>
      <c r="AA1541" s="16"/>
    </row>
    <row r="1542">
      <c r="A1542" s="8"/>
      <c r="C1542" s="12"/>
      <c r="D1542" s="12"/>
      <c r="E1542" s="12"/>
      <c r="F1542" s="12"/>
      <c r="G1542" s="12"/>
      <c r="H1542" s="12"/>
      <c r="I1542" s="12"/>
      <c r="J1542" s="12"/>
      <c r="S1542" s="12"/>
      <c r="T1542" s="12"/>
      <c r="U1542" s="16"/>
      <c r="V1542" s="16"/>
      <c r="W1542" s="12"/>
      <c r="Z1542" s="12"/>
      <c r="AA1542" s="16"/>
    </row>
    <row r="1543">
      <c r="A1543" s="8"/>
      <c r="C1543" s="12"/>
      <c r="D1543" s="12"/>
      <c r="E1543" s="12"/>
      <c r="F1543" s="12"/>
      <c r="G1543" s="12"/>
      <c r="H1543" s="12"/>
      <c r="I1543" s="12"/>
      <c r="J1543" s="12"/>
      <c r="S1543" s="12"/>
      <c r="T1543" s="12"/>
      <c r="U1543" s="16"/>
      <c r="V1543" s="16"/>
      <c r="W1543" s="12"/>
      <c r="Z1543" s="12"/>
      <c r="AA1543" s="16"/>
    </row>
    <row r="1544">
      <c r="A1544" s="8"/>
      <c r="C1544" s="12"/>
      <c r="D1544" s="12"/>
      <c r="E1544" s="12"/>
      <c r="F1544" s="12"/>
      <c r="G1544" s="12"/>
      <c r="H1544" s="12"/>
      <c r="I1544" s="12"/>
      <c r="J1544" s="12"/>
      <c r="S1544" s="12"/>
      <c r="T1544" s="12"/>
      <c r="U1544" s="16"/>
      <c r="V1544" s="16"/>
      <c r="W1544" s="12"/>
      <c r="Z1544" s="12"/>
      <c r="AA1544" s="16"/>
    </row>
    <row r="1545">
      <c r="A1545" s="8"/>
      <c r="C1545" s="12"/>
      <c r="D1545" s="12"/>
      <c r="E1545" s="12"/>
      <c r="F1545" s="12"/>
      <c r="G1545" s="12"/>
      <c r="H1545" s="12"/>
      <c r="I1545" s="12"/>
      <c r="J1545" s="12"/>
      <c r="S1545" s="12"/>
      <c r="T1545" s="12"/>
      <c r="U1545" s="16"/>
      <c r="V1545" s="16"/>
      <c r="W1545" s="12"/>
      <c r="Z1545" s="12"/>
      <c r="AA1545" s="16"/>
    </row>
    <row r="1546">
      <c r="A1546" s="8"/>
      <c r="C1546" s="12"/>
      <c r="D1546" s="12"/>
      <c r="E1546" s="12"/>
      <c r="F1546" s="12"/>
      <c r="G1546" s="12"/>
      <c r="H1546" s="12"/>
      <c r="I1546" s="12"/>
      <c r="J1546" s="12"/>
      <c r="S1546" s="12"/>
      <c r="T1546" s="12"/>
      <c r="U1546" s="16"/>
      <c r="V1546" s="16"/>
      <c r="W1546" s="12"/>
      <c r="Z1546" s="12"/>
      <c r="AA1546" s="16"/>
    </row>
    <row r="1547">
      <c r="A1547" s="8"/>
      <c r="C1547" s="12"/>
      <c r="D1547" s="12"/>
      <c r="E1547" s="12"/>
      <c r="F1547" s="12"/>
      <c r="G1547" s="12"/>
      <c r="H1547" s="12"/>
      <c r="I1547" s="12"/>
      <c r="J1547" s="12"/>
      <c r="S1547" s="12"/>
      <c r="T1547" s="12"/>
      <c r="U1547" s="16"/>
      <c r="V1547" s="16"/>
      <c r="W1547" s="12"/>
      <c r="Z1547" s="12"/>
      <c r="AA1547" s="16"/>
    </row>
    <row r="1548">
      <c r="A1548" s="8"/>
      <c r="C1548" s="12"/>
      <c r="D1548" s="12"/>
      <c r="E1548" s="12"/>
      <c r="F1548" s="12"/>
      <c r="G1548" s="12"/>
      <c r="H1548" s="12"/>
      <c r="I1548" s="12"/>
      <c r="J1548" s="12"/>
      <c r="S1548" s="12"/>
      <c r="T1548" s="12"/>
      <c r="U1548" s="16"/>
      <c r="V1548" s="16"/>
      <c r="W1548" s="12"/>
      <c r="Z1548" s="12"/>
      <c r="AA1548" s="16"/>
    </row>
    <row r="1549">
      <c r="A1549" s="8"/>
      <c r="C1549" s="12"/>
      <c r="D1549" s="12"/>
      <c r="E1549" s="12"/>
      <c r="F1549" s="12"/>
      <c r="G1549" s="12"/>
      <c r="H1549" s="12"/>
      <c r="I1549" s="12"/>
      <c r="J1549" s="12"/>
      <c r="S1549" s="12"/>
      <c r="T1549" s="12"/>
      <c r="U1549" s="16"/>
      <c r="V1549" s="16"/>
      <c r="W1549" s="12"/>
      <c r="Z1549" s="12"/>
      <c r="AA1549" s="16"/>
    </row>
    <row r="1550">
      <c r="A1550" s="8"/>
      <c r="C1550" s="12"/>
      <c r="D1550" s="12"/>
      <c r="E1550" s="12"/>
      <c r="F1550" s="12"/>
      <c r="G1550" s="12"/>
      <c r="H1550" s="12"/>
      <c r="I1550" s="12"/>
      <c r="J1550" s="12"/>
      <c r="S1550" s="12"/>
      <c r="T1550" s="12"/>
      <c r="U1550" s="16"/>
      <c r="V1550" s="16"/>
      <c r="W1550" s="12"/>
      <c r="Z1550" s="12"/>
      <c r="AA1550" s="16"/>
    </row>
    <row r="1551">
      <c r="A1551" s="8"/>
      <c r="C1551" s="12"/>
      <c r="D1551" s="12"/>
      <c r="E1551" s="12"/>
      <c r="F1551" s="12"/>
      <c r="G1551" s="12"/>
      <c r="H1551" s="12"/>
      <c r="I1551" s="12"/>
      <c r="J1551" s="12"/>
      <c r="S1551" s="12"/>
      <c r="T1551" s="12"/>
      <c r="U1551" s="16"/>
      <c r="V1551" s="16"/>
      <c r="W1551" s="12"/>
      <c r="Z1551" s="12"/>
      <c r="AA1551" s="16"/>
    </row>
    <row r="1552">
      <c r="A1552" s="8"/>
      <c r="C1552" s="12"/>
      <c r="D1552" s="12"/>
      <c r="E1552" s="12"/>
      <c r="F1552" s="12"/>
      <c r="G1552" s="12"/>
      <c r="H1552" s="12"/>
      <c r="I1552" s="12"/>
      <c r="J1552" s="12"/>
      <c r="S1552" s="12"/>
      <c r="T1552" s="12"/>
      <c r="U1552" s="16"/>
      <c r="V1552" s="16"/>
      <c r="W1552" s="12"/>
      <c r="Z1552" s="12"/>
      <c r="AA1552" s="16"/>
    </row>
    <row r="1553">
      <c r="A1553" s="8"/>
      <c r="C1553" s="12"/>
      <c r="D1553" s="12"/>
      <c r="E1553" s="12"/>
      <c r="F1553" s="12"/>
      <c r="G1553" s="12"/>
      <c r="H1553" s="12"/>
      <c r="I1553" s="12"/>
      <c r="J1553" s="12"/>
      <c r="S1553" s="12"/>
      <c r="T1553" s="12"/>
      <c r="U1553" s="16"/>
      <c r="V1553" s="16"/>
      <c r="W1553" s="12"/>
      <c r="Z1553" s="12"/>
      <c r="AA1553" s="16"/>
    </row>
    <row r="1554">
      <c r="A1554" s="8"/>
      <c r="C1554" s="12"/>
      <c r="D1554" s="12"/>
      <c r="E1554" s="12"/>
      <c r="F1554" s="12"/>
      <c r="G1554" s="12"/>
      <c r="H1554" s="12"/>
      <c r="I1554" s="12"/>
      <c r="J1554" s="12"/>
      <c r="S1554" s="12"/>
      <c r="T1554" s="12"/>
      <c r="U1554" s="16"/>
      <c r="V1554" s="16"/>
      <c r="W1554" s="12"/>
      <c r="Z1554" s="12"/>
      <c r="AA1554" s="16"/>
    </row>
    <row r="1555">
      <c r="A1555" s="8"/>
      <c r="C1555" s="12"/>
      <c r="D1555" s="12"/>
      <c r="E1555" s="12"/>
      <c r="F1555" s="12"/>
      <c r="G1555" s="12"/>
      <c r="H1555" s="12"/>
      <c r="I1555" s="12"/>
      <c r="J1555" s="12"/>
      <c r="S1555" s="12"/>
      <c r="T1555" s="12"/>
      <c r="U1555" s="16"/>
      <c r="V1555" s="16"/>
      <c r="W1555" s="12"/>
      <c r="Z1555" s="12"/>
      <c r="AA1555" s="16"/>
    </row>
    <row r="1556">
      <c r="A1556" s="8"/>
      <c r="C1556" s="12"/>
      <c r="D1556" s="12"/>
      <c r="E1556" s="12"/>
      <c r="F1556" s="12"/>
      <c r="G1556" s="12"/>
      <c r="H1556" s="12"/>
      <c r="I1556" s="12"/>
      <c r="J1556" s="12"/>
      <c r="S1556" s="12"/>
      <c r="T1556" s="12"/>
      <c r="U1556" s="16"/>
      <c r="V1556" s="16"/>
      <c r="W1556" s="12"/>
      <c r="Z1556" s="12"/>
      <c r="AA1556" s="16"/>
    </row>
    <row r="1557">
      <c r="A1557" s="8"/>
      <c r="C1557" s="12"/>
      <c r="D1557" s="12"/>
      <c r="E1557" s="12"/>
      <c r="F1557" s="12"/>
      <c r="G1557" s="12"/>
      <c r="H1557" s="12"/>
      <c r="I1557" s="12"/>
      <c r="J1557" s="12"/>
      <c r="S1557" s="12"/>
      <c r="T1557" s="12"/>
      <c r="U1557" s="16"/>
      <c r="V1557" s="16"/>
      <c r="W1557" s="12"/>
      <c r="Z1557" s="12"/>
      <c r="AA1557" s="16"/>
    </row>
    <row r="1558">
      <c r="A1558" s="8"/>
      <c r="C1558" s="12"/>
      <c r="D1558" s="12"/>
      <c r="E1558" s="12"/>
      <c r="F1558" s="12"/>
      <c r="G1558" s="12"/>
      <c r="H1558" s="12"/>
      <c r="I1558" s="12"/>
      <c r="J1558" s="12"/>
      <c r="S1558" s="12"/>
      <c r="T1558" s="12"/>
      <c r="U1558" s="16"/>
      <c r="V1558" s="16"/>
      <c r="W1558" s="12"/>
      <c r="Z1558" s="12"/>
      <c r="AA1558" s="16"/>
    </row>
    <row r="1559">
      <c r="A1559" s="8"/>
      <c r="C1559" s="12"/>
      <c r="D1559" s="12"/>
      <c r="E1559" s="12"/>
      <c r="F1559" s="12"/>
      <c r="G1559" s="12"/>
      <c r="H1559" s="12"/>
      <c r="I1559" s="12"/>
      <c r="J1559" s="12"/>
      <c r="S1559" s="12"/>
      <c r="T1559" s="12"/>
      <c r="U1559" s="16"/>
      <c r="V1559" s="16"/>
      <c r="W1559" s="12"/>
      <c r="Z1559" s="12"/>
      <c r="AA1559" s="16"/>
    </row>
    <row r="1560">
      <c r="A1560" s="8"/>
      <c r="C1560" s="12"/>
      <c r="D1560" s="12"/>
      <c r="E1560" s="12"/>
      <c r="F1560" s="12"/>
      <c r="G1560" s="12"/>
      <c r="H1560" s="12"/>
      <c r="I1560" s="12"/>
      <c r="J1560" s="12"/>
      <c r="S1560" s="12"/>
      <c r="T1560" s="12"/>
      <c r="U1560" s="16"/>
      <c r="V1560" s="16"/>
      <c r="W1560" s="12"/>
      <c r="Z1560" s="12"/>
      <c r="AA1560" s="16"/>
    </row>
    <row r="1561">
      <c r="A1561" s="8"/>
      <c r="C1561" s="12"/>
      <c r="D1561" s="12"/>
      <c r="E1561" s="12"/>
      <c r="F1561" s="12"/>
      <c r="G1561" s="12"/>
      <c r="H1561" s="12"/>
      <c r="I1561" s="12"/>
      <c r="J1561" s="12"/>
      <c r="S1561" s="12"/>
      <c r="T1561" s="12"/>
      <c r="U1561" s="16"/>
      <c r="V1561" s="16"/>
      <c r="W1561" s="12"/>
      <c r="Z1561" s="12"/>
      <c r="AA1561" s="16"/>
    </row>
    <row r="1562">
      <c r="A1562" s="8"/>
      <c r="C1562" s="12"/>
      <c r="D1562" s="12"/>
      <c r="E1562" s="12"/>
      <c r="F1562" s="12"/>
      <c r="G1562" s="12"/>
      <c r="H1562" s="12"/>
      <c r="I1562" s="12"/>
      <c r="J1562" s="12"/>
      <c r="S1562" s="12"/>
      <c r="T1562" s="12"/>
      <c r="U1562" s="16"/>
      <c r="V1562" s="16"/>
      <c r="W1562" s="12"/>
      <c r="Z1562" s="12"/>
      <c r="AA1562" s="16"/>
    </row>
    <row r="1563">
      <c r="A1563" s="8"/>
      <c r="C1563" s="12"/>
      <c r="D1563" s="12"/>
      <c r="E1563" s="12"/>
      <c r="F1563" s="12"/>
      <c r="G1563" s="12"/>
      <c r="H1563" s="12"/>
      <c r="I1563" s="12"/>
      <c r="J1563" s="12"/>
      <c r="S1563" s="12"/>
      <c r="T1563" s="12"/>
      <c r="U1563" s="16"/>
      <c r="V1563" s="16"/>
      <c r="W1563" s="12"/>
      <c r="Z1563" s="12"/>
      <c r="AA1563" s="16"/>
    </row>
    <row r="1564">
      <c r="A1564" s="8"/>
      <c r="C1564" s="12"/>
      <c r="D1564" s="12"/>
      <c r="E1564" s="12"/>
      <c r="F1564" s="12"/>
      <c r="G1564" s="12"/>
      <c r="H1564" s="12"/>
      <c r="I1564" s="12"/>
      <c r="J1564" s="12"/>
      <c r="S1564" s="12"/>
      <c r="T1564" s="12"/>
      <c r="U1564" s="16"/>
      <c r="V1564" s="16"/>
      <c r="W1564" s="12"/>
      <c r="Z1564" s="12"/>
      <c r="AA1564" s="16"/>
    </row>
    <row r="1565">
      <c r="A1565" s="8"/>
      <c r="C1565" s="12"/>
      <c r="D1565" s="12"/>
      <c r="E1565" s="12"/>
      <c r="F1565" s="12"/>
      <c r="G1565" s="12"/>
      <c r="H1565" s="12"/>
      <c r="I1565" s="12"/>
      <c r="J1565" s="12"/>
      <c r="S1565" s="12"/>
      <c r="T1565" s="12"/>
      <c r="U1565" s="16"/>
      <c r="V1565" s="16"/>
      <c r="W1565" s="12"/>
      <c r="Z1565" s="12"/>
      <c r="AA1565" s="16"/>
    </row>
    <row r="1566">
      <c r="A1566" s="8"/>
      <c r="C1566" s="12"/>
      <c r="D1566" s="12"/>
      <c r="E1566" s="12"/>
      <c r="F1566" s="12"/>
      <c r="G1566" s="12"/>
      <c r="H1566" s="12"/>
      <c r="I1566" s="12"/>
      <c r="J1566" s="12"/>
      <c r="S1566" s="12"/>
      <c r="T1566" s="12"/>
      <c r="U1566" s="16"/>
      <c r="V1566" s="16"/>
      <c r="W1566" s="12"/>
      <c r="Z1566" s="12"/>
      <c r="AA1566" s="16"/>
    </row>
    <row r="1567">
      <c r="A1567" s="8"/>
      <c r="C1567" s="12"/>
      <c r="D1567" s="12"/>
      <c r="E1567" s="12"/>
      <c r="F1567" s="12"/>
      <c r="G1567" s="12"/>
      <c r="H1567" s="12"/>
      <c r="I1567" s="12"/>
      <c r="J1567" s="12"/>
      <c r="S1567" s="12"/>
      <c r="T1567" s="12"/>
      <c r="U1567" s="16"/>
      <c r="V1567" s="16"/>
      <c r="W1567" s="12"/>
      <c r="Z1567" s="12"/>
      <c r="AA1567" s="16"/>
    </row>
    <row r="1568">
      <c r="A1568" s="8"/>
      <c r="C1568" s="12"/>
      <c r="D1568" s="12"/>
      <c r="E1568" s="12"/>
      <c r="F1568" s="12"/>
      <c r="G1568" s="12"/>
      <c r="H1568" s="12"/>
      <c r="I1568" s="12"/>
      <c r="J1568" s="12"/>
      <c r="S1568" s="12"/>
      <c r="T1568" s="12"/>
      <c r="U1568" s="16"/>
      <c r="V1568" s="16"/>
      <c r="W1568" s="12"/>
      <c r="Z1568" s="12"/>
      <c r="AA1568" s="16"/>
    </row>
    <row r="1569">
      <c r="A1569" s="8"/>
      <c r="C1569" s="12"/>
      <c r="D1569" s="12"/>
      <c r="E1569" s="12"/>
      <c r="F1569" s="12"/>
      <c r="G1569" s="12"/>
      <c r="H1569" s="12"/>
      <c r="I1569" s="12"/>
      <c r="J1569" s="12"/>
      <c r="S1569" s="12"/>
      <c r="T1569" s="12"/>
      <c r="U1569" s="16"/>
      <c r="V1569" s="16"/>
      <c r="W1569" s="12"/>
      <c r="Z1569" s="12"/>
      <c r="AA1569" s="16"/>
    </row>
    <row r="1570">
      <c r="A1570" s="8"/>
      <c r="C1570" s="12"/>
      <c r="D1570" s="12"/>
      <c r="E1570" s="12"/>
      <c r="F1570" s="12"/>
      <c r="G1570" s="12"/>
      <c r="H1570" s="12"/>
      <c r="I1570" s="12"/>
      <c r="J1570" s="12"/>
      <c r="S1570" s="12"/>
      <c r="T1570" s="12"/>
      <c r="U1570" s="16"/>
      <c r="V1570" s="16"/>
      <c r="W1570" s="12"/>
      <c r="Z1570" s="12"/>
      <c r="AA1570" s="16"/>
    </row>
    <row r="1571">
      <c r="A1571" s="8"/>
      <c r="C1571" s="12"/>
      <c r="D1571" s="12"/>
      <c r="E1571" s="12"/>
      <c r="F1571" s="12"/>
      <c r="G1571" s="12"/>
      <c r="H1571" s="12"/>
      <c r="I1571" s="12"/>
      <c r="J1571" s="12"/>
      <c r="S1571" s="12"/>
      <c r="T1571" s="12"/>
      <c r="U1571" s="16"/>
      <c r="V1571" s="16"/>
      <c r="W1571" s="12"/>
      <c r="Z1571" s="12"/>
      <c r="AA1571" s="16"/>
    </row>
    <row r="1572">
      <c r="A1572" s="8"/>
      <c r="C1572" s="12"/>
      <c r="D1572" s="12"/>
      <c r="E1572" s="12"/>
      <c r="F1572" s="12"/>
      <c r="G1572" s="12"/>
      <c r="H1572" s="12"/>
      <c r="I1572" s="12"/>
      <c r="J1572" s="12"/>
      <c r="S1572" s="12"/>
      <c r="T1572" s="12"/>
      <c r="U1572" s="16"/>
      <c r="V1572" s="16"/>
      <c r="W1572" s="12"/>
      <c r="Z1572" s="12"/>
      <c r="AA1572" s="16"/>
    </row>
    <row r="1573">
      <c r="A1573" s="8"/>
      <c r="C1573" s="12"/>
      <c r="D1573" s="12"/>
      <c r="E1573" s="12"/>
      <c r="F1573" s="12"/>
      <c r="G1573" s="12"/>
      <c r="H1573" s="12"/>
      <c r="I1573" s="12"/>
      <c r="J1573" s="12"/>
      <c r="S1573" s="12"/>
      <c r="T1573" s="12"/>
      <c r="U1573" s="16"/>
      <c r="V1573" s="16"/>
      <c r="W1573" s="12"/>
      <c r="Z1573" s="12"/>
      <c r="AA1573" s="16"/>
    </row>
    <row r="1574">
      <c r="A1574" s="8"/>
      <c r="C1574" s="12"/>
      <c r="D1574" s="12"/>
      <c r="E1574" s="12"/>
      <c r="F1574" s="12"/>
      <c r="G1574" s="12"/>
      <c r="H1574" s="12"/>
      <c r="I1574" s="12"/>
      <c r="J1574" s="12"/>
      <c r="S1574" s="12"/>
      <c r="T1574" s="12"/>
      <c r="U1574" s="16"/>
      <c r="V1574" s="16"/>
      <c r="W1574" s="12"/>
      <c r="Z1574" s="12"/>
      <c r="AA1574" s="16"/>
    </row>
    <row r="1575">
      <c r="A1575" s="8"/>
      <c r="C1575" s="12"/>
      <c r="D1575" s="12"/>
      <c r="E1575" s="12"/>
      <c r="F1575" s="12"/>
      <c r="G1575" s="12"/>
      <c r="H1575" s="12"/>
      <c r="I1575" s="12"/>
      <c r="J1575" s="12"/>
      <c r="S1575" s="12"/>
      <c r="T1575" s="12"/>
      <c r="U1575" s="16"/>
      <c r="V1575" s="16"/>
      <c r="W1575" s="12"/>
      <c r="Z1575" s="12"/>
      <c r="AA1575" s="16"/>
    </row>
    <row r="1576">
      <c r="A1576" s="8"/>
      <c r="C1576" s="12"/>
      <c r="D1576" s="12"/>
      <c r="E1576" s="12"/>
      <c r="F1576" s="12"/>
      <c r="G1576" s="12"/>
      <c r="H1576" s="12"/>
      <c r="I1576" s="12"/>
      <c r="J1576" s="12"/>
      <c r="S1576" s="12"/>
      <c r="T1576" s="12"/>
      <c r="U1576" s="16"/>
      <c r="V1576" s="16"/>
      <c r="W1576" s="12"/>
      <c r="Z1576" s="12"/>
      <c r="AA1576" s="16"/>
    </row>
    <row r="1577">
      <c r="A1577" s="8"/>
      <c r="C1577" s="12"/>
      <c r="D1577" s="12"/>
      <c r="E1577" s="12"/>
      <c r="F1577" s="12"/>
      <c r="G1577" s="12"/>
      <c r="H1577" s="12"/>
      <c r="I1577" s="12"/>
      <c r="J1577" s="12"/>
      <c r="S1577" s="12"/>
      <c r="T1577" s="12"/>
      <c r="U1577" s="16"/>
      <c r="V1577" s="16"/>
      <c r="W1577" s="12"/>
      <c r="Z1577" s="12"/>
      <c r="AA1577" s="16"/>
    </row>
    <row r="1578">
      <c r="A1578" s="8"/>
      <c r="C1578" s="12"/>
      <c r="D1578" s="12"/>
      <c r="E1578" s="12"/>
      <c r="F1578" s="12"/>
      <c r="G1578" s="12"/>
      <c r="H1578" s="12"/>
      <c r="I1578" s="12"/>
      <c r="J1578" s="12"/>
      <c r="S1578" s="12"/>
      <c r="T1578" s="12"/>
      <c r="U1578" s="16"/>
      <c r="V1578" s="16"/>
      <c r="W1578" s="12"/>
      <c r="Z1578" s="12"/>
      <c r="AA1578" s="16"/>
    </row>
    <row r="1579">
      <c r="A1579" s="8"/>
      <c r="C1579" s="12"/>
      <c r="D1579" s="12"/>
      <c r="E1579" s="12"/>
      <c r="F1579" s="12"/>
      <c r="G1579" s="12"/>
      <c r="H1579" s="12"/>
      <c r="I1579" s="12"/>
      <c r="J1579" s="12"/>
      <c r="S1579" s="12"/>
      <c r="T1579" s="12"/>
      <c r="U1579" s="16"/>
      <c r="V1579" s="16"/>
      <c r="W1579" s="12"/>
      <c r="Z1579" s="12"/>
      <c r="AA1579" s="16"/>
    </row>
    <row r="1580">
      <c r="A1580" s="8"/>
      <c r="C1580" s="12"/>
      <c r="D1580" s="12"/>
      <c r="E1580" s="12"/>
      <c r="F1580" s="12"/>
      <c r="G1580" s="12"/>
      <c r="H1580" s="12"/>
      <c r="I1580" s="12"/>
      <c r="J1580" s="12"/>
      <c r="S1580" s="12"/>
      <c r="T1580" s="12"/>
      <c r="U1580" s="16"/>
      <c r="V1580" s="16"/>
      <c r="W1580" s="12"/>
      <c r="Z1580" s="12"/>
      <c r="AA1580" s="16"/>
    </row>
    <row r="1581">
      <c r="A1581" s="8"/>
      <c r="C1581" s="12"/>
      <c r="D1581" s="12"/>
      <c r="E1581" s="12"/>
      <c r="F1581" s="12"/>
      <c r="G1581" s="12"/>
      <c r="H1581" s="12"/>
      <c r="I1581" s="12"/>
      <c r="J1581" s="12"/>
      <c r="S1581" s="12"/>
      <c r="T1581" s="12"/>
      <c r="U1581" s="16"/>
      <c r="V1581" s="16"/>
      <c r="W1581" s="12"/>
      <c r="Z1581" s="12"/>
      <c r="AA1581" s="16"/>
    </row>
    <row r="1582">
      <c r="A1582" s="8"/>
      <c r="C1582" s="12"/>
      <c r="D1582" s="12"/>
      <c r="E1582" s="12"/>
      <c r="F1582" s="12"/>
      <c r="G1582" s="12"/>
      <c r="H1582" s="12"/>
      <c r="I1582" s="12"/>
      <c r="J1582" s="12"/>
      <c r="S1582" s="12"/>
      <c r="T1582" s="12"/>
      <c r="U1582" s="16"/>
      <c r="V1582" s="16"/>
      <c r="W1582" s="12"/>
      <c r="Z1582" s="12"/>
      <c r="AA1582" s="16"/>
    </row>
    <row r="1583">
      <c r="A1583" s="8"/>
      <c r="C1583" s="12"/>
      <c r="D1583" s="12"/>
      <c r="E1583" s="12"/>
      <c r="F1583" s="12"/>
      <c r="G1583" s="12"/>
      <c r="H1583" s="12"/>
      <c r="I1583" s="12"/>
      <c r="J1583" s="12"/>
      <c r="S1583" s="12"/>
      <c r="T1583" s="12"/>
      <c r="U1583" s="16"/>
      <c r="V1583" s="16"/>
      <c r="W1583" s="12"/>
      <c r="Z1583" s="12"/>
      <c r="AA1583" s="16"/>
    </row>
    <row r="1584">
      <c r="A1584" s="8"/>
      <c r="C1584" s="12"/>
      <c r="D1584" s="12"/>
      <c r="E1584" s="12"/>
      <c r="F1584" s="12"/>
      <c r="G1584" s="12"/>
      <c r="H1584" s="12"/>
      <c r="I1584" s="12"/>
      <c r="J1584" s="12"/>
      <c r="S1584" s="12"/>
      <c r="T1584" s="12"/>
      <c r="U1584" s="16"/>
      <c r="V1584" s="16"/>
      <c r="W1584" s="12"/>
      <c r="Z1584" s="12"/>
      <c r="AA1584" s="16"/>
    </row>
    <row r="1585">
      <c r="A1585" s="8"/>
      <c r="C1585" s="12"/>
      <c r="D1585" s="12"/>
      <c r="E1585" s="12"/>
      <c r="F1585" s="12"/>
      <c r="G1585" s="12"/>
      <c r="H1585" s="12"/>
      <c r="I1585" s="12"/>
      <c r="J1585" s="12"/>
      <c r="S1585" s="12"/>
      <c r="T1585" s="12"/>
      <c r="U1585" s="16"/>
      <c r="V1585" s="16"/>
      <c r="W1585" s="12"/>
      <c r="Z1585" s="12"/>
      <c r="AA1585" s="16"/>
    </row>
    <row r="1586">
      <c r="A1586" s="8"/>
      <c r="C1586" s="12"/>
      <c r="D1586" s="12"/>
      <c r="E1586" s="12"/>
      <c r="F1586" s="12"/>
      <c r="G1586" s="12"/>
      <c r="H1586" s="12"/>
      <c r="I1586" s="12"/>
      <c r="J1586" s="12"/>
      <c r="S1586" s="12"/>
      <c r="T1586" s="12"/>
      <c r="U1586" s="16"/>
      <c r="V1586" s="16"/>
      <c r="W1586" s="12"/>
      <c r="Z1586" s="12"/>
      <c r="AA1586" s="16"/>
    </row>
    <row r="1587">
      <c r="A1587" s="8"/>
      <c r="C1587" s="12"/>
      <c r="D1587" s="12"/>
      <c r="E1587" s="12"/>
      <c r="F1587" s="12"/>
      <c r="G1587" s="12"/>
      <c r="H1587" s="12"/>
      <c r="I1587" s="12"/>
      <c r="J1587" s="12"/>
      <c r="S1587" s="12"/>
      <c r="T1587" s="12"/>
      <c r="U1587" s="16"/>
      <c r="V1587" s="16"/>
      <c r="W1587" s="12"/>
      <c r="Z1587" s="12"/>
      <c r="AA1587" s="16"/>
    </row>
    <row r="1588">
      <c r="A1588" s="8"/>
      <c r="C1588" s="12"/>
      <c r="D1588" s="12"/>
      <c r="E1588" s="12"/>
      <c r="F1588" s="12"/>
      <c r="G1588" s="12"/>
      <c r="H1588" s="12"/>
      <c r="I1588" s="12"/>
      <c r="J1588" s="12"/>
      <c r="S1588" s="12"/>
      <c r="T1588" s="12"/>
      <c r="U1588" s="16"/>
      <c r="V1588" s="16"/>
      <c r="W1588" s="12"/>
      <c r="Z1588" s="12"/>
      <c r="AA1588" s="16"/>
    </row>
    <row r="1589">
      <c r="A1589" s="8"/>
      <c r="C1589" s="12"/>
      <c r="D1589" s="12"/>
      <c r="E1589" s="12"/>
      <c r="F1589" s="12"/>
      <c r="G1589" s="12"/>
      <c r="H1589" s="12"/>
      <c r="I1589" s="12"/>
      <c r="J1589" s="12"/>
      <c r="S1589" s="12"/>
      <c r="T1589" s="12"/>
      <c r="U1589" s="16"/>
      <c r="V1589" s="16"/>
      <c r="W1589" s="12"/>
      <c r="Z1589" s="12"/>
      <c r="AA1589" s="16"/>
    </row>
    <row r="1590">
      <c r="A1590" s="8"/>
      <c r="C1590" s="12"/>
      <c r="D1590" s="12"/>
      <c r="E1590" s="12"/>
      <c r="F1590" s="12"/>
      <c r="G1590" s="12"/>
      <c r="H1590" s="12"/>
      <c r="I1590" s="12"/>
      <c r="J1590" s="12"/>
      <c r="S1590" s="12"/>
      <c r="T1590" s="12"/>
      <c r="U1590" s="16"/>
      <c r="V1590" s="16"/>
      <c r="W1590" s="12"/>
      <c r="Z1590" s="12"/>
      <c r="AA1590" s="16"/>
    </row>
    <row r="1591">
      <c r="A1591" s="8"/>
      <c r="C1591" s="12"/>
      <c r="D1591" s="12"/>
      <c r="E1591" s="12"/>
      <c r="F1591" s="12"/>
      <c r="G1591" s="12"/>
      <c r="H1591" s="12"/>
      <c r="I1591" s="12"/>
      <c r="J1591" s="12"/>
      <c r="S1591" s="12"/>
      <c r="T1591" s="12"/>
      <c r="U1591" s="16"/>
      <c r="V1591" s="16"/>
      <c r="W1591" s="12"/>
      <c r="Z1591" s="12"/>
      <c r="AA1591" s="16"/>
    </row>
    <row r="1592">
      <c r="A1592" s="8"/>
      <c r="C1592" s="12"/>
      <c r="D1592" s="12"/>
      <c r="E1592" s="12"/>
      <c r="F1592" s="12"/>
      <c r="G1592" s="12"/>
      <c r="H1592" s="12"/>
      <c r="I1592" s="12"/>
      <c r="J1592" s="12"/>
      <c r="S1592" s="12"/>
      <c r="T1592" s="12"/>
      <c r="U1592" s="16"/>
      <c r="V1592" s="16"/>
      <c r="W1592" s="12"/>
      <c r="Z1592" s="12"/>
      <c r="AA1592" s="16"/>
    </row>
    <row r="1593">
      <c r="A1593" s="8"/>
      <c r="C1593" s="12"/>
      <c r="D1593" s="12"/>
      <c r="E1593" s="12"/>
      <c r="F1593" s="12"/>
      <c r="G1593" s="12"/>
      <c r="H1593" s="12"/>
      <c r="I1593" s="12"/>
      <c r="J1593" s="12"/>
      <c r="S1593" s="12"/>
      <c r="T1593" s="12"/>
      <c r="U1593" s="16"/>
      <c r="V1593" s="16"/>
      <c r="W1593" s="12"/>
      <c r="Z1593" s="12"/>
      <c r="AA1593" s="16"/>
    </row>
    <row r="1594">
      <c r="A1594" s="8"/>
      <c r="C1594" s="12"/>
      <c r="D1594" s="12"/>
      <c r="E1594" s="12"/>
      <c r="F1594" s="12"/>
      <c r="G1594" s="12"/>
      <c r="H1594" s="12"/>
      <c r="I1594" s="12"/>
      <c r="J1594" s="12"/>
      <c r="S1594" s="12"/>
      <c r="T1594" s="12"/>
      <c r="U1594" s="16"/>
      <c r="V1594" s="16"/>
      <c r="W1594" s="12"/>
      <c r="Z1594" s="12"/>
      <c r="AA1594" s="16"/>
    </row>
    <row r="1595">
      <c r="A1595" s="8"/>
      <c r="C1595" s="12"/>
      <c r="D1595" s="12"/>
      <c r="E1595" s="12"/>
      <c r="F1595" s="12"/>
      <c r="G1595" s="12"/>
      <c r="H1595" s="12"/>
      <c r="I1595" s="12"/>
      <c r="J1595" s="12"/>
      <c r="S1595" s="12"/>
      <c r="T1595" s="12"/>
      <c r="U1595" s="16"/>
      <c r="V1595" s="16"/>
      <c r="W1595" s="12"/>
      <c r="Z1595" s="12"/>
      <c r="AA1595" s="16"/>
    </row>
    <row r="1596">
      <c r="A1596" s="8"/>
      <c r="C1596" s="12"/>
      <c r="D1596" s="12"/>
      <c r="E1596" s="12"/>
      <c r="F1596" s="12"/>
      <c r="G1596" s="12"/>
      <c r="H1596" s="12"/>
      <c r="I1596" s="12"/>
      <c r="J1596" s="12"/>
      <c r="S1596" s="12"/>
      <c r="T1596" s="12"/>
      <c r="U1596" s="16"/>
      <c r="V1596" s="16"/>
      <c r="W1596" s="12"/>
      <c r="Z1596" s="12"/>
      <c r="AA1596" s="16"/>
    </row>
    <row r="1597">
      <c r="A1597" s="8"/>
      <c r="C1597" s="12"/>
      <c r="D1597" s="12"/>
      <c r="E1597" s="12"/>
      <c r="F1597" s="12"/>
      <c r="G1597" s="12"/>
      <c r="H1597" s="12"/>
      <c r="I1597" s="12"/>
      <c r="J1597" s="12"/>
      <c r="S1597" s="12"/>
      <c r="T1597" s="12"/>
      <c r="U1597" s="16"/>
      <c r="V1597" s="16"/>
      <c r="W1597" s="12"/>
      <c r="Z1597" s="12"/>
      <c r="AA1597" s="16"/>
    </row>
    <row r="1598">
      <c r="A1598" s="8"/>
      <c r="C1598" s="12"/>
      <c r="D1598" s="12"/>
      <c r="E1598" s="12"/>
      <c r="F1598" s="12"/>
      <c r="G1598" s="12"/>
      <c r="H1598" s="12"/>
      <c r="I1598" s="12"/>
      <c r="J1598" s="12"/>
      <c r="S1598" s="12"/>
      <c r="T1598" s="12"/>
      <c r="U1598" s="16"/>
      <c r="V1598" s="16"/>
      <c r="W1598" s="12"/>
      <c r="Z1598" s="12"/>
      <c r="AA1598" s="16"/>
    </row>
    <row r="1599">
      <c r="A1599" s="8"/>
      <c r="C1599" s="12"/>
      <c r="D1599" s="12"/>
      <c r="E1599" s="12"/>
      <c r="F1599" s="12"/>
      <c r="G1599" s="12"/>
      <c r="H1599" s="12"/>
      <c r="I1599" s="12"/>
      <c r="J1599" s="12"/>
      <c r="S1599" s="12"/>
      <c r="T1599" s="12"/>
      <c r="U1599" s="16"/>
      <c r="V1599" s="16"/>
      <c r="W1599" s="12"/>
      <c r="Z1599" s="12"/>
      <c r="AA1599" s="16"/>
    </row>
    <row r="1600">
      <c r="A1600" s="8"/>
      <c r="C1600" s="12"/>
      <c r="D1600" s="12"/>
      <c r="E1600" s="12"/>
      <c r="F1600" s="12"/>
      <c r="G1600" s="12"/>
      <c r="H1600" s="12"/>
      <c r="I1600" s="12"/>
      <c r="J1600" s="12"/>
      <c r="S1600" s="12"/>
      <c r="T1600" s="12"/>
      <c r="U1600" s="16"/>
      <c r="V1600" s="16"/>
      <c r="W1600" s="12"/>
      <c r="Z1600" s="12"/>
      <c r="AA1600" s="16"/>
    </row>
    <row r="1601">
      <c r="A1601" s="8"/>
      <c r="C1601" s="12"/>
      <c r="D1601" s="12"/>
      <c r="E1601" s="12"/>
      <c r="F1601" s="12"/>
      <c r="G1601" s="12"/>
      <c r="H1601" s="12"/>
      <c r="I1601" s="12"/>
      <c r="J1601" s="12"/>
      <c r="S1601" s="12"/>
      <c r="T1601" s="12"/>
      <c r="U1601" s="16"/>
      <c r="V1601" s="16"/>
      <c r="W1601" s="12"/>
      <c r="Z1601" s="12"/>
      <c r="AA1601" s="16"/>
    </row>
    <row r="1602">
      <c r="A1602" s="8"/>
      <c r="C1602" s="12"/>
      <c r="D1602" s="12"/>
      <c r="E1602" s="12"/>
      <c r="F1602" s="12"/>
      <c r="G1602" s="12"/>
      <c r="H1602" s="12"/>
      <c r="I1602" s="12"/>
      <c r="J1602" s="12"/>
      <c r="S1602" s="12"/>
      <c r="T1602" s="12"/>
      <c r="U1602" s="16"/>
      <c r="V1602" s="16"/>
      <c r="W1602" s="12"/>
      <c r="Z1602" s="12"/>
      <c r="AA1602" s="16"/>
    </row>
    <row r="1603">
      <c r="A1603" s="8"/>
      <c r="C1603" s="12"/>
      <c r="D1603" s="12"/>
      <c r="E1603" s="12"/>
      <c r="F1603" s="12"/>
      <c r="G1603" s="12"/>
      <c r="H1603" s="12"/>
      <c r="I1603" s="12"/>
      <c r="J1603" s="12"/>
      <c r="S1603" s="12"/>
      <c r="T1603" s="12"/>
      <c r="U1603" s="16"/>
      <c r="V1603" s="16"/>
      <c r="W1603" s="12"/>
      <c r="Z1603" s="12"/>
      <c r="AA1603" s="16"/>
    </row>
    <row r="1604">
      <c r="A1604" s="8"/>
      <c r="C1604" s="12"/>
      <c r="D1604" s="12"/>
      <c r="E1604" s="12"/>
      <c r="F1604" s="12"/>
      <c r="G1604" s="12"/>
      <c r="H1604" s="12"/>
      <c r="I1604" s="12"/>
      <c r="J1604" s="12"/>
      <c r="S1604" s="12"/>
      <c r="T1604" s="12"/>
      <c r="U1604" s="16"/>
      <c r="V1604" s="16"/>
      <c r="W1604" s="12"/>
      <c r="Z1604" s="12"/>
      <c r="AA1604" s="16"/>
    </row>
    <row r="1605">
      <c r="A1605" s="8"/>
      <c r="C1605" s="12"/>
      <c r="D1605" s="12"/>
      <c r="E1605" s="12"/>
      <c r="F1605" s="12"/>
      <c r="G1605" s="12"/>
      <c r="H1605" s="12"/>
      <c r="I1605" s="12"/>
      <c r="J1605" s="12"/>
      <c r="S1605" s="12"/>
      <c r="T1605" s="12"/>
      <c r="U1605" s="16"/>
      <c r="V1605" s="16"/>
      <c r="W1605" s="12"/>
      <c r="Z1605" s="12"/>
      <c r="AA1605" s="16"/>
    </row>
    <row r="1606">
      <c r="A1606" s="8"/>
      <c r="C1606" s="12"/>
      <c r="D1606" s="12"/>
      <c r="E1606" s="12"/>
      <c r="F1606" s="12"/>
      <c r="G1606" s="12"/>
      <c r="H1606" s="12"/>
      <c r="I1606" s="12"/>
      <c r="J1606" s="12"/>
      <c r="S1606" s="12"/>
      <c r="T1606" s="12"/>
      <c r="U1606" s="16"/>
      <c r="V1606" s="16"/>
      <c r="W1606" s="12"/>
      <c r="Z1606" s="12"/>
      <c r="AA1606" s="16"/>
    </row>
    <row r="1607">
      <c r="A1607" s="8"/>
      <c r="C1607" s="12"/>
      <c r="D1607" s="12"/>
      <c r="E1607" s="12"/>
      <c r="F1607" s="12"/>
      <c r="G1607" s="12"/>
      <c r="H1607" s="12"/>
      <c r="I1607" s="12"/>
      <c r="J1607" s="12"/>
      <c r="S1607" s="12"/>
      <c r="T1607" s="12"/>
      <c r="U1607" s="16"/>
      <c r="V1607" s="16"/>
      <c r="W1607" s="12"/>
      <c r="Z1607" s="12"/>
      <c r="AA1607" s="16"/>
    </row>
    <row r="1608">
      <c r="A1608" s="8"/>
      <c r="C1608" s="12"/>
      <c r="D1608" s="12"/>
      <c r="E1608" s="12"/>
      <c r="F1608" s="12"/>
      <c r="G1608" s="12"/>
      <c r="H1608" s="12"/>
      <c r="I1608" s="12"/>
      <c r="J1608" s="12"/>
      <c r="S1608" s="12"/>
      <c r="T1608" s="12"/>
      <c r="U1608" s="16"/>
      <c r="V1608" s="16"/>
      <c r="W1608" s="12"/>
      <c r="Z1608" s="12"/>
      <c r="AA1608" s="16"/>
    </row>
    <row r="1609">
      <c r="A1609" s="8"/>
      <c r="C1609" s="12"/>
      <c r="D1609" s="12"/>
      <c r="E1609" s="12"/>
      <c r="F1609" s="12"/>
      <c r="G1609" s="12"/>
      <c r="H1609" s="12"/>
      <c r="I1609" s="12"/>
      <c r="J1609" s="12"/>
      <c r="S1609" s="12"/>
      <c r="T1609" s="12"/>
      <c r="U1609" s="16"/>
      <c r="V1609" s="16"/>
      <c r="W1609" s="12"/>
      <c r="Z1609" s="12"/>
      <c r="AA1609" s="16"/>
    </row>
    <row r="1610">
      <c r="A1610" s="8"/>
      <c r="C1610" s="12"/>
      <c r="D1610" s="12"/>
      <c r="E1610" s="12"/>
      <c r="F1610" s="12"/>
      <c r="G1610" s="12"/>
      <c r="H1610" s="12"/>
      <c r="I1610" s="12"/>
      <c r="J1610" s="12"/>
      <c r="S1610" s="12"/>
      <c r="T1610" s="12"/>
      <c r="U1610" s="16"/>
      <c r="V1610" s="16"/>
      <c r="W1610" s="12"/>
      <c r="Z1610" s="12"/>
      <c r="AA1610" s="16"/>
    </row>
    <row r="1611">
      <c r="A1611" s="8"/>
      <c r="C1611" s="12"/>
      <c r="D1611" s="12"/>
      <c r="E1611" s="12"/>
      <c r="F1611" s="12"/>
      <c r="G1611" s="12"/>
      <c r="H1611" s="12"/>
      <c r="I1611" s="12"/>
      <c r="J1611" s="12"/>
      <c r="S1611" s="12"/>
      <c r="T1611" s="12"/>
      <c r="U1611" s="16"/>
      <c r="V1611" s="16"/>
      <c r="W1611" s="12"/>
      <c r="Z1611" s="12"/>
      <c r="AA1611" s="16"/>
    </row>
    <row r="1612">
      <c r="A1612" s="8"/>
      <c r="C1612" s="12"/>
      <c r="D1612" s="12"/>
      <c r="E1612" s="12"/>
      <c r="F1612" s="12"/>
      <c r="G1612" s="12"/>
      <c r="H1612" s="12"/>
      <c r="I1612" s="12"/>
      <c r="J1612" s="12"/>
      <c r="S1612" s="12"/>
      <c r="T1612" s="12"/>
      <c r="U1612" s="16"/>
      <c r="V1612" s="16"/>
      <c r="W1612" s="12"/>
      <c r="Z1612" s="12"/>
      <c r="AA1612" s="16"/>
    </row>
    <row r="1613">
      <c r="A1613" s="8"/>
      <c r="C1613" s="12"/>
      <c r="D1613" s="12"/>
      <c r="E1613" s="12"/>
      <c r="F1613" s="12"/>
      <c r="G1613" s="12"/>
      <c r="H1613" s="12"/>
      <c r="I1613" s="12"/>
      <c r="J1613" s="12"/>
      <c r="S1613" s="12"/>
      <c r="T1613" s="12"/>
      <c r="U1613" s="16"/>
      <c r="V1613" s="16"/>
      <c r="W1613" s="12"/>
      <c r="Z1613" s="12"/>
      <c r="AA1613" s="16"/>
    </row>
    <row r="1614">
      <c r="A1614" s="8"/>
      <c r="C1614" s="12"/>
      <c r="D1614" s="12"/>
      <c r="E1614" s="12"/>
      <c r="F1614" s="12"/>
      <c r="G1614" s="12"/>
      <c r="H1614" s="12"/>
      <c r="I1614" s="12"/>
      <c r="J1614" s="12"/>
      <c r="S1614" s="12"/>
      <c r="T1614" s="12"/>
      <c r="U1614" s="16"/>
      <c r="V1614" s="16"/>
      <c r="W1614" s="12"/>
      <c r="Z1614" s="12"/>
      <c r="AA1614" s="16"/>
    </row>
    <row r="1615">
      <c r="A1615" s="8"/>
      <c r="C1615" s="12"/>
      <c r="D1615" s="12"/>
      <c r="E1615" s="12"/>
      <c r="F1615" s="12"/>
      <c r="G1615" s="12"/>
      <c r="H1615" s="12"/>
      <c r="I1615" s="12"/>
      <c r="J1615" s="12"/>
      <c r="S1615" s="12"/>
      <c r="T1615" s="12"/>
      <c r="U1615" s="16"/>
      <c r="V1615" s="16"/>
      <c r="W1615" s="12"/>
      <c r="Z1615" s="12"/>
      <c r="AA1615" s="16"/>
    </row>
    <row r="1616">
      <c r="A1616" s="8"/>
      <c r="C1616" s="12"/>
      <c r="D1616" s="12"/>
      <c r="E1616" s="12"/>
      <c r="F1616" s="12"/>
      <c r="G1616" s="12"/>
      <c r="H1616" s="12"/>
      <c r="I1616" s="12"/>
      <c r="J1616" s="12"/>
      <c r="S1616" s="12"/>
      <c r="T1616" s="12"/>
      <c r="U1616" s="16"/>
      <c r="V1616" s="16"/>
      <c r="W1616" s="12"/>
      <c r="Z1616" s="12"/>
      <c r="AA1616" s="16"/>
    </row>
    <row r="1617">
      <c r="A1617" s="8"/>
      <c r="C1617" s="12"/>
      <c r="D1617" s="12"/>
      <c r="E1617" s="12"/>
      <c r="F1617" s="12"/>
      <c r="G1617" s="12"/>
      <c r="H1617" s="12"/>
      <c r="I1617" s="12"/>
      <c r="J1617" s="12"/>
      <c r="S1617" s="12"/>
      <c r="T1617" s="12"/>
      <c r="U1617" s="16"/>
      <c r="V1617" s="16"/>
      <c r="W1617" s="12"/>
      <c r="Z1617" s="12"/>
      <c r="AA1617" s="16"/>
    </row>
    <row r="1618">
      <c r="A1618" s="8"/>
      <c r="C1618" s="12"/>
      <c r="D1618" s="12"/>
      <c r="E1618" s="12"/>
      <c r="F1618" s="12"/>
      <c r="G1618" s="12"/>
      <c r="H1618" s="12"/>
      <c r="I1618" s="12"/>
      <c r="J1618" s="12"/>
      <c r="S1618" s="12"/>
      <c r="T1618" s="12"/>
      <c r="U1618" s="16"/>
      <c r="V1618" s="16"/>
      <c r="W1618" s="12"/>
      <c r="Z1618" s="12"/>
      <c r="AA1618" s="16"/>
    </row>
    <row r="1619">
      <c r="A1619" s="8"/>
      <c r="C1619" s="12"/>
      <c r="D1619" s="12"/>
      <c r="E1619" s="12"/>
      <c r="F1619" s="12"/>
      <c r="G1619" s="12"/>
      <c r="H1619" s="12"/>
      <c r="I1619" s="12"/>
      <c r="J1619" s="12"/>
      <c r="S1619" s="12"/>
      <c r="T1619" s="12"/>
      <c r="U1619" s="16"/>
      <c r="V1619" s="16"/>
      <c r="W1619" s="12"/>
      <c r="Z1619" s="12"/>
      <c r="AA1619" s="16"/>
    </row>
    <row r="1620">
      <c r="A1620" s="8"/>
      <c r="C1620" s="12"/>
      <c r="D1620" s="12"/>
      <c r="E1620" s="12"/>
      <c r="F1620" s="12"/>
      <c r="G1620" s="12"/>
      <c r="H1620" s="12"/>
      <c r="I1620" s="12"/>
      <c r="J1620" s="12"/>
      <c r="S1620" s="12"/>
      <c r="T1620" s="12"/>
      <c r="U1620" s="16"/>
      <c r="V1620" s="16"/>
      <c r="W1620" s="12"/>
      <c r="Z1620" s="12"/>
      <c r="AA1620" s="16"/>
    </row>
    <row r="1621">
      <c r="A1621" s="8"/>
      <c r="C1621" s="12"/>
      <c r="D1621" s="12"/>
      <c r="E1621" s="12"/>
      <c r="F1621" s="12"/>
      <c r="G1621" s="12"/>
      <c r="H1621" s="12"/>
      <c r="I1621" s="12"/>
      <c r="J1621" s="12"/>
      <c r="S1621" s="12"/>
      <c r="T1621" s="12"/>
      <c r="U1621" s="16"/>
      <c r="V1621" s="16"/>
      <c r="W1621" s="12"/>
      <c r="Z1621" s="12"/>
      <c r="AA1621" s="16"/>
    </row>
    <row r="1622">
      <c r="A1622" s="8"/>
      <c r="C1622" s="12"/>
      <c r="D1622" s="12"/>
      <c r="E1622" s="12"/>
      <c r="F1622" s="12"/>
      <c r="G1622" s="12"/>
      <c r="H1622" s="12"/>
      <c r="I1622" s="12"/>
      <c r="J1622" s="12"/>
      <c r="S1622" s="12"/>
      <c r="T1622" s="12"/>
      <c r="U1622" s="16"/>
      <c r="V1622" s="16"/>
      <c r="W1622" s="12"/>
      <c r="Z1622" s="12"/>
      <c r="AA1622" s="16"/>
    </row>
    <row r="1623">
      <c r="A1623" s="8"/>
      <c r="C1623" s="12"/>
      <c r="D1623" s="12"/>
      <c r="E1623" s="12"/>
      <c r="F1623" s="12"/>
      <c r="G1623" s="12"/>
      <c r="H1623" s="12"/>
      <c r="I1623" s="12"/>
      <c r="J1623" s="12"/>
      <c r="S1623" s="12"/>
      <c r="T1623" s="12"/>
      <c r="U1623" s="16"/>
      <c r="V1623" s="16"/>
      <c r="W1623" s="12"/>
      <c r="Z1623" s="12"/>
      <c r="AA1623" s="16"/>
    </row>
    <row r="1624">
      <c r="A1624" s="8"/>
      <c r="C1624" s="12"/>
      <c r="D1624" s="12"/>
      <c r="E1624" s="12"/>
      <c r="F1624" s="12"/>
      <c r="G1624" s="12"/>
      <c r="H1624" s="12"/>
      <c r="I1624" s="12"/>
      <c r="J1624" s="12"/>
      <c r="S1624" s="12"/>
      <c r="T1624" s="12"/>
      <c r="U1624" s="16"/>
      <c r="V1624" s="16"/>
      <c r="W1624" s="12"/>
      <c r="Z1624" s="12"/>
      <c r="AA1624" s="16"/>
    </row>
    <row r="1625">
      <c r="A1625" s="8"/>
      <c r="C1625" s="12"/>
      <c r="D1625" s="12"/>
      <c r="E1625" s="12"/>
      <c r="F1625" s="12"/>
      <c r="G1625" s="12"/>
      <c r="H1625" s="12"/>
      <c r="I1625" s="12"/>
      <c r="J1625" s="12"/>
      <c r="S1625" s="12"/>
      <c r="T1625" s="12"/>
      <c r="U1625" s="16"/>
      <c r="V1625" s="16"/>
      <c r="W1625" s="12"/>
      <c r="Z1625" s="12"/>
      <c r="AA1625" s="16"/>
    </row>
    <row r="1626">
      <c r="A1626" s="8"/>
      <c r="C1626" s="12"/>
      <c r="D1626" s="12"/>
      <c r="E1626" s="12"/>
      <c r="F1626" s="12"/>
      <c r="G1626" s="12"/>
      <c r="H1626" s="12"/>
      <c r="I1626" s="12"/>
      <c r="J1626" s="12"/>
      <c r="S1626" s="12"/>
      <c r="T1626" s="12"/>
      <c r="U1626" s="16"/>
      <c r="V1626" s="16"/>
      <c r="W1626" s="12"/>
      <c r="Z1626" s="12"/>
      <c r="AA1626" s="16"/>
    </row>
    <row r="1627">
      <c r="A1627" s="8"/>
      <c r="C1627" s="12"/>
      <c r="D1627" s="12"/>
      <c r="E1627" s="12"/>
      <c r="F1627" s="12"/>
      <c r="G1627" s="12"/>
      <c r="H1627" s="12"/>
      <c r="I1627" s="12"/>
      <c r="J1627" s="12"/>
      <c r="S1627" s="12"/>
      <c r="T1627" s="12"/>
      <c r="U1627" s="16"/>
      <c r="V1627" s="16"/>
      <c r="W1627" s="12"/>
      <c r="Z1627" s="12"/>
      <c r="AA1627" s="16"/>
    </row>
    <row r="1628">
      <c r="A1628" s="8"/>
      <c r="C1628" s="12"/>
      <c r="D1628" s="12"/>
      <c r="E1628" s="12"/>
      <c r="F1628" s="12"/>
      <c r="G1628" s="12"/>
      <c r="H1628" s="12"/>
      <c r="I1628" s="12"/>
      <c r="J1628" s="12"/>
      <c r="S1628" s="12"/>
      <c r="T1628" s="12"/>
      <c r="U1628" s="16"/>
      <c r="V1628" s="16"/>
      <c r="W1628" s="12"/>
      <c r="Z1628" s="12"/>
      <c r="AA1628" s="16"/>
    </row>
    <row r="1629">
      <c r="A1629" s="8"/>
      <c r="C1629" s="12"/>
      <c r="D1629" s="12"/>
      <c r="E1629" s="12"/>
      <c r="F1629" s="12"/>
      <c r="G1629" s="12"/>
      <c r="H1629" s="12"/>
      <c r="I1629" s="12"/>
      <c r="J1629" s="12"/>
      <c r="S1629" s="12"/>
      <c r="T1629" s="12"/>
      <c r="U1629" s="16"/>
      <c r="V1629" s="16"/>
      <c r="W1629" s="12"/>
      <c r="Z1629" s="12"/>
      <c r="AA1629" s="16"/>
    </row>
    <row r="1630">
      <c r="A1630" s="8"/>
      <c r="C1630" s="12"/>
      <c r="D1630" s="12"/>
      <c r="E1630" s="12"/>
      <c r="F1630" s="12"/>
      <c r="G1630" s="12"/>
      <c r="H1630" s="12"/>
      <c r="I1630" s="12"/>
      <c r="J1630" s="12"/>
      <c r="S1630" s="12"/>
      <c r="T1630" s="12"/>
      <c r="U1630" s="16"/>
      <c r="V1630" s="16"/>
      <c r="W1630" s="12"/>
      <c r="Z1630" s="12"/>
      <c r="AA1630" s="16"/>
    </row>
    <row r="1631">
      <c r="A1631" s="8"/>
      <c r="C1631" s="12"/>
      <c r="D1631" s="12"/>
      <c r="E1631" s="12"/>
      <c r="F1631" s="12"/>
      <c r="G1631" s="12"/>
      <c r="H1631" s="12"/>
      <c r="I1631" s="12"/>
      <c r="J1631" s="12"/>
      <c r="S1631" s="12"/>
      <c r="T1631" s="12"/>
      <c r="U1631" s="16"/>
      <c r="V1631" s="16"/>
      <c r="W1631" s="12"/>
      <c r="Z1631" s="12"/>
      <c r="AA1631" s="16"/>
    </row>
    <row r="1632">
      <c r="A1632" s="8"/>
      <c r="C1632" s="12"/>
      <c r="D1632" s="12"/>
      <c r="E1632" s="12"/>
      <c r="F1632" s="12"/>
      <c r="G1632" s="12"/>
      <c r="H1632" s="12"/>
      <c r="I1632" s="12"/>
      <c r="J1632" s="12"/>
      <c r="S1632" s="12"/>
      <c r="T1632" s="12"/>
      <c r="U1632" s="16"/>
      <c r="V1632" s="16"/>
      <c r="W1632" s="12"/>
      <c r="Z1632" s="12"/>
      <c r="AA1632" s="16"/>
    </row>
    <row r="1633">
      <c r="A1633" s="8"/>
      <c r="C1633" s="12"/>
      <c r="D1633" s="12"/>
      <c r="E1633" s="12"/>
      <c r="F1633" s="12"/>
      <c r="G1633" s="12"/>
      <c r="H1633" s="12"/>
      <c r="I1633" s="12"/>
      <c r="J1633" s="12"/>
      <c r="S1633" s="12"/>
      <c r="T1633" s="12"/>
      <c r="U1633" s="16"/>
      <c r="V1633" s="16"/>
      <c r="W1633" s="12"/>
      <c r="Z1633" s="12"/>
      <c r="AA1633" s="16"/>
    </row>
    <row r="1634">
      <c r="A1634" s="8"/>
      <c r="C1634" s="12"/>
      <c r="D1634" s="12"/>
      <c r="E1634" s="12"/>
      <c r="F1634" s="12"/>
      <c r="G1634" s="12"/>
      <c r="H1634" s="12"/>
      <c r="I1634" s="12"/>
      <c r="J1634" s="12"/>
      <c r="S1634" s="12"/>
      <c r="T1634" s="12"/>
      <c r="U1634" s="16"/>
      <c r="V1634" s="16"/>
      <c r="W1634" s="12"/>
      <c r="Z1634" s="12"/>
      <c r="AA1634" s="16"/>
    </row>
    <row r="1635">
      <c r="A1635" s="8"/>
      <c r="C1635" s="12"/>
      <c r="D1635" s="12"/>
      <c r="E1635" s="12"/>
      <c r="F1635" s="12"/>
      <c r="G1635" s="12"/>
      <c r="H1635" s="12"/>
      <c r="I1635" s="12"/>
      <c r="J1635" s="12"/>
      <c r="S1635" s="12"/>
      <c r="T1635" s="12"/>
      <c r="U1635" s="16"/>
      <c r="V1635" s="16"/>
      <c r="W1635" s="12"/>
      <c r="Z1635" s="12"/>
      <c r="AA1635" s="16"/>
    </row>
    <row r="1636">
      <c r="A1636" s="8"/>
      <c r="C1636" s="12"/>
      <c r="D1636" s="12"/>
      <c r="E1636" s="12"/>
      <c r="F1636" s="12"/>
      <c r="G1636" s="12"/>
      <c r="H1636" s="12"/>
      <c r="I1636" s="12"/>
      <c r="J1636" s="12"/>
      <c r="S1636" s="12"/>
      <c r="T1636" s="12"/>
      <c r="U1636" s="16"/>
      <c r="V1636" s="16"/>
      <c r="W1636" s="12"/>
      <c r="Z1636" s="12"/>
      <c r="AA1636" s="16"/>
    </row>
    <row r="1637">
      <c r="A1637" s="8"/>
      <c r="C1637" s="12"/>
      <c r="D1637" s="12"/>
      <c r="E1637" s="12"/>
      <c r="F1637" s="12"/>
      <c r="G1637" s="12"/>
      <c r="H1637" s="12"/>
      <c r="I1637" s="12"/>
      <c r="J1637" s="12"/>
      <c r="S1637" s="12"/>
      <c r="T1637" s="12"/>
      <c r="U1637" s="16"/>
      <c r="V1637" s="16"/>
      <c r="W1637" s="12"/>
      <c r="Z1637" s="12"/>
      <c r="AA1637" s="16"/>
    </row>
    <row r="1638">
      <c r="A1638" s="8"/>
      <c r="C1638" s="12"/>
      <c r="D1638" s="12"/>
      <c r="E1638" s="12"/>
      <c r="F1638" s="12"/>
      <c r="G1638" s="12"/>
      <c r="H1638" s="12"/>
      <c r="I1638" s="12"/>
      <c r="J1638" s="12"/>
      <c r="S1638" s="12"/>
      <c r="T1638" s="12"/>
      <c r="U1638" s="16"/>
      <c r="V1638" s="16"/>
      <c r="W1638" s="12"/>
      <c r="Z1638" s="12"/>
      <c r="AA1638" s="16"/>
    </row>
    <row r="1639">
      <c r="A1639" s="8"/>
      <c r="C1639" s="12"/>
      <c r="D1639" s="12"/>
      <c r="E1639" s="12"/>
      <c r="F1639" s="12"/>
      <c r="G1639" s="12"/>
      <c r="H1639" s="12"/>
      <c r="I1639" s="12"/>
      <c r="J1639" s="12"/>
      <c r="S1639" s="12"/>
      <c r="T1639" s="12"/>
      <c r="U1639" s="16"/>
      <c r="V1639" s="16"/>
      <c r="W1639" s="12"/>
      <c r="Z1639" s="12"/>
      <c r="AA1639" s="16"/>
    </row>
    <row r="1640">
      <c r="A1640" s="8"/>
      <c r="C1640" s="12"/>
      <c r="D1640" s="12"/>
      <c r="E1640" s="12"/>
      <c r="F1640" s="12"/>
      <c r="G1640" s="12"/>
      <c r="H1640" s="12"/>
      <c r="I1640" s="12"/>
      <c r="J1640" s="12"/>
      <c r="S1640" s="12"/>
      <c r="T1640" s="12"/>
      <c r="U1640" s="16"/>
      <c r="V1640" s="16"/>
      <c r="W1640" s="12"/>
      <c r="Z1640" s="12"/>
      <c r="AA1640" s="16"/>
    </row>
    <row r="1641">
      <c r="A1641" s="8"/>
      <c r="C1641" s="12"/>
      <c r="D1641" s="12"/>
      <c r="E1641" s="12"/>
      <c r="F1641" s="12"/>
      <c r="G1641" s="12"/>
      <c r="H1641" s="12"/>
      <c r="I1641" s="12"/>
      <c r="J1641" s="12"/>
      <c r="S1641" s="12"/>
      <c r="T1641" s="12"/>
      <c r="U1641" s="16"/>
      <c r="V1641" s="16"/>
      <c r="W1641" s="12"/>
      <c r="Z1641" s="12"/>
      <c r="AA1641" s="16"/>
    </row>
    <row r="1642">
      <c r="A1642" s="8"/>
      <c r="C1642" s="12"/>
      <c r="D1642" s="12"/>
      <c r="E1642" s="12"/>
      <c r="F1642" s="12"/>
      <c r="G1642" s="12"/>
      <c r="H1642" s="12"/>
      <c r="I1642" s="12"/>
      <c r="J1642" s="12"/>
      <c r="S1642" s="12"/>
      <c r="T1642" s="12"/>
      <c r="U1642" s="16"/>
      <c r="V1642" s="16"/>
      <c r="W1642" s="12"/>
      <c r="Z1642" s="12"/>
      <c r="AA1642" s="16"/>
    </row>
    <row r="1643">
      <c r="A1643" s="8"/>
      <c r="C1643" s="12"/>
      <c r="D1643" s="12"/>
      <c r="E1643" s="12"/>
      <c r="F1643" s="12"/>
      <c r="G1643" s="12"/>
      <c r="H1643" s="12"/>
      <c r="I1643" s="12"/>
      <c r="J1643" s="12"/>
      <c r="S1643" s="12"/>
      <c r="T1643" s="12"/>
      <c r="U1643" s="16"/>
      <c r="V1643" s="16"/>
      <c r="W1643" s="12"/>
      <c r="Z1643" s="12"/>
      <c r="AA1643" s="16"/>
    </row>
    <row r="1644">
      <c r="A1644" s="8"/>
      <c r="C1644" s="12"/>
      <c r="D1644" s="12"/>
      <c r="E1644" s="12"/>
      <c r="F1644" s="12"/>
      <c r="G1644" s="12"/>
      <c r="H1644" s="12"/>
      <c r="I1644" s="12"/>
      <c r="J1644" s="12"/>
      <c r="S1644" s="12"/>
      <c r="T1644" s="12"/>
      <c r="U1644" s="16"/>
      <c r="V1644" s="16"/>
      <c r="W1644" s="12"/>
      <c r="Z1644" s="12"/>
      <c r="AA1644" s="16"/>
    </row>
    <row r="1645">
      <c r="A1645" s="8"/>
      <c r="C1645" s="12"/>
      <c r="D1645" s="12"/>
      <c r="E1645" s="12"/>
      <c r="F1645" s="12"/>
      <c r="G1645" s="12"/>
      <c r="H1645" s="12"/>
      <c r="I1645" s="12"/>
      <c r="J1645" s="12"/>
      <c r="S1645" s="12"/>
      <c r="T1645" s="12"/>
      <c r="U1645" s="16"/>
      <c r="V1645" s="16"/>
      <c r="W1645" s="12"/>
      <c r="Z1645" s="12"/>
      <c r="AA1645" s="16"/>
    </row>
    <row r="1646">
      <c r="A1646" s="8"/>
      <c r="C1646" s="12"/>
      <c r="D1646" s="12"/>
      <c r="E1646" s="12"/>
      <c r="F1646" s="12"/>
      <c r="G1646" s="12"/>
      <c r="H1646" s="12"/>
      <c r="I1646" s="12"/>
      <c r="J1646" s="12"/>
      <c r="S1646" s="12"/>
      <c r="T1646" s="12"/>
      <c r="U1646" s="16"/>
      <c r="V1646" s="16"/>
      <c r="W1646" s="12"/>
      <c r="Z1646" s="12"/>
      <c r="AA1646" s="16"/>
    </row>
    <row r="1647">
      <c r="A1647" s="8"/>
      <c r="C1647" s="12"/>
      <c r="D1647" s="12"/>
      <c r="E1647" s="12"/>
      <c r="F1647" s="12"/>
      <c r="G1647" s="12"/>
      <c r="H1647" s="12"/>
      <c r="I1647" s="12"/>
      <c r="J1647" s="12"/>
      <c r="S1647" s="12"/>
      <c r="T1647" s="12"/>
      <c r="U1647" s="16"/>
      <c r="V1647" s="16"/>
      <c r="W1647" s="12"/>
      <c r="Z1647" s="12"/>
      <c r="AA1647" s="16"/>
    </row>
    <row r="1648">
      <c r="A1648" s="8"/>
      <c r="C1648" s="12"/>
      <c r="D1648" s="12"/>
      <c r="E1648" s="12"/>
      <c r="F1648" s="12"/>
      <c r="G1648" s="12"/>
      <c r="H1648" s="12"/>
      <c r="I1648" s="12"/>
      <c r="J1648" s="12"/>
      <c r="S1648" s="12"/>
      <c r="T1648" s="12"/>
      <c r="U1648" s="16"/>
      <c r="V1648" s="16"/>
      <c r="W1648" s="12"/>
      <c r="Z1648" s="12"/>
      <c r="AA1648" s="16"/>
    </row>
    <row r="1649">
      <c r="A1649" s="8"/>
      <c r="C1649" s="12"/>
      <c r="D1649" s="12"/>
      <c r="E1649" s="12"/>
      <c r="F1649" s="12"/>
      <c r="G1649" s="12"/>
      <c r="H1649" s="12"/>
      <c r="I1649" s="12"/>
      <c r="J1649" s="12"/>
      <c r="S1649" s="12"/>
      <c r="T1649" s="12"/>
      <c r="U1649" s="16"/>
      <c r="V1649" s="16"/>
      <c r="W1649" s="12"/>
      <c r="Z1649" s="12"/>
      <c r="AA1649" s="16"/>
    </row>
    <row r="1650">
      <c r="A1650" s="8"/>
      <c r="C1650" s="12"/>
      <c r="D1650" s="12"/>
      <c r="E1650" s="12"/>
      <c r="F1650" s="12"/>
      <c r="G1650" s="12"/>
      <c r="H1650" s="12"/>
      <c r="I1650" s="12"/>
      <c r="J1650" s="12"/>
      <c r="S1650" s="12"/>
      <c r="T1650" s="12"/>
      <c r="U1650" s="16"/>
      <c r="V1650" s="16"/>
      <c r="W1650" s="12"/>
      <c r="Z1650" s="12"/>
      <c r="AA1650" s="16"/>
    </row>
    <row r="1651">
      <c r="A1651" s="8"/>
      <c r="C1651" s="12"/>
      <c r="D1651" s="12"/>
      <c r="E1651" s="12"/>
      <c r="F1651" s="12"/>
      <c r="G1651" s="12"/>
      <c r="H1651" s="12"/>
      <c r="I1651" s="12"/>
      <c r="J1651" s="12"/>
      <c r="S1651" s="12"/>
      <c r="T1651" s="12"/>
      <c r="U1651" s="16"/>
      <c r="V1651" s="16"/>
      <c r="W1651" s="12"/>
      <c r="Z1651" s="12"/>
      <c r="AA1651" s="16"/>
    </row>
    <row r="1652">
      <c r="A1652" s="8"/>
      <c r="C1652" s="12"/>
      <c r="D1652" s="12"/>
      <c r="E1652" s="12"/>
      <c r="F1652" s="12"/>
      <c r="G1652" s="12"/>
      <c r="H1652" s="12"/>
      <c r="I1652" s="12"/>
      <c r="J1652" s="12"/>
      <c r="S1652" s="12"/>
      <c r="T1652" s="12"/>
      <c r="U1652" s="16"/>
      <c r="V1652" s="16"/>
      <c r="W1652" s="12"/>
      <c r="Z1652" s="12"/>
      <c r="AA1652" s="16"/>
    </row>
    <row r="1653">
      <c r="A1653" s="8"/>
      <c r="C1653" s="12"/>
      <c r="D1653" s="12"/>
      <c r="E1653" s="12"/>
      <c r="F1653" s="12"/>
      <c r="G1653" s="12"/>
      <c r="H1653" s="12"/>
      <c r="I1653" s="12"/>
      <c r="J1653" s="12"/>
      <c r="S1653" s="12"/>
      <c r="T1653" s="12"/>
      <c r="U1653" s="16"/>
      <c r="V1653" s="16"/>
      <c r="W1653" s="12"/>
      <c r="Z1653" s="12"/>
      <c r="AA1653" s="16"/>
    </row>
    <row r="1654">
      <c r="A1654" s="8"/>
      <c r="C1654" s="12"/>
      <c r="D1654" s="12"/>
      <c r="E1654" s="12"/>
      <c r="F1654" s="12"/>
      <c r="G1654" s="12"/>
      <c r="H1654" s="12"/>
      <c r="I1654" s="12"/>
      <c r="J1654" s="12"/>
      <c r="S1654" s="12"/>
      <c r="T1654" s="12"/>
      <c r="U1654" s="16"/>
      <c r="V1654" s="16"/>
      <c r="W1654" s="12"/>
      <c r="Z1654" s="12"/>
      <c r="AA1654" s="16"/>
    </row>
    <row r="1655">
      <c r="A1655" s="8"/>
      <c r="C1655" s="12"/>
      <c r="D1655" s="12"/>
      <c r="E1655" s="12"/>
      <c r="F1655" s="12"/>
      <c r="G1655" s="12"/>
      <c r="H1655" s="12"/>
      <c r="I1655" s="12"/>
      <c r="J1655" s="12"/>
      <c r="S1655" s="12"/>
      <c r="T1655" s="12"/>
      <c r="U1655" s="16"/>
      <c r="V1655" s="16"/>
      <c r="W1655" s="12"/>
      <c r="Z1655" s="12"/>
      <c r="AA1655" s="16"/>
    </row>
    <row r="1656">
      <c r="A1656" s="8"/>
      <c r="C1656" s="12"/>
      <c r="D1656" s="12"/>
      <c r="E1656" s="12"/>
      <c r="F1656" s="12"/>
      <c r="G1656" s="12"/>
      <c r="H1656" s="12"/>
      <c r="I1656" s="12"/>
      <c r="J1656" s="12"/>
      <c r="S1656" s="12"/>
      <c r="T1656" s="12"/>
      <c r="U1656" s="16"/>
      <c r="V1656" s="16"/>
      <c r="W1656" s="12"/>
      <c r="Z1656" s="12"/>
      <c r="AA1656" s="16"/>
    </row>
    <row r="1657">
      <c r="A1657" s="8"/>
      <c r="C1657" s="12"/>
      <c r="D1657" s="12"/>
      <c r="E1657" s="12"/>
      <c r="F1657" s="12"/>
      <c r="G1657" s="12"/>
      <c r="H1657" s="12"/>
      <c r="I1657" s="12"/>
      <c r="J1657" s="12"/>
      <c r="S1657" s="12"/>
      <c r="T1657" s="12"/>
      <c r="U1657" s="16"/>
      <c r="V1657" s="16"/>
      <c r="W1657" s="12"/>
      <c r="Z1657" s="12"/>
      <c r="AA1657" s="16"/>
    </row>
    <row r="1658">
      <c r="A1658" s="8"/>
      <c r="C1658" s="12"/>
      <c r="D1658" s="12"/>
      <c r="E1658" s="12"/>
      <c r="F1658" s="12"/>
      <c r="G1658" s="12"/>
      <c r="H1658" s="12"/>
      <c r="I1658" s="12"/>
      <c r="J1658" s="12"/>
      <c r="S1658" s="12"/>
      <c r="T1658" s="12"/>
      <c r="U1658" s="16"/>
      <c r="V1658" s="16"/>
      <c r="W1658" s="12"/>
      <c r="Z1658" s="12"/>
      <c r="AA1658" s="16"/>
    </row>
    <row r="1659">
      <c r="A1659" s="8"/>
      <c r="C1659" s="12"/>
      <c r="D1659" s="12"/>
      <c r="E1659" s="12"/>
      <c r="F1659" s="12"/>
      <c r="G1659" s="12"/>
      <c r="H1659" s="12"/>
      <c r="I1659" s="12"/>
      <c r="J1659" s="12"/>
      <c r="S1659" s="12"/>
      <c r="T1659" s="12"/>
      <c r="U1659" s="16"/>
      <c r="V1659" s="16"/>
      <c r="W1659" s="12"/>
      <c r="Z1659" s="12"/>
      <c r="AA1659" s="16"/>
    </row>
    <row r="1660">
      <c r="A1660" s="8"/>
      <c r="C1660" s="12"/>
      <c r="D1660" s="12"/>
      <c r="E1660" s="12"/>
      <c r="F1660" s="12"/>
      <c r="G1660" s="12"/>
      <c r="H1660" s="12"/>
      <c r="I1660" s="12"/>
      <c r="J1660" s="12"/>
      <c r="S1660" s="12"/>
      <c r="T1660" s="12"/>
      <c r="U1660" s="16"/>
      <c r="V1660" s="16"/>
      <c r="W1660" s="12"/>
      <c r="Z1660" s="12"/>
      <c r="AA1660" s="16"/>
    </row>
    <row r="1661">
      <c r="A1661" s="8"/>
      <c r="C1661" s="12"/>
      <c r="D1661" s="12"/>
      <c r="E1661" s="12"/>
      <c r="F1661" s="12"/>
      <c r="G1661" s="12"/>
      <c r="H1661" s="12"/>
      <c r="I1661" s="12"/>
      <c r="J1661" s="12"/>
      <c r="S1661" s="12"/>
      <c r="T1661" s="12"/>
      <c r="U1661" s="16"/>
      <c r="V1661" s="16"/>
      <c r="W1661" s="12"/>
      <c r="Z1661" s="12"/>
      <c r="AA1661" s="16"/>
    </row>
    <row r="1662">
      <c r="A1662" s="8"/>
      <c r="C1662" s="12"/>
      <c r="D1662" s="12"/>
      <c r="E1662" s="12"/>
      <c r="F1662" s="12"/>
      <c r="G1662" s="12"/>
      <c r="H1662" s="12"/>
      <c r="I1662" s="12"/>
      <c r="J1662" s="12"/>
      <c r="S1662" s="12"/>
      <c r="T1662" s="12"/>
      <c r="U1662" s="16"/>
      <c r="V1662" s="16"/>
      <c r="W1662" s="12"/>
      <c r="Z1662" s="12"/>
      <c r="AA1662" s="16"/>
    </row>
    <row r="1663">
      <c r="A1663" s="8"/>
      <c r="C1663" s="12"/>
      <c r="D1663" s="12"/>
      <c r="E1663" s="12"/>
      <c r="F1663" s="12"/>
      <c r="G1663" s="12"/>
      <c r="H1663" s="12"/>
      <c r="I1663" s="12"/>
      <c r="J1663" s="12"/>
      <c r="S1663" s="12"/>
      <c r="T1663" s="12"/>
      <c r="U1663" s="16"/>
      <c r="V1663" s="16"/>
      <c r="W1663" s="12"/>
      <c r="Z1663" s="12"/>
      <c r="AA1663" s="16"/>
    </row>
    <row r="1664">
      <c r="A1664" s="8"/>
      <c r="C1664" s="12"/>
      <c r="D1664" s="12"/>
      <c r="E1664" s="12"/>
      <c r="F1664" s="12"/>
      <c r="G1664" s="12"/>
      <c r="H1664" s="12"/>
      <c r="I1664" s="12"/>
      <c r="J1664" s="12"/>
      <c r="S1664" s="12"/>
      <c r="T1664" s="12"/>
      <c r="U1664" s="16"/>
      <c r="V1664" s="16"/>
      <c r="W1664" s="12"/>
      <c r="Z1664" s="12"/>
      <c r="AA1664" s="16"/>
    </row>
    <row r="1665">
      <c r="A1665" s="8"/>
      <c r="C1665" s="12"/>
      <c r="D1665" s="12"/>
      <c r="E1665" s="12"/>
      <c r="F1665" s="12"/>
      <c r="G1665" s="12"/>
      <c r="H1665" s="12"/>
      <c r="I1665" s="12"/>
      <c r="J1665" s="12"/>
      <c r="S1665" s="12"/>
      <c r="T1665" s="12"/>
      <c r="U1665" s="16"/>
      <c r="V1665" s="16"/>
      <c r="W1665" s="12"/>
      <c r="Z1665" s="12"/>
      <c r="AA1665" s="16"/>
    </row>
    <row r="1666">
      <c r="A1666" s="8"/>
      <c r="C1666" s="12"/>
      <c r="D1666" s="12"/>
      <c r="E1666" s="12"/>
      <c r="F1666" s="12"/>
      <c r="G1666" s="12"/>
      <c r="H1666" s="12"/>
      <c r="I1666" s="12"/>
      <c r="J1666" s="12"/>
      <c r="S1666" s="12"/>
      <c r="T1666" s="12"/>
      <c r="U1666" s="16"/>
      <c r="V1666" s="16"/>
      <c r="W1666" s="12"/>
      <c r="Z1666" s="12"/>
      <c r="AA1666" s="16"/>
    </row>
    <row r="1667">
      <c r="A1667" s="8"/>
      <c r="C1667" s="12"/>
      <c r="D1667" s="12"/>
      <c r="E1667" s="12"/>
      <c r="F1667" s="12"/>
      <c r="G1667" s="12"/>
      <c r="H1667" s="12"/>
      <c r="I1667" s="12"/>
      <c r="J1667" s="12"/>
      <c r="S1667" s="12"/>
      <c r="T1667" s="12"/>
      <c r="U1667" s="16"/>
      <c r="V1667" s="16"/>
      <c r="W1667" s="12"/>
      <c r="Z1667" s="12"/>
      <c r="AA1667" s="16"/>
    </row>
    <row r="1668">
      <c r="A1668" s="8"/>
      <c r="C1668" s="12"/>
      <c r="D1668" s="12"/>
      <c r="E1668" s="12"/>
      <c r="F1668" s="12"/>
      <c r="G1668" s="12"/>
      <c r="H1668" s="12"/>
      <c r="I1668" s="12"/>
      <c r="J1668" s="12"/>
      <c r="S1668" s="12"/>
      <c r="T1668" s="12"/>
      <c r="U1668" s="16"/>
      <c r="V1668" s="16"/>
      <c r="W1668" s="12"/>
      <c r="Z1668" s="12"/>
      <c r="AA1668" s="16"/>
    </row>
    <row r="1669">
      <c r="A1669" s="8"/>
      <c r="C1669" s="12"/>
      <c r="D1669" s="12"/>
      <c r="E1669" s="12"/>
      <c r="F1669" s="12"/>
      <c r="G1669" s="12"/>
      <c r="H1669" s="12"/>
      <c r="I1669" s="12"/>
      <c r="J1669" s="12"/>
      <c r="S1669" s="12"/>
      <c r="T1669" s="12"/>
      <c r="U1669" s="16"/>
      <c r="V1669" s="16"/>
      <c r="W1669" s="12"/>
      <c r="Z1669" s="12"/>
      <c r="AA1669" s="16"/>
    </row>
    <row r="1670">
      <c r="A1670" s="8"/>
      <c r="C1670" s="12"/>
      <c r="D1670" s="12"/>
      <c r="E1670" s="12"/>
      <c r="F1670" s="12"/>
      <c r="G1670" s="12"/>
      <c r="H1670" s="12"/>
      <c r="I1670" s="12"/>
      <c r="J1670" s="12"/>
      <c r="S1670" s="12"/>
      <c r="T1670" s="12"/>
      <c r="U1670" s="16"/>
      <c r="V1670" s="16"/>
      <c r="W1670" s="12"/>
      <c r="Z1670" s="12"/>
      <c r="AA1670" s="16"/>
    </row>
    <row r="1671">
      <c r="A1671" s="8"/>
      <c r="C1671" s="12"/>
      <c r="D1671" s="12"/>
      <c r="E1671" s="12"/>
      <c r="F1671" s="12"/>
      <c r="G1671" s="12"/>
      <c r="H1671" s="12"/>
      <c r="I1671" s="12"/>
      <c r="J1671" s="12"/>
      <c r="S1671" s="12"/>
      <c r="T1671" s="12"/>
      <c r="U1671" s="16"/>
      <c r="V1671" s="16"/>
      <c r="W1671" s="12"/>
      <c r="Z1671" s="12"/>
      <c r="AA1671" s="16"/>
    </row>
    <row r="1672">
      <c r="A1672" s="8"/>
      <c r="C1672" s="12"/>
      <c r="D1672" s="12"/>
      <c r="E1672" s="12"/>
      <c r="F1672" s="12"/>
      <c r="G1672" s="12"/>
      <c r="H1672" s="12"/>
      <c r="I1672" s="12"/>
      <c r="J1672" s="12"/>
      <c r="S1672" s="12"/>
      <c r="T1672" s="12"/>
      <c r="U1672" s="16"/>
      <c r="V1672" s="16"/>
      <c r="W1672" s="12"/>
      <c r="Z1672" s="12"/>
      <c r="AA1672" s="16"/>
    </row>
    <row r="1673">
      <c r="A1673" s="8"/>
      <c r="C1673" s="12"/>
      <c r="D1673" s="12"/>
      <c r="E1673" s="12"/>
      <c r="F1673" s="12"/>
      <c r="G1673" s="12"/>
      <c r="H1673" s="12"/>
      <c r="I1673" s="12"/>
      <c r="J1673" s="12"/>
      <c r="S1673" s="12"/>
      <c r="T1673" s="12"/>
      <c r="U1673" s="16"/>
      <c r="V1673" s="16"/>
      <c r="W1673" s="12"/>
      <c r="Z1673" s="12"/>
      <c r="AA1673" s="16"/>
    </row>
    <row r="1674">
      <c r="A1674" s="8"/>
      <c r="C1674" s="12"/>
      <c r="D1674" s="12"/>
      <c r="E1674" s="12"/>
      <c r="F1674" s="12"/>
      <c r="G1674" s="12"/>
      <c r="H1674" s="12"/>
      <c r="I1674" s="12"/>
      <c r="J1674" s="12"/>
      <c r="S1674" s="12"/>
      <c r="T1674" s="12"/>
      <c r="U1674" s="16"/>
      <c r="V1674" s="16"/>
      <c r="W1674" s="12"/>
      <c r="Z1674" s="12"/>
      <c r="AA1674" s="16"/>
    </row>
    <row r="1675">
      <c r="A1675" s="8"/>
      <c r="C1675" s="12"/>
      <c r="D1675" s="12"/>
      <c r="E1675" s="12"/>
      <c r="F1675" s="12"/>
      <c r="G1675" s="12"/>
      <c r="H1675" s="12"/>
      <c r="I1675" s="12"/>
      <c r="J1675" s="12"/>
      <c r="S1675" s="12"/>
      <c r="T1675" s="12"/>
      <c r="U1675" s="16"/>
      <c r="V1675" s="16"/>
      <c r="W1675" s="12"/>
      <c r="Z1675" s="12"/>
      <c r="AA1675" s="16"/>
    </row>
    <row r="1676">
      <c r="A1676" s="8"/>
      <c r="C1676" s="12"/>
      <c r="D1676" s="12"/>
      <c r="E1676" s="12"/>
      <c r="F1676" s="12"/>
      <c r="G1676" s="12"/>
      <c r="H1676" s="12"/>
      <c r="I1676" s="12"/>
      <c r="J1676" s="12"/>
      <c r="S1676" s="12"/>
      <c r="T1676" s="12"/>
      <c r="U1676" s="16"/>
      <c r="V1676" s="16"/>
      <c r="W1676" s="12"/>
      <c r="Z1676" s="12"/>
      <c r="AA1676" s="16"/>
    </row>
    <row r="1677">
      <c r="A1677" s="8"/>
      <c r="C1677" s="12"/>
      <c r="D1677" s="12"/>
      <c r="E1677" s="12"/>
      <c r="F1677" s="12"/>
      <c r="G1677" s="12"/>
      <c r="H1677" s="12"/>
      <c r="I1677" s="12"/>
      <c r="J1677" s="12"/>
      <c r="S1677" s="12"/>
      <c r="T1677" s="12"/>
      <c r="U1677" s="16"/>
      <c r="V1677" s="16"/>
      <c r="W1677" s="12"/>
      <c r="Z1677" s="12"/>
      <c r="AA1677" s="16"/>
    </row>
    <row r="1678">
      <c r="A1678" s="8"/>
      <c r="C1678" s="12"/>
      <c r="D1678" s="12"/>
      <c r="E1678" s="12"/>
      <c r="F1678" s="12"/>
      <c r="G1678" s="12"/>
      <c r="H1678" s="12"/>
      <c r="I1678" s="12"/>
      <c r="J1678" s="12"/>
      <c r="S1678" s="12"/>
      <c r="T1678" s="12"/>
      <c r="U1678" s="16"/>
      <c r="V1678" s="16"/>
      <c r="W1678" s="12"/>
      <c r="Z1678" s="12"/>
      <c r="AA1678" s="16"/>
    </row>
    <row r="1679">
      <c r="A1679" s="8"/>
      <c r="C1679" s="12"/>
      <c r="D1679" s="12"/>
      <c r="E1679" s="12"/>
      <c r="F1679" s="12"/>
      <c r="G1679" s="12"/>
      <c r="H1679" s="12"/>
      <c r="I1679" s="12"/>
      <c r="J1679" s="12"/>
      <c r="S1679" s="12"/>
      <c r="T1679" s="12"/>
      <c r="U1679" s="16"/>
      <c r="V1679" s="16"/>
      <c r="W1679" s="12"/>
      <c r="Z1679" s="12"/>
      <c r="AA1679" s="16"/>
    </row>
    <row r="1680">
      <c r="A1680" s="8"/>
      <c r="C1680" s="12"/>
      <c r="D1680" s="12"/>
      <c r="E1680" s="12"/>
      <c r="F1680" s="12"/>
      <c r="G1680" s="12"/>
      <c r="H1680" s="12"/>
      <c r="I1680" s="12"/>
      <c r="J1680" s="12"/>
      <c r="S1680" s="12"/>
      <c r="T1680" s="12"/>
      <c r="U1680" s="16"/>
      <c r="V1680" s="16"/>
      <c r="W1680" s="12"/>
      <c r="Z1680" s="12"/>
      <c r="AA1680" s="16"/>
    </row>
    <row r="1681">
      <c r="A1681" s="8"/>
      <c r="C1681" s="12"/>
      <c r="D1681" s="12"/>
      <c r="E1681" s="12"/>
      <c r="F1681" s="12"/>
      <c r="G1681" s="12"/>
      <c r="H1681" s="12"/>
      <c r="I1681" s="12"/>
      <c r="J1681" s="12"/>
      <c r="S1681" s="12"/>
      <c r="T1681" s="12"/>
      <c r="U1681" s="16"/>
      <c r="V1681" s="16"/>
      <c r="W1681" s="12"/>
      <c r="Z1681" s="12"/>
      <c r="AA1681" s="16"/>
    </row>
    <row r="1682">
      <c r="A1682" s="8"/>
      <c r="C1682" s="12"/>
      <c r="D1682" s="12"/>
      <c r="E1682" s="12"/>
      <c r="F1682" s="12"/>
      <c r="G1682" s="12"/>
      <c r="H1682" s="12"/>
      <c r="I1682" s="12"/>
      <c r="J1682" s="12"/>
      <c r="S1682" s="12"/>
      <c r="T1682" s="12"/>
      <c r="U1682" s="16"/>
      <c r="V1682" s="16"/>
      <c r="W1682" s="12"/>
      <c r="Z1682" s="12"/>
      <c r="AA1682" s="16"/>
    </row>
    <row r="1683">
      <c r="A1683" s="8"/>
      <c r="C1683" s="12"/>
      <c r="D1683" s="12"/>
      <c r="E1683" s="12"/>
      <c r="F1683" s="12"/>
      <c r="G1683" s="12"/>
      <c r="H1683" s="12"/>
      <c r="I1683" s="12"/>
      <c r="J1683" s="12"/>
      <c r="S1683" s="12"/>
      <c r="T1683" s="12"/>
      <c r="U1683" s="16"/>
      <c r="V1683" s="16"/>
      <c r="W1683" s="12"/>
      <c r="Z1683" s="12"/>
      <c r="AA1683" s="16"/>
    </row>
    <row r="1684">
      <c r="A1684" s="8"/>
      <c r="C1684" s="12"/>
      <c r="D1684" s="12"/>
      <c r="E1684" s="12"/>
      <c r="F1684" s="12"/>
      <c r="G1684" s="12"/>
      <c r="H1684" s="12"/>
      <c r="I1684" s="12"/>
      <c r="J1684" s="12"/>
      <c r="S1684" s="12"/>
      <c r="T1684" s="12"/>
      <c r="U1684" s="16"/>
      <c r="V1684" s="16"/>
      <c r="W1684" s="12"/>
      <c r="Z1684" s="12"/>
      <c r="AA1684" s="16"/>
    </row>
    <row r="1685">
      <c r="A1685" s="8"/>
      <c r="C1685" s="12"/>
      <c r="D1685" s="12"/>
      <c r="E1685" s="12"/>
      <c r="F1685" s="12"/>
      <c r="G1685" s="12"/>
      <c r="H1685" s="12"/>
      <c r="I1685" s="12"/>
      <c r="J1685" s="12"/>
      <c r="S1685" s="12"/>
      <c r="T1685" s="12"/>
      <c r="U1685" s="16"/>
      <c r="V1685" s="16"/>
      <c r="W1685" s="12"/>
      <c r="Z1685" s="12"/>
      <c r="AA1685" s="16"/>
    </row>
    <row r="1686">
      <c r="A1686" s="8"/>
      <c r="C1686" s="12"/>
      <c r="D1686" s="12"/>
      <c r="E1686" s="12"/>
      <c r="F1686" s="12"/>
      <c r="G1686" s="12"/>
      <c r="H1686" s="12"/>
      <c r="I1686" s="12"/>
      <c r="J1686" s="12"/>
      <c r="S1686" s="12"/>
      <c r="T1686" s="12"/>
      <c r="U1686" s="16"/>
      <c r="V1686" s="16"/>
      <c r="W1686" s="12"/>
      <c r="Z1686" s="12"/>
      <c r="AA1686" s="16"/>
    </row>
    <row r="1687">
      <c r="A1687" s="8"/>
      <c r="C1687" s="12"/>
      <c r="D1687" s="12"/>
      <c r="E1687" s="12"/>
      <c r="F1687" s="12"/>
      <c r="G1687" s="12"/>
      <c r="H1687" s="12"/>
      <c r="I1687" s="12"/>
      <c r="J1687" s="12"/>
      <c r="S1687" s="12"/>
      <c r="T1687" s="12"/>
      <c r="U1687" s="16"/>
      <c r="V1687" s="16"/>
      <c r="W1687" s="12"/>
      <c r="Z1687" s="12"/>
      <c r="AA1687" s="16"/>
    </row>
    <row r="1688">
      <c r="A1688" s="8"/>
      <c r="C1688" s="12"/>
      <c r="D1688" s="12"/>
      <c r="E1688" s="12"/>
      <c r="F1688" s="12"/>
      <c r="G1688" s="12"/>
      <c r="H1688" s="12"/>
      <c r="I1688" s="12"/>
      <c r="J1688" s="12"/>
      <c r="S1688" s="12"/>
      <c r="T1688" s="12"/>
      <c r="U1688" s="16"/>
      <c r="V1688" s="16"/>
      <c r="W1688" s="12"/>
      <c r="Z1688" s="12"/>
      <c r="AA1688" s="16"/>
    </row>
    <row r="1689">
      <c r="A1689" s="8"/>
      <c r="C1689" s="12"/>
      <c r="D1689" s="12"/>
      <c r="E1689" s="12"/>
      <c r="F1689" s="12"/>
      <c r="G1689" s="12"/>
      <c r="H1689" s="12"/>
      <c r="I1689" s="12"/>
      <c r="J1689" s="12"/>
      <c r="S1689" s="12"/>
      <c r="T1689" s="12"/>
      <c r="U1689" s="16"/>
      <c r="V1689" s="16"/>
      <c r="W1689" s="12"/>
      <c r="Z1689" s="12"/>
      <c r="AA1689" s="16"/>
    </row>
    <row r="1690">
      <c r="A1690" s="8"/>
      <c r="C1690" s="12"/>
      <c r="D1690" s="12"/>
      <c r="E1690" s="12"/>
      <c r="F1690" s="12"/>
      <c r="G1690" s="12"/>
      <c r="H1690" s="12"/>
      <c r="I1690" s="12"/>
      <c r="J1690" s="12"/>
      <c r="S1690" s="12"/>
      <c r="T1690" s="12"/>
      <c r="U1690" s="16"/>
      <c r="V1690" s="16"/>
      <c r="W1690" s="12"/>
      <c r="Z1690" s="12"/>
      <c r="AA1690" s="16"/>
    </row>
    <row r="1691">
      <c r="A1691" s="8"/>
      <c r="C1691" s="12"/>
      <c r="D1691" s="12"/>
      <c r="E1691" s="12"/>
      <c r="F1691" s="12"/>
      <c r="G1691" s="12"/>
      <c r="H1691" s="12"/>
      <c r="I1691" s="12"/>
      <c r="J1691" s="12"/>
      <c r="S1691" s="12"/>
      <c r="T1691" s="12"/>
      <c r="U1691" s="16"/>
      <c r="V1691" s="16"/>
      <c r="W1691" s="12"/>
      <c r="Z1691" s="12"/>
      <c r="AA1691" s="16"/>
    </row>
    <row r="1692">
      <c r="A1692" s="8"/>
      <c r="C1692" s="12"/>
      <c r="D1692" s="12"/>
      <c r="E1692" s="12"/>
      <c r="F1692" s="12"/>
      <c r="G1692" s="12"/>
      <c r="H1692" s="12"/>
      <c r="I1692" s="12"/>
      <c r="J1692" s="12"/>
      <c r="S1692" s="12"/>
      <c r="T1692" s="12"/>
      <c r="U1692" s="16"/>
      <c r="V1692" s="16"/>
      <c r="W1692" s="12"/>
      <c r="Z1692" s="12"/>
      <c r="AA1692" s="16"/>
    </row>
    <row r="1693">
      <c r="A1693" s="8"/>
      <c r="C1693" s="12"/>
      <c r="D1693" s="12"/>
      <c r="E1693" s="12"/>
      <c r="F1693" s="12"/>
      <c r="G1693" s="12"/>
      <c r="H1693" s="12"/>
      <c r="I1693" s="12"/>
      <c r="J1693" s="12"/>
      <c r="S1693" s="12"/>
      <c r="T1693" s="12"/>
      <c r="U1693" s="16"/>
      <c r="V1693" s="16"/>
      <c r="W1693" s="12"/>
      <c r="Z1693" s="12"/>
      <c r="AA1693" s="16"/>
    </row>
    <row r="1694">
      <c r="A1694" s="8"/>
      <c r="C1694" s="12"/>
      <c r="D1694" s="12"/>
      <c r="E1694" s="12"/>
      <c r="F1694" s="12"/>
      <c r="G1694" s="12"/>
      <c r="H1694" s="12"/>
      <c r="I1694" s="12"/>
      <c r="J1694" s="12"/>
      <c r="S1694" s="12"/>
      <c r="T1694" s="12"/>
      <c r="U1694" s="16"/>
      <c r="V1694" s="16"/>
      <c r="W1694" s="12"/>
      <c r="Z1694" s="12"/>
      <c r="AA1694" s="16"/>
    </row>
    <row r="1695">
      <c r="A1695" s="8"/>
      <c r="C1695" s="12"/>
      <c r="D1695" s="12"/>
      <c r="E1695" s="12"/>
      <c r="F1695" s="12"/>
      <c r="G1695" s="12"/>
      <c r="H1695" s="12"/>
      <c r="I1695" s="12"/>
      <c r="J1695" s="12"/>
      <c r="S1695" s="12"/>
      <c r="T1695" s="12"/>
      <c r="U1695" s="16"/>
      <c r="V1695" s="16"/>
      <c r="W1695" s="12"/>
      <c r="Z1695" s="12"/>
      <c r="AA1695" s="16"/>
    </row>
    <row r="1696">
      <c r="A1696" s="8"/>
      <c r="C1696" s="12"/>
      <c r="D1696" s="12"/>
      <c r="E1696" s="12"/>
      <c r="F1696" s="12"/>
      <c r="G1696" s="12"/>
      <c r="H1696" s="12"/>
      <c r="I1696" s="12"/>
      <c r="J1696" s="12"/>
      <c r="S1696" s="12"/>
      <c r="T1696" s="12"/>
      <c r="U1696" s="16"/>
      <c r="V1696" s="16"/>
      <c r="W1696" s="12"/>
      <c r="Z1696" s="12"/>
      <c r="AA1696" s="16"/>
    </row>
    <row r="1697">
      <c r="A1697" s="8"/>
      <c r="C1697" s="12"/>
      <c r="D1697" s="12"/>
      <c r="E1697" s="12"/>
      <c r="F1697" s="12"/>
      <c r="G1697" s="12"/>
      <c r="H1697" s="12"/>
      <c r="I1697" s="12"/>
      <c r="J1697" s="12"/>
      <c r="S1697" s="12"/>
      <c r="T1697" s="12"/>
      <c r="U1697" s="16"/>
      <c r="V1697" s="16"/>
      <c r="W1697" s="12"/>
      <c r="Z1697" s="12"/>
      <c r="AA1697" s="16"/>
    </row>
    <row r="1698">
      <c r="A1698" s="8"/>
      <c r="C1698" s="12"/>
      <c r="D1698" s="12"/>
      <c r="E1698" s="12"/>
      <c r="F1698" s="12"/>
      <c r="G1698" s="12"/>
      <c r="H1698" s="12"/>
      <c r="I1698" s="12"/>
      <c r="J1698" s="12"/>
      <c r="S1698" s="12"/>
      <c r="T1698" s="12"/>
      <c r="U1698" s="16"/>
      <c r="V1698" s="16"/>
      <c r="W1698" s="12"/>
      <c r="Z1698" s="12"/>
      <c r="AA1698" s="16"/>
    </row>
    <row r="1699">
      <c r="A1699" s="8"/>
      <c r="C1699" s="12"/>
      <c r="D1699" s="12"/>
      <c r="E1699" s="12"/>
      <c r="F1699" s="12"/>
      <c r="G1699" s="12"/>
      <c r="H1699" s="12"/>
      <c r="I1699" s="12"/>
      <c r="J1699" s="12"/>
      <c r="S1699" s="12"/>
      <c r="T1699" s="12"/>
      <c r="U1699" s="16"/>
      <c r="V1699" s="16"/>
      <c r="W1699" s="12"/>
      <c r="Z1699" s="12"/>
      <c r="AA1699" s="16"/>
    </row>
    <row r="1700">
      <c r="A1700" s="8"/>
      <c r="C1700" s="12"/>
      <c r="D1700" s="12"/>
      <c r="E1700" s="12"/>
      <c r="F1700" s="12"/>
      <c r="G1700" s="12"/>
      <c r="H1700" s="12"/>
      <c r="I1700" s="12"/>
      <c r="J1700" s="12"/>
      <c r="S1700" s="12"/>
      <c r="T1700" s="12"/>
      <c r="U1700" s="16"/>
      <c r="V1700" s="16"/>
      <c r="W1700" s="12"/>
      <c r="Z1700" s="12"/>
      <c r="AA1700" s="16"/>
    </row>
    <row r="1701">
      <c r="A1701" s="8"/>
      <c r="C1701" s="12"/>
      <c r="D1701" s="12"/>
      <c r="E1701" s="12"/>
      <c r="F1701" s="12"/>
      <c r="G1701" s="12"/>
      <c r="H1701" s="12"/>
      <c r="I1701" s="12"/>
      <c r="J1701" s="12"/>
      <c r="S1701" s="12"/>
      <c r="T1701" s="12"/>
      <c r="U1701" s="16"/>
      <c r="V1701" s="16"/>
      <c r="W1701" s="12"/>
      <c r="Z1701" s="12"/>
      <c r="AA1701" s="16"/>
    </row>
    <row r="1702">
      <c r="A1702" s="8"/>
      <c r="C1702" s="12"/>
      <c r="D1702" s="12"/>
      <c r="E1702" s="12"/>
      <c r="F1702" s="12"/>
      <c r="G1702" s="12"/>
      <c r="H1702" s="12"/>
      <c r="I1702" s="12"/>
      <c r="J1702" s="12"/>
      <c r="S1702" s="12"/>
      <c r="T1702" s="12"/>
      <c r="U1702" s="16"/>
      <c r="V1702" s="16"/>
      <c r="W1702" s="12"/>
      <c r="Z1702" s="12"/>
      <c r="AA1702" s="16"/>
    </row>
    <row r="1703">
      <c r="A1703" s="8"/>
      <c r="C1703" s="12"/>
      <c r="D1703" s="12"/>
      <c r="E1703" s="12"/>
      <c r="F1703" s="12"/>
      <c r="G1703" s="12"/>
      <c r="H1703" s="12"/>
      <c r="I1703" s="12"/>
      <c r="J1703" s="12"/>
      <c r="S1703" s="12"/>
      <c r="T1703" s="12"/>
      <c r="U1703" s="16"/>
      <c r="V1703" s="16"/>
      <c r="W1703" s="12"/>
      <c r="Z1703" s="12"/>
      <c r="AA1703" s="16"/>
    </row>
    <row r="1704">
      <c r="A1704" s="8"/>
      <c r="C1704" s="12"/>
      <c r="D1704" s="12"/>
      <c r="E1704" s="12"/>
      <c r="F1704" s="12"/>
      <c r="G1704" s="12"/>
      <c r="H1704" s="12"/>
      <c r="I1704" s="12"/>
      <c r="J1704" s="12"/>
      <c r="S1704" s="12"/>
      <c r="T1704" s="12"/>
      <c r="U1704" s="16"/>
      <c r="V1704" s="16"/>
      <c r="W1704" s="12"/>
      <c r="Z1704" s="12"/>
      <c r="AA1704" s="16"/>
    </row>
    <row r="1705">
      <c r="A1705" s="8"/>
      <c r="C1705" s="12"/>
      <c r="D1705" s="12"/>
      <c r="E1705" s="12"/>
      <c r="F1705" s="12"/>
      <c r="G1705" s="12"/>
      <c r="H1705" s="12"/>
      <c r="I1705" s="12"/>
      <c r="J1705" s="12"/>
      <c r="S1705" s="12"/>
      <c r="T1705" s="12"/>
      <c r="U1705" s="16"/>
      <c r="V1705" s="16"/>
      <c r="W1705" s="12"/>
      <c r="Z1705" s="12"/>
      <c r="AA1705" s="16"/>
    </row>
    <row r="1706">
      <c r="A1706" s="8"/>
      <c r="C1706" s="12"/>
      <c r="D1706" s="12"/>
      <c r="E1706" s="12"/>
      <c r="F1706" s="12"/>
      <c r="G1706" s="12"/>
      <c r="H1706" s="12"/>
      <c r="I1706" s="12"/>
      <c r="J1706" s="12"/>
      <c r="S1706" s="12"/>
      <c r="T1706" s="12"/>
      <c r="U1706" s="16"/>
      <c r="V1706" s="16"/>
      <c r="W1706" s="12"/>
      <c r="Z1706" s="12"/>
      <c r="AA1706" s="16"/>
    </row>
    <row r="1707">
      <c r="A1707" s="8"/>
      <c r="C1707" s="12"/>
      <c r="D1707" s="12"/>
      <c r="E1707" s="12"/>
      <c r="F1707" s="12"/>
      <c r="G1707" s="12"/>
      <c r="H1707" s="12"/>
      <c r="I1707" s="12"/>
      <c r="J1707" s="12"/>
      <c r="S1707" s="12"/>
      <c r="T1707" s="12"/>
      <c r="U1707" s="16"/>
      <c r="V1707" s="16"/>
      <c r="W1707" s="12"/>
      <c r="Z1707" s="12"/>
      <c r="AA1707" s="16"/>
    </row>
    <row r="1708">
      <c r="A1708" s="8"/>
      <c r="C1708" s="12"/>
      <c r="D1708" s="12"/>
      <c r="E1708" s="12"/>
      <c r="F1708" s="12"/>
      <c r="G1708" s="12"/>
      <c r="H1708" s="12"/>
      <c r="I1708" s="12"/>
      <c r="J1708" s="12"/>
      <c r="S1708" s="12"/>
      <c r="T1708" s="12"/>
      <c r="U1708" s="16"/>
      <c r="V1708" s="16"/>
      <c r="W1708" s="12"/>
      <c r="Z1708" s="12"/>
      <c r="AA1708" s="16"/>
    </row>
    <row r="1709">
      <c r="A1709" s="8"/>
      <c r="C1709" s="12"/>
      <c r="D1709" s="12"/>
      <c r="E1709" s="12"/>
      <c r="F1709" s="12"/>
      <c r="G1709" s="12"/>
      <c r="H1709" s="12"/>
      <c r="I1709" s="12"/>
      <c r="J1709" s="12"/>
      <c r="S1709" s="12"/>
      <c r="T1709" s="12"/>
      <c r="U1709" s="16"/>
      <c r="V1709" s="16"/>
      <c r="W1709" s="12"/>
      <c r="Z1709" s="12"/>
      <c r="AA1709" s="16"/>
    </row>
    <row r="1710">
      <c r="A1710" s="8"/>
      <c r="C1710" s="12"/>
      <c r="D1710" s="12"/>
      <c r="E1710" s="12"/>
      <c r="F1710" s="12"/>
      <c r="G1710" s="12"/>
      <c r="H1710" s="12"/>
      <c r="I1710" s="12"/>
      <c r="J1710" s="12"/>
      <c r="S1710" s="12"/>
      <c r="T1710" s="12"/>
      <c r="U1710" s="16"/>
      <c r="V1710" s="16"/>
      <c r="W1710" s="12"/>
      <c r="Z1710" s="12"/>
      <c r="AA1710" s="16"/>
    </row>
    <row r="1711">
      <c r="A1711" s="8"/>
      <c r="C1711" s="12"/>
      <c r="D1711" s="12"/>
      <c r="E1711" s="12"/>
      <c r="F1711" s="12"/>
      <c r="G1711" s="12"/>
      <c r="H1711" s="12"/>
      <c r="I1711" s="12"/>
      <c r="J1711" s="12"/>
      <c r="S1711" s="12"/>
      <c r="T1711" s="12"/>
      <c r="U1711" s="16"/>
      <c r="V1711" s="16"/>
      <c r="W1711" s="12"/>
      <c r="Z1711" s="12"/>
      <c r="AA1711" s="16"/>
    </row>
    <row r="1712">
      <c r="A1712" s="8"/>
      <c r="C1712" s="12"/>
      <c r="D1712" s="12"/>
      <c r="E1712" s="12"/>
      <c r="F1712" s="12"/>
      <c r="G1712" s="12"/>
      <c r="H1712" s="12"/>
      <c r="I1712" s="12"/>
      <c r="J1712" s="12"/>
      <c r="S1712" s="12"/>
      <c r="T1712" s="12"/>
      <c r="U1712" s="16"/>
      <c r="V1712" s="16"/>
      <c r="W1712" s="12"/>
      <c r="Z1712" s="12"/>
      <c r="AA1712" s="16"/>
    </row>
    <row r="1713">
      <c r="A1713" s="8"/>
      <c r="C1713" s="12"/>
      <c r="D1713" s="12"/>
      <c r="E1713" s="12"/>
      <c r="F1713" s="12"/>
      <c r="G1713" s="12"/>
      <c r="H1713" s="12"/>
      <c r="I1713" s="12"/>
      <c r="J1713" s="12"/>
      <c r="S1713" s="12"/>
      <c r="T1713" s="12"/>
      <c r="U1713" s="16"/>
      <c r="V1713" s="16"/>
      <c r="W1713" s="12"/>
      <c r="Z1713" s="12"/>
      <c r="AA1713" s="16"/>
    </row>
    <row r="1714">
      <c r="A1714" s="8"/>
      <c r="C1714" s="12"/>
      <c r="D1714" s="12"/>
      <c r="E1714" s="12"/>
      <c r="F1714" s="12"/>
      <c r="G1714" s="12"/>
      <c r="H1714" s="12"/>
      <c r="I1714" s="12"/>
      <c r="J1714" s="12"/>
      <c r="S1714" s="12"/>
      <c r="T1714" s="12"/>
      <c r="U1714" s="16"/>
      <c r="V1714" s="16"/>
      <c r="W1714" s="12"/>
      <c r="Z1714" s="12"/>
      <c r="AA1714" s="16"/>
    </row>
    <row r="1715">
      <c r="A1715" s="8"/>
      <c r="C1715" s="12"/>
      <c r="D1715" s="12"/>
      <c r="E1715" s="12"/>
      <c r="F1715" s="12"/>
      <c r="G1715" s="12"/>
      <c r="H1715" s="12"/>
      <c r="I1715" s="12"/>
      <c r="J1715" s="12"/>
      <c r="S1715" s="12"/>
      <c r="T1715" s="12"/>
      <c r="U1715" s="16"/>
      <c r="V1715" s="16"/>
      <c r="W1715" s="12"/>
      <c r="Z1715" s="12"/>
      <c r="AA1715" s="16"/>
    </row>
    <row r="1716">
      <c r="A1716" s="8"/>
      <c r="C1716" s="12"/>
      <c r="D1716" s="12"/>
      <c r="E1716" s="12"/>
      <c r="F1716" s="12"/>
      <c r="G1716" s="12"/>
      <c r="H1716" s="12"/>
      <c r="I1716" s="12"/>
      <c r="J1716" s="12"/>
      <c r="S1716" s="12"/>
      <c r="T1716" s="12"/>
      <c r="U1716" s="16"/>
      <c r="V1716" s="16"/>
      <c r="W1716" s="12"/>
      <c r="Z1716" s="12"/>
      <c r="AA1716" s="16"/>
    </row>
    <row r="1717">
      <c r="A1717" s="8"/>
      <c r="C1717" s="12"/>
      <c r="D1717" s="12"/>
      <c r="E1717" s="12"/>
      <c r="F1717" s="12"/>
      <c r="G1717" s="12"/>
      <c r="H1717" s="12"/>
      <c r="I1717" s="12"/>
      <c r="J1717" s="12"/>
      <c r="S1717" s="12"/>
      <c r="T1717" s="12"/>
      <c r="U1717" s="16"/>
      <c r="V1717" s="16"/>
      <c r="W1717" s="12"/>
      <c r="Z1717" s="12"/>
      <c r="AA1717" s="16"/>
    </row>
    <row r="1718">
      <c r="A1718" s="8"/>
      <c r="C1718" s="12"/>
      <c r="D1718" s="12"/>
      <c r="E1718" s="12"/>
      <c r="F1718" s="12"/>
      <c r="G1718" s="12"/>
      <c r="H1718" s="12"/>
      <c r="I1718" s="12"/>
      <c r="J1718" s="12"/>
      <c r="S1718" s="12"/>
      <c r="T1718" s="12"/>
      <c r="U1718" s="16"/>
      <c r="V1718" s="16"/>
      <c r="W1718" s="12"/>
      <c r="Z1718" s="12"/>
      <c r="AA1718" s="16"/>
    </row>
    <row r="1719">
      <c r="A1719" s="8"/>
      <c r="C1719" s="12"/>
      <c r="D1719" s="12"/>
      <c r="E1719" s="12"/>
      <c r="F1719" s="12"/>
      <c r="G1719" s="12"/>
      <c r="H1719" s="12"/>
      <c r="I1719" s="12"/>
      <c r="J1719" s="12"/>
      <c r="S1719" s="12"/>
      <c r="T1719" s="12"/>
      <c r="U1719" s="16"/>
      <c r="V1719" s="16"/>
      <c r="W1719" s="12"/>
      <c r="Z1719" s="12"/>
      <c r="AA1719" s="16"/>
    </row>
    <row r="1720">
      <c r="A1720" s="8"/>
      <c r="C1720" s="12"/>
      <c r="D1720" s="12"/>
      <c r="E1720" s="12"/>
      <c r="F1720" s="12"/>
      <c r="G1720" s="12"/>
      <c r="H1720" s="12"/>
      <c r="I1720" s="12"/>
      <c r="J1720" s="12"/>
      <c r="S1720" s="12"/>
      <c r="T1720" s="12"/>
      <c r="U1720" s="16"/>
      <c r="V1720" s="16"/>
      <c r="W1720" s="12"/>
      <c r="Z1720" s="12"/>
      <c r="AA1720" s="16"/>
    </row>
    <row r="1721">
      <c r="A1721" s="8"/>
      <c r="C1721" s="12"/>
      <c r="D1721" s="12"/>
      <c r="E1721" s="12"/>
      <c r="F1721" s="12"/>
      <c r="G1721" s="12"/>
      <c r="H1721" s="12"/>
      <c r="I1721" s="12"/>
      <c r="J1721" s="12"/>
      <c r="S1721" s="12"/>
      <c r="T1721" s="12"/>
      <c r="U1721" s="16"/>
      <c r="V1721" s="16"/>
      <c r="W1721" s="12"/>
      <c r="Z1721" s="12"/>
      <c r="AA1721" s="16"/>
    </row>
    <row r="1722">
      <c r="A1722" s="8"/>
      <c r="C1722" s="12"/>
      <c r="D1722" s="12"/>
      <c r="E1722" s="12"/>
      <c r="F1722" s="12"/>
      <c r="G1722" s="12"/>
      <c r="H1722" s="12"/>
      <c r="I1722" s="12"/>
      <c r="J1722" s="12"/>
      <c r="S1722" s="12"/>
      <c r="T1722" s="12"/>
      <c r="U1722" s="16"/>
      <c r="V1722" s="16"/>
      <c r="W1722" s="12"/>
      <c r="Z1722" s="12"/>
      <c r="AA1722" s="16"/>
    </row>
    <row r="1723">
      <c r="A1723" s="8"/>
      <c r="C1723" s="12"/>
      <c r="D1723" s="12"/>
      <c r="E1723" s="12"/>
      <c r="F1723" s="12"/>
      <c r="G1723" s="12"/>
      <c r="H1723" s="12"/>
      <c r="I1723" s="12"/>
      <c r="J1723" s="12"/>
      <c r="S1723" s="12"/>
      <c r="T1723" s="12"/>
      <c r="U1723" s="16"/>
      <c r="V1723" s="16"/>
      <c r="W1723" s="12"/>
      <c r="Z1723" s="12"/>
      <c r="AA1723" s="16"/>
    </row>
    <row r="1724">
      <c r="A1724" s="8"/>
      <c r="C1724" s="12"/>
      <c r="D1724" s="12"/>
      <c r="E1724" s="12"/>
      <c r="F1724" s="12"/>
      <c r="G1724" s="12"/>
      <c r="H1724" s="12"/>
      <c r="I1724" s="12"/>
      <c r="J1724" s="12"/>
      <c r="S1724" s="12"/>
      <c r="T1724" s="12"/>
      <c r="U1724" s="16"/>
      <c r="V1724" s="16"/>
      <c r="W1724" s="12"/>
      <c r="Z1724" s="12"/>
      <c r="AA1724" s="16"/>
    </row>
    <row r="1725">
      <c r="A1725" s="8"/>
      <c r="C1725" s="12"/>
      <c r="D1725" s="12"/>
      <c r="E1725" s="12"/>
      <c r="F1725" s="12"/>
      <c r="G1725" s="12"/>
      <c r="H1725" s="12"/>
      <c r="I1725" s="12"/>
      <c r="J1725" s="12"/>
      <c r="S1725" s="12"/>
      <c r="T1725" s="12"/>
      <c r="U1725" s="16"/>
      <c r="V1725" s="16"/>
      <c r="W1725" s="12"/>
      <c r="Z1725" s="12"/>
      <c r="AA1725" s="16"/>
    </row>
    <row r="1726">
      <c r="A1726" s="8"/>
      <c r="C1726" s="12"/>
      <c r="D1726" s="12"/>
      <c r="E1726" s="12"/>
      <c r="F1726" s="12"/>
      <c r="G1726" s="12"/>
      <c r="H1726" s="12"/>
      <c r="I1726" s="12"/>
      <c r="J1726" s="12"/>
      <c r="S1726" s="12"/>
      <c r="T1726" s="12"/>
      <c r="U1726" s="16"/>
      <c r="V1726" s="16"/>
      <c r="W1726" s="12"/>
      <c r="Z1726" s="12"/>
      <c r="AA1726" s="16"/>
    </row>
    <row r="1727">
      <c r="A1727" s="8"/>
      <c r="C1727" s="12"/>
      <c r="D1727" s="12"/>
      <c r="E1727" s="12"/>
      <c r="F1727" s="12"/>
      <c r="G1727" s="12"/>
      <c r="H1727" s="12"/>
      <c r="I1727" s="12"/>
      <c r="J1727" s="12"/>
      <c r="S1727" s="12"/>
      <c r="T1727" s="12"/>
      <c r="U1727" s="16"/>
      <c r="V1727" s="16"/>
      <c r="W1727" s="12"/>
      <c r="Z1727" s="12"/>
      <c r="AA1727" s="16"/>
    </row>
    <row r="1728">
      <c r="A1728" s="8"/>
      <c r="C1728" s="12"/>
      <c r="D1728" s="12"/>
      <c r="E1728" s="12"/>
      <c r="F1728" s="12"/>
      <c r="G1728" s="12"/>
      <c r="H1728" s="12"/>
      <c r="I1728" s="12"/>
      <c r="J1728" s="12"/>
      <c r="S1728" s="12"/>
      <c r="T1728" s="12"/>
      <c r="U1728" s="16"/>
      <c r="V1728" s="16"/>
      <c r="W1728" s="12"/>
      <c r="Z1728" s="12"/>
      <c r="AA1728" s="16"/>
    </row>
    <row r="1729">
      <c r="A1729" s="8"/>
      <c r="C1729" s="12"/>
      <c r="D1729" s="12"/>
      <c r="E1729" s="12"/>
      <c r="F1729" s="12"/>
      <c r="G1729" s="12"/>
      <c r="H1729" s="12"/>
      <c r="I1729" s="12"/>
      <c r="J1729" s="12"/>
      <c r="S1729" s="12"/>
      <c r="T1729" s="12"/>
      <c r="U1729" s="16"/>
      <c r="V1729" s="16"/>
      <c r="W1729" s="12"/>
      <c r="Z1729" s="12"/>
      <c r="AA1729" s="16"/>
    </row>
    <row r="1730">
      <c r="A1730" s="8"/>
      <c r="C1730" s="12"/>
      <c r="D1730" s="12"/>
      <c r="E1730" s="12"/>
      <c r="F1730" s="12"/>
      <c r="G1730" s="12"/>
      <c r="H1730" s="12"/>
      <c r="I1730" s="12"/>
      <c r="J1730" s="12"/>
      <c r="S1730" s="12"/>
      <c r="T1730" s="12"/>
      <c r="U1730" s="16"/>
      <c r="V1730" s="16"/>
      <c r="W1730" s="12"/>
      <c r="Z1730" s="12"/>
      <c r="AA1730" s="16"/>
    </row>
    <row r="1731">
      <c r="A1731" s="8"/>
      <c r="C1731" s="12"/>
      <c r="D1731" s="12"/>
      <c r="E1731" s="12"/>
      <c r="F1731" s="12"/>
      <c r="G1731" s="12"/>
      <c r="H1731" s="12"/>
      <c r="I1731" s="12"/>
      <c r="J1731" s="12"/>
      <c r="S1731" s="12"/>
      <c r="T1731" s="12"/>
      <c r="U1731" s="16"/>
      <c r="V1731" s="16"/>
      <c r="W1731" s="12"/>
      <c r="Z1731" s="12"/>
      <c r="AA1731" s="16"/>
    </row>
    <row r="1732">
      <c r="A1732" s="8"/>
      <c r="C1732" s="12"/>
      <c r="D1732" s="12"/>
      <c r="E1732" s="12"/>
      <c r="F1732" s="12"/>
      <c r="G1732" s="12"/>
      <c r="H1732" s="12"/>
      <c r="I1732" s="12"/>
      <c r="J1732" s="12"/>
      <c r="S1732" s="12"/>
      <c r="T1732" s="12"/>
      <c r="U1732" s="16"/>
      <c r="V1732" s="16"/>
      <c r="W1732" s="12"/>
      <c r="Z1732" s="12"/>
      <c r="AA1732" s="16"/>
    </row>
    <row r="1733">
      <c r="A1733" s="8"/>
      <c r="C1733" s="12"/>
      <c r="D1733" s="12"/>
      <c r="E1733" s="12"/>
      <c r="F1733" s="12"/>
      <c r="G1733" s="12"/>
      <c r="H1733" s="12"/>
      <c r="I1733" s="12"/>
      <c r="J1733" s="12"/>
      <c r="S1733" s="12"/>
      <c r="T1733" s="12"/>
      <c r="U1733" s="16"/>
      <c r="V1733" s="16"/>
      <c r="W1733" s="12"/>
      <c r="Z1733" s="12"/>
      <c r="AA1733" s="16"/>
    </row>
    <row r="1734">
      <c r="A1734" s="8"/>
      <c r="C1734" s="12"/>
      <c r="D1734" s="12"/>
      <c r="E1734" s="12"/>
      <c r="F1734" s="12"/>
      <c r="G1734" s="12"/>
      <c r="H1734" s="12"/>
      <c r="I1734" s="12"/>
      <c r="J1734" s="12"/>
      <c r="S1734" s="12"/>
      <c r="T1734" s="12"/>
      <c r="U1734" s="16"/>
      <c r="V1734" s="16"/>
      <c r="W1734" s="12"/>
      <c r="Z1734" s="12"/>
      <c r="AA1734" s="16"/>
    </row>
    <row r="1735">
      <c r="A1735" s="8"/>
      <c r="C1735" s="12"/>
      <c r="D1735" s="12"/>
      <c r="E1735" s="12"/>
      <c r="F1735" s="12"/>
      <c r="G1735" s="12"/>
      <c r="H1735" s="12"/>
      <c r="I1735" s="12"/>
      <c r="J1735" s="12"/>
      <c r="S1735" s="12"/>
      <c r="T1735" s="12"/>
      <c r="U1735" s="16"/>
      <c r="V1735" s="16"/>
      <c r="W1735" s="12"/>
      <c r="Z1735" s="12"/>
      <c r="AA1735" s="16"/>
    </row>
    <row r="1736">
      <c r="A1736" s="8"/>
      <c r="C1736" s="12"/>
      <c r="D1736" s="12"/>
      <c r="E1736" s="12"/>
      <c r="F1736" s="12"/>
      <c r="G1736" s="12"/>
      <c r="H1736" s="12"/>
      <c r="I1736" s="12"/>
      <c r="J1736" s="12"/>
      <c r="S1736" s="12"/>
      <c r="T1736" s="12"/>
      <c r="U1736" s="16"/>
      <c r="V1736" s="16"/>
      <c r="W1736" s="12"/>
      <c r="Z1736" s="12"/>
      <c r="AA1736" s="16"/>
    </row>
    <row r="1737">
      <c r="A1737" s="8"/>
      <c r="C1737" s="12"/>
      <c r="D1737" s="12"/>
      <c r="E1737" s="12"/>
      <c r="F1737" s="12"/>
      <c r="G1737" s="12"/>
      <c r="H1737" s="12"/>
      <c r="I1737" s="12"/>
      <c r="J1737" s="12"/>
      <c r="S1737" s="12"/>
      <c r="T1737" s="12"/>
      <c r="U1737" s="16"/>
      <c r="V1737" s="16"/>
      <c r="W1737" s="12"/>
      <c r="Z1737" s="12"/>
      <c r="AA1737" s="16"/>
    </row>
    <row r="1738">
      <c r="A1738" s="8"/>
      <c r="C1738" s="12"/>
      <c r="D1738" s="12"/>
      <c r="E1738" s="12"/>
      <c r="F1738" s="12"/>
      <c r="G1738" s="12"/>
      <c r="H1738" s="12"/>
      <c r="I1738" s="12"/>
      <c r="J1738" s="12"/>
      <c r="S1738" s="12"/>
      <c r="T1738" s="12"/>
      <c r="U1738" s="16"/>
      <c r="V1738" s="16"/>
      <c r="W1738" s="12"/>
      <c r="Z1738" s="12"/>
      <c r="AA1738" s="16"/>
    </row>
    <row r="1739">
      <c r="A1739" s="8"/>
      <c r="C1739" s="12"/>
      <c r="D1739" s="12"/>
      <c r="E1739" s="12"/>
      <c r="F1739" s="12"/>
      <c r="G1739" s="12"/>
      <c r="H1739" s="12"/>
      <c r="I1739" s="12"/>
      <c r="J1739" s="12"/>
      <c r="S1739" s="12"/>
      <c r="T1739" s="12"/>
      <c r="U1739" s="16"/>
      <c r="V1739" s="16"/>
      <c r="W1739" s="12"/>
      <c r="Z1739" s="12"/>
      <c r="AA1739" s="16"/>
    </row>
    <row r="1740">
      <c r="A1740" s="8"/>
      <c r="C1740" s="12"/>
      <c r="D1740" s="12"/>
      <c r="E1740" s="12"/>
      <c r="F1740" s="12"/>
      <c r="G1740" s="12"/>
      <c r="H1740" s="12"/>
      <c r="I1740" s="12"/>
      <c r="J1740" s="12"/>
      <c r="S1740" s="12"/>
      <c r="T1740" s="12"/>
      <c r="U1740" s="16"/>
      <c r="V1740" s="16"/>
      <c r="W1740" s="12"/>
      <c r="Z1740" s="12"/>
      <c r="AA1740" s="16"/>
    </row>
    <row r="1741">
      <c r="A1741" s="8"/>
      <c r="C1741" s="12"/>
      <c r="D1741" s="12"/>
      <c r="E1741" s="12"/>
      <c r="F1741" s="12"/>
      <c r="G1741" s="12"/>
      <c r="H1741" s="12"/>
      <c r="I1741" s="12"/>
      <c r="J1741" s="12"/>
      <c r="S1741" s="12"/>
      <c r="T1741" s="12"/>
      <c r="U1741" s="16"/>
      <c r="V1741" s="16"/>
      <c r="W1741" s="12"/>
      <c r="Z1741" s="12"/>
      <c r="AA1741" s="16"/>
    </row>
    <row r="1742">
      <c r="A1742" s="8"/>
      <c r="C1742" s="12"/>
      <c r="D1742" s="12"/>
      <c r="E1742" s="12"/>
      <c r="F1742" s="12"/>
      <c r="G1742" s="12"/>
      <c r="H1742" s="12"/>
      <c r="I1742" s="12"/>
      <c r="J1742" s="12"/>
      <c r="S1742" s="12"/>
      <c r="T1742" s="12"/>
      <c r="U1742" s="16"/>
      <c r="V1742" s="16"/>
      <c r="W1742" s="12"/>
      <c r="Z1742" s="12"/>
      <c r="AA1742" s="16"/>
    </row>
    <row r="1743">
      <c r="A1743" s="8"/>
      <c r="C1743" s="12"/>
      <c r="D1743" s="12"/>
      <c r="E1743" s="12"/>
      <c r="F1743" s="12"/>
      <c r="G1743" s="12"/>
      <c r="H1743" s="12"/>
      <c r="I1743" s="12"/>
      <c r="J1743" s="12"/>
      <c r="S1743" s="12"/>
      <c r="T1743" s="12"/>
      <c r="U1743" s="16"/>
      <c r="V1743" s="16"/>
      <c r="W1743" s="12"/>
      <c r="Z1743" s="12"/>
      <c r="AA1743" s="16"/>
    </row>
    <row r="1744">
      <c r="A1744" s="8"/>
      <c r="C1744" s="12"/>
      <c r="D1744" s="12"/>
      <c r="E1744" s="12"/>
      <c r="F1744" s="12"/>
      <c r="G1744" s="12"/>
      <c r="H1744" s="12"/>
      <c r="I1744" s="12"/>
      <c r="J1744" s="12"/>
      <c r="S1744" s="12"/>
      <c r="T1744" s="12"/>
      <c r="U1744" s="16"/>
      <c r="V1744" s="16"/>
      <c r="W1744" s="12"/>
      <c r="Z1744" s="12"/>
      <c r="AA1744" s="16"/>
    </row>
    <row r="1745">
      <c r="A1745" s="8"/>
      <c r="C1745" s="12"/>
      <c r="D1745" s="12"/>
      <c r="E1745" s="12"/>
      <c r="F1745" s="12"/>
      <c r="G1745" s="12"/>
      <c r="H1745" s="12"/>
      <c r="I1745" s="12"/>
      <c r="J1745" s="12"/>
      <c r="S1745" s="12"/>
      <c r="T1745" s="12"/>
      <c r="U1745" s="16"/>
      <c r="V1745" s="16"/>
      <c r="W1745" s="12"/>
      <c r="Z1745" s="12"/>
      <c r="AA1745" s="16"/>
    </row>
    <row r="1746">
      <c r="A1746" s="8"/>
      <c r="C1746" s="12"/>
      <c r="D1746" s="12"/>
      <c r="E1746" s="12"/>
      <c r="F1746" s="12"/>
      <c r="G1746" s="12"/>
      <c r="H1746" s="12"/>
      <c r="I1746" s="12"/>
      <c r="J1746" s="12"/>
      <c r="S1746" s="12"/>
      <c r="T1746" s="12"/>
      <c r="U1746" s="16"/>
      <c r="V1746" s="16"/>
      <c r="W1746" s="12"/>
      <c r="Z1746" s="12"/>
      <c r="AA1746" s="16"/>
    </row>
    <row r="1747">
      <c r="A1747" s="8"/>
      <c r="C1747" s="12"/>
      <c r="D1747" s="12"/>
      <c r="E1747" s="12"/>
      <c r="F1747" s="12"/>
      <c r="G1747" s="12"/>
      <c r="H1747" s="12"/>
      <c r="I1747" s="12"/>
      <c r="J1747" s="12"/>
      <c r="S1747" s="12"/>
      <c r="T1747" s="12"/>
      <c r="U1747" s="16"/>
      <c r="V1747" s="16"/>
      <c r="W1747" s="12"/>
      <c r="Z1747" s="12"/>
      <c r="AA1747" s="16"/>
    </row>
    <row r="1748">
      <c r="A1748" s="8"/>
      <c r="C1748" s="12"/>
      <c r="D1748" s="12"/>
      <c r="E1748" s="12"/>
      <c r="F1748" s="12"/>
      <c r="G1748" s="12"/>
      <c r="H1748" s="12"/>
      <c r="I1748" s="12"/>
      <c r="J1748" s="12"/>
      <c r="S1748" s="12"/>
      <c r="T1748" s="12"/>
      <c r="U1748" s="16"/>
      <c r="V1748" s="16"/>
      <c r="W1748" s="12"/>
      <c r="Z1748" s="12"/>
      <c r="AA1748" s="16"/>
    </row>
    <row r="1749">
      <c r="A1749" s="8"/>
      <c r="C1749" s="12"/>
      <c r="D1749" s="12"/>
      <c r="E1749" s="12"/>
      <c r="F1749" s="12"/>
      <c r="G1749" s="12"/>
      <c r="H1749" s="12"/>
      <c r="I1749" s="12"/>
      <c r="J1749" s="12"/>
      <c r="S1749" s="12"/>
      <c r="T1749" s="12"/>
      <c r="U1749" s="16"/>
      <c r="V1749" s="16"/>
      <c r="W1749" s="12"/>
      <c r="Z1749" s="12"/>
      <c r="AA1749" s="16"/>
    </row>
    <row r="1750">
      <c r="A1750" s="8"/>
      <c r="C1750" s="12"/>
      <c r="D1750" s="12"/>
      <c r="E1750" s="12"/>
      <c r="F1750" s="12"/>
      <c r="G1750" s="12"/>
      <c r="H1750" s="12"/>
      <c r="I1750" s="12"/>
      <c r="J1750" s="12"/>
      <c r="S1750" s="12"/>
      <c r="T1750" s="12"/>
      <c r="U1750" s="16"/>
      <c r="V1750" s="16"/>
      <c r="W1750" s="12"/>
      <c r="Z1750" s="12"/>
      <c r="AA1750" s="16"/>
    </row>
    <row r="1751">
      <c r="A1751" s="8"/>
      <c r="C1751" s="12"/>
      <c r="D1751" s="12"/>
      <c r="E1751" s="12"/>
      <c r="F1751" s="12"/>
      <c r="G1751" s="12"/>
      <c r="H1751" s="12"/>
      <c r="I1751" s="12"/>
      <c r="J1751" s="12"/>
      <c r="S1751" s="12"/>
      <c r="T1751" s="12"/>
      <c r="U1751" s="16"/>
      <c r="V1751" s="16"/>
      <c r="W1751" s="12"/>
      <c r="Z1751" s="12"/>
      <c r="AA1751" s="16"/>
    </row>
    <row r="1752">
      <c r="A1752" s="8"/>
      <c r="C1752" s="12"/>
      <c r="D1752" s="12"/>
      <c r="E1752" s="12"/>
      <c r="F1752" s="12"/>
      <c r="G1752" s="12"/>
      <c r="H1752" s="12"/>
      <c r="I1752" s="12"/>
      <c r="J1752" s="12"/>
      <c r="S1752" s="12"/>
      <c r="T1752" s="12"/>
      <c r="U1752" s="16"/>
      <c r="V1752" s="16"/>
      <c r="W1752" s="12"/>
      <c r="Z1752" s="12"/>
      <c r="AA1752" s="16"/>
    </row>
    <row r="1753">
      <c r="A1753" s="8"/>
      <c r="C1753" s="12"/>
      <c r="D1753" s="12"/>
      <c r="E1753" s="12"/>
      <c r="F1753" s="12"/>
      <c r="G1753" s="12"/>
      <c r="H1753" s="12"/>
      <c r="I1753" s="12"/>
      <c r="J1753" s="12"/>
      <c r="S1753" s="12"/>
      <c r="T1753" s="12"/>
      <c r="U1753" s="16"/>
      <c r="V1753" s="16"/>
      <c r="W1753" s="12"/>
      <c r="Z1753" s="12"/>
      <c r="AA1753" s="16"/>
    </row>
    <row r="1754">
      <c r="A1754" s="8"/>
      <c r="C1754" s="12"/>
      <c r="D1754" s="12"/>
      <c r="E1754" s="12"/>
      <c r="F1754" s="12"/>
      <c r="G1754" s="12"/>
      <c r="H1754" s="12"/>
      <c r="I1754" s="12"/>
      <c r="J1754" s="12"/>
      <c r="S1754" s="12"/>
      <c r="T1754" s="12"/>
      <c r="U1754" s="16"/>
      <c r="V1754" s="16"/>
      <c r="W1754" s="12"/>
      <c r="Z1754" s="12"/>
      <c r="AA1754" s="16"/>
    </row>
    <row r="1755">
      <c r="A1755" s="8"/>
      <c r="C1755" s="12"/>
      <c r="D1755" s="12"/>
      <c r="E1755" s="12"/>
      <c r="F1755" s="12"/>
      <c r="G1755" s="12"/>
      <c r="H1755" s="12"/>
      <c r="I1755" s="12"/>
      <c r="J1755" s="12"/>
      <c r="S1755" s="12"/>
      <c r="T1755" s="12"/>
      <c r="U1755" s="16"/>
      <c r="V1755" s="16"/>
      <c r="W1755" s="12"/>
      <c r="Z1755" s="12"/>
      <c r="AA1755" s="16"/>
    </row>
    <row r="1756">
      <c r="A1756" s="8"/>
      <c r="C1756" s="12"/>
      <c r="D1756" s="12"/>
      <c r="E1756" s="12"/>
      <c r="F1756" s="12"/>
      <c r="G1756" s="12"/>
      <c r="H1756" s="12"/>
      <c r="I1756" s="12"/>
      <c r="J1756" s="12"/>
      <c r="S1756" s="12"/>
      <c r="T1756" s="12"/>
      <c r="U1756" s="16"/>
      <c r="V1756" s="16"/>
      <c r="W1756" s="12"/>
      <c r="Z1756" s="12"/>
      <c r="AA1756" s="16"/>
    </row>
    <row r="1757">
      <c r="A1757" s="8"/>
      <c r="C1757" s="12"/>
      <c r="D1757" s="12"/>
      <c r="E1757" s="12"/>
      <c r="F1757" s="12"/>
      <c r="G1757" s="12"/>
      <c r="H1757" s="12"/>
      <c r="I1757" s="12"/>
      <c r="J1757" s="12"/>
      <c r="S1757" s="12"/>
      <c r="T1757" s="12"/>
      <c r="U1757" s="16"/>
      <c r="V1757" s="16"/>
      <c r="W1757" s="12"/>
      <c r="Z1757" s="12"/>
      <c r="AA1757" s="16"/>
    </row>
    <row r="1758">
      <c r="A1758" s="8"/>
      <c r="C1758" s="12"/>
      <c r="D1758" s="12"/>
      <c r="E1758" s="12"/>
      <c r="F1758" s="12"/>
      <c r="G1758" s="12"/>
      <c r="H1758" s="12"/>
      <c r="I1758" s="12"/>
      <c r="J1758" s="12"/>
      <c r="S1758" s="12"/>
      <c r="T1758" s="12"/>
      <c r="U1758" s="16"/>
      <c r="V1758" s="16"/>
      <c r="W1758" s="12"/>
      <c r="Z1758" s="12"/>
      <c r="AA1758" s="16"/>
    </row>
    <row r="1759">
      <c r="A1759" s="8"/>
      <c r="C1759" s="12"/>
      <c r="D1759" s="12"/>
      <c r="E1759" s="12"/>
      <c r="F1759" s="12"/>
      <c r="G1759" s="12"/>
      <c r="H1759" s="12"/>
      <c r="I1759" s="12"/>
      <c r="J1759" s="12"/>
      <c r="S1759" s="12"/>
      <c r="T1759" s="12"/>
      <c r="U1759" s="16"/>
      <c r="V1759" s="16"/>
      <c r="W1759" s="12"/>
      <c r="Z1759" s="12"/>
      <c r="AA1759" s="16"/>
    </row>
    <row r="1760">
      <c r="A1760" s="8"/>
      <c r="C1760" s="12"/>
      <c r="D1760" s="12"/>
      <c r="E1760" s="12"/>
      <c r="F1760" s="12"/>
      <c r="G1760" s="12"/>
      <c r="H1760" s="12"/>
      <c r="I1760" s="12"/>
      <c r="J1760" s="12"/>
      <c r="S1760" s="12"/>
      <c r="T1760" s="12"/>
      <c r="U1760" s="16"/>
      <c r="V1760" s="16"/>
      <c r="W1760" s="12"/>
      <c r="Z1760" s="12"/>
      <c r="AA1760" s="16"/>
    </row>
    <row r="1761">
      <c r="A1761" s="8"/>
      <c r="C1761" s="12"/>
      <c r="D1761" s="12"/>
      <c r="E1761" s="12"/>
      <c r="F1761" s="12"/>
      <c r="G1761" s="12"/>
      <c r="H1761" s="12"/>
      <c r="I1761" s="12"/>
      <c r="J1761" s="12"/>
      <c r="S1761" s="12"/>
      <c r="T1761" s="12"/>
      <c r="U1761" s="16"/>
      <c r="V1761" s="16"/>
      <c r="W1761" s="12"/>
      <c r="Z1761" s="12"/>
      <c r="AA1761" s="16"/>
    </row>
    <row r="1762">
      <c r="A1762" s="8"/>
      <c r="C1762" s="12"/>
      <c r="D1762" s="12"/>
      <c r="E1762" s="12"/>
      <c r="F1762" s="12"/>
      <c r="G1762" s="12"/>
      <c r="H1762" s="12"/>
      <c r="I1762" s="12"/>
      <c r="J1762" s="12"/>
      <c r="S1762" s="12"/>
      <c r="T1762" s="12"/>
      <c r="U1762" s="16"/>
      <c r="V1762" s="16"/>
      <c r="W1762" s="12"/>
      <c r="Z1762" s="12"/>
      <c r="AA1762" s="16"/>
    </row>
    <row r="1763">
      <c r="A1763" s="8"/>
      <c r="C1763" s="12"/>
      <c r="D1763" s="12"/>
      <c r="E1763" s="12"/>
      <c r="F1763" s="12"/>
      <c r="G1763" s="12"/>
      <c r="H1763" s="12"/>
      <c r="I1763" s="12"/>
      <c r="J1763" s="12"/>
      <c r="S1763" s="12"/>
      <c r="T1763" s="12"/>
      <c r="U1763" s="16"/>
      <c r="V1763" s="16"/>
      <c r="W1763" s="12"/>
      <c r="Z1763" s="12"/>
      <c r="AA1763" s="16"/>
    </row>
    <row r="1764">
      <c r="A1764" s="8"/>
      <c r="C1764" s="12"/>
      <c r="D1764" s="12"/>
      <c r="E1764" s="12"/>
      <c r="F1764" s="12"/>
      <c r="G1764" s="12"/>
      <c r="H1764" s="12"/>
      <c r="I1764" s="12"/>
      <c r="J1764" s="12"/>
      <c r="S1764" s="12"/>
      <c r="T1764" s="12"/>
      <c r="U1764" s="16"/>
      <c r="V1764" s="16"/>
      <c r="W1764" s="12"/>
      <c r="Z1764" s="12"/>
      <c r="AA1764" s="16"/>
    </row>
    <row r="1765">
      <c r="A1765" s="8"/>
      <c r="C1765" s="12"/>
      <c r="D1765" s="12"/>
      <c r="E1765" s="12"/>
      <c r="F1765" s="12"/>
      <c r="G1765" s="12"/>
      <c r="H1765" s="12"/>
      <c r="I1765" s="12"/>
      <c r="J1765" s="12"/>
      <c r="S1765" s="12"/>
      <c r="T1765" s="12"/>
      <c r="U1765" s="16"/>
      <c r="V1765" s="16"/>
      <c r="W1765" s="12"/>
      <c r="Z1765" s="12"/>
      <c r="AA1765" s="16"/>
    </row>
    <row r="1766">
      <c r="A1766" s="8"/>
      <c r="C1766" s="12"/>
      <c r="D1766" s="12"/>
      <c r="E1766" s="12"/>
      <c r="F1766" s="12"/>
      <c r="G1766" s="12"/>
      <c r="H1766" s="12"/>
      <c r="I1766" s="12"/>
      <c r="J1766" s="12"/>
      <c r="S1766" s="12"/>
      <c r="T1766" s="12"/>
      <c r="U1766" s="16"/>
      <c r="V1766" s="16"/>
      <c r="W1766" s="12"/>
      <c r="Z1766" s="12"/>
      <c r="AA1766" s="16"/>
    </row>
    <row r="1767">
      <c r="A1767" s="8"/>
      <c r="C1767" s="12"/>
      <c r="D1767" s="12"/>
      <c r="E1767" s="12"/>
      <c r="F1767" s="12"/>
      <c r="G1767" s="12"/>
      <c r="H1767" s="12"/>
      <c r="I1767" s="12"/>
      <c r="J1767" s="12"/>
      <c r="S1767" s="12"/>
      <c r="T1767" s="12"/>
      <c r="U1767" s="16"/>
      <c r="V1767" s="16"/>
      <c r="W1767" s="12"/>
      <c r="Z1767" s="12"/>
      <c r="AA1767" s="16"/>
    </row>
    <row r="1768">
      <c r="A1768" s="8"/>
      <c r="C1768" s="12"/>
      <c r="D1768" s="12"/>
      <c r="E1768" s="12"/>
      <c r="F1768" s="12"/>
      <c r="G1768" s="12"/>
      <c r="H1768" s="12"/>
      <c r="I1768" s="12"/>
      <c r="J1768" s="12"/>
      <c r="S1768" s="12"/>
      <c r="T1768" s="12"/>
      <c r="U1768" s="16"/>
      <c r="V1768" s="16"/>
      <c r="W1768" s="12"/>
      <c r="Z1768" s="12"/>
      <c r="AA1768" s="16"/>
    </row>
    <row r="1769">
      <c r="A1769" s="8"/>
      <c r="C1769" s="12"/>
      <c r="D1769" s="12"/>
      <c r="E1769" s="12"/>
      <c r="F1769" s="12"/>
      <c r="G1769" s="12"/>
      <c r="H1769" s="12"/>
      <c r="I1769" s="12"/>
      <c r="J1769" s="12"/>
      <c r="S1769" s="12"/>
      <c r="T1769" s="12"/>
      <c r="U1769" s="16"/>
      <c r="V1769" s="16"/>
      <c r="W1769" s="12"/>
      <c r="Z1769" s="12"/>
      <c r="AA1769" s="16"/>
    </row>
    <row r="1770">
      <c r="A1770" s="8"/>
      <c r="C1770" s="12"/>
      <c r="D1770" s="12"/>
      <c r="E1770" s="12"/>
      <c r="F1770" s="12"/>
      <c r="G1770" s="12"/>
      <c r="H1770" s="12"/>
      <c r="I1770" s="12"/>
      <c r="J1770" s="12"/>
      <c r="S1770" s="12"/>
      <c r="T1770" s="12"/>
      <c r="U1770" s="16"/>
      <c r="V1770" s="16"/>
      <c r="W1770" s="12"/>
      <c r="Z1770" s="12"/>
      <c r="AA1770" s="16"/>
    </row>
    <row r="1771">
      <c r="A1771" s="8"/>
      <c r="C1771" s="12"/>
      <c r="D1771" s="12"/>
      <c r="E1771" s="12"/>
      <c r="F1771" s="12"/>
      <c r="G1771" s="12"/>
      <c r="H1771" s="12"/>
      <c r="I1771" s="12"/>
      <c r="J1771" s="12"/>
      <c r="S1771" s="12"/>
      <c r="T1771" s="12"/>
      <c r="U1771" s="16"/>
      <c r="V1771" s="16"/>
      <c r="W1771" s="12"/>
      <c r="Z1771" s="12"/>
      <c r="AA1771" s="16"/>
    </row>
    <row r="1772">
      <c r="A1772" s="8"/>
      <c r="C1772" s="12"/>
      <c r="D1772" s="12"/>
      <c r="E1772" s="12"/>
      <c r="F1772" s="12"/>
      <c r="G1772" s="12"/>
      <c r="H1772" s="12"/>
      <c r="I1772" s="12"/>
      <c r="J1772" s="12"/>
      <c r="S1772" s="12"/>
      <c r="T1772" s="12"/>
      <c r="U1772" s="16"/>
      <c r="V1772" s="16"/>
      <c r="W1772" s="12"/>
      <c r="Z1772" s="12"/>
      <c r="AA1772" s="16"/>
    </row>
    <row r="1773">
      <c r="A1773" s="8"/>
      <c r="C1773" s="12"/>
      <c r="D1773" s="12"/>
      <c r="E1773" s="12"/>
      <c r="F1773" s="12"/>
      <c r="G1773" s="12"/>
      <c r="H1773" s="12"/>
      <c r="I1773" s="12"/>
      <c r="J1773" s="12"/>
      <c r="S1773" s="12"/>
      <c r="T1773" s="12"/>
      <c r="U1773" s="16"/>
      <c r="V1773" s="16"/>
      <c r="W1773" s="12"/>
      <c r="Z1773" s="12"/>
      <c r="AA1773" s="16"/>
    </row>
    <row r="1774">
      <c r="A1774" s="8"/>
      <c r="C1774" s="12"/>
      <c r="D1774" s="12"/>
      <c r="E1774" s="12"/>
      <c r="F1774" s="12"/>
      <c r="G1774" s="12"/>
      <c r="H1774" s="12"/>
      <c r="I1774" s="12"/>
      <c r="J1774" s="12"/>
      <c r="S1774" s="12"/>
      <c r="T1774" s="12"/>
      <c r="U1774" s="16"/>
      <c r="V1774" s="16"/>
      <c r="W1774" s="12"/>
      <c r="Z1774" s="12"/>
      <c r="AA1774" s="16"/>
    </row>
    <row r="1775">
      <c r="A1775" s="8"/>
      <c r="C1775" s="12"/>
      <c r="D1775" s="12"/>
      <c r="E1775" s="12"/>
      <c r="F1775" s="12"/>
      <c r="G1775" s="12"/>
      <c r="H1775" s="12"/>
      <c r="I1775" s="12"/>
      <c r="J1775" s="12"/>
      <c r="S1775" s="12"/>
      <c r="T1775" s="12"/>
      <c r="U1775" s="16"/>
      <c r="V1775" s="16"/>
      <c r="W1775" s="12"/>
      <c r="Z1775" s="12"/>
      <c r="AA1775" s="16"/>
    </row>
    <row r="1776">
      <c r="A1776" s="8"/>
      <c r="C1776" s="12"/>
      <c r="D1776" s="12"/>
      <c r="E1776" s="12"/>
      <c r="F1776" s="12"/>
      <c r="G1776" s="12"/>
      <c r="H1776" s="12"/>
      <c r="I1776" s="12"/>
      <c r="J1776" s="12"/>
      <c r="S1776" s="12"/>
      <c r="T1776" s="12"/>
      <c r="U1776" s="16"/>
      <c r="V1776" s="16"/>
      <c r="W1776" s="12"/>
      <c r="Z1776" s="12"/>
      <c r="AA1776" s="16"/>
    </row>
    <row r="1777">
      <c r="A1777" s="8"/>
      <c r="C1777" s="12"/>
      <c r="D1777" s="12"/>
      <c r="E1777" s="12"/>
      <c r="F1777" s="12"/>
      <c r="G1777" s="12"/>
      <c r="H1777" s="12"/>
      <c r="I1777" s="12"/>
      <c r="J1777" s="12"/>
      <c r="S1777" s="12"/>
      <c r="T1777" s="12"/>
      <c r="U1777" s="16"/>
      <c r="V1777" s="16"/>
      <c r="W1777" s="12"/>
      <c r="Z1777" s="12"/>
      <c r="AA1777" s="16"/>
    </row>
    <row r="1778">
      <c r="A1778" s="8"/>
      <c r="C1778" s="12"/>
      <c r="D1778" s="12"/>
      <c r="E1778" s="12"/>
      <c r="F1778" s="12"/>
      <c r="G1778" s="12"/>
      <c r="H1778" s="12"/>
      <c r="I1778" s="12"/>
      <c r="J1778" s="12"/>
      <c r="S1778" s="12"/>
      <c r="T1778" s="12"/>
      <c r="U1778" s="16"/>
      <c r="V1778" s="16"/>
      <c r="W1778" s="12"/>
      <c r="Z1778" s="12"/>
      <c r="AA1778" s="16"/>
    </row>
    <row r="1779">
      <c r="A1779" s="8"/>
      <c r="C1779" s="12"/>
      <c r="D1779" s="12"/>
      <c r="E1779" s="12"/>
      <c r="F1779" s="12"/>
      <c r="G1779" s="12"/>
      <c r="H1779" s="12"/>
      <c r="I1779" s="12"/>
      <c r="J1779" s="12"/>
      <c r="S1779" s="12"/>
      <c r="T1779" s="12"/>
      <c r="U1779" s="16"/>
      <c r="V1779" s="16"/>
      <c r="W1779" s="12"/>
      <c r="Z1779" s="12"/>
      <c r="AA1779" s="16"/>
    </row>
    <row r="1780">
      <c r="A1780" s="8"/>
      <c r="C1780" s="12"/>
      <c r="D1780" s="12"/>
      <c r="E1780" s="12"/>
      <c r="F1780" s="12"/>
      <c r="G1780" s="12"/>
      <c r="H1780" s="12"/>
      <c r="I1780" s="12"/>
      <c r="J1780" s="12"/>
      <c r="S1780" s="12"/>
      <c r="T1780" s="12"/>
      <c r="U1780" s="16"/>
      <c r="V1780" s="16"/>
      <c r="W1780" s="12"/>
      <c r="Z1780" s="12"/>
      <c r="AA1780" s="16"/>
    </row>
    <row r="1781">
      <c r="A1781" s="8"/>
      <c r="C1781" s="12"/>
      <c r="D1781" s="12"/>
      <c r="E1781" s="12"/>
      <c r="F1781" s="12"/>
      <c r="G1781" s="12"/>
      <c r="H1781" s="12"/>
      <c r="I1781" s="12"/>
      <c r="J1781" s="12"/>
      <c r="S1781" s="12"/>
      <c r="T1781" s="12"/>
      <c r="U1781" s="16"/>
      <c r="V1781" s="16"/>
      <c r="W1781" s="12"/>
      <c r="Z1781" s="12"/>
      <c r="AA1781" s="16"/>
    </row>
    <row r="1782">
      <c r="A1782" s="8"/>
      <c r="C1782" s="12"/>
      <c r="D1782" s="12"/>
      <c r="E1782" s="12"/>
      <c r="F1782" s="12"/>
      <c r="G1782" s="12"/>
      <c r="H1782" s="12"/>
      <c r="I1782" s="12"/>
      <c r="J1782" s="12"/>
      <c r="S1782" s="12"/>
      <c r="T1782" s="12"/>
      <c r="U1782" s="16"/>
      <c r="V1782" s="16"/>
      <c r="W1782" s="12"/>
      <c r="Z1782" s="12"/>
      <c r="AA1782" s="16"/>
    </row>
    <row r="1783">
      <c r="A1783" s="8"/>
      <c r="C1783" s="12"/>
      <c r="D1783" s="12"/>
      <c r="E1783" s="12"/>
      <c r="F1783" s="12"/>
      <c r="G1783" s="12"/>
      <c r="H1783" s="12"/>
      <c r="I1783" s="12"/>
      <c r="J1783" s="12"/>
      <c r="S1783" s="12"/>
      <c r="T1783" s="12"/>
      <c r="U1783" s="16"/>
      <c r="V1783" s="16"/>
      <c r="W1783" s="12"/>
      <c r="Z1783" s="12"/>
      <c r="AA1783" s="16"/>
    </row>
    <row r="1784">
      <c r="A1784" s="8"/>
      <c r="C1784" s="12"/>
      <c r="D1784" s="12"/>
      <c r="E1784" s="12"/>
      <c r="F1784" s="12"/>
      <c r="G1784" s="12"/>
      <c r="H1784" s="12"/>
      <c r="I1784" s="12"/>
      <c r="J1784" s="12"/>
      <c r="S1784" s="12"/>
      <c r="T1784" s="12"/>
      <c r="U1784" s="16"/>
      <c r="V1784" s="16"/>
      <c r="W1784" s="12"/>
      <c r="Z1784" s="12"/>
      <c r="AA1784" s="16"/>
    </row>
    <row r="1785">
      <c r="A1785" s="8"/>
      <c r="C1785" s="12"/>
      <c r="D1785" s="12"/>
      <c r="E1785" s="12"/>
      <c r="F1785" s="12"/>
      <c r="G1785" s="12"/>
      <c r="H1785" s="12"/>
      <c r="I1785" s="12"/>
      <c r="J1785" s="12"/>
      <c r="S1785" s="12"/>
      <c r="T1785" s="12"/>
      <c r="U1785" s="16"/>
      <c r="V1785" s="16"/>
      <c r="W1785" s="12"/>
      <c r="Z1785" s="12"/>
      <c r="AA1785" s="16"/>
    </row>
    <row r="1786">
      <c r="A1786" s="8"/>
      <c r="C1786" s="12"/>
      <c r="D1786" s="12"/>
      <c r="E1786" s="12"/>
      <c r="F1786" s="12"/>
      <c r="G1786" s="12"/>
      <c r="H1786" s="12"/>
      <c r="I1786" s="12"/>
      <c r="J1786" s="12"/>
      <c r="S1786" s="12"/>
      <c r="T1786" s="12"/>
      <c r="U1786" s="16"/>
      <c r="V1786" s="16"/>
      <c r="W1786" s="12"/>
      <c r="Z1786" s="12"/>
      <c r="AA1786" s="16"/>
    </row>
    <row r="1787">
      <c r="A1787" s="8"/>
      <c r="C1787" s="12"/>
      <c r="D1787" s="12"/>
      <c r="E1787" s="12"/>
      <c r="F1787" s="12"/>
      <c r="G1787" s="12"/>
      <c r="H1787" s="12"/>
      <c r="I1787" s="12"/>
      <c r="J1787" s="12"/>
      <c r="S1787" s="12"/>
      <c r="T1787" s="12"/>
      <c r="U1787" s="16"/>
      <c r="V1787" s="16"/>
      <c r="W1787" s="12"/>
      <c r="Z1787" s="12"/>
      <c r="AA1787" s="16"/>
    </row>
    <row r="1788">
      <c r="A1788" s="8"/>
      <c r="C1788" s="12"/>
      <c r="D1788" s="12"/>
      <c r="E1788" s="12"/>
      <c r="F1788" s="12"/>
      <c r="G1788" s="12"/>
      <c r="H1788" s="12"/>
      <c r="I1788" s="12"/>
      <c r="J1788" s="12"/>
      <c r="S1788" s="12"/>
      <c r="T1788" s="12"/>
      <c r="U1788" s="16"/>
      <c r="V1788" s="16"/>
      <c r="W1788" s="12"/>
      <c r="Z1788" s="12"/>
      <c r="AA1788" s="16"/>
    </row>
    <row r="1789">
      <c r="A1789" s="8"/>
      <c r="C1789" s="12"/>
      <c r="D1789" s="12"/>
      <c r="E1789" s="12"/>
      <c r="F1789" s="12"/>
      <c r="G1789" s="12"/>
      <c r="H1789" s="12"/>
      <c r="I1789" s="12"/>
      <c r="J1789" s="12"/>
      <c r="S1789" s="12"/>
      <c r="T1789" s="12"/>
      <c r="U1789" s="16"/>
      <c r="V1789" s="16"/>
      <c r="W1789" s="12"/>
      <c r="Z1789" s="12"/>
      <c r="AA1789" s="16"/>
    </row>
    <row r="1790">
      <c r="A1790" s="8"/>
      <c r="C1790" s="12"/>
      <c r="D1790" s="12"/>
      <c r="E1790" s="12"/>
      <c r="F1790" s="12"/>
      <c r="G1790" s="12"/>
      <c r="H1790" s="12"/>
      <c r="I1790" s="12"/>
      <c r="J1790" s="12"/>
      <c r="S1790" s="12"/>
      <c r="T1790" s="12"/>
      <c r="U1790" s="16"/>
      <c r="V1790" s="16"/>
      <c r="W1790" s="12"/>
      <c r="Z1790" s="12"/>
      <c r="AA1790" s="16"/>
    </row>
    <row r="1791">
      <c r="A1791" s="8"/>
      <c r="C1791" s="12"/>
      <c r="D1791" s="12"/>
      <c r="E1791" s="12"/>
      <c r="F1791" s="12"/>
      <c r="G1791" s="12"/>
      <c r="H1791" s="12"/>
      <c r="I1791" s="12"/>
      <c r="J1791" s="12"/>
      <c r="S1791" s="12"/>
      <c r="T1791" s="12"/>
      <c r="U1791" s="16"/>
      <c r="V1791" s="16"/>
      <c r="W1791" s="12"/>
      <c r="Z1791" s="12"/>
      <c r="AA1791" s="16"/>
    </row>
    <row r="1792">
      <c r="A1792" s="8"/>
      <c r="C1792" s="12"/>
      <c r="D1792" s="12"/>
      <c r="E1792" s="12"/>
      <c r="F1792" s="12"/>
      <c r="G1792" s="12"/>
      <c r="H1792" s="12"/>
      <c r="I1792" s="12"/>
      <c r="J1792" s="12"/>
      <c r="S1792" s="12"/>
      <c r="T1792" s="12"/>
      <c r="U1792" s="16"/>
      <c r="V1792" s="16"/>
      <c r="W1792" s="12"/>
      <c r="Z1792" s="12"/>
      <c r="AA1792" s="16"/>
    </row>
    <row r="1793">
      <c r="A1793" s="8"/>
      <c r="C1793" s="12"/>
      <c r="D1793" s="12"/>
      <c r="E1793" s="12"/>
      <c r="F1793" s="12"/>
      <c r="G1793" s="12"/>
      <c r="H1793" s="12"/>
      <c r="I1793" s="12"/>
      <c r="J1793" s="12"/>
      <c r="S1793" s="12"/>
      <c r="T1793" s="12"/>
      <c r="U1793" s="16"/>
      <c r="V1793" s="16"/>
      <c r="W1793" s="12"/>
      <c r="Z1793" s="12"/>
      <c r="AA1793" s="16"/>
    </row>
    <row r="1794">
      <c r="A1794" s="8"/>
      <c r="C1794" s="12"/>
      <c r="D1794" s="12"/>
      <c r="E1794" s="12"/>
      <c r="F1794" s="12"/>
      <c r="G1794" s="12"/>
      <c r="H1794" s="12"/>
      <c r="I1794" s="12"/>
      <c r="J1794" s="12"/>
      <c r="S1794" s="12"/>
      <c r="T1794" s="12"/>
      <c r="U1794" s="16"/>
      <c r="V1794" s="16"/>
      <c r="W1794" s="12"/>
      <c r="Z1794" s="12"/>
      <c r="AA1794" s="16"/>
    </row>
    <row r="1795">
      <c r="A1795" s="8"/>
      <c r="C1795" s="12"/>
      <c r="D1795" s="12"/>
      <c r="E1795" s="12"/>
      <c r="F1795" s="12"/>
      <c r="G1795" s="12"/>
      <c r="H1795" s="12"/>
      <c r="I1795" s="12"/>
      <c r="J1795" s="12"/>
      <c r="S1795" s="12"/>
      <c r="T1795" s="12"/>
      <c r="U1795" s="16"/>
      <c r="V1795" s="16"/>
      <c r="W1795" s="12"/>
      <c r="Z1795" s="12"/>
      <c r="AA1795" s="16"/>
    </row>
    <row r="1796">
      <c r="A1796" s="8"/>
      <c r="C1796" s="12"/>
      <c r="D1796" s="12"/>
      <c r="E1796" s="12"/>
      <c r="F1796" s="12"/>
      <c r="G1796" s="12"/>
      <c r="H1796" s="12"/>
      <c r="I1796" s="12"/>
      <c r="J1796" s="12"/>
      <c r="S1796" s="12"/>
      <c r="T1796" s="12"/>
      <c r="U1796" s="16"/>
      <c r="V1796" s="16"/>
      <c r="W1796" s="12"/>
      <c r="Z1796" s="12"/>
      <c r="AA1796" s="16"/>
    </row>
    <row r="1797">
      <c r="A1797" s="8"/>
      <c r="C1797" s="12"/>
      <c r="D1797" s="12"/>
      <c r="E1797" s="12"/>
      <c r="F1797" s="12"/>
      <c r="G1797" s="12"/>
      <c r="H1797" s="12"/>
      <c r="I1797" s="12"/>
      <c r="J1797" s="12"/>
      <c r="S1797" s="12"/>
      <c r="T1797" s="12"/>
      <c r="U1797" s="16"/>
      <c r="V1797" s="16"/>
      <c r="W1797" s="12"/>
      <c r="Z1797" s="12"/>
      <c r="AA1797" s="16"/>
    </row>
    <row r="1798">
      <c r="A1798" s="8"/>
      <c r="C1798" s="12"/>
      <c r="D1798" s="12"/>
      <c r="E1798" s="12"/>
      <c r="F1798" s="12"/>
      <c r="G1798" s="12"/>
      <c r="H1798" s="12"/>
      <c r="I1798" s="12"/>
      <c r="J1798" s="12"/>
      <c r="S1798" s="12"/>
      <c r="T1798" s="12"/>
      <c r="U1798" s="16"/>
      <c r="V1798" s="16"/>
      <c r="W1798" s="12"/>
      <c r="Z1798" s="12"/>
      <c r="AA1798" s="16"/>
    </row>
    <row r="1799">
      <c r="A1799" s="8"/>
      <c r="C1799" s="12"/>
      <c r="D1799" s="12"/>
      <c r="E1799" s="12"/>
      <c r="F1799" s="12"/>
      <c r="G1799" s="12"/>
      <c r="H1799" s="12"/>
      <c r="I1799" s="12"/>
      <c r="J1799" s="12"/>
      <c r="S1799" s="12"/>
      <c r="T1799" s="12"/>
      <c r="U1799" s="16"/>
      <c r="V1799" s="16"/>
      <c r="W1799" s="12"/>
      <c r="Z1799" s="12"/>
      <c r="AA1799" s="16"/>
    </row>
    <row r="1800">
      <c r="A1800" s="8"/>
      <c r="C1800" s="12"/>
      <c r="D1800" s="12"/>
      <c r="E1800" s="12"/>
      <c r="F1800" s="12"/>
      <c r="G1800" s="12"/>
      <c r="H1800" s="12"/>
      <c r="I1800" s="12"/>
      <c r="J1800" s="12"/>
      <c r="S1800" s="12"/>
      <c r="T1800" s="12"/>
      <c r="U1800" s="16"/>
      <c r="V1800" s="16"/>
      <c r="W1800" s="12"/>
      <c r="Z1800" s="12"/>
      <c r="AA1800" s="16"/>
    </row>
    <row r="1801">
      <c r="A1801" s="8"/>
      <c r="C1801" s="12"/>
      <c r="D1801" s="12"/>
      <c r="E1801" s="12"/>
      <c r="F1801" s="12"/>
      <c r="G1801" s="12"/>
      <c r="H1801" s="12"/>
      <c r="I1801" s="12"/>
      <c r="J1801" s="12"/>
      <c r="S1801" s="12"/>
      <c r="T1801" s="12"/>
      <c r="U1801" s="16"/>
      <c r="V1801" s="16"/>
      <c r="W1801" s="12"/>
      <c r="Z1801" s="12"/>
      <c r="AA1801" s="16"/>
    </row>
    <row r="1802">
      <c r="A1802" s="8"/>
      <c r="C1802" s="12"/>
      <c r="D1802" s="12"/>
      <c r="E1802" s="12"/>
      <c r="F1802" s="12"/>
      <c r="G1802" s="12"/>
      <c r="H1802" s="12"/>
      <c r="I1802" s="12"/>
      <c r="J1802" s="12"/>
      <c r="S1802" s="12"/>
      <c r="T1802" s="12"/>
      <c r="U1802" s="16"/>
      <c r="V1802" s="16"/>
      <c r="W1802" s="12"/>
      <c r="Z1802" s="12"/>
      <c r="AA1802" s="16"/>
    </row>
    <row r="1803">
      <c r="A1803" s="8"/>
      <c r="C1803" s="12"/>
      <c r="D1803" s="12"/>
      <c r="E1803" s="12"/>
      <c r="F1803" s="12"/>
      <c r="G1803" s="12"/>
      <c r="H1803" s="12"/>
      <c r="I1803" s="12"/>
      <c r="J1803" s="12"/>
      <c r="S1803" s="12"/>
      <c r="T1803" s="12"/>
      <c r="U1803" s="16"/>
      <c r="V1803" s="16"/>
      <c r="W1803" s="12"/>
      <c r="Z1803" s="12"/>
      <c r="AA1803" s="16"/>
    </row>
    <row r="1804">
      <c r="A1804" s="8"/>
      <c r="C1804" s="12"/>
      <c r="D1804" s="12"/>
      <c r="E1804" s="12"/>
      <c r="F1804" s="12"/>
      <c r="G1804" s="12"/>
      <c r="H1804" s="12"/>
      <c r="I1804" s="12"/>
      <c r="J1804" s="12"/>
      <c r="S1804" s="12"/>
      <c r="T1804" s="12"/>
      <c r="U1804" s="16"/>
      <c r="V1804" s="16"/>
      <c r="W1804" s="12"/>
      <c r="Z1804" s="12"/>
      <c r="AA1804" s="16"/>
    </row>
    <row r="1805">
      <c r="A1805" s="8"/>
      <c r="C1805" s="12"/>
      <c r="D1805" s="12"/>
      <c r="E1805" s="12"/>
      <c r="F1805" s="12"/>
      <c r="G1805" s="12"/>
      <c r="H1805" s="12"/>
      <c r="I1805" s="12"/>
      <c r="J1805" s="12"/>
      <c r="S1805" s="12"/>
      <c r="T1805" s="12"/>
      <c r="U1805" s="16"/>
      <c r="V1805" s="16"/>
      <c r="W1805" s="12"/>
      <c r="Z1805" s="12"/>
      <c r="AA1805" s="16"/>
    </row>
    <row r="1806">
      <c r="A1806" s="8"/>
      <c r="C1806" s="12"/>
      <c r="D1806" s="12"/>
      <c r="E1806" s="12"/>
      <c r="F1806" s="12"/>
      <c r="G1806" s="12"/>
      <c r="H1806" s="12"/>
      <c r="I1806" s="12"/>
      <c r="J1806" s="12"/>
      <c r="S1806" s="12"/>
      <c r="T1806" s="12"/>
      <c r="U1806" s="16"/>
      <c r="V1806" s="16"/>
      <c r="W1806" s="12"/>
      <c r="Z1806" s="12"/>
      <c r="AA1806" s="16"/>
    </row>
    <row r="1807">
      <c r="A1807" s="8"/>
      <c r="C1807" s="12"/>
      <c r="D1807" s="12"/>
      <c r="E1807" s="12"/>
      <c r="F1807" s="12"/>
      <c r="G1807" s="12"/>
      <c r="H1807" s="12"/>
      <c r="I1807" s="12"/>
      <c r="J1807" s="12"/>
      <c r="S1807" s="12"/>
      <c r="T1807" s="12"/>
      <c r="U1807" s="16"/>
      <c r="V1807" s="16"/>
      <c r="W1807" s="12"/>
      <c r="Z1807" s="12"/>
      <c r="AA1807" s="16"/>
    </row>
    <row r="1808">
      <c r="A1808" s="8"/>
      <c r="C1808" s="12"/>
      <c r="D1808" s="12"/>
      <c r="E1808" s="12"/>
      <c r="F1808" s="12"/>
      <c r="G1808" s="12"/>
      <c r="H1808" s="12"/>
      <c r="I1808" s="12"/>
      <c r="J1808" s="12"/>
      <c r="S1808" s="12"/>
      <c r="T1808" s="12"/>
      <c r="U1808" s="16"/>
      <c r="V1808" s="16"/>
      <c r="W1808" s="12"/>
      <c r="Z1808" s="12"/>
      <c r="AA1808" s="16"/>
    </row>
    <row r="1809">
      <c r="A1809" s="8"/>
      <c r="C1809" s="12"/>
      <c r="D1809" s="12"/>
      <c r="E1809" s="12"/>
      <c r="F1809" s="12"/>
      <c r="G1809" s="12"/>
      <c r="H1809" s="12"/>
      <c r="I1809" s="12"/>
      <c r="J1809" s="12"/>
      <c r="S1809" s="12"/>
      <c r="T1809" s="12"/>
      <c r="U1809" s="16"/>
      <c r="V1809" s="16"/>
      <c r="W1809" s="12"/>
      <c r="Z1809" s="12"/>
      <c r="AA1809" s="16"/>
    </row>
    <row r="1810">
      <c r="A1810" s="8"/>
      <c r="C1810" s="12"/>
      <c r="D1810" s="12"/>
      <c r="E1810" s="12"/>
      <c r="F1810" s="12"/>
      <c r="G1810" s="12"/>
      <c r="H1810" s="12"/>
      <c r="I1810" s="12"/>
      <c r="J1810" s="12"/>
      <c r="S1810" s="12"/>
      <c r="T1810" s="12"/>
      <c r="U1810" s="16"/>
      <c r="V1810" s="16"/>
      <c r="W1810" s="12"/>
      <c r="Z1810" s="12"/>
      <c r="AA1810" s="16"/>
    </row>
    <row r="1811">
      <c r="A1811" s="8"/>
      <c r="C1811" s="12"/>
      <c r="D1811" s="12"/>
      <c r="E1811" s="12"/>
      <c r="F1811" s="12"/>
      <c r="G1811" s="12"/>
      <c r="H1811" s="12"/>
      <c r="I1811" s="12"/>
      <c r="J1811" s="12"/>
      <c r="S1811" s="12"/>
      <c r="T1811" s="12"/>
      <c r="U1811" s="16"/>
      <c r="V1811" s="16"/>
      <c r="W1811" s="12"/>
      <c r="Z1811" s="12"/>
      <c r="AA1811" s="16"/>
    </row>
    <row r="1812">
      <c r="A1812" s="8"/>
      <c r="C1812" s="12"/>
      <c r="D1812" s="12"/>
      <c r="E1812" s="12"/>
      <c r="F1812" s="12"/>
      <c r="G1812" s="12"/>
      <c r="H1812" s="12"/>
      <c r="I1812" s="12"/>
      <c r="J1812" s="12"/>
      <c r="S1812" s="12"/>
      <c r="T1812" s="12"/>
      <c r="U1812" s="16"/>
      <c r="V1812" s="16"/>
      <c r="W1812" s="12"/>
      <c r="Z1812" s="12"/>
      <c r="AA1812" s="16"/>
    </row>
    <row r="1813">
      <c r="A1813" s="8"/>
      <c r="C1813" s="12"/>
      <c r="D1813" s="12"/>
      <c r="E1813" s="12"/>
      <c r="F1813" s="12"/>
      <c r="G1813" s="12"/>
      <c r="H1813" s="12"/>
      <c r="I1813" s="12"/>
      <c r="J1813" s="12"/>
      <c r="S1813" s="12"/>
      <c r="T1813" s="12"/>
      <c r="U1813" s="16"/>
      <c r="V1813" s="16"/>
      <c r="W1813" s="12"/>
      <c r="Z1813" s="12"/>
      <c r="AA1813" s="16"/>
    </row>
    <row r="1814">
      <c r="A1814" s="8"/>
      <c r="C1814" s="12"/>
      <c r="D1814" s="12"/>
      <c r="E1814" s="12"/>
      <c r="F1814" s="12"/>
      <c r="G1814" s="12"/>
      <c r="H1814" s="12"/>
      <c r="I1814" s="12"/>
      <c r="J1814" s="12"/>
      <c r="S1814" s="12"/>
      <c r="T1814" s="12"/>
      <c r="U1814" s="16"/>
      <c r="V1814" s="16"/>
      <c r="W1814" s="12"/>
      <c r="Z1814" s="12"/>
      <c r="AA1814" s="16"/>
    </row>
    <row r="1815">
      <c r="A1815" s="8"/>
      <c r="C1815" s="12"/>
      <c r="D1815" s="12"/>
      <c r="E1815" s="12"/>
      <c r="F1815" s="12"/>
      <c r="G1815" s="12"/>
      <c r="H1815" s="12"/>
      <c r="I1815" s="12"/>
      <c r="J1815" s="12"/>
      <c r="S1815" s="12"/>
      <c r="T1815" s="12"/>
      <c r="U1815" s="16"/>
      <c r="V1815" s="16"/>
      <c r="W1815" s="12"/>
      <c r="Z1815" s="12"/>
      <c r="AA1815" s="16"/>
    </row>
    <row r="1816">
      <c r="A1816" s="8"/>
      <c r="C1816" s="12"/>
      <c r="D1816" s="12"/>
      <c r="E1816" s="12"/>
      <c r="F1816" s="12"/>
      <c r="G1816" s="12"/>
      <c r="H1816" s="12"/>
      <c r="I1816" s="12"/>
      <c r="J1816" s="12"/>
      <c r="S1816" s="12"/>
      <c r="T1816" s="12"/>
      <c r="U1816" s="16"/>
      <c r="V1816" s="16"/>
      <c r="W1816" s="12"/>
      <c r="Z1816" s="12"/>
      <c r="AA1816" s="16"/>
    </row>
    <row r="1817">
      <c r="A1817" s="8"/>
      <c r="C1817" s="12"/>
      <c r="D1817" s="12"/>
      <c r="E1817" s="12"/>
      <c r="F1817" s="12"/>
      <c r="G1817" s="12"/>
      <c r="H1817" s="12"/>
      <c r="I1817" s="12"/>
      <c r="J1817" s="12"/>
      <c r="S1817" s="12"/>
      <c r="T1817" s="12"/>
      <c r="U1817" s="16"/>
      <c r="V1817" s="16"/>
      <c r="W1817" s="12"/>
      <c r="Z1817" s="12"/>
      <c r="AA1817" s="16"/>
    </row>
    <row r="1818">
      <c r="A1818" s="8"/>
      <c r="C1818" s="12"/>
      <c r="D1818" s="12"/>
      <c r="E1818" s="12"/>
      <c r="F1818" s="12"/>
      <c r="G1818" s="12"/>
      <c r="H1818" s="12"/>
      <c r="I1818" s="12"/>
      <c r="J1818" s="12"/>
      <c r="S1818" s="12"/>
      <c r="T1818" s="12"/>
      <c r="U1818" s="16"/>
      <c r="V1818" s="16"/>
      <c r="W1818" s="12"/>
      <c r="Z1818" s="12"/>
      <c r="AA1818" s="16"/>
    </row>
    <row r="1819">
      <c r="A1819" s="8"/>
      <c r="C1819" s="12"/>
      <c r="D1819" s="12"/>
      <c r="E1819" s="12"/>
      <c r="F1819" s="12"/>
      <c r="G1819" s="12"/>
      <c r="H1819" s="12"/>
      <c r="I1819" s="12"/>
      <c r="J1819" s="12"/>
      <c r="S1819" s="12"/>
      <c r="T1819" s="12"/>
      <c r="U1819" s="16"/>
      <c r="V1819" s="16"/>
      <c r="W1819" s="12"/>
      <c r="Z1819" s="12"/>
      <c r="AA1819" s="16"/>
    </row>
    <row r="1820">
      <c r="A1820" s="8"/>
      <c r="C1820" s="12"/>
      <c r="D1820" s="12"/>
      <c r="E1820" s="12"/>
      <c r="F1820" s="12"/>
      <c r="G1820" s="12"/>
      <c r="H1820" s="12"/>
      <c r="I1820" s="12"/>
      <c r="J1820" s="12"/>
      <c r="S1820" s="12"/>
      <c r="T1820" s="12"/>
      <c r="U1820" s="16"/>
      <c r="V1820" s="16"/>
      <c r="W1820" s="12"/>
      <c r="Z1820" s="12"/>
      <c r="AA1820" s="16"/>
    </row>
    <row r="1821">
      <c r="A1821" s="8"/>
      <c r="C1821" s="12"/>
      <c r="D1821" s="12"/>
      <c r="E1821" s="12"/>
      <c r="F1821" s="12"/>
      <c r="G1821" s="12"/>
      <c r="H1821" s="12"/>
      <c r="I1821" s="12"/>
      <c r="J1821" s="12"/>
      <c r="S1821" s="12"/>
      <c r="T1821" s="12"/>
      <c r="U1821" s="16"/>
      <c r="V1821" s="16"/>
      <c r="W1821" s="12"/>
      <c r="Z1821" s="12"/>
      <c r="AA1821" s="16"/>
    </row>
    <row r="1822">
      <c r="A1822" s="8"/>
      <c r="C1822" s="12"/>
      <c r="D1822" s="12"/>
      <c r="E1822" s="12"/>
      <c r="F1822" s="12"/>
      <c r="G1822" s="12"/>
      <c r="H1822" s="12"/>
      <c r="I1822" s="12"/>
      <c r="J1822" s="12"/>
      <c r="S1822" s="12"/>
      <c r="T1822" s="12"/>
      <c r="U1822" s="16"/>
      <c r="V1822" s="16"/>
      <c r="W1822" s="12"/>
      <c r="Z1822" s="12"/>
      <c r="AA1822" s="16"/>
    </row>
    <row r="1823">
      <c r="A1823" s="8"/>
      <c r="C1823" s="12"/>
      <c r="D1823" s="12"/>
      <c r="E1823" s="12"/>
      <c r="F1823" s="12"/>
      <c r="G1823" s="12"/>
      <c r="H1823" s="12"/>
      <c r="I1823" s="12"/>
      <c r="J1823" s="12"/>
      <c r="S1823" s="12"/>
      <c r="T1823" s="12"/>
      <c r="U1823" s="16"/>
      <c r="V1823" s="16"/>
      <c r="W1823" s="12"/>
      <c r="Z1823" s="12"/>
      <c r="AA1823" s="16"/>
    </row>
    <row r="1824">
      <c r="A1824" s="8"/>
      <c r="C1824" s="12"/>
      <c r="D1824" s="12"/>
      <c r="E1824" s="12"/>
      <c r="F1824" s="12"/>
      <c r="G1824" s="12"/>
      <c r="H1824" s="12"/>
      <c r="I1824" s="12"/>
      <c r="J1824" s="12"/>
      <c r="S1824" s="12"/>
      <c r="T1824" s="12"/>
      <c r="U1824" s="16"/>
      <c r="V1824" s="16"/>
      <c r="W1824" s="12"/>
      <c r="Z1824" s="12"/>
      <c r="AA1824" s="16"/>
    </row>
    <row r="1825">
      <c r="A1825" s="8"/>
      <c r="C1825" s="12"/>
      <c r="D1825" s="12"/>
      <c r="E1825" s="12"/>
      <c r="F1825" s="12"/>
      <c r="G1825" s="12"/>
      <c r="H1825" s="12"/>
      <c r="I1825" s="12"/>
      <c r="J1825" s="12"/>
      <c r="S1825" s="12"/>
      <c r="T1825" s="12"/>
      <c r="U1825" s="16"/>
      <c r="V1825" s="16"/>
      <c r="W1825" s="12"/>
      <c r="Z1825" s="12"/>
      <c r="AA1825" s="16"/>
    </row>
    <row r="1826">
      <c r="A1826" s="8"/>
      <c r="C1826" s="12"/>
      <c r="D1826" s="12"/>
      <c r="E1826" s="12"/>
      <c r="F1826" s="12"/>
      <c r="G1826" s="12"/>
      <c r="H1826" s="12"/>
      <c r="I1826" s="12"/>
      <c r="J1826" s="12"/>
      <c r="S1826" s="12"/>
      <c r="T1826" s="12"/>
      <c r="U1826" s="16"/>
      <c r="V1826" s="16"/>
      <c r="W1826" s="12"/>
      <c r="Z1826" s="12"/>
      <c r="AA1826" s="16"/>
    </row>
    <row r="1827">
      <c r="A1827" s="8"/>
      <c r="C1827" s="12"/>
      <c r="D1827" s="12"/>
      <c r="E1827" s="12"/>
      <c r="F1827" s="12"/>
      <c r="G1827" s="12"/>
      <c r="H1827" s="12"/>
      <c r="I1827" s="12"/>
      <c r="J1827" s="12"/>
      <c r="S1827" s="12"/>
      <c r="T1827" s="12"/>
      <c r="U1827" s="16"/>
      <c r="V1827" s="16"/>
      <c r="W1827" s="12"/>
      <c r="Z1827" s="12"/>
      <c r="AA1827" s="16"/>
    </row>
    <row r="1828">
      <c r="A1828" s="8"/>
      <c r="C1828" s="12"/>
      <c r="D1828" s="12"/>
      <c r="E1828" s="12"/>
      <c r="F1828" s="12"/>
      <c r="G1828" s="12"/>
      <c r="H1828" s="12"/>
      <c r="I1828" s="12"/>
      <c r="J1828" s="12"/>
      <c r="S1828" s="12"/>
      <c r="T1828" s="12"/>
      <c r="U1828" s="16"/>
      <c r="V1828" s="16"/>
      <c r="W1828" s="12"/>
      <c r="Z1828" s="12"/>
      <c r="AA1828" s="16"/>
    </row>
    <row r="1829">
      <c r="A1829" s="8"/>
      <c r="C1829" s="12"/>
      <c r="D1829" s="12"/>
      <c r="E1829" s="12"/>
      <c r="F1829" s="12"/>
      <c r="G1829" s="12"/>
      <c r="H1829" s="12"/>
      <c r="I1829" s="12"/>
      <c r="J1829" s="12"/>
      <c r="S1829" s="12"/>
      <c r="T1829" s="12"/>
      <c r="U1829" s="16"/>
      <c r="V1829" s="16"/>
      <c r="W1829" s="12"/>
      <c r="Z1829" s="12"/>
      <c r="AA1829" s="16"/>
    </row>
    <row r="1830">
      <c r="A1830" s="8"/>
      <c r="C1830" s="12"/>
      <c r="D1830" s="12"/>
      <c r="E1830" s="12"/>
      <c r="F1830" s="12"/>
      <c r="G1830" s="12"/>
      <c r="H1830" s="12"/>
      <c r="I1830" s="12"/>
      <c r="J1830" s="12"/>
      <c r="S1830" s="12"/>
      <c r="T1830" s="12"/>
      <c r="U1830" s="16"/>
      <c r="V1830" s="16"/>
      <c r="W1830" s="12"/>
      <c r="Z1830" s="12"/>
      <c r="AA1830" s="16"/>
    </row>
    <row r="1831">
      <c r="A1831" s="8"/>
      <c r="C1831" s="12"/>
      <c r="D1831" s="12"/>
      <c r="E1831" s="12"/>
      <c r="F1831" s="12"/>
      <c r="G1831" s="12"/>
      <c r="H1831" s="12"/>
      <c r="I1831" s="12"/>
      <c r="J1831" s="12"/>
      <c r="S1831" s="12"/>
      <c r="T1831" s="12"/>
      <c r="U1831" s="16"/>
      <c r="V1831" s="16"/>
      <c r="W1831" s="12"/>
      <c r="Z1831" s="12"/>
      <c r="AA1831" s="16"/>
    </row>
    <row r="1832">
      <c r="A1832" s="8"/>
      <c r="C1832" s="12"/>
      <c r="D1832" s="12"/>
      <c r="E1832" s="12"/>
      <c r="F1832" s="12"/>
      <c r="G1832" s="12"/>
      <c r="H1832" s="12"/>
      <c r="I1832" s="12"/>
      <c r="J1832" s="12"/>
      <c r="S1832" s="12"/>
      <c r="T1832" s="12"/>
      <c r="U1832" s="16"/>
      <c r="V1832" s="16"/>
      <c r="W1832" s="12"/>
      <c r="Z1832" s="12"/>
      <c r="AA1832" s="16"/>
    </row>
    <row r="1833">
      <c r="A1833" s="8"/>
      <c r="C1833" s="12"/>
      <c r="D1833" s="12"/>
      <c r="E1833" s="12"/>
      <c r="F1833" s="12"/>
      <c r="G1833" s="12"/>
      <c r="H1833" s="12"/>
      <c r="I1833" s="12"/>
      <c r="J1833" s="12"/>
      <c r="S1833" s="12"/>
      <c r="T1833" s="12"/>
      <c r="U1833" s="16"/>
      <c r="V1833" s="16"/>
      <c r="W1833" s="12"/>
      <c r="Z1833" s="12"/>
      <c r="AA1833" s="16"/>
    </row>
    <row r="1834">
      <c r="A1834" s="8"/>
      <c r="C1834" s="12"/>
      <c r="D1834" s="12"/>
      <c r="E1834" s="12"/>
      <c r="F1834" s="12"/>
      <c r="G1834" s="12"/>
      <c r="H1834" s="12"/>
      <c r="I1834" s="12"/>
      <c r="J1834" s="12"/>
      <c r="S1834" s="12"/>
      <c r="T1834" s="12"/>
      <c r="U1834" s="16"/>
      <c r="V1834" s="16"/>
      <c r="W1834" s="12"/>
      <c r="Z1834" s="12"/>
      <c r="AA1834" s="16"/>
    </row>
    <row r="1835">
      <c r="A1835" s="8"/>
      <c r="C1835" s="12"/>
      <c r="D1835" s="12"/>
      <c r="E1835" s="12"/>
      <c r="F1835" s="12"/>
      <c r="G1835" s="12"/>
      <c r="H1835" s="12"/>
      <c r="I1835" s="12"/>
      <c r="J1835" s="12"/>
      <c r="S1835" s="12"/>
      <c r="T1835" s="12"/>
      <c r="U1835" s="16"/>
      <c r="V1835" s="16"/>
      <c r="W1835" s="12"/>
      <c r="Z1835" s="12"/>
      <c r="AA1835" s="16"/>
    </row>
    <row r="1836">
      <c r="A1836" s="8"/>
      <c r="C1836" s="12"/>
      <c r="D1836" s="12"/>
      <c r="E1836" s="12"/>
      <c r="F1836" s="12"/>
      <c r="G1836" s="12"/>
      <c r="H1836" s="12"/>
      <c r="I1836" s="12"/>
      <c r="J1836" s="12"/>
      <c r="S1836" s="12"/>
      <c r="T1836" s="12"/>
      <c r="U1836" s="16"/>
      <c r="V1836" s="16"/>
      <c r="W1836" s="12"/>
      <c r="Z1836" s="12"/>
      <c r="AA1836" s="16"/>
    </row>
    <row r="1837">
      <c r="A1837" s="8"/>
      <c r="C1837" s="12"/>
      <c r="D1837" s="12"/>
      <c r="E1837" s="12"/>
      <c r="F1837" s="12"/>
      <c r="G1837" s="12"/>
      <c r="H1837" s="12"/>
      <c r="I1837" s="12"/>
      <c r="J1837" s="12"/>
      <c r="S1837" s="12"/>
      <c r="T1837" s="12"/>
      <c r="U1837" s="16"/>
      <c r="V1837" s="16"/>
      <c r="W1837" s="12"/>
      <c r="Z1837" s="12"/>
      <c r="AA1837" s="16"/>
    </row>
    <row r="1838">
      <c r="A1838" s="8"/>
      <c r="C1838" s="12"/>
      <c r="D1838" s="12"/>
      <c r="E1838" s="12"/>
      <c r="F1838" s="12"/>
      <c r="G1838" s="12"/>
      <c r="H1838" s="12"/>
      <c r="I1838" s="12"/>
      <c r="J1838" s="12"/>
      <c r="S1838" s="12"/>
      <c r="T1838" s="12"/>
      <c r="U1838" s="16"/>
      <c r="V1838" s="16"/>
      <c r="W1838" s="12"/>
      <c r="Z1838" s="12"/>
      <c r="AA1838" s="16"/>
    </row>
    <row r="1839">
      <c r="A1839" s="8"/>
      <c r="C1839" s="12"/>
      <c r="D1839" s="12"/>
      <c r="E1839" s="12"/>
      <c r="F1839" s="12"/>
      <c r="G1839" s="12"/>
      <c r="H1839" s="12"/>
      <c r="I1839" s="12"/>
      <c r="J1839" s="12"/>
      <c r="S1839" s="12"/>
      <c r="T1839" s="12"/>
      <c r="U1839" s="16"/>
      <c r="V1839" s="16"/>
      <c r="W1839" s="12"/>
      <c r="Z1839" s="12"/>
      <c r="AA1839" s="16"/>
    </row>
    <row r="1840">
      <c r="A1840" s="8"/>
      <c r="C1840" s="12"/>
      <c r="D1840" s="12"/>
      <c r="E1840" s="12"/>
      <c r="F1840" s="12"/>
      <c r="G1840" s="12"/>
      <c r="H1840" s="12"/>
      <c r="I1840" s="12"/>
      <c r="J1840" s="12"/>
      <c r="S1840" s="12"/>
      <c r="T1840" s="12"/>
      <c r="U1840" s="16"/>
      <c r="V1840" s="16"/>
      <c r="W1840" s="12"/>
      <c r="Z1840" s="12"/>
      <c r="AA1840" s="16"/>
    </row>
    <row r="1841">
      <c r="A1841" s="8"/>
      <c r="C1841" s="12"/>
      <c r="D1841" s="12"/>
      <c r="E1841" s="12"/>
      <c r="F1841" s="12"/>
      <c r="G1841" s="12"/>
      <c r="H1841" s="12"/>
      <c r="I1841" s="12"/>
      <c r="J1841" s="12"/>
      <c r="S1841" s="12"/>
      <c r="T1841" s="12"/>
      <c r="U1841" s="16"/>
      <c r="V1841" s="16"/>
      <c r="W1841" s="12"/>
      <c r="Z1841" s="12"/>
      <c r="AA1841" s="16"/>
    </row>
    <row r="1842">
      <c r="A1842" s="8"/>
      <c r="C1842" s="12"/>
      <c r="D1842" s="12"/>
      <c r="E1842" s="12"/>
      <c r="F1842" s="12"/>
      <c r="G1842" s="12"/>
      <c r="H1842" s="12"/>
      <c r="I1842" s="12"/>
      <c r="J1842" s="12"/>
      <c r="S1842" s="12"/>
      <c r="T1842" s="12"/>
      <c r="U1842" s="16"/>
      <c r="V1842" s="16"/>
      <c r="W1842" s="12"/>
      <c r="Z1842" s="12"/>
      <c r="AA1842" s="16"/>
    </row>
    <row r="1843">
      <c r="A1843" s="8"/>
      <c r="C1843" s="12"/>
      <c r="D1843" s="12"/>
      <c r="E1843" s="12"/>
      <c r="F1843" s="12"/>
      <c r="G1843" s="12"/>
      <c r="H1843" s="12"/>
      <c r="I1843" s="12"/>
      <c r="J1843" s="12"/>
      <c r="S1843" s="12"/>
      <c r="T1843" s="12"/>
      <c r="U1843" s="16"/>
      <c r="V1843" s="16"/>
      <c r="W1843" s="12"/>
      <c r="Z1843" s="12"/>
      <c r="AA1843" s="16"/>
    </row>
    <row r="1844">
      <c r="A1844" s="8"/>
      <c r="C1844" s="12"/>
      <c r="D1844" s="12"/>
      <c r="E1844" s="12"/>
      <c r="F1844" s="12"/>
      <c r="G1844" s="12"/>
      <c r="H1844" s="12"/>
      <c r="I1844" s="12"/>
      <c r="J1844" s="12"/>
      <c r="S1844" s="12"/>
      <c r="T1844" s="12"/>
      <c r="U1844" s="16"/>
      <c r="V1844" s="16"/>
      <c r="W1844" s="12"/>
      <c r="Z1844" s="12"/>
      <c r="AA1844" s="16"/>
    </row>
    <row r="1845">
      <c r="A1845" s="8"/>
      <c r="C1845" s="12"/>
      <c r="D1845" s="12"/>
      <c r="E1845" s="12"/>
      <c r="F1845" s="12"/>
      <c r="G1845" s="12"/>
      <c r="H1845" s="12"/>
      <c r="I1845" s="12"/>
      <c r="J1845" s="12"/>
      <c r="S1845" s="12"/>
      <c r="T1845" s="12"/>
      <c r="U1845" s="16"/>
      <c r="V1845" s="16"/>
      <c r="W1845" s="12"/>
      <c r="Z1845" s="12"/>
      <c r="AA1845" s="16"/>
    </row>
    <row r="1846">
      <c r="A1846" s="8"/>
      <c r="C1846" s="12"/>
      <c r="D1846" s="12"/>
      <c r="E1846" s="12"/>
      <c r="F1846" s="12"/>
      <c r="G1846" s="12"/>
      <c r="H1846" s="12"/>
      <c r="I1846" s="12"/>
      <c r="J1846" s="12"/>
      <c r="S1846" s="12"/>
      <c r="T1846" s="12"/>
      <c r="U1846" s="16"/>
      <c r="V1846" s="16"/>
      <c r="W1846" s="12"/>
      <c r="Z1846" s="12"/>
      <c r="AA1846" s="16"/>
    </row>
    <row r="1847">
      <c r="A1847" s="8"/>
      <c r="C1847" s="12"/>
      <c r="D1847" s="12"/>
      <c r="E1847" s="12"/>
      <c r="F1847" s="12"/>
      <c r="G1847" s="12"/>
      <c r="H1847" s="12"/>
      <c r="I1847" s="12"/>
      <c r="J1847" s="12"/>
      <c r="S1847" s="12"/>
      <c r="T1847" s="12"/>
      <c r="U1847" s="16"/>
      <c r="V1847" s="16"/>
      <c r="W1847" s="12"/>
      <c r="Z1847" s="12"/>
      <c r="AA1847" s="16"/>
    </row>
    <row r="1848">
      <c r="A1848" s="8"/>
      <c r="C1848" s="12"/>
      <c r="D1848" s="12"/>
      <c r="E1848" s="12"/>
      <c r="F1848" s="12"/>
      <c r="G1848" s="12"/>
      <c r="H1848" s="12"/>
      <c r="I1848" s="12"/>
      <c r="J1848" s="12"/>
      <c r="S1848" s="12"/>
      <c r="T1848" s="12"/>
      <c r="U1848" s="16"/>
      <c r="V1848" s="16"/>
      <c r="W1848" s="12"/>
      <c r="Z1848" s="12"/>
      <c r="AA1848" s="16"/>
    </row>
    <row r="1849">
      <c r="A1849" s="8"/>
      <c r="C1849" s="12"/>
      <c r="D1849" s="12"/>
      <c r="E1849" s="12"/>
      <c r="F1849" s="12"/>
      <c r="G1849" s="12"/>
      <c r="H1849" s="12"/>
      <c r="I1849" s="12"/>
      <c r="J1849" s="12"/>
      <c r="S1849" s="12"/>
      <c r="T1849" s="12"/>
      <c r="U1849" s="16"/>
      <c r="V1849" s="16"/>
      <c r="W1849" s="12"/>
      <c r="Z1849" s="12"/>
      <c r="AA1849" s="16"/>
    </row>
    <row r="1850">
      <c r="A1850" s="8"/>
      <c r="C1850" s="12"/>
      <c r="D1850" s="12"/>
      <c r="E1850" s="12"/>
      <c r="F1850" s="12"/>
      <c r="G1850" s="12"/>
      <c r="H1850" s="12"/>
      <c r="I1850" s="12"/>
      <c r="J1850" s="12"/>
      <c r="S1850" s="12"/>
      <c r="T1850" s="12"/>
      <c r="U1850" s="16"/>
      <c r="V1850" s="16"/>
      <c r="W1850" s="12"/>
      <c r="Z1850" s="12"/>
      <c r="AA1850" s="16"/>
    </row>
    <row r="1851">
      <c r="A1851" s="8"/>
      <c r="C1851" s="12"/>
      <c r="D1851" s="12"/>
      <c r="E1851" s="12"/>
      <c r="F1851" s="12"/>
      <c r="G1851" s="12"/>
      <c r="H1851" s="12"/>
      <c r="I1851" s="12"/>
      <c r="J1851" s="12"/>
      <c r="S1851" s="12"/>
      <c r="T1851" s="12"/>
      <c r="U1851" s="16"/>
      <c r="V1851" s="16"/>
      <c r="W1851" s="12"/>
      <c r="Z1851" s="12"/>
      <c r="AA1851" s="16"/>
    </row>
    <row r="1852">
      <c r="A1852" s="8"/>
      <c r="C1852" s="12"/>
      <c r="D1852" s="12"/>
      <c r="E1852" s="12"/>
      <c r="F1852" s="12"/>
      <c r="G1852" s="12"/>
      <c r="H1852" s="12"/>
      <c r="I1852" s="12"/>
      <c r="J1852" s="12"/>
      <c r="S1852" s="12"/>
      <c r="T1852" s="12"/>
      <c r="U1852" s="16"/>
      <c r="V1852" s="16"/>
      <c r="W1852" s="12"/>
      <c r="Z1852" s="12"/>
      <c r="AA1852" s="16"/>
    </row>
    <row r="1853">
      <c r="A1853" s="8"/>
      <c r="C1853" s="12"/>
      <c r="D1853" s="12"/>
      <c r="E1853" s="12"/>
      <c r="F1853" s="12"/>
      <c r="G1853" s="12"/>
      <c r="H1853" s="12"/>
      <c r="I1853" s="12"/>
      <c r="J1853" s="12"/>
      <c r="S1853" s="12"/>
      <c r="T1853" s="12"/>
      <c r="U1853" s="16"/>
      <c r="V1853" s="16"/>
      <c r="W1853" s="12"/>
      <c r="Z1853" s="12"/>
      <c r="AA1853" s="16"/>
    </row>
    <row r="1854">
      <c r="A1854" s="8"/>
      <c r="C1854" s="12"/>
      <c r="D1854" s="12"/>
      <c r="E1854" s="12"/>
      <c r="F1854" s="12"/>
      <c r="G1854" s="12"/>
      <c r="H1854" s="12"/>
      <c r="I1854" s="12"/>
      <c r="J1854" s="12"/>
      <c r="S1854" s="12"/>
      <c r="T1854" s="12"/>
      <c r="U1854" s="16"/>
      <c r="V1854" s="16"/>
      <c r="W1854" s="12"/>
      <c r="Z1854" s="12"/>
      <c r="AA1854" s="16"/>
    </row>
    <row r="1855">
      <c r="A1855" s="8"/>
      <c r="C1855" s="12"/>
      <c r="D1855" s="12"/>
      <c r="E1855" s="12"/>
      <c r="F1855" s="12"/>
      <c r="G1855" s="12"/>
      <c r="H1855" s="12"/>
      <c r="I1855" s="12"/>
      <c r="J1855" s="12"/>
      <c r="S1855" s="12"/>
      <c r="T1855" s="12"/>
      <c r="U1855" s="16"/>
      <c r="V1855" s="16"/>
      <c r="W1855" s="12"/>
      <c r="Z1855" s="12"/>
      <c r="AA1855" s="16"/>
    </row>
    <row r="1856">
      <c r="A1856" s="8"/>
      <c r="C1856" s="12"/>
      <c r="D1856" s="12"/>
      <c r="E1856" s="12"/>
      <c r="F1856" s="12"/>
      <c r="G1856" s="12"/>
      <c r="H1856" s="12"/>
      <c r="I1856" s="12"/>
      <c r="J1856" s="12"/>
      <c r="S1856" s="12"/>
      <c r="T1856" s="12"/>
      <c r="U1856" s="16"/>
      <c r="V1856" s="16"/>
      <c r="W1856" s="12"/>
      <c r="Z1856" s="12"/>
      <c r="AA1856" s="16"/>
    </row>
    <row r="1857">
      <c r="A1857" s="8"/>
      <c r="C1857" s="12"/>
      <c r="D1857" s="12"/>
      <c r="E1857" s="12"/>
      <c r="F1857" s="12"/>
      <c r="G1857" s="12"/>
      <c r="H1857" s="12"/>
      <c r="I1857" s="12"/>
      <c r="J1857" s="12"/>
      <c r="S1857" s="12"/>
      <c r="T1857" s="12"/>
      <c r="U1857" s="16"/>
      <c r="V1857" s="16"/>
      <c r="W1857" s="12"/>
      <c r="Z1857" s="12"/>
      <c r="AA1857" s="16"/>
    </row>
    <row r="1858">
      <c r="A1858" s="8"/>
      <c r="C1858" s="12"/>
      <c r="D1858" s="12"/>
      <c r="E1858" s="12"/>
      <c r="F1858" s="12"/>
      <c r="G1858" s="12"/>
      <c r="H1858" s="12"/>
      <c r="I1858" s="12"/>
      <c r="J1858" s="12"/>
      <c r="S1858" s="12"/>
      <c r="T1858" s="12"/>
      <c r="U1858" s="16"/>
      <c r="V1858" s="16"/>
      <c r="W1858" s="12"/>
      <c r="Z1858" s="12"/>
      <c r="AA1858" s="16"/>
    </row>
    <row r="1859">
      <c r="A1859" s="8"/>
      <c r="C1859" s="12"/>
      <c r="D1859" s="12"/>
      <c r="E1859" s="12"/>
      <c r="F1859" s="12"/>
      <c r="G1859" s="12"/>
      <c r="H1859" s="12"/>
      <c r="I1859" s="12"/>
      <c r="J1859" s="12"/>
      <c r="S1859" s="12"/>
      <c r="T1859" s="12"/>
      <c r="U1859" s="16"/>
      <c r="V1859" s="16"/>
      <c r="W1859" s="12"/>
      <c r="Z1859" s="12"/>
      <c r="AA1859" s="16"/>
    </row>
    <row r="1860">
      <c r="A1860" s="8"/>
      <c r="C1860" s="12"/>
      <c r="D1860" s="12"/>
      <c r="E1860" s="12"/>
      <c r="F1860" s="12"/>
      <c r="G1860" s="12"/>
      <c r="H1860" s="12"/>
      <c r="I1860" s="12"/>
      <c r="J1860" s="12"/>
      <c r="S1860" s="12"/>
      <c r="T1860" s="12"/>
      <c r="U1860" s="16"/>
      <c r="V1860" s="16"/>
      <c r="W1860" s="12"/>
      <c r="Z1860" s="12"/>
      <c r="AA1860" s="16"/>
    </row>
    <row r="1861">
      <c r="A1861" s="8"/>
      <c r="C1861" s="12"/>
      <c r="D1861" s="12"/>
      <c r="E1861" s="12"/>
      <c r="F1861" s="12"/>
      <c r="G1861" s="12"/>
      <c r="H1861" s="12"/>
      <c r="I1861" s="12"/>
      <c r="J1861" s="12"/>
      <c r="S1861" s="12"/>
      <c r="T1861" s="12"/>
      <c r="U1861" s="16"/>
      <c r="V1861" s="16"/>
      <c r="W1861" s="12"/>
      <c r="Z1861" s="12"/>
      <c r="AA1861" s="16"/>
    </row>
    <row r="1862">
      <c r="A1862" s="8"/>
      <c r="C1862" s="12"/>
      <c r="D1862" s="12"/>
      <c r="E1862" s="12"/>
      <c r="F1862" s="12"/>
      <c r="G1862" s="12"/>
      <c r="H1862" s="12"/>
      <c r="I1862" s="12"/>
      <c r="J1862" s="12"/>
      <c r="S1862" s="12"/>
      <c r="T1862" s="12"/>
      <c r="U1862" s="16"/>
      <c r="V1862" s="16"/>
      <c r="W1862" s="12"/>
      <c r="Z1862" s="12"/>
      <c r="AA1862" s="16"/>
    </row>
    <row r="1863">
      <c r="A1863" s="8"/>
      <c r="C1863" s="12"/>
      <c r="D1863" s="12"/>
      <c r="E1863" s="12"/>
      <c r="F1863" s="12"/>
      <c r="G1863" s="12"/>
      <c r="H1863" s="12"/>
      <c r="I1863" s="12"/>
      <c r="J1863" s="12"/>
      <c r="S1863" s="12"/>
      <c r="T1863" s="12"/>
      <c r="U1863" s="16"/>
      <c r="V1863" s="16"/>
      <c r="W1863" s="12"/>
      <c r="Z1863" s="12"/>
      <c r="AA1863" s="16"/>
    </row>
    <row r="1864">
      <c r="A1864" s="8"/>
      <c r="C1864" s="12"/>
      <c r="D1864" s="12"/>
      <c r="E1864" s="12"/>
      <c r="F1864" s="12"/>
      <c r="G1864" s="12"/>
      <c r="H1864" s="12"/>
      <c r="I1864" s="12"/>
      <c r="J1864" s="12"/>
      <c r="S1864" s="12"/>
      <c r="T1864" s="12"/>
      <c r="U1864" s="16"/>
      <c r="V1864" s="16"/>
      <c r="W1864" s="12"/>
      <c r="Z1864" s="12"/>
      <c r="AA1864" s="16"/>
    </row>
    <row r="1865">
      <c r="A1865" s="8"/>
      <c r="C1865" s="12"/>
      <c r="D1865" s="12"/>
      <c r="E1865" s="12"/>
      <c r="F1865" s="12"/>
      <c r="G1865" s="12"/>
      <c r="H1865" s="12"/>
      <c r="I1865" s="12"/>
      <c r="J1865" s="12"/>
      <c r="S1865" s="12"/>
      <c r="T1865" s="12"/>
      <c r="U1865" s="16"/>
      <c r="V1865" s="16"/>
      <c r="W1865" s="12"/>
      <c r="Z1865" s="12"/>
      <c r="AA1865" s="16"/>
    </row>
    <row r="1866">
      <c r="A1866" s="8"/>
      <c r="C1866" s="12"/>
      <c r="D1866" s="12"/>
      <c r="E1866" s="12"/>
      <c r="F1866" s="12"/>
      <c r="G1866" s="12"/>
      <c r="H1866" s="12"/>
      <c r="I1866" s="12"/>
      <c r="J1866" s="12"/>
      <c r="S1866" s="12"/>
      <c r="T1866" s="12"/>
      <c r="U1866" s="16"/>
      <c r="V1866" s="16"/>
      <c r="W1866" s="12"/>
      <c r="Z1866" s="12"/>
      <c r="AA1866" s="16"/>
    </row>
    <row r="1867">
      <c r="A1867" s="8"/>
      <c r="C1867" s="12"/>
      <c r="D1867" s="12"/>
      <c r="E1867" s="12"/>
      <c r="F1867" s="12"/>
      <c r="G1867" s="12"/>
      <c r="H1867" s="12"/>
      <c r="I1867" s="12"/>
      <c r="J1867" s="12"/>
      <c r="S1867" s="12"/>
      <c r="T1867" s="12"/>
      <c r="U1867" s="16"/>
      <c r="V1867" s="16"/>
      <c r="W1867" s="12"/>
      <c r="Z1867" s="12"/>
      <c r="AA1867" s="16"/>
    </row>
    <row r="1868">
      <c r="A1868" s="8"/>
      <c r="C1868" s="12"/>
      <c r="D1868" s="12"/>
      <c r="E1868" s="12"/>
      <c r="F1868" s="12"/>
      <c r="G1868" s="12"/>
      <c r="H1868" s="12"/>
      <c r="I1868" s="12"/>
      <c r="J1868" s="12"/>
      <c r="S1868" s="12"/>
      <c r="T1868" s="12"/>
      <c r="U1868" s="16"/>
      <c r="V1868" s="16"/>
      <c r="W1868" s="12"/>
      <c r="Z1868" s="12"/>
      <c r="AA1868" s="16"/>
    </row>
    <row r="1869">
      <c r="A1869" s="8"/>
      <c r="C1869" s="12"/>
      <c r="D1869" s="12"/>
      <c r="E1869" s="12"/>
      <c r="F1869" s="12"/>
      <c r="G1869" s="12"/>
      <c r="H1869" s="12"/>
      <c r="I1869" s="12"/>
      <c r="J1869" s="12"/>
      <c r="S1869" s="12"/>
      <c r="T1869" s="12"/>
      <c r="U1869" s="16"/>
      <c r="V1869" s="16"/>
      <c r="W1869" s="12"/>
      <c r="Z1869" s="12"/>
      <c r="AA1869" s="16"/>
    </row>
    <row r="1870">
      <c r="A1870" s="8"/>
      <c r="C1870" s="12"/>
      <c r="D1870" s="12"/>
      <c r="E1870" s="12"/>
      <c r="F1870" s="12"/>
      <c r="G1870" s="12"/>
      <c r="H1870" s="12"/>
      <c r="I1870" s="12"/>
      <c r="J1870" s="12"/>
      <c r="S1870" s="12"/>
      <c r="T1870" s="12"/>
      <c r="U1870" s="16"/>
      <c r="V1870" s="16"/>
      <c r="W1870" s="12"/>
      <c r="Z1870" s="12"/>
      <c r="AA1870" s="16"/>
    </row>
    <row r="1871">
      <c r="A1871" s="8"/>
      <c r="C1871" s="12"/>
      <c r="D1871" s="12"/>
      <c r="E1871" s="12"/>
      <c r="F1871" s="12"/>
      <c r="G1871" s="12"/>
      <c r="H1871" s="12"/>
      <c r="I1871" s="12"/>
      <c r="J1871" s="12"/>
      <c r="S1871" s="12"/>
      <c r="T1871" s="12"/>
      <c r="U1871" s="16"/>
      <c r="V1871" s="16"/>
      <c r="W1871" s="12"/>
      <c r="Z1871" s="12"/>
      <c r="AA1871" s="16"/>
    </row>
    <row r="1872">
      <c r="A1872" s="8"/>
      <c r="C1872" s="12"/>
      <c r="D1872" s="12"/>
      <c r="E1872" s="12"/>
      <c r="F1872" s="12"/>
      <c r="G1872" s="12"/>
      <c r="H1872" s="12"/>
      <c r="I1872" s="12"/>
      <c r="J1872" s="12"/>
      <c r="S1872" s="12"/>
      <c r="T1872" s="12"/>
      <c r="U1872" s="16"/>
      <c r="V1872" s="16"/>
      <c r="W1872" s="12"/>
      <c r="Z1872" s="12"/>
      <c r="AA1872" s="16"/>
    </row>
    <row r="1873">
      <c r="A1873" s="8"/>
      <c r="C1873" s="12"/>
      <c r="D1873" s="12"/>
      <c r="E1873" s="12"/>
      <c r="F1873" s="12"/>
      <c r="G1873" s="12"/>
      <c r="H1873" s="12"/>
      <c r="I1873" s="12"/>
      <c r="J1873" s="12"/>
      <c r="S1873" s="12"/>
      <c r="T1873" s="12"/>
      <c r="U1873" s="16"/>
      <c r="V1873" s="16"/>
      <c r="W1873" s="12"/>
      <c r="Z1873" s="12"/>
      <c r="AA1873" s="16"/>
    </row>
    <row r="1874">
      <c r="A1874" s="8"/>
      <c r="C1874" s="12"/>
      <c r="D1874" s="12"/>
      <c r="E1874" s="12"/>
      <c r="F1874" s="12"/>
      <c r="G1874" s="12"/>
      <c r="H1874" s="12"/>
      <c r="I1874" s="12"/>
      <c r="J1874" s="12"/>
      <c r="S1874" s="12"/>
      <c r="T1874" s="12"/>
      <c r="U1874" s="16"/>
      <c r="V1874" s="16"/>
      <c r="W1874" s="12"/>
      <c r="Z1874" s="12"/>
      <c r="AA1874" s="16"/>
    </row>
    <row r="1875">
      <c r="A1875" s="8"/>
      <c r="C1875" s="12"/>
      <c r="D1875" s="12"/>
      <c r="E1875" s="12"/>
      <c r="F1875" s="12"/>
      <c r="G1875" s="12"/>
      <c r="H1875" s="12"/>
      <c r="I1875" s="12"/>
      <c r="J1875" s="12"/>
      <c r="S1875" s="12"/>
      <c r="T1875" s="12"/>
      <c r="U1875" s="16"/>
      <c r="V1875" s="16"/>
      <c r="W1875" s="12"/>
      <c r="Z1875" s="12"/>
      <c r="AA1875" s="16"/>
    </row>
    <row r="1876">
      <c r="A1876" s="8"/>
      <c r="C1876" s="12"/>
      <c r="D1876" s="12"/>
      <c r="E1876" s="12"/>
      <c r="F1876" s="12"/>
      <c r="G1876" s="12"/>
      <c r="H1876" s="12"/>
      <c r="I1876" s="12"/>
      <c r="J1876" s="12"/>
      <c r="S1876" s="12"/>
      <c r="T1876" s="12"/>
      <c r="U1876" s="16"/>
      <c r="V1876" s="16"/>
      <c r="W1876" s="12"/>
      <c r="Z1876" s="12"/>
      <c r="AA1876" s="16"/>
    </row>
    <row r="1877">
      <c r="A1877" s="8"/>
      <c r="C1877" s="12"/>
      <c r="D1877" s="12"/>
      <c r="E1877" s="12"/>
      <c r="F1877" s="12"/>
      <c r="G1877" s="12"/>
      <c r="H1877" s="12"/>
      <c r="I1877" s="12"/>
      <c r="J1877" s="12"/>
      <c r="S1877" s="12"/>
      <c r="T1877" s="12"/>
      <c r="U1877" s="16"/>
      <c r="V1877" s="16"/>
      <c r="W1877" s="12"/>
      <c r="Z1877" s="12"/>
      <c r="AA1877" s="16"/>
    </row>
    <row r="1878">
      <c r="A1878" s="8"/>
      <c r="C1878" s="12"/>
      <c r="D1878" s="12"/>
      <c r="E1878" s="12"/>
      <c r="F1878" s="12"/>
      <c r="G1878" s="12"/>
      <c r="H1878" s="12"/>
      <c r="I1878" s="12"/>
      <c r="J1878" s="12"/>
      <c r="S1878" s="12"/>
      <c r="T1878" s="12"/>
      <c r="U1878" s="16"/>
      <c r="V1878" s="16"/>
      <c r="W1878" s="12"/>
      <c r="Z1878" s="12"/>
      <c r="AA1878" s="16"/>
    </row>
    <row r="1879">
      <c r="A1879" s="8"/>
      <c r="C1879" s="12"/>
      <c r="D1879" s="12"/>
      <c r="E1879" s="12"/>
      <c r="F1879" s="12"/>
      <c r="G1879" s="12"/>
      <c r="H1879" s="12"/>
      <c r="I1879" s="12"/>
      <c r="J1879" s="12"/>
      <c r="S1879" s="12"/>
      <c r="T1879" s="12"/>
      <c r="U1879" s="16"/>
      <c r="V1879" s="16"/>
      <c r="W1879" s="12"/>
      <c r="Z1879" s="12"/>
      <c r="AA1879" s="16"/>
    </row>
    <row r="1880">
      <c r="A1880" s="8"/>
      <c r="C1880" s="12"/>
      <c r="D1880" s="12"/>
      <c r="E1880" s="12"/>
      <c r="F1880" s="12"/>
      <c r="G1880" s="12"/>
      <c r="H1880" s="12"/>
      <c r="I1880" s="12"/>
      <c r="J1880" s="12"/>
      <c r="S1880" s="12"/>
      <c r="T1880" s="12"/>
      <c r="U1880" s="16"/>
      <c r="V1880" s="16"/>
      <c r="W1880" s="12"/>
      <c r="Z1880" s="12"/>
      <c r="AA1880" s="16"/>
    </row>
    <row r="1881">
      <c r="A1881" s="8"/>
      <c r="C1881" s="12"/>
      <c r="D1881" s="12"/>
      <c r="E1881" s="12"/>
      <c r="F1881" s="12"/>
      <c r="G1881" s="12"/>
      <c r="H1881" s="12"/>
      <c r="I1881" s="12"/>
      <c r="J1881" s="12"/>
      <c r="S1881" s="12"/>
      <c r="T1881" s="12"/>
      <c r="U1881" s="16"/>
      <c r="V1881" s="16"/>
      <c r="W1881" s="12"/>
      <c r="Z1881" s="12"/>
      <c r="AA1881" s="16"/>
    </row>
    <row r="1882">
      <c r="A1882" s="8"/>
      <c r="C1882" s="12"/>
      <c r="D1882" s="12"/>
      <c r="E1882" s="12"/>
      <c r="F1882" s="12"/>
      <c r="G1882" s="12"/>
      <c r="H1882" s="12"/>
      <c r="I1882" s="12"/>
      <c r="J1882" s="12"/>
      <c r="S1882" s="12"/>
      <c r="T1882" s="12"/>
      <c r="U1882" s="16"/>
      <c r="V1882" s="16"/>
      <c r="W1882" s="12"/>
      <c r="Z1882" s="12"/>
      <c r="AA1882" s="16"/>
    </row>
    <row r="1883">
      <c r="A1883" s="8"/>
      <c r="C1883" s="12"/>
      <c r="D1883" s="12"/>
      <c r="E1883" s="12"/>
      <c r="F1883" s="12"/>
      <c r="G1883" s="12"/>
      <c r="H1883" s="12"/>
      <c r="I1883" s="12"/>
      <c r="J1883" s="12"/>
      <c r="S1883" s="12"/>
      <c r="T1883" s="12"/>
      <c r="U1883" s="16"/>
      <c r="V1883" s="16"/>
      <c r="W1883" s="12"/>
      <c r="Z1883" s="12"/>
      <c r="AA1883" s="16"/>
    </row>
    <row r="1884">
      <c r="A1884" s="8"/>
      <c r="C1884" s="12"/>
      <c r="D1884" s="12"/>
      <c r="E1884" s="12"/>
      <c r="F1884" s="12"/>
      <c r="G1884" s="12"/>
      <c r="H1884" s="12"/>
      <c r="I1884" s="12"/>
      <c r="J1884" s="12"/>
      <c r="S1884" s="12"/>
      <c r="T1884" s="12"/>
      <c r="U1884" s="16"/>
      <c r="V1884" s="16"/>
      <c r="W1884" s="12"/>
      <c r="Z1884" s="12"/>
      <c r="AA1884" s="16"/>
    </row>
    <row r="1885">
      <c r="A1885" s="8"/>
      <c r="C1885" s="12"/>
      <c r="D1885" s="12"/>
      <c r="E1885" s="12"/>
      <c r="F1885" s="12"/>
      <c r="G1885" s="12"/>
      <c r="H1885" s="12"/>
      <c r="I1885" s="12"/>
      <c r="J1885" s="12"/>
      <c r="S1885" s="12"/>
      <c r="T1885" s="12"/>
      <c r="U1885" s="16"/>
      <c r="V1885" s="16"/>
      <c r="W1885" s="12"/>
      <c r="Z1885" s="12"/>
      <c r="AA1885" s="16"/>
    </row>
    <row r="1886">
      <c r="A1886" s="8"/>
      <c r="C1886" s="12"/>
      <c r="D1886" s="12"/>
      <c r="E1886" s="12"/>
      <c r="F1886" s="12"/>
      <c r="G1886" s="12"/>
      <c r="H1886" s="12"/>
      <c r="I1886" s="12"/>
      <c r="J1886" s="12"/>
      <c r="S1886" s="12"/>
      <c r="T1886" s="12"/>
      <c r="U1886" s="16"/>
      <c r="V1886" s="16"/>
      <c r="W1886" s="12"/>
      <c r="Z1886" s="12"/>
      <c r="AA1886" s="16"/>
    </row>
    <row r="1887">
      <c r="A1887" s="8"/>
      <c r="C1887" s="12"/>
      <c r="D1887" s="12"/>
      <c r="E1887" s="12"/>
      <c r="F1887" s="12"/>
      <c r="G1887" s="12"/>
      <c r="H1887" s="12"/>
      <c r="I1887" s="12"/>
      <c r="J1887" s="12"/>
      <c r="S1887" s="12"/>
      <c r="T1887" s="12"/>
      <c r="U1887" s="16"/>
      <c r="V1887" s="16"/>
      <c r="W1887" s="12"/>
      <c r="Z1887" s="12"/>
      <c r="AA1887" s="16"/>
    </row>
    <row r="1888">
      <c r="A1888" s="8"/>
      <c r="C1888" s="12"/>
      <c r="D1888" s="12"/>
      <c r="E1888" s="12"/>
      <c r="F1888" s="12"/>
      <c r="G1888" s="12"/>
      <c r="H1888" s="12"/>
      <c r="I1888" s="12"/>
      <c r="J1888" s="12"/>
      <c r="S1888" s="12"/>
      <c r="T1888" s="12"/>
      <c r="U1888" s="16"/>
      <c r="V1888" s="16"/>
      <c r="W1888" s="12"/>
      <c r="Z1888" s="12"/>
      <c r="AA1888" s="16"/>
    </row>
    <row r="1889">
      <c r="A1889" s="8"/>
      <c r="C1889" s="12"/>
      <c r="D1889" s="12"/>
      <c r="E1889" s="12"/>
      <c r="F1889" s="12"/>
      <c r="G1889" s="12"/>
      <c r="H1889" s="12"/>
      <c r="I1889" s="12"/>
      <c r="J1889" s="12"/>
      <c r="S1889" s="12"/>
      <c r="T1889" s="12"/>
      <c r="U1889" s="16"/>
      <c r="V1889" s="16"/>
      <c r="W1889" s="12"/>
      <c r="Z1889" s="12"/>
      <c r="AA1889" s="16"/>
    </row>
    <row r="1890">
      <c r="A1890" s="8"/>
      <c r="C1890" s="12"/>
      <c r="D1890" s="12"/>
      <c r="E1890" s="12"/>
      <c r="F1890" s="12"/>
      <c r="G1890" s="12"/>
      <c r="H1890" s="12"/>
      <c r="I1890" s="12"/>
      <c r="J1890" s="12"/>
      <c r="S1890" s="12"/>
      <c r="T1890" s="12"/>
      <c r="U1890" s="16"/>
      <c r="V1890" s="16"/>
      <c r="W1890" s="12"/>
      <c r="Z1890" s="12"/>
      <c r="AA1890" s="16"/>
    </row>
    <row r="1891">
      <c r="A1891" s="8"/>
      <c r="C1891" s="12"/>
      <c r="D1891" s="12"/>
      <c r="E1891" s="12"/>
      <c r="F1891" s="12"/>
      <c r="G1891" s="12"/>
      <c r="H1891" s="12"/>
      <c r="I1891" s="12"/>
      <c r="J1891" s="12"/>
      <c r="S1891" s="12"/>
      <c r="T1891" s="12"/>
      <c r="U1891" s="16"/>
      <c r="V1891" s="16"/>
      <c r="W1891" s="12"/>
      <c r="Z1891" s="12"/>
      <c r="AA1891" s="16"/>
    </row>
    <row r="1892">
      <c r="A1892" s="8"/>
      <c r="C1892" s="12"/>
      <c r="D1892" s="12"/>
      <c r="E1892" s="12"/>
      <c r="F1892" s="12"/>
      <c r="G1892" s="12"/>
      <c r="H1892" s="12"/>
      <c r="I1892" s="12"/>
      <c r="J1892" s="12"/>
      <c r="S1892" s="12"/>
      <c r="T1892" s="12"/>
      <c r="U1892" s="16"/>
      <c r="V1892" s="16"/>
      <c r="W1892" s="12"/>
      <c r="Z1892" s="12"/>
      <c r="AA1892" s="16"/>
    </row>
    <row r="1893">
      <c r="A1893" s="8"/>
      <c r="C1893" s="12"/>
      <c r="D1893" s="12"/>
      <c r="E1893" s="12"/>
      <c r="F1893" s="12"/>
      <c r="G1893" s="12"/>
      <c r="H1893" s="12"/>
      <c r="I1893" s="12"/>
      <c r="J1893" s="12"/>
      <c r="S1893" s="12"/>
      <c r="T1893" s="12"/>
      <c r="U1893" s="16"/>
      <c r="V1893" s="16"/>
      <c r="W1893" s="12"/>
      <c r="Z1893" s="12"/>
      <c r="AA1893" s="16"/>
    </row>
    <row r="1894">
      <c r="A1894" s="8"/>
      <c r="C1894" s="12"/>
      <c r="D1894" s="12"/>
      <c r="E1894" s="12"/>
      <c r="F1894" s="12"/>
      <c r="G1894" s="12"/>
      <c r="H1894" s="12"/>
      <c r="I1894" s="12"/>
      <c r="J1894" s="12"/>
      <c r="S1894" s="12"/>
      <c r="T1894" s="12"/>
      <c r="U1894" s="16"/>
      <c r="V1894" s="16"/>
      <c r="W1894" s="12"/>
      <c r="Z1894" s="12"/>
      <c r="AA1894" s="16"/>
    </row>
    <row r="1895">
      <c r="A1895" s="8"/>
      <c r="C1895" s="12"/>
      <c r="D1895" s="12"/>
      <c r="E1895" s="12"/>
      <c r="F1895" s="12"/>
      <c r="G1895" s="12"/>
      <c r="H1895" s="12"/>
      <c r="I1895" s="12"/>
      <c r="J1895" s="12"/>
      <c r="S1895" s="12"/>
      <c r="T1895" s="12"/>
      <c r="U1895" s="16"/>
      <c r="V1895" s="16"/>
      <c r="W1895" s="12"/>
      <c r="Z1895" s="12"/>
      <c r="AA1895" s="16"/>
    </row>
    <row r="1896">
      <c r="A1896" s="8"/>
      <c r="C1896" s="12"/>
      <c r="D1896" s="12"/>
      <c r="E1896" s="12"/>
      <c r="F1896" s="12"/>
      <c r="G1896" s="12"/>
      <c r="H1896" s="12"/>
      <c r="I1896" s="12"/>
      <c r="J1896" s="12"/>
      <c r="S1896" s="12"/>
      <c r="T1896" s="12"/>
      <c r="U1896" s="16"/>
      <c r="V1896" s="16"/>
      <c r="W1896" s="12"/>
      <c r="Z1896" s="12"/>
      <c r="AA1896" s="16"/>
    </row>
    <row r="1897">
      <c r="A1897" s="8"/>
      <c r="C1897" s="12"/>
      <c r="D1897" s="12"/>
      <c r="E1897" s="12"/>
      <c r="F1897" s="12"/>
      <c r="G1897" s="12"/>
      <c r="H1897" s="12"/>
      <c r="I1897" s="12"/>
      <c r="J1897" s="12"/>
      <c r="S1897" s="12"/>
      <c r="T1897" s="12"/>
      <c r="U1897" s="16"/>
      <c r="V1897" s="16"/>
      <c r="W1897" s="12"/>
      <c r="Z1897" s="12"/>
      <c r="AA1897" s="16"/>
    </row>
    <row r="1898">
      <c r="A1898" s="8"/>
      <c r="C1898" s="12"/>
      <c r="D1898" s="12"/>
      <c r="E1898" s="12"/>
      <c r="F1898" s="12"/>
      <c r="G1898" s="12"/>
      <c r="H1898" s="12"/>
      <c r="I1898" s="12"/>
      <c r="J1898" s="12"/>
      <c r="S1898" s="12"/>
      <c r="T1898" s="12"/>
      <c r="U1898" s="16"/>
      <c r="V1898" s="16"/>
      <c r="W1898" s="12"/>
      <c r="Z1898" s="12"/>
      <c r="AA1898" s="16"/>
    </row>
    <row r="1899">
      <c r="A1899" s="8"/>
      <c r="C1899" s="12"/>
      <c r="D1899" s="12"/>
      <c r="E1899" s="12"/>
      <c r="F1899" s="12"/>
      <c r="G1899" s="12"/>
      <c r="H1899" s="12"/>
      <c r="I1899" s="12"/>
      <c r="J1899" s="12"/>
      <c r="S1899" s="12"/>
      <c r="T1899" s="12"/>
      <c r="U1899" s="16"/>
      <c r="V1899" s="16"/>
      <c r="W1899" s="12"/>
      <c r="Z1899" s="12"/>
      <c r="AA1899" s="16"/>
    </row>
    <row r="1900">
      <c r="A1900" s="8"/>
      <c r="C1900" s="12"/>
      <c r="D1900" s="12"/>
      <c r="E1900" s="12"/>
      <c r="F1900" s="12"/>
      <c r="G1900" s="12"/>
      <c r="H1900" s="12"/>
      <c r="I1900" s="12"/>
      <c r="J1900" s="12"/>
      <c r="S1900" s="12"/>
      <c r="T1900" s="12"/>
      <c r="U1900" s="16"/>
      <c r="V1900" s="16"/>
      <c r="W1900" s="12"/>
      <c r="Z1900" s="12"/>
      <c r="AA1900" s="16"/>
    </row>
    <row r="1901">
      <c r="A1901" s="8"/>
      <c r="C1901" s="12"/>
      <c r="D1901" s="12"/>
      <c r="E1901" s="12"/>
      <c r="F1901" s="12"/>
      <c r="G1901" s="12"/>
      <c r="H1901" s="12"/>
      <c r="I1901" s="12"/>
      <c r="J1901" s="12"/>
      <c r="S1901" s="12"/>
      <c r="T1901" s="12"/>
      <c r="U1901" s="16"/>
      <c r="V1901" s="16"/>
      <c r="W1901" s="12"/>
      <c r="Z1901" s="12"/>
      <c r="AA1901" s="16"/>
    </row>
    <row r="1902">
      <c r="A1902" s="8"/>
      <c r="C1902" s="12"/>
      <c r="D1902" s="12"/>
      <c r="E1902" s="12"/>
      <c r="F1902" s="12"/>
      <c r="G1902" s="12"/>
      <c r="H1902" s="12"/>
      <c r="I1902" s="12"/>
      <c r="J1902" s="12"/>
      <c r="S1902" s="12"/>
      <c r="T1902" s="12"/>
      <c r="U1902" s="16"/>
      <c r="V1902" s="16"/>
      <c r="W1902" s="12"/>
      <c r="Z1902" s="12"/>
      <c r="AA1902" s="16"/>
    </row>
    <row r="1903">
      <c r="A1903" s="8"/>
      <c r="C1903" s="12"/>
      <c r="D1903" s="12"/>
      <c r="E1903" s="12"/>
      <c r="F1903" s="12"/>
      <c r="G1903" s="12"/>
      <c r="H1903" s="12"/>
      <c r="I1903" s="12"/>
      <c r="J1903" s="12"/>
      <c r="S1903" s="12"/>
      <c r="T1903" s="12"/>
      <c r="U1903" s="16"/>
      <c r="V1903" s="16"/>
      <c r="W1903" s="12"/>
      <c r="Z1903" s="12"/>
      <c r="AA1903" s="16"/>
    </row>
    <row r="1904">
      <c r="A1904" s="8"/>
      <c r="C1904" s="12"/>
      <c r="D1904" s="12"/>
      <c r="E1904" s="12"/>
      <c r="F1904" s="12"/>
      <c r="G1904" s="12"/>
      <c r="H1904" s="12"/>
      <c r="I1904" s="12"/>
      <c r="J1904" s="12"/>
      <c r="S1904" s="12"/>
      <c r="T1904" s="12"/>
      <c r="U1904" s="16"/>
      <c r="V1904" s="16"/>
      <c r="W1904" s="12"/>
      <c r="Z1904" s="12"/>
      <c r="AA1904" s="16"/>
    </row>
    <row r="1905">
      <c r="A1905" s="8"/>
      <c r="C1905" s="12"/>
      <c r="D1905" s="12"/>
      <c r="E1905" s="12"/>
      <c r="F1905" s="12"/>
      <c r="G1905" s="12"/>
      <c r="H1905" s="12"/>
      <c r="I1905" s="12"/>
      <c r="J1905" s="12"/>
      <c r="S1905" s="12"/>
      <c r="T1905" s="12"/>
      <c r="U1905" s="16"/>
      <c r="V1905" s="16"/>
      <c r="W1905" s="12"/>
      <c r="Z1905" s="12"/>
      <c r="AA1905" s="16"/>
    </row>
    <row r="1906">
      <c r="A1906" s="8"/>
      <c r="C1906" s="12"/>
      <c r="D1906" s="12"/>
      <c r="E1906" s="12"/>
      <c r="F1906" s="12"/>
      <c r="G1906" s="12"/>
      <c r="H1906" s="12"/>
      <c r="I1906" s="12"/>
      <c r="J1906" s="12"/>
      <c r="S1906" s="12"/>
      <c r="T1906" s="12"/>
      <c r="U1906" s="16"/>
      <c r="V1906" s="16"/>
      <c r="W1906" s="12"/>
      <c r="Z1906" s="12"/>
      <c r="AA1906" s="16"/>
    </row>
    <row r="1907">
      <c r="A1907" s="8"/>
      <c r="C1907" s="12"/>
      <c r="D1907" s="12"/>
      <c r="E1907" s="12"/>
      <c r="F1907" s="12"/>
      <c r="G1907" s="12"/>
      <c r="H1907" s="12"/>
      <c r="I1907" s="12"/>
      <c r="J1907" s="12"/>
      <c r="S1907" s="12"/>
      <c r="T1907" s="12"/>
      <c r="U1907" s="16"/>
      <c r="V1907" s="16"/>
      <c r="W1907" s="12"/>
      <c r="Z1907" s="12"/>
      <c r="AA1907" s="16"/>
    </row>
    <row r="1908">
      <c r="A1908" s="8"/>
      <c r="C1908" s="12"/>
      <c r="D1908" s="12"/>
      <c r="E1908" s="12"/>
      <c r="F1908" s="12"/>
      <c r="G1908" s="12"/>
      <c r="H1908" s="12"/>
      <c r="I1908" s="12"/>
      <c r="J1908" s="12"/>
      <c r="S1908" s="12"/>
      <c r="T1908" s="12"/>
      <c r="U1908" s="16"/>
      <c r="V1908" s="16"/>
      <c r="W1908" s="12"/>
      <c r="Z1908" s="12"/>
      <c r="AA1908" s="16"/>
    </row>
    <row r="1909">
      <c r="A1909" s="8"/>
      <c r="C1909" s="12"/>
      <c r="D1909" s="12"/>
      <c r="E1909" s="12"/>
      <c r="F1909" s="12"/>
      <c r="G1909" s="12"/>
      <c r="H1909" s="12"/>
      <c r="I1909" s="12"/>
      <c r="J1909" s="12"/>
      <c r="S1909" s="12"/>
      <c r="T1909" s="12"/>
      <c r="U1909" s="16"/>
      <c r="V1909" s="16"/>
      <c r="W1909" s="12"/>
      <c r="Z1909" s="12"/>
      <c r="AA1909" s="16"/>
    </row>
    <row r="1910">
      <c r="A1910" s="8"/>
      <c r="C1910" s="12"/>
      <c r="D1910" s="12"/>
      <c r="E1910" s="12"/>
      <c r="F1910" s="12"/>
      <c r="G1910" s="12"/>
      <c r="H1910" s="12"/>
      <c r="I1910" s="12"/>
      <c r="J1910" s="12"/>
      <c r="S1910" s="12"/>
      <c r="T1910" s="12"/>
      <c r="U1910" s="16"/>
      <c r="V1910" s="16"/>
      <c r="W1910" s="12"/>
      <c r="Z1910" s="12"/>
      <c r="AA1910" s="16"/>
    </row>
    <row r="1911">
      <c r="A1911" s="8"/>
      <c r="C1911" s="12"/>
      <c r="D1911" s="12"/>
      <c r="E1911" s="12"/>
      <c r="F1911" s="12"/>
      <c r="G1911" s="12"/>
      <c r="H1911" s="12"/>
      <c r="I1911" s="12"/>
      <c r="J1911" s="12"/>
      <c r="S1911" s="12"/>
      <c r="T1911" s="12"/>
      <c r="U1911" s="16"/>
      <c r="V1911" s="16"/>
      <c r="W1911" s="12"/>
      <c r="Z1911" s="12"/>
      <c r="AA1911" s="16"/>
    </row>
    <row r="1912">
      <c r="A1912" s="8"/>
      <c r="C1912" s="12"/>
      <c r="D1912" s="12"/>
      <c r="E1912" s="12"/>
      <c r="F1912" s="12"/>
      <c r="G1912" s="12"/>
      <c r="H1912" s="12"/>
      <c r="I1912" s="12"/>
      <c r="J1912" s="12"/>
      <c r="S1912" s="12"/>
      <c r="T1912" s="12"/>
      <c r="U1912" s="16"/>
      <c r="V1912" s="16"/>
      <c r="W1912" s="12"/>
      <c r="Z1912" s="12"/>
      <c r="AA1912" s="16"/>
    </row>
    <row r="1913">
      <c r="A1913" s="8"/>
      <c r="C1913" s="12"/>
      <c r="D1913" s="12"/>
      <c r="E1913" s="12"/>
      <c r="F1913" s="12"/>
      <c r="G1913" s="12"/>
      <c r="H1913" s="12"/>
      <c r="I1913" s="12"/>
      <c r="J1913" s="12"/>
      <c r="S1913" s="12"/>
      <c r="T1913" s="12"/>
      <c r="U1913" s="16"/>
      <c r="V1913" s="16"/>
      <c r="W1913" s="12"/>
      <c r="Z1913" s="12"/>
      <c r="AA1913" s="16"/>
    </row>
    <row r="1914">
      <c r="A1914" s="8"/>
      <c r="C1914" s="12"/>
      <c r="D1914" s="12"/>
      <c r="E1914" s="12"/>
      <c r="F1914" s="12"/>
      <c r="G1914" s="12"/>
      <c r="H1914" s="12"/>
      <c r="I1914" s="12"/>
      <c r="J1914" s="12"/>
      <c r="S1914" s="12"/>
      <c r="T1914" s="12"/>
      <c r="U1914" s="16"/>
      <c r="V1914" s="16"/>
      <c r="W1914" s="12"/>
      <c r="Z1914" s="12"/>
      <c r="AA1914" s="16"/>
    </row>
    <row r="1915">
      <c r="A1915" s="8"/>
      <c r="C1915" s="12"/>
      <c r="D1915" s="12"/>
      <c r="E1915" s="12"/>
      <c r="F1915" s="12"/>
      <c r="G1915" s="12"/>
      <c r="H1915" s="12"/>
      <c r="I1915" s="12"/>
      <c r="J1915" s="12"/>
      <c r="S1915" s="12"/>
      <c r="T1915" s="12"/>
      <c r="U1915" s="16"/>
      <c r="V1915" s="16"/>
      <c r="W1915" s="12"/>
      <c r="Z1915" s="12"/>
      <c r="AA1915" s="16"/>
    </row>
    <row r="1916">
      <c r="A1916" s="8"/>
      <c r="C1916" s="12"/>
      <c r="D1916" s="12"/>
      <c r="E1916" s="12"/>
      <c r="F1916" s="12"/>
      <c r="G1916" s="12"/>
      <c r="H1916" s="12"/>
      <c r="I1916" s="12"/>
      <c r="J1916" s="12"/>
      <c r="S1916" s="12"/>
      <c r="T1916" s="12"/>
      <c r="U1916" s="16"/>
      <c r="V1916" s="16"/>
      <c r="W1916" s="12"/>
      <c r="Z1916" s="12"/>
      <c r="AA1916" s="16"/>
    </row>
    <row r="1917">
      <c r="A1917" s="8"/>
      <c r="C1917" s="12"/>
      <c r="D1917" s="12"/>
      <c r="E1917" s="12"/>
      <c r="F1917" s="12"/>
      <c r="G1917" s="12"/>
      <c r="H1917" s="12"/>
      <c r="I1917" s="12"/>
      <c r="J1917" s="12"/>
      <c r="S1917" s="12"/>
      <c r="T1917" s="12"/>
      <c r="U1917" s="16"/>
      <c r="V1917" s="16"/>
      <c r="W1917" s="12"/>
      <c r="Z1917" s="12"/>
      <c r="AA1917" s="16"/>
    </row>
    <row r="1918">
      <c r="A1918" s="8"/>
      <c r="C1918" s="12"/>
      <c r="D1918" s="12"/>
      <c r="E1918" s="12"/>
      <c r="F1918" s="12"/>
      <c r="G1918" s="12"/>
      <c r="H1918" s="12"/>
      <c r="I1918" s="12"/>
      <c r="J1918" s="12"/>
      <c r="S1918" s="12"/>
      <c r="T1918" s="12"/>
      <c r="U1918" s="16"/>
      <c r="V1918" s="16"/>
      <c r="W1918" s="12"/>
      <c r="Z1918" s="12"/>
      <c r="AA1918" s="16"/>
    </row>
    <row r="1919">
      <c r="A1919" s="8"/>
      <c r="C1919" s="12"/>
      <c r="D1919" s="12"/>
      <c r="E1919" s="12"/>
      <c r="F1919" s="12"/>
      <c r="G1919" s="12"/>
      <c r="H1919" s="12"/>
      <c r="I1919" s="12"/>
      <c r="J1919" s="12"/>
      <c r="S1919" s="12"/>
      <c r="T1919" s="12"/>
      <c r="U1919" s="16"/>
      <c r="V1919" s="16"/>
      <c r="W1919" s="12"/>
      <c r="Z1919" s="12"/>
      <c r="AA1919" s="16"/>
    </row>
    <row r="1920">
      <c r="A1920" s="8"/>
      <c r="C1920" s="12"/>
      <c r="D1920" s="12"/>
      <c r="E1920" s="12"/>
      <c r="F1920" s="12"/>
      <c r="G1920" s="12"/>
      <c r="H1920" s="12"/>
      <c r="I1920" s="12"/>
      <c r="J1920" s="12"/>
      <c r="S1920" s="12"/>
      <c r="T1920" s="12"/>
      <c r="U1920" s="16"/>
      <c r="V1920" s="16"/>
      <c r="W1920" s="12"/>
      <c r="Z1920" s="12"/>
      <c r="AA1920" s="16"/>
    </row>
    <row r="1921">
      <c r="A1921" s="8"/>
      <c r="C1921" s="12"/>
      <c r="D1921" s="12"/>
      <c r="E1921" s="12"/>
      <c r="F1921" s="12"/>
      <c r="G1921" s="12"/>
      <c r="H1921" s="12"/>
      <c r="I1921" s="12"/>
      <c r="J1921" s="12"/>
      <c r="S1921" s="12"/>
      <c r="T1921" s="12"/>
      <c r="U1921" s="16"/>
      <c r="V1921" s="16"/>
      <c r="W1921" s="12"/>
      <c r="Z1921" s="12"/>
      <c r="AA1921" s="16"/>
    </row>
    <row r="1922">
      <c r="A1922" s="8"/>
      <c r="C1922" s="12"/>
      <c r="D1922" s="12"/>
      <c r="E1922" s="12"/>
      <c r="F1922" s="12"/>
      <c r="G1922" s="12"/>
      <c r="H1922" s="12"/>
      <c r="I1922" s="12"/>
      <c r="J1922" s="12"/>
      <c r="S1922" s="12"/>
      <c r="T1922" s="12"/>
      <c r="U1922" s="16"/>
      <c r="V1922" s="16"/>
      <c r="W1922" s="12"/>
      <c r="Z1922" s="12"/>
      <c r="AA1922" s="16"/>
    </row>
    <row r="1923">
      <c r="A1923" s="8"/>
      <c r="C1923" s="12"/>
      <c r="D1923" s="12"/>
      <c r="E1923" s="12"/>
      <c r="F1923" s="12"/>
      <c r="G1923" s="12"/>
      <c r="H1923" s="12"/>
      <c r="I1923" s="12"/>
      <c r="J1923" s="12"/>
      <c r="S1923" s="12"/>
      <c r="T1923" s="12"/>
      <c r="U1923" s="16"/>
      <c r="V1923" s="16"/>
      <c r="W1923" s="12"/>
      <c r="Z1923" s="12"/>
      <c r="AA1923" s="16"/>
    </row>
    <row r="1924">
      <c r="A1924" s="8"/>
      <c r="C1924" s="12"/>
      <c r="D1924" s="12"/>
      <c r="E1924" s="12"/>
      <c r="F1924" s="12"/>
      <c r="G1924" s="12"/>
      <c r="H1924" s="12"/>
      <c r="I1924" s="12"/>
      <c r="J1924" s="12"/>
      <c r="S1924" s="12"/>
      <c r="T1924" s="12"/>
      <c r="U1924" s="16"/>
      <c r="V1924" s="16"/>
      <c r="W1924" s="12"/>
      <c r="Z1924" s="12"/>
      <c r="AA1924" s="16"/>
    </row>
    <row r="1925">
      <c r="A1925" s="8"/>
      <c r="C1925" s="12"/>
      <c r="D1925" s="12"/>
      <c r="E1925" s="12"/>
      <c r="F1925" s="12"/>
      <c r="G1925" s="12"/>
      <c r="H1925" s="12"/>
      <c r="I1925" s="12"/>
      <c r="J1925" s="12"/>
      <c r="S1925" s="12"/>
      <c r="T1925" s="12"/>
      <c r="U1925" s="16"/>
      <c r="V1925" s="16"/>
      <c r="W1925" s="12"/>
      <c r="Z1925" s="12"/>
      <c r="AA1925" s="16"/>
    </row>
    <row r="1926">
      <c r="A1926" s="8"/>
      <c r="C1926" s="12"/>
      <c r="D1926" s="12"/>
      <c r="E1926" s="12"/>
      <c r="F1926" s="12"/>
      <c r="G1926" s="12"/>
      <c r="H1926" s="12"/>
      <c r="I1926" s="12"/>
      <c r="J1926" s="12"/>
      <c r="S1926" s="12"/>
      <c r="T1926" s="12"/>
      <c r="U1926" s="16"/>
      <c r="V1926" s="16"/>
      <c r="W1926" s="12"/>
      <c r="Z1926" s="12"/>
      <c r="AA1926" s="16"/>
    </row>
    <row r="1927">
      <c r="A1927" s="8"/>
      <c r="C1927" s="12"/>
      <c r="D1927" s="12"/>
      <c r="E1927" s="12"/>
      <c r="F1927" s="12"/>
      <c r="G1927" s="12"/>
      <c r="H1927" s="12"/>
      <c r="I1927" s="12"/>
      <c r="J1927" s="12"/>
      <c r="S1927" s="12"/>
      <c r="T1927" s="12"/>
      <c r="U1927" s="16"/>
      <c r="V1927" s="16"/>
      <c r="W1927" s="12"/>
      <c r="Z1927" s="12"/>
      <c r="AA1927" s="16"/>
    </row>
    <row r="1928">
      <c r="A1928" s="8"/>
      <c r="C1928" s="12"/>
      <c r="D1928" s="12"/>
      <c r="E1928" s="12"/>
      <c r="F1928" s="12"/>
      <c r="G1928" s="12"/>
      <c r="H1928" s="12"/>
      <c r="I1928" s="12"/>
      <c r="J1928" s="12"/>
      <c r="S1928" s="12"/>
      <c r="T1928" s="12"/>
      <c r="U1928" s="16"/>
      <c r="V1928" s="16"/>
      <c r="W1928" s="12"/>
      <c r="Z1928" s="12"/>
      <c r="AA1928" s="16"/>
    </row>
    <row r="1929">
      <c r="A1929" s="8"/>
      <c r="C1929" s="12"/>
      <c r="D1929" s="12"/>
      <c r="E1929" s="12"/>
      <c r="F1929" s="12"/>
      <c r="G1929" s="12"/>
      <c r="H1929" s="12"/>
      <c r="I1929" s="12"/>
      <c r="J1929" s="12"/>
      <c r="S1929" s="12"/>
      <c r="T1929" s="12"/>
      <c r="U1929" s="16"/>
      <c r="V1929" s="16"/>
      <c r="W1929" s="12"/>
      <c r="Z1929" s="12"/>
      <c r="AA1929" s="16"/>
    </row>
    <row r="1930">
      <c r="A1930" s="8"/>
      <c r="C1930" s="12"/>
      <c r="D1930" s="12"/>
      <c r="E1930" s="12"/>
      <c r="F1930" s="12"/>
      <c r="G1930" s="12"/>
      <c r="H1930" s="12"/>
      <c r="I1930" s="12"/>
      <c r="J1930" s="12"/>
      <c r="S1930" s="12"/>
      <c r="T1930" s="12"/>
      <c r="U1930" s="16"/>
      <c r="V1930" s="16"/>
      <c r="W1930" s="12"/>
      <c r="Z1930" s="12"/>
      <c r="AA1930" s="16"/>
    </row>
    <row r="1931">
      <c r="A1931" s="8"/>
      <c r="C1931" s="12"/>
      <c r="D1931" s="12"/>
      <c r="E1931" s="12"/>
      <c r="F1931" s="12"/>
      <c r="G1931" s="12"/>
      <c r="H1931" s="12"/>
      <c r="I1931" s="12"/>
      <c r="J1931" s="12"/>
      <c r="S1931" s="12"/>
      <c r="T1931" s="12"/>
      <c r="U1931" s="16"/>
      <c r="V1931" s="16"/>
      <c r="W1931" s="12"/>
      <c r="Z1931" s="12"/>
      <c r="AA1931" s="16"/>
    </row>
    <row r="1932">
      <c r="A1932" s="8"/>
      <c r="C1932" s="12"/>
      <c r="D1932" s="12"/>
      <c r="E1932" s="12"/>
      <c r="F1932" s="12"/>
      <c r="G1932" s="12"/>
      <c r="H1932" s="12"/>
      <c r="I1932" s="12"/>
      <c r="J1932" s="12"/>
      <c r="S1932" s="12"/>
      <c r="T1932" s="12"/>
      <c r="U1932" s="16"/>
      <c r="V1932" s="16"/>
      <c r="W1932" s="12"/>
      <c r="Z1932" s="12"/>
      <c r="AA1932" s="16"/>
    </row>
    <row r="1933">
      <c r="A1933" s="8"/>
      <c r="C1933" s="12"/>
      <c r="D1933" s="12"/>
      <c r="E1933" s="12"/>
      <c r="F1933" s="12"/>
      <c r="G1933" s="12"/>
      <c r="H1933" s="12"/>
      <c r="I1933" s="12"/>
      <c r="J1933" s="12"/>
      <c r="S1933" s="12"/>
      <c r="T1933" s="12"/>
      <c r="U1933" s="16"/>
      <c r="V1933" s="16"/>
      <c r="W1933" s="12"/>
      <c r="Z1933" s="12"/>
      <c r="AA1933" s="16"/>
    </row>
    <row r="1934">
      <c r="A1934" s="8"/>
      <c r="C1934" s="12"/>
      <c r="D1934" s="12"/>
      <c r="E1934" s="12"/>
      <c r="F1934" s="12"/>
      <c r="G1934" s="12"/>
      <c r="H1934" s="12"/>
      <c r="I1934" s="12"/>
      <c r="J1934" s="12"/>
      <c r="S1934" s="12"/>
      <c r="T1934" s="12"/>
      <c r="U1934" s="16"/>
      <c r="V1934" s="16"/>
      <c r="W1934" s="12"/>
      <c r="Z1934" s="12"/>
      <c r="AA1934" s="16"/>
    </row>
    <row r="1935">
      <c r="A1935" s="8"/>
      <c r="C1935" s="12"/>
      <c r="D1935" s="12"/>
      <c r="E1935" s="12"/>
      <c r="F1935" s="12"/>
      <c r="G1935" s="12"/>
      <c r="H1935" s="12"/>
      <c r="I1935" s="12"/>
      <c r="J1935" s="12"/>
      <c r="S1935" s="12"/>
      <c r="T1935" s="12"/>
      <c r="U1935" s="16"/>
      <c r="V1935" s="16"/>
      <c r="W1935" s="12"/>
      <c r="Z1935" s="12"/>
      <c r="AA1935" s="16"/>
    </row>
    <row r="1936">
      <c r="A1936" s="8"/>
      <c r="C1936" s="12"/>
      <c r="D1936" s="12"/>
      <c r="E1936" s="12"/>
      <c r="F1936" s="12"/>
      <c r="G1936" s="12"/>
      <c r="H1936" s="12"/>
      <c r="I1936" s="12"/>
      <c r="J1936" s="12"/>
      <c r="S1936" s="12"/>
      <c r="T1936" s="12"/>
      <c r="U1936" s="16"/>
      <c r="V1936" s="16"/>
      <c r="W1936" s="12"/>
      <c r="Z1936" s="12"/>
      <c r="AA1936" s="16"/>
    </row>
    <row r="1937">
      <c r="A1937" s="8"/>
      <c r="C1937" s="12"/>
      <c r="D1937" s="12"/>
      <c r="E1937" s="12"/>
      <c r="F1937" s="12"/>
      <c r="G1937" s="12"/>
      <c r="H1937" s="12"/>
      <c r="I1937" s="12"/>
      <c r="J1937" s="12"/>
      <c r="S1937" s="12"/>
      <c r="T1937" s="12"/>
      <c r="U1937" s="16"/>
      <c r="V1937" s="16"/>
      <c r="W1937" s="12"/>
      <c r="Z1937" s="12"/>
      <c r="AA1937" s="16"/>
    </row>
    <row r="1938">
      <c r="A1938" s="8"/>
      <c r="C1938" s="12"/>
      <c r="D1938" s="12"/>
      <c r="E1938" s="12"/>
      <c r="F1938" s="12"/>
      <c r="G1938" s="12"/>
      <c r="H1938" s="12"/>
      <c r="I1938" s="12"/>
      <c r="J1938" s="12"/>
      <c r="S1938" s="12"/>
      <c r="T1938" s="12"/>
      <c r="U1938" s="16"/>
      <c r="V1938" s="16"/>
      <c r="W1938" s="12"/>
      <c r="Z1938" s="12"/>
      <c r="AA1938" s="16"/>
    </row>
    <row r="1939">
      <c r="A1939" s="8"/>
      <c r="C1939" s="12"/>
      <c r="D1939" s="12"/>
      <c r="E1939" s="12"/>
      <c r="F1939" s="12"/>
      <c r="G1939" s="12"/>
      <c r="H1939" s="12"/>
      <c r="I1939" s="12"/>
      <c r="J1939" s="12"/>
      <c r="S1939" s="12"/>
      <c r="T1939" s="12"/>
      <c r="U1939" s="16"/>
      <c r="V1939" s="16"/>
      <c r="W1939" s="12"/>
      <c r="Z1939" s="12"/>
      <c r="AA1939" s="16"/>
    </row>
    <row r="1940">
      <c r="A1940" s="8"/>
      <c r="C1940" s="12"/>
      <c r="D1940" s="12"/>
      <c r="E1940" s="12"/>
      <c r="F1940" s="12"/>
      <c r="G1940" s="12"/>
      <c r="H1940" s="12"/>
      <c r="I1940" s="12"/>
      <c r="J1940" s="12"/>
      <c r="S1940" s="12"/>
      <c r="T1940" s="12"/>
      <c r="U1940" s="16"/>
      <c r="V1940" s="16"/>
      <c r="W1940" s="12"/>
      <c r="Z1940" s="12"/>
      <c r="AA1940" s="16"/>
    </row>
    <row r="1941">
      <c r="A1941" s="8"/>
      <c r="C1941" s="12"/>
      <c r="D1941" s="12"/>
      <c r="E1941" s="12"/>
      <c r="F1941" s="12"/>
      <c r="G1941" s="12"/>
      <c r="H1941" s="12"/>
      <c r="I1941" s="12"/>
      <c r="J1941" s="12"/>
      <c r="S1941" s="12"/>
      <c r="T1941" s="12"/>
      <c r="U1941" s="16"/>
      <c r="V1941" s="16"/>
      <c r="W1941" s="12"/>
      <c r="Z1941" s="12"/>
      <c r="AA1941" s="16"/>
    </row>
    <row r="1942">
      <c r="A1942" s="8"/>
      <c r="C1942" s="12"/>
      <c r="D1942" s="12"/>
      <c r="E1942" s="12"/>
      <c r="F1942" s="12"/>
      <c r="G1942" s="12"/>
      <c r="H1942" s="12"/>
      <c r="I1942" s="12"/>
      <c r="J1942" s="12"/>
      <c r="S1942" s="12"/>
      <c r="T1942" s="12"/>
      <c r="U1942" s="16"/>
      <c r="V1942" s="16"/>
      <c r="W1942" s="12"/>
      <c r="Z1942" s="12"/>
      <c r="AA1942" s="16"/>
    </row>
    <row r="1943">
      <c r="A1943" s="8"/>
      <c r="C1943" s="12"/>
      <c r="D1943" s="12"/>
      <c r="E1943" s="12"/>
      <c r="F1943" s="12"/>
      <c r="G1943" s="12"/>
      <c r="H1943" s="12"/>
      <c r="I1943" s="12"/>
      <c r="J1943" s="12"/>
      <c r="S1943" s="12"/>
      <c r="T1943" s="12"/>
      <c r="U1943" s="16"/>
      <c r="V1943" s="16"/>
      <c r="W1943" s="12"/>
      <c r="Z1943" s="12"/>
      <c r="AA1943" s="16"/>
    </row>
    <row r="1944">
      <c r="A1944" s="8"/>
      <c r="C1944" s="12"/>
      <c r="D1944" s="12"/>
      <c r="E1944" s="12"/>
      <c r="F1944" s="12"/>
      <c r="G1944" s="12"/>
      <c r="H1944" s="12"/>
      <c r="I1944" s="12"/>
      <c r="J1944" s="12"/>
      <c r="S1944" s="12"/>
      <c r="T1944" s="12"/>
      <c r="U1944" s="16"/>
      <c r="V1944" s="16"/>
      <c r="W1944" s="12"/>
      <c r="Z1944" s="12"/>
      <c r="AA1944" s="16"/>
    </row>
    <row r="1945">
      <c r="A1945" s="8"/>
      <c r="C1945" s="12"/>
      <c r="D1945" s="12"/>
      <c r="E1945" s="12"/>
      <c r="F1945" s="12"/>
      <c r="G1945" s="12"/>
      <c r="H1945" s="12"/>
      <c r="I1945" s="12"/>
      <c r="J1945" s="12"/>
      <c r="S1945" s="12"/>
      <c r="T1945" s="12"/>
      <c r="U1945" s="16"/>
      <c r="V1945" s="16"/>
      <c r="W1945" s="12"/>
      <c r="Z1945" s="12"/>
      <c r="AA1945" s="16"/>
    </row>
    <row r="1946">
      <c r="A1946" s="8"/>
      <c r="C1946" s="12"/>
      <c r="D1946" s="12"/>
      <c r="E1946" s="12"/>
      <c r="F1946" s="12"/>
      <c r="G1946" s="12"/>
      <c r="H1946" s="12"/>
      <c r="I1946" s="12"/>
      <c r="J1946" s="12"/>
      <c r="S1946" s="12"/>
      <c r="T1946" s="12"/>
      <c r="U1946" s="16"/>
      <c r="V1946" s="16"/>
      <c r="W1946" s="12"/>
      <c r="Z1946" s="12"/>
      <c r="AA1946" s="16"/>
    </row>
    <row r="1947">
      <c r="A1947" s="8"/>
      <c r="C1947" s="12"/>
      <c r="D1947" s="12"/>
      <c r="E1947" s="12"/>
      <c r="F1947" s="12"/>
      <c r="G1947" s="12"/>
      <c r="H1947" s="12"/>
      <c r="I1947" s="12"/>
      <c r="J1947" s="12"/>
      <c r="S1947" s="12"/>
      <c r="T1947" s="12"/>
      <c r="U1947" s="16"/>
      <c r="V1947" s="16"/>
      <c r="W1947" s="12"/>
      <c r="Z1947" s="12"/>
      <c r="AA1947" s="16"/>
    </row>
    <row r="1948">
      <c r="A1948" s="8"/>
      <c r="C1948" s="12"/>
      <c r="D1948" s="12"/>
      <c r="E1948" s="12"/>
      <c r="F1948" s="12"/>
      <c r="G1948" s="12"/>
      <c r="H1948" s="12"/>
      <c r="I1948" s="12"/>
      <c r="J1948" s="12"/>
      <c r="S1948" s="12"/>
      <c r="T1948" s="12"/>
      <c r="U1948" s="16"/>
      <c r="V1948" s="16"/>
      <c r="W1948" s="12"/>
      <c r="Z1948" s="12"/>
      <c r="AA1948" s="16"/>
    </row>
    <row r="1949">
      <c r="A1949" s="8"/>
      <c r="C1949" s="12"/>
      <c r="D1949" s="12"/>
      <c r="E1949" s="12"/>
      <c r="F1949" s="12"/>
      <c r="G1949" s="12"/>
      <c r="H1949" s="12"/>
      <c r="I1949" s="12"/>
      <c r="J1949" s="12"/>
      <c r="S1949" s="12"/>
      <c r="T1949" s="12"/>
      <c r="U1949" s="16"/>
      <c r="V1949" s="16"/>
      <c r="W1949" s="12"/>
      <c r="Z1949" s="12"/>
      <c r="AA1949" s="16"/>
    </row>
    <row r="1950">
      <c r="A1950" s="8"/>
      <c r="C1950" s="12"/>
      <c r="D1950" s="12"/>
      <c r="E1950" s="12"/>
      <c r="F1950" s="12"/>
      <c r="G1950" s="12"/>
      <c r="H1950" s="12"/>
      <c r="I1950" s="12"/>
      <c r="J1950" s="12"/>
      <c r="S1950" s="12"/>
      <c r="T1950" s="12"/>
      <c r="U1950" s="16"/>
      <c r="V1950" s="16"/>
      <c r="W1950" s="12"/>
      <c r="Z1950" s="12"/>
      <c r="AA1950" s="16"/>
    </row>
    <row r="1951">
      <c r="A1951" s="8"/>
      <c r="C1951" s="12"/>
      <c r="D1951" s="12"/>
      <c r="E1951" s="12"/>
      <c r="F1951" s="12"/>
      <c r="G1951" s="12"/>
      <c r="H1951" s="12"/>
      <c r="I1951" s="12"/>
      <c r="J1951" s="12"/>
      <c r="S1951" s="12"/>
      <c r="T1951" s="12"/>
      <c r="U1951" s="16"/>
      <c r="V1951" s="16"/>
      <c r="W1951" s="12"/>
      <c r="Z1951" s="12"/>
      <c r="AA1951" s="16"/>
    </row>
    <row r="1952">
      <c r="A1952" s="8"/>
      <c r="C1952" s="12"/>
      <c r="D1952" s="12"/>
      <c r="E1952" s="12"/>
      <c r="F1952" s="12"/>
      <c r="G1952" s="12"/>
      <c r="H1952" s="12"/>
      <c r="I1952" s="12"/>
      <c r="J1952" s="12"/>
      <c r="S1952" s="12"/>
      <c r="T1952" s="12"/>
      <c r="U1952" s="16"/>
      <c r="V1952" s="16"/>
      <c r="W1952" s="12"/>
      <c r="Z1952" s="12"/>
      <c r="AA1952" s="16"/>
    </row>
    <row r="1953">
      <c r="A1953" s="8"/>
      <c r="C1953" s="12"/>
      <c r="D1953" s="12"/>
      <c r="E1953" s="12"/>
      <c r="F1953" s="12"/>
      <c r="G1953" s="12"/>
      <c r="H1953" s="12"/>
      <c r="I1953" s="12"/>
      <c r="J1953" s="12"/>
      <c r="S1953" s="12"/>
      <c r="T1953" s="12"/>
      <c r="U1953" s="16"/>
      <c r="V1953" s="16"/>
      <c r="W1953" s="12"/>
      <c r="Z1953" s="12"/>
      <c r="AA1953" s="16"/>
    </row>
    <row r="1954">
      <c r="A1954" s="8"/>
      <c r="C1954" s="12"/>
      <c r="D1954" s="12"/>
      <c r="E1954" s="12"/>
      <c r="F1954" s="12"/>
      <c r="G1954" s="12"/>
      <c r="H1954" s="12"/>
      <c r="I1954" s="12"/>
      <c r="J1954" s="12"/>
      <c r="S1954" s="12"/>
      <c r="T1954" s="12"/>
      <c r="U1954" s="16"/>
      <c r="V1954" s="16"/>
      <c r="W1954" s="12"/>
      <c r="Z1954" s="12"/>
      <c r="AA1954" s="16"/>
    </row>
    <row r="1955">
      <c r="A1955" s="8"/>
      <c r="C1955" s="12"/>
      <c r="D1955" s="12"/>
      <c r="E1955" s="12"/>
      <c r="F1955" s="12"/>
      <c r="G1955" s="12"/>
      <c r="H1955" s="12"/>
      <c r="I1955" s="12"/>
      <c r="J1955" s="12"/>
      <c r="S1955" s="12"/>
      <c r="T1955" s="12"/>
      <c r="U1955" s="16"/>
      <c r="V1955" s="16"/>
      <c r="W1955" s="12"/>
      <c r="Z1955" s="12"/>
      <c r="AA1955" s="16"/>
    </row>
    <row r="1956">
      <c r="A1956" s="8"/>
      <c r="C1956" s="12"/>
      <c r="D1956" s="12"/>
      <c r="E1956" s="12"/>
      <c r="F1956" s="12"/>
      <c r="G1956" s="12"/>
      <c r="H1956" s="12"/>
      <c r="I1956" s="12"/>
      <c r="J1956" s="12"/>
      <c r="S1956" s="12"/>
      <c r="T1956" s="12"/>
      <c r="U1956" s="16"/>
      <c r="V1956" s="16"/>
      <c r="W1956" s="12"/>
      <c r="Z1956" s="12"/>
      <c r="AA1956" s="16"/>
    </row>
    <row r="1957">
      <c r="A1957" s="8"/>
      <c r="C1957" s="12"/>
      <c r="D1957" s="12"/>
      <c r="E1957" s="12"/>
      <c r="F1957" s="12"/>
      <c r="G1957" s="12"/>
      <c r="H1957" s="12"/>
      <c r="I1957" s="12"/>
      <c r="J1957" s="12"/>
      <c r="S1957" s="12"/>
      <c r="T1957" s="12"/>
      <c r="U1957" s="16"/>
      <c r="V1957" s="16"/>
      <c r="W1957" s="12"/>
      <c r="Z1957" s="12"/>
      <c r="AA1957" s="16"/>
    </row>
    <row r="1958">
      <c r="A1958" s="8"/>
      <c r="C1958" s="12"/>
      <c r="D1958" s="12"/>
      <c r="E1958" s="12"/>
      <c r="F1958" s="12"/>
      <c r="G1958" s="12"/>
      <c r="H1958" s="12"/>
      <c r="I1958" s="12"/>
      <c r="J1958" s="12"/>
      <c r="S1958" s="12"/>
      <c r="T1958" s="12"/>
      <c r="U1958" s="16"/>
      <c r="V1958" s="16"/>
      <c r="W1958" s="12"/>
      <c r="Z1958" s="12"/>
      <c r="AA1958" s="16"/>
    </row>
    <row r="1959">
      <c r="A1959" s="8"/>
      <c r="C1959" s="12"/>
      <c r="D1959" s="12"/>
      <c r="E1959" s="12"/>
      <c r="F1959" s="12"/>
      <c r="G1959" s="12"/>
      <c r="H1959" s="12"/>
      <c r="I1959" s="12"/>
      <c r="J1959" s="12"/>
      <c r="S1959" s="12"/>
      <c r="T1959" s="12"/>
      <c r="U1959" s="16"/>
      <c r="V1959" s="16"/>
      <c r="W1959" s="12"/>
      <c r="Z1959" s="12"/>
      <c r="AA1959" s="16"/>
    </row>
    <row r="1960">
      <c r="A1960" s="8"/>
      <c r="C1960" s="12"/>
      <c r="D1960" s="12"/>
      <c r="E1960" s="12"/>
      <c r="F1960" s="12"/>
      <c r="G1960" s="12"/>
      <c r="H1960" s="12"/>
      <c r="I1960" s="12"/>
      <c r="J1960" s="12"/>
      <c r="S1960" s="12"/>
      <c r="T1960" s="12"/>
      <c r="U1960" s="16"/>
      <c r="V1960" s="16"/>
      <c r="W1960" s="12"/>
      <c r="Z1960" s="12"/>
      <c r="AA1960" s="16"/>
    </row>
    <row r="1961">
      <c r="A1961" s="8"/>
      <c r="C1961" s="12"/>
      <c r="D1961" s="12"/>
      <c r="E1961" s="12"/>
      <c r="F1961" s="12"/>
      <c r="G1961" s="12"/>
      <c r="H1961" s="12"/>
      <c r="I1961" s="12"/>
      <c r="J1961" s="12"/>
      <c r="S1961" s="12"/>
      <c r="T1961" s="12"/>
      <c r="U1961" s="16"/>
      <c r="V1961" s="16"/>
      <c r="W1961" s="12"/>
      <c r="Z1961" s="12"/>
      <c r="AA1961" s="16"/>
    </row>
    <row r="1962">
      <c r="A1962" s="8"/>
      <c r="C1962" s="12"/>
      <c r="D1962" s="12"/>
      <c r="E1962" s="12"/>
      <c r="F1962" s="12"/>
      <c r="G1962" s="12"/>
      <c r="H1962" s="12"/>
      <c r="I1962" s="12"/>
      <c r="J1962" s="12"/>
      <c r="S1962" s="12"/>
      <c r="T1962" s="12"/>
      <c r="U1962" s="16"/>
      <c r="V1962" s="16"/>
      <c r="W1962" s="12"/>
      <c r="Z1962" s="12"/>
      <c r="AA1962" s="16"/>
    </row>
    <row r="1963">
      <c r="A1963" s="8"/>
      <c r="C1963" s="12"/>
      <c r="D1963" s="12"/>
      <c r="E1963" s="12"/>
      <c r="F1963" s="12"/>
      <c r="G1963" s="12"/>
      <c r="H1963" s="12"/>
      <c r="I1963" s="12"/>
      <c r="J1963" s="12"/>
      <c r="S1963" s="12"/>
      <c r="T1963" s="12"/>
      <c r="U1963" s="16"/>
      <c r="V1963" s="16"/>
      <c r="W1963" s="12"/>
      <c r="Z1963" s="12"/>
      <c r="AA1963" s="16"/>
    </row>
    <row r="1964">
      <c r="A1964" s="8"/>
      <c r="C1964" s="12"/>
      <c r="D1964" s="12"/>
      <c r="E1964" s="12"/>
      <c r="F1964" s="12"/>
      <c r="G1964" s="12"/>
      <c r="H1964" s="12"/>
      <c r="I1964" s="12"/>
      <c r="J1964" s="12"/>
      <c r="S1964" s="12"/>
      <c r="T1964" s="12"/>
      <c r="U1964" s="16"/>
      <c r="V1964" s="16"/>
      <c r="W1964" s="12"/>
      <c r="Z1964" s="12"/>
      <c r="AA1964" s="16"/>
    </row>
    <row r="1965">
      <c r="A1965" s="8"/>
      <c r="C1965" s="12"/>
      <c r="D1965" s="12"/>
      <c r="E1965" s="12"/>
      <c r="F1965" s="12"/>
      <c r="G1965" s="12"/>
      <c r="H1965" s="12"/>
      <c r="I1965" s="12"/>
      <c r="J1965" s="12"/>
      <c r="S1965" s="12"/>
      <c r="T1965" s="12"/>
      <c r="U1965" s="16"/>
      <c r="V1965" s="16"/>
      <c r="W1965" s="12"/>
      <c r="Z1965" s="12"/>
      <c r="AA1965" s="16"/>
    </row>
    <row r="1966">
      <c r="A1966" s="8"/>
      <c r="C1966" s="12"/>
      <c r="D1966" s="12"/>
      <c r="E1966" s="12"/>
      <c r="F1966" s="12"/>
      <c r="G1966" s="12"/>
      <c r="H1966" s="12"/>
      <c r="I1966" s="12"/>
      <c r="J1966" s="12"/>
      <c r="S1966" s="12"/>
      <c r="T1966" s="12"/>
      <c r="U1966" s="16"/>
      <c r="V1966" s="16"/>
      <c r="W1966" s="12"/>
      <c r="Z1966" s="12"/>
      <c r="AA1966" s="16"/>
    </row>
    <row r="1967">
      <c r="A1967" s="8"/>
      <c r="C1967" s="12"/>
      <c r="D1967" s="12"/>
      <c r="E1967" s="12"/>
      <c r="F1967" s="12"/>
      <c r="G1967" s="12"/>
      <c r="H1967" s="12"/>
      <c r="I1967" s="12"/>
      <c r="J1967" s="12"/>
      <c r="S1967" s="12"/>
      <c r="T1967" s="12"/>
      <c r="U1967" s="16"/>
      <c r="V1967" s="16"/>
      <c r="W1967" s="12"/>
      <c r="Z1967" s="12"/>
      <c r="AA1967" s="16"/>
    </row>
    <row r="1968">
      <c r="A1968" s="8"/>
      <c r="C1968" s="12"/>
      <c r="D1968" s="12"/>
      <c r="E1968" s="12"/>
      <c r="F1968" s="12"/>
      <c r="G1968" s="12"/>
      <c r="H1968" s="12"/>
      <c r="I1968" s="12"/>
      <c r="J1968" s="12"/>
      <c r="S1968" s="12"/>
      <c r="T1968" s="12"/>
      <c r="U1968" s="16"/>
      <c r="V1968" s="16"/>
      <c r="W1968" s="12"/>
      <c r="Z1968" s="12"/>
      <c r="AA1968" s="16"/>
    </row>
    <row r="1969">
      <c r="A1969" s="8"/>
      <c r="C1969" s="12"/>
      <c r="D1969" s="12"/>
      <c r="E1969" s="12"/>
      <c r="F1969" s="12"/>
      <c r="G1969" s="12"/>
      <c r="H1969" s="12"/>
      <c r="I1969" s="12"/>
      <c r="J1969" s="12"/>
      <c r="S1969" s="12"/>
      <c r="T1969" s="12"/>
      <c r="U1969" s="16"/>
      <c r="V1969" s="16"/>
      <c r="W1969" s="12"/>
      <c r="Z1969" s="12"/>
      <c r="AA1969" s="16"/>
    </row>
    <row r="1970">
      <c r="A1970" s="8"/>
      <c r="C1970" s="12"/>
      <c r="D1970" s="12"/>
      <c r="E1970" s="12"/>
      <c r="F1970" s="12"/>
      <c r="G1970" s="12"/>
      <c r="H1970" s="12"/>
      <c r="I1970" s="12"/>
      <c r="J1970" s="12"/>
      <c r="S1970" s="12"/>
      <c r="T1970" s="12"/>
      <c r="U1970" s="16"/>
      <c r="V1970" s="16"/>
      <c r="W1970" s="12"/>
      <c r="Z1970" s="12"/>
      <c r="AA1970" s="16"/>
    </row>
    <row r="1971">
      <c r="A1971" s="8"/>
      <c r="C1971" s="12"/>
      <c r="D1971" s="12"/>
      <c r="E1971" s="12"/>
      <c r="F1971" s="12"/>
      <c r="G1971" s="12"/>
      <c r="H1971" s="12"/>
      <c r="I1971" s="12"/>
      <c r="J1971" s="12"/>
      <c r="S1971" s="12"/>
      <c r="T1971" s="12"/>
      <c r="U1971" s="16"/>
      <c r="V1971" s="16"/>
      <c r="W1971" s="12"/>
      <c r="Z1971" s="12"/>
      <c r="AA1971" s="16"/>
    </row>
    <row r="1972">
      <c r="A1972" s="8"/>
      <c r="C1972" s="12"/>
      <c r="D1972" s="12"/>
      <c r="E1972" s="12"/>
      <c r="F1972" s="12"/>
      <c r="G1972" s="12"/>
      <c r="H1972" s="12"/>
      <c r="I1972" s="12"/>
      <c r="J1972" s="12"/>
      <c r="S1972" s="12"/>
      <c r="T1972" s="12"/>
      <c r="U1972" s="16"/>
      <c r="V1972" s="16"/>
      <c r="W1972" s="12"/>
      <c r="Z1972" s="12"/>
      <c r="AA1972" s="16"/>
    </row>
    <row r="1973">
      <c r="A1973" s="8"/>
      <c r="C1973" s="12"/>
      <c r="D1973" s="12"/>
      <c r="E1973" s="12"/>
      <c r="F1973" s="12"/>
      <c r="G1973" s="12"/>
      <c r="H1973" s="12"/>
      <c r="I1973" s="12"/>
      <c r="J1973" s="12"/>
      <c r="S1973" s="12"/>
      <c r="T1973" s="12"/>
      <c r="U1973" s="16"/>
      <c r="V1973" s="16"/>
      <c r="W1973" s="12"/>
      <c r="Z1973" s="12"/>
      <c r="AA1973" s="16"/>
    </row>
    <row r="1974">
      <c r="A1974" s="8"/>
      <c r="C1974" s="12"/>
      <c r="D1974" s="12"/>
      <c r="E1974" s="12"/>
      <c r="F1974" s="12"/>
      <c r="G1974" s="12"/>
      <c r="H1974" s="12"/>
      <c r="I1974" s="12"/>
      <c r="J1974" s="12"/>
      <c r="S1974" s="12"/>
      <c r="T1974" s="12"/>
      <c r="U1974" s="16"/>
      <c r="V1974" s="16"/>
      <c r="W1974" s="12"/>
      <c r="Z1974" s="12"/>
      <c r="AA1974" s="16"/>
    </row>
    <row r="1975">
      <c r="A1975" s="8"/>
      <c r="C1975" s="12"/>
      <c r="D1975" s="12"/>
      <c r="E1975" s="12"/>
      <c r="F1975" s="12"/>
      <c r="G1975" s="12"/>
      <c r="H1975" s="12"/>
      <c r="I1975" s="12"/>
      <c r="J1975" s="12"/>
      <c r="S1975" s="12"/>
      <c r="T1975" s="12"/>
      <c r="U1975" s="16"/>
      <c r="V1975" s="16"/>
      <c r="W1975" s="12"/>
      <c r="Z1975" s="12"/>
      <c r="AA1975" s="16"/>
    </row>
    <row r="1976">
      <c r="A1976" s="8"/>
      <c r="C1976" s="12"/>
      <c r="D1976" s="12"/>
      <c r="E1976" s="12"/>
      <c r="F1976" s="12"/>
      <c r="G1976" s="12"/>
      <c r="H1976" s="12"/>
      <c r="I1976" s="12"/>
      <c r="J1976" s="12"/>
      <c r="S1976" s="12"/>
      <c r="T1976" s="12"/>
      <c r="U1976" s="16"/>
      <c r="V1976" s="16"/>
      <c r="W1976" s="12"/>
      <c r="Z1976" s="12"/>
      <c r="AA1976" s="16"/>
    </row>
    <row r="1977">
      <c r="A1977" s="8"/>
      <c r="C1977" s="12"/>
      <c r="D1977" s="12"/>
      <c r="E1977" s="12"/>
      <c r="F1977" s="12"/>
      <c r="G1977" s="12"/>
      <c r="H1977" s="12"/>
      <c r="I1977" s="12"/>
      <c r="J1977" s="12"/>
      <c r="S1977" s="12"/>
      <c r="T1977" s="12"/>
      <c r="U1977" s="16"/>
      <c r="V1977" s="16"/>
      <c r="W1977" s="12"/>
      <c r="Z1977" s="12"/>
      <c r="AA1977" s="16"/>
    </row>
    <row r="1978">
      <c r="A1978" s="8"/>
      <c r="C1978" s="12"/>
      <c r="D1978" s="12"/>
      <c r="E1978" s="12"/>
      <c r="F1978" s="12"/>
      <c r="G1978" s="12"/>
      <c r="H1978" s="12"/>
      <c r="I1978" s="12"/>
      <c r="J1978" s="12"/>
      <c r="S1978" s="12"/>
      <c r="T1978" s="12"/>
      <c r="U1978" s="16"/>
      <c r="V1978" s="16"/>
      <c r="W1978" s="12"/>
      <c r="Z1978" s="12"/>
      <c r="AA1978" s="16"/>
    </row>
    <row r="1979">
      <c r="A1979" s="8"/>
      <c r="C1979" s="12"/>
      <c r="D1979" s="12"/>
      <c r="E1979" s="12"/>
      <c r="F1979" s="12"/>
      <c r="G1979" s="12"/>
      <c r="H1979" s="12"/>
      <c r="I1979" s="12"/>
      <c r="J1979" s="12"/>
      <c r="S1979" s="12"/>
      <c r="T1979" s="12"/>
      <c r="U1979" s="16"/>
      <c r="V1979" s="16"/>
      <c r="W1979" s="12"/>
      <c r="Z1979" s="12"/>
      <c r="AA1979" s="16"/>
    </row>
    <row r="1980">
      <c r="A1980" s="8"/>
      <c r="C1980" s="12"/>
      <c r="D1980" s="12"/>
      <c r="E1980" s="12"/>
      <c r="F1980" s="12"/>
      <c r="G1980" s="12"/>
      <c r="H1980" s="12"/>
      <c r="I1980" s="12"/>
      <c r="J1980" s="12"/>
      <c r="S1980" s="12"/>
      <c r="T1980" s="12"/>
      <c r="U1980" s="16"/>
      <c r="V1980" s="16"/>
      <c r="W1980" s="12"/>
      <c r="Z1980" s="12"/>
      <c r="AA1980" s="16"/>
    </row>
    <row r="1981">
      <c r="A1981" s="8"/>
      <c r="C1981" s="12"/>
      <c r="D1981" s="12"/>
      <c r="E1981" s="12"/>
      <c r="F1981" s="12"/>
      <c r="G1981" s="12"/>
      <c r="H1981" s="12"/>
      <c r="I1981" s="12"/>
      <c r="J1981" s="12"/>
      <c r="S1981" s="12"/>
      <c r="T1981" s="12"/>
      <c r="U1981" s="16"/>
      <c r="V1981" s="16"/>
      <c r="W1981" s="12"/>
      <c r="Z1981" s="12"/>
      <c r="AA1981" s="16"/>
    </row>
    <row r="1982">
      <c r="A1982" s="8"/>
      <c r="C1982" s="12"/>
      <c r="D1982" s="12"/>
      <c r="E1982" s="12"/>
      <c r="F1982" s="12"/>
      <c r="G1982" s="12"/>
      <c r="H1982" s="12"/>
      <c r="I1982" s="12"/>
      <c r="J1982" s="12"/>
      <c r="S1982" s="12"/>
      <c r="T1982" s="12"/>
      <c r="U1982" s="16"/>
      <c r="V1982" s="16"/>
      <c r="W1982" s="12"/>
      <c r="Z1982" s="12"/>
      <c r="AA1982" s="16"/>
    </row>
    <row r="1983">
      <c r="A1983" s="8"/>
      <c r="C1983" s="12"/>
      <c r="D1983" s="12"/>
      <c r="E1983" s="12"/>
      <c r="F1983" s="12"/>
      <c r="G1983" s="12"/>
      <c r="H1983" s="12"/>
      <c r="I1983" s="12"/>
      <c r="J1983" s="12"/>
      <c r="S1983" s="12"/>
      <c r="T1983" s="12"/>
      <c r="U1983" s="16"/>
      <c r="V1983" s="16"/>
      <c r="W1983" s="12"/>
      <c r="Z1983" s="12"/>
      <c r="AA1983" s="16"/>
    </row>
    <row r="1984">
      <c r="A1984" s="8"/>
      <c r="C1984" s="12"/>
      <c r="D1984" s="12"/>
      <c r="E1984" s="12"/>
      <c r="F1984" s="12"/>
      <c r="G1984" s="12"/>
      <c r="H1984" s="12"/>
      <c r="I1984" s="12"/>
      <c r="J1984" s="12"/>
      <c r="S1984" s="12"/>
      <c r="T1984" s="12"/>
      <c r="U1984" s="16"/>
      <c r="V1984" s="16"/>
      <c r="W1984" s="12"/>
      <c r="Z1984" s="12"/>
      <c r="AA1984" s="16"/>
    </row>
    <row r="1985">
      <c r="A1985" s="8"/>
      <c r="C1985" s="12"/>
      <c r="D1985" s="12"/>
      <c r="E1985" s="12"/>
      <c r="F1985" s="12"/>
      <c r="G1985" s="12"/>
      <c r="H1985" s="12"/>
      <c r="I1985" s="12"/>
      <c r="J1985" s="12"/>
      <c r="S1985" s="12"/>
      <c r="T1985" s="12"/>
      <c r="U1985" s="16"/>
      <c r="V1985" s="16"/>
      <c r="W1985" s="12"/>
      <c r="Z1985" s="12"/>
      <c r="AA1985" s="16"/>
    </row>
    <row r="1986">
      <c r="A1986" s="8"/>
      <c r="C1986" s="12"/>
      <c r="D1986" s="12"/>
      <c r="E1986" s="12"/>
      <c r="F1986" s="12"/>
      <c r="G1986" s="12"/>
      <c r="H1986" s="12"/>
      <c r="I1986" s="12"/>
      <c r="J1986" s="12"/>
      <c r="S1986" s="12"/>
      <c r="T1986" s="12"/>
      <c r="U1986" s="16"/>
      <c r="V1986" s="16"/>
      <c r="W1986" s="12"/>
      <c r="Z1986" s="12"/>
      <c r="AA1986" s="16"/>
    </row>
    <row r="1987">
      <c r="A1987" s="8"/>
      <c r="C1987" s="12"/>
      <c r="D1987" s="12"/>
      <c r="E1987" s="12"/>
      <c r="F1987" s="12"/>
      <c r="G1987" s="12"/>
      <c r="H1987" s="12"/>
      <c r="I1987" s="12"/>
      <c r="J1987" s="12"/>
      <c r="S1987" s="12"/>
      <c r="T1987" s="12"/>
      <c r="U1987" s="16"/>
      <c r="V1987" s="16"/>
      <c r="W1987" s="12"/>
      <c r="Z1987" s="12"/>
      <c r="AA1987" s="16"/>
    </row>
    <row r="1988">
      <c r="A1988" s="8"/>
      <c r="C1988" s="12"/>
      <c r="D1988" s="12"/>
      <c r="E1988" s="12"/>
      <c r="F1988" s="12"/>
      <c r="G1988" s="12"/>
      <c r="H1988" s="12"/>
      <c r="I1988" s="12"/>
      <c r="J1988" s="12"/>
      <c r="S1988" s="12"/>
      <c r="T1988" s="12"/>
      <c r="U1988" s="16"/>
      <c r="V1988" s="16"/>
      <c r="W1988" s="12"/>
      <c r="Z1988" s="12"/>
      <c r="AA1988" s="16"/>
    </row>
    <row r="1989">
      <c r="A1989" s="8"/>
      <c r="C1989" s="12"/>
      <c r="D1989" s="12"/>
      <c r="E1989" s="12"/>
      <c r="F1989" s="12"/>
      <c r="G1989" s="12"/>
      <c r="H1989" s="12"/>
      <c r="I1989" s="12"/>
      <c r="J1989" s="12"/>
      <c r="S1989" s="12"/>
      <c r="T1989" s="12"/>
      <c r="U1989" s="16"/>
      <c r="V1989" s="16"/>
      <c r="W1989" s="12"/>
      <c r="Z1989" s="12"/>
      <c r="AA1989" s="16"/>
    </row>
    <row r="1990">
      <c r="A1990" s="8"/>
      <c r="C1990" s="12"/>
      <c r="D1990" s="12"/>
      <c r="E1990" s="12"/>
      <c r="F1990" s="12"/>
      <c r="G1990" s="12"/>
      <c r="H1990" s="12"/>
      <c r="I1990" s="12"/>
      <c r="J1990" s="12"/>
      <c r="S1990" s="12"/>
      <c r="T1990" s="12"/>
      <c r="U1990" s="16"/>
      <c r="V1990" s="16"/>
      <c r="W1990" s="12"/>
      <c r="Z1990" s="12"/>
      <c r="AA1990" s="16"/>
    </row>
    <row r="1991">
      <c r="A1991" s="8"/>
      <c r="C1991" s="12"/>
      <c r="D1991" s="12"/>
      <c r="E1991" s="12"/>
      <c r="F1991" s="12"/>
      <c r="G1991" s="12"/>
      <c r="H1991" s="12"/>
      <c r="I1991" s="12"/>
      <c r="J1991" s="12"/>
      <c r="S1991" s="12"/>
      <c r="T1991" s="12"/>
      <c r="U1991" s="16"/>
      <c r="V1991" s="16"/>
      <c r="W1991" s="12"/>
      <c r="Z1991" s="12"/>
      <c r="AA1991" s="16"/>
    </row>
    <row r="1992">
      <c r="A1992" s="8"/>
      <c r="C1992" s="12"/>
      <c r="D1992" s="12"/>
      <c r="E1992" s="12"/>
      <c r="F1992" s="12"/>
      <c r="G1992" s="12"/>
      <c r="H1992" s="12"/>
      <c r="I1992" s="12"/>
      <c r="J1992" s="12"/>
      <c r="S1992" s="12"/>
      <c r="T1992" s="12"/>
      <c r="U1992" s="16"/>
      <c r="V1992" s="16"/>
      <c r="W1992" s="12"/>
      <c r="Z1992" s="12"/>
      <c r="AA1992" s="16"/>
    </row>
    <row r="1993">
      <c r="A1993" s="8"/>
      <c r="C1993" s="12"/>
      <c r="D1993" s="12"/>
      <c r="E1993" s="12"/>
      <c r="F1993" s="12"/>
      <c r="G1993" s="12"/>
      <c r="H1993" s="12"/>
      <c r="I1993" s="12"/>
      <c r="J1993" s="12"/>
      <c r="S1993" s="12"/>
      <c r="T1993" s="12"/>
      <c r="U1993" s="16"/>
      <c r="V1993" s="16"/>
      <c r="W1993" s="12"/>
      <c r="Z1993" s="12"/>
      <c r="AA1993" s="16"/>
    </row>
    <row r="1994">
      <c r="A1994" s="8"/>
      <c r="C1994" s="12"/>
      <c r="D1994" s="12"/>
      <c r="E1994" s="12"/>
      <c r="F1994" s="12"/>
      <c r="G1994" s="12"/>
      <c r="H1994" s="12"/>
      <c r="I1994" s="12"/>
      <c r="J1994" s="12"/>
      <c r="S1994" s="12"/>
      <c r="T1994" s="12"/>
      <c r="U1994" s="16"/>
      <c r="V1994" s="16"/>
      <c r="W1994" s="12"/>
      <c r="Z1994" s="12"/>
      <c r="AA1994" s="16"/>
    </row>
    <row r="1995">
      <c r="A1995" s="8"/>
      <c r="C1995" s="12"/>
      <c r="D1995" s="12"/>
      <c r="E1995" s="12"/>
      <c r="F1995" s="12"/>
      <c r="G1995" s="12"/>
      <c r="H1995" s="12"/>
      <c r="I1995" s="12"/>
      <c r="J1995" s="12"/>
      <c r="S1995" s="12"/>
      <c r="T1995" s="12"/>
      <c r="U1995" s="16"/>
      <c r="V1995" s="16"/>
      <c r="W1995" s="12"/>
      <c r="Z1995" s="12"/>
      <c r="AA1995" s="16"/>
    </row>
    <row r="1996">
      <c r="A1996" s="8"/>
      <c r="C1996" s="12"/>
      <c r="D1996" s="12"/>
      <c r="E1996" s="12"/>
      <c r="F1996" s="12"/>
      <c r="G1996" s="12"/>
      <c r="H1996" s="12"/>
      <c r="I1996" s="12"/>
      <c r="J1996" s="12"/>
      <c r="S1996" s="12"/>
      <c r="T1996" s="12"/>
      <c r="U1996" s="16"/>
      <c r="V1996" s="16"/>
      <c r="W1996" s="12"/>
      <c r="Z1996" s="12"/>
      <c r="AA1996" s="16"/>
    </row>
    <row r="1997">
      <c r="A1997" s="8"/>
      <c r="C1997" s="12"/>
      <c r="D1997" s="12"/>
      <c r="E1997" s="12"/>
      <c r="F1997" s="12"/>
      <c r="G1997" s="12"/>
      <c r="H1997" s="12"/>
      <c r="I1997" s="12"/>
      <c r="J1997" s="12"/>
      <c r="S1997" s="12"/>
      <c r="T1997" s="12"/>
      <c r="U1997" s="16"/>
      <c r="V1997" s="16"/>
      <c r="W1997" s="12"/>
      <c r="Z1997" s="12"/>
      <c r="AA1997" s="16"/>
    </row>
    <row r="1998">
      <c r="A1998" s="8"/>
      <c r="C1998" s="12"/>
      <c r="D1998" s="12"/>
      <c r="E1998" s="12"/>
      <c r="F1998" s="12"/>
      <c r="G1998" s="12"/>
      <c r="H1998" s="12"/>
      <c r="I1998" s="12"/>
      <c r="J1998" s="12"/>
      <c r="S1998" s="12"/>
      <c r="T1998" s="12"/>
      <c r="U1998" s="16"/>
      <c r="V1998" s="16"/>
      <c r="W1998" s="12"/>
      <c r="Z1998" s="12"/>
      <c r="AA1998" s="16"/>
    </row>
    <row r="1999">
      <c r="A1999" s="8"/>
      <c r="C1999" s="12"/>
      <c r="D1999" s="12"/>
      <c r="E1999" s="12"/>
      <c r="F1999" s="12"/>
      <c r="G1999" s="12"/>
      <c r="H1999" s="12"/>
      <c r="I1999" s="12"/>
      <c r="J1999" s="12"/>
      <c r="S1999" s="12"/>
      <c r="T1999" s="12"/>
      <c r="U1999" s="16"/>
      <c r="V1999" s="16"/>
      <c r="W1999" s="12"/>
      <c r="Z1999" s="12"/>
      <c r="AA1999" s="16"/>
    </row>
    <row r="2000">
      <c r="A2000" s="8"/>
      <c r="C2000" s="12"/>
      <c r="D2000" s="12"/>
      <c r="E2000" s="12"/>
      <c r="F2000" s="12"/>
      <c r="G2000" s="12"/>
      <c r="H2000" s="12"/>
      <c r="I2000" s="12"/>
      <c r="J2000" s="12"/>
      <c r="S2000" s="12"/>
      <c r="T2000" s="12"/>
      <c r="U2000" s="16"/>
      <c r="V2000" s="16"/>
      <c r="W2000" s="12"/>
      <c r="Z2000" s="12"/>
      <c r="AA2000" s="16"/>
    </row>
    <row r="2001">
      <c r="A2001" s="8"/>
      <c r="C2001" s="12"/>
      <c r="D2001" s="12"/>
      <c r="E2001" s="12"/>
      <c r="F2001" s="12"/>
      <c r="G2001" s="12"/>
      <c r="H2001" s="12"/>
      <c r="I2001" s="12"/>
      <c r="J2001" s="12"/>
      <c r="S2001" s="12"/>
      <c r="T2001" s="12"/>
      <c r="U2001" s="16"/>
      <c r="V2001" s="16"/>
      <c r="W2001" s="12"/>
      <c r="Z2001" s="12"/>
      <c r="AA2001" s="16"/>
    </row>
    <row r="2002">
      <c r="A2002" s="8"/>
      <c r="C2002" s="12"/>
      <c r="D2002" s="12"/>
      <c r="E2002" s="12"/>
      <c r="F2002" s="12"/>
      <c r="G2002" s="12"/>
      <c r="H2002" s="12"/>
      <c r="I2002" s="12"/>
      <c r="J2002" s="12"/>
      <c r="S2002" s="12"/>
      <c r="T2002" s="12"/>
      <c r="U2002" s="16"/>
      <c r="V2002" s="16"/>
      <c r="W2002" s="12"/>
      <c r="Z2002" s="12"/>
      <c r="AA2002" s="16"/>
    </row>
    <row r="2003">
      <c r="A2003" s="8"/>
      <c r="C2003" s="12"/>
      <c r="D2003" s="12"/>
      <c r="E2003" s="12"/>
      <c r="F2003" s="12"/>
      <c r="G2003" s="12"/>
      <c r="H2003" s="12"/>
      <c r="I2003" s="12"/>
      <c r="J2003" s="12"/>
      <c r="S2003" s="12"/>
      <c r="T2003" s="12"/>
      <c r="U2003" s="16"/>
      <c r="V2003" s="16"/>
      <c r="W2003" s="12"/>
      <c r="Z2003" s="12"/>
      <c r="AA2003" s="16"/>
    </row>
    <row r="2004">
      <c r="A2004" s="8"/>
      <c r="C2004" s="12"/>
      <c r="D2004" s="12"/>
      <c r="E2004" s="12"/>
      <c r="F2004" s="12"/>
      <c r="G2004" s="12"/>
      <c r="H2004" s="12"/>
      <c r="I2004" s="12"/>
      <c r="J2004" s="12"/>
      <c r="S2004" s="12"/>
      <c r="T2004" s="12"/>
      <c r="U2004" s="16"/>
      <c r="V2004" s="16"/>
      <c r="W2004" s="12"/>
      <c r="Z2004" s="12"/>
      <c r="AA2004" s="16"/>
    </row>
    <row r="2005">
      <c r="A2005" s="8"/>
      <c r="C2005" s="12"/>
      <c r="D2005" s="12"/>
      <c r="E2005" s="12"/>
      <c r="F2005" s="12"/>
      <c r="G2005" s="12"/>
      <c r="H2005" s="12"/>
      <c r="I2005" s="12"/>
      <c r="J2005" s="12"/>
      <c r="S2005" s="12"/>
      <c r="T2005" s="12"/>
      <c r="U2005" s="16"/>
      <c r="V2005" s="16"/>
      <c r="W2005" s="12"/>
      <c r="Z2005" s="12"/>
      <c r="AA2005" s="16"/>
    </row>
    <row r="2006">
      <c r="A2006" s="8"/>
      <c r="C2006" s="12"/>
      <c r="D2006" s="12"/>
      <c r="E2006" s="12"/>
      <c r="F2006" s="12"/>
      <c r="G2006" s="12"/>
      <c r="H2006" s="12"/>
      <c r="I2006" s="12"/>
      <c r="J2006" s="12"/>
      <c r="S2006" s="12"/>
      <c r="T2006" s="12"/>
      <c r="U2006" s="16"/>
      <c r="V2006" s="16"/>
      <c r="W2006" s="12"/>
      <c r="Z2006" s="12"/>
      <c r="AA2006" s="16"/>
    </row>
    <row r="2007">
      <c r="A2007" s="8"/>
      <c r="C2007" s="12"/>
      <c r="D2007" s="12"/>
      <c r="E2007" s="12"/>
      <c r="F2007" s="12"/>
      <c r="G2007" s="12"/>
      <c r="H2007" s="12"/>
      <c r="I2007" s="12"/>
      <c r="J2007" s="12"/>
      <c r="S2007" s="12"/>
      <c r="T2007" s="12"/>
      <c r="U2007" s="16"/>
      <c r="V2007" s="16"/>
      <c r="W2007" s="12"/>
      <c r="Z2007" s="12"/>
      <c r="AA2007" s="16"/>
    </row>
    <row r="2008">
      <c r="A2008" s="8"/>
      <c r="C2008" s="12"/>
      <c r="D2008" s="12"/>
      <c r="E2008" s="12"/>
      <c r="F2008" s="12"/>
      <c r="G2008" s="12"/>
      <c r="H2008" s="12"/>
      <c r="I2008" s="12"/>
      <c r="J2008" s="12"/>
      <c r="S2008" s="12"/>
      <c r="T2008" s="12"/>
      <c r="U2008" s="16"/>
      <c r="V2008" s="16"/>
      <c r="W2008" s="12"/>
      <c r="Z2008" s="12"/>
      <c r="AA2008" s="16"/>
    </row>
    <row r="2009">
      <c r="A2009" s="8"/>
      <c r="C2009" s="12"/>
      <c r="D2009" s="12"/>
      <c r="E2009" s="12"/>
      <c r="F2009" s="12"/>
      <c r="G2009" s="12"/>
      <c r="H2009" s="12"/>
      <c r="I2009" s="12"/>
      <c r="J2009" s="12"/>
      <c r="S2009" s="12"/>
      <c r="T2009" s="12"/>
      <c r="U2009" s="16"/>
      <c r="V2009" s="16"/>
      <c r="W2009" s="12"/>
      <c r="Z2009" s="12"/>
      <c r="AA2009" s="16"/>
    </row>
    <row r="2010">
      <c r="A2010" s="8"/>
      <c r="C2010" s="12"/>
      <c r="D2010" s="12"/>
      <c r="E2010" s="12"/>
      <c r="F2010" s="12"/>
      <c r="G2010" s="12"/>
      <c r="H2010" s="12"/>
      <c r="I2010" s="12"/>
      <c r="J2010" s="12"/>
      <c r="S2010" s="12"/>
      <c r="T2010" s="12"/>
      <c r="U2010" s="16"/>
      <c r="V2010" s="16"/>
      <c r="W2010" s="12"/>
      <c r="Z2010" s="12"/>
      <c r="AA2010" s="16"/>
    </row>
    <row r="2011">
      <c r="A2011" s="8"/>
      <c r="C2011" s="12"/>
      <c r="D2011" s="12"/>
      <c r="E2011" s="12"/>
      <c r="F2011" s="12"/>
      <c r="G2011" s="12"/>
      <c r="H2011" s="12"/>
      <c r="I2011" s="12"/>
      <c r="J2011" s="12"/>
      <c r="S2011" s="12"/>
      <c r="T2011" s="12"/>
      <c r="U2011" s="16"/>
      <c r="V2011" s="16"/>
      <c r="W2011" s="12"/>
      <c r="Z2011" s="12"/>
      <c r="AA2011" s="16"/>
    </row>
    <row r="2012">
      <c r="A2012" s="8"/>
      <c r="C2012" s="12"/>
      <c r="D2012" s="12"/>
      <c r="E2012" s="12"/>
      <c r="F2012" s="12"/>
      <c r="G2012" s="12"/>
      <c r="H2012" s="12"/>
      <c r="I2012" s="12"/>
      <c r="J2012" s="12"/>
      <c r="S2012" s="12"/>
      <c r="T2012" s="12"/>
      <c r="U2012" s="16"/>
      <c r="V2012" s="16"/>
      <c r="W2012" s="12"/>
      <c r="Z2012" s="12"/>
      <c r="AA2012" s="16"/>
    </row>
    <row r="2013">
      <c r="A2013" s="8"/>
      <c r="C2013" s="12"/>
      <c r="D2013" s="12"/>
      <c r="E2013" s="12"/>
      <c r="F2013" s="12"/>
      <c r="G2013" s="12"/>
      <c r="H2013" s="12"/>
      <c r="I2013" s="12"/>
      <c r="J2013" s="12"/>
      <c r="S2013" s="12"/>
      <c r="T2013" s="12"/>
      <c r="U2013" s="16"/>
      <c r="V2013" s="16"/>
      <c r="W2013" s="12"/>
      <c r="Z2013" s="12"/>
      <c r="AA2013" s="16"/>
    </row>
    <row r="2014">
      <c r="A2014" s="8"/>
      <c r="C2014" s="12"/>
      <c r="D2014" s="12"/>
      <c r="E2014" s="12"/>
      <c r="F2014" s="12"/>
      <c r="G2014" s="12"/>
      <c r="H2014" s="12"/>
      <c r="I2014" s="12"/>
      <c r="J2014" s="12"/>
      <c r="S2014" s="12"/>
      <c r="T2014" s="12"/>
      <c r="U2014" s="16"/>
      <c r="V2014" s="16"/>
      <c r="W2014" s="12"/>
      <c r="Z2014" s="12"/>
      <c r="AA2014" s="16"/>
    </row>
    <row r="2015">
      <c r="A2015" s="8"/>
      <c r="C2015" s="12"/>
      <c r="D2015" s="12"/>
      <c r="E2015" s="12"/>
      <c r="F2015" s="12"/>
      <c r="G2015" s="12"/>
      <c r="H2015" s="12"/>
      <c r="I2015" s="12"/>
      <c r="J2015" s="12"/>
      <c r="S2015" s="12"/>
      <c r="T2015" s="12"/>
      <c r="U2015" s="16"/>
      <c r="V2015" s="16"/>
      <c r="W2015" s="12"/>
      <c r="Z2015" s="12"/>
      <c r="AA2015" s="16"/>
    </row>
    <row r="2016">
      <c r="A2016" s="8"/>
      <c r="C2016" s="12"/>
      <c r="D2016" s="12"/>
      <c r="E2016" s="12"/>
      <c r="F2016" s="12"/>
      <c r="G2016" s="12"/>
      <c r="H2016" s="12"/>
      <c r="I2016" s="12"/>
      <c r="J2016" s="12"/>
      <c r="S2016" s="12"/>
      <c r="T2016" s="12"/>
      <c r="U2016" s="16"/>
      <c r="V2016" s="16"/>
      <c r="W2016" s="12"/>
      <c r="Z2016" s="12"/>
      <c r="AA2016" s="16"/>
    </row>
    <row r="2017">
      <c r="A2017" s="8"/>
      <c r="C2017" s="12"/>
      <c r="D2017" s="12"/>
      <c r="E2017" s="12"/>
      <c r="F2017" s="12"/>
      <c r="G2017" s="12"/>
      <c r="H2017" s="12"/>
      <c r="I2017" s="12"/>
      <c r="J2017" s="12"/>
      <c r="S2017" s="12"/>
      <c r="T2017" s="12"/>
      <c r="U2017" s="16"/>
      <c r="V2017" s="16"/>
      <c r="W2017" s="12"/>
      <c r="Z2017" s="12"/>
      <c r="AA2017" s="16"/>
    </row>
    <row r="2018">
      <c r="A2018" s="8"/>
      <c r="C2018" s="12"/>
      <c r="D2018" s="12"/>
      <c r="E2018" s="12"/>
      <c r="F2018" s="12"/>
      <c r="G2018" s="12"/>
      <c r="H2018" s="12"/>
      <c r="I2018" s="12"/>
      <c r="J2018" s="12"/>
      <c r="S2018" s="12"/>
      <c r="T2018" s="12"/>
      <c r="U2018" s="16"/>
      <c r="V2018" s="16"/>
      <c r="W2018" s="12"/>
      <c r="Z2018" s="12"/>
      <c r="AA2018" s="16"/>
    </row>
    <row r="2019">
      <c r="A2019" s="8"/>
      <c r="C2019" s="12"/>
      <c r="D2019" s="12"/>
      <c r="E2019" s="12"/>
      <c r="F2019" s="12"/>
      <c r="G2019" s="12"/>
      <c r="H2019" s="12"/>
      <c r="I2019" s="12"/>
      <c r="J2019" s="12"/>
      <c r="S2019" s="12"/>
      <c r="T2019" s="12"/>
      <c r="U2019" s="16"/>
      <c r="V2019" s="16"/>
      <c r="W2019" s="12"/>
      <c r="Z2019" s="12"/>
      <c r="AA2019" s="16"/>
    </row>
    <row r="2020">
      <c r="A2020" s="8"/>
      <c r="C2020" s="12"/>
      <c r="D2020" s="12"/>
      <c r="E2020" s="12"/>
      <c r="F2020" s="12"/>
      <c r="G2020" s="12"/>
      <c r="H2020" s="12"/>
      <c r="I2020" s="12"/>
      <c r="J2020" s="12"/>
      <c r="S2020" s="12"/>
      <c r="T2020" s="12"/>
      <c r="U2020" s="16"/>
      <c r="V2020" s="16"/>
      <c r="W2020" s="12"/>
      <c r="Z2020" s="12"/>
      <c r="AA2020" s="16"/>
    </row>
    <row r="2021">
      <c r="A2021" s="8"/>
      <c r="C2021" s="12"/>
      <c r="D2021" s="12"/>
      <c r="E2021" s="12"/>
      <c r="F2021" s="12"/>
      <c r="G2021" s="12"/>
      <c r="H2021" s="12"/>
      <c r="I2021" s="12"/>
      <c r="J2021" s="12"/>
      <c r="S2021" s="12"/>
      <c r="T2021" s="12"/>
      <c r="U2021" s="16"/>
      <c r="V2021" s="16"/>
      <c r="W2021" s="12"/>
      <c r="Z2021" s="12"/>
      <c r="AA2021" s="16"/>
    </row>
    <row r="2022">
      <c r="A2022" s="8"/>
      <c r="C2022" s="12"/>
      <c r="D2022" s="12"/>
      <c r="E2022" s="12"/>
      <c r="F2022" s="12"/>
      <c r="G2022" s="12"/>
      <c r="H2022" s="12"/>
      <c r="I2022" s="12"/>
      <c r="J2022" s="12"/>
      <c r="S2022" s="12"/>
      <c r="T2022" s="12"/>
      <c r="U2022" s="16"/>
      <c r="V2022" s="16"/>
      <c r="W2022" s="12"/>
      <c r="Z2022" s="12"/>
      <c r="AA2022" s="16"/>
    </row>
    <row r="2023">
      <c r="A2023" s="8"/>
      <c r="C2023" s="12"/>
      <c r="D2023" s="12"/>
      <c r="E2023" s="12"/>
      <c r="F2023" s="12"/>
      <c r="G2023" s="12"/>
      <c r="H2023" s="12"/>
      <c r="I2023" s="12"/>
      <c r="J2023" s="12"/>
      <c r="S2023" s="12"/>
      <c r="T2023" s="12"/>
      <c r="U2023" s="16"/>
      <c r="V2023" s="16"/>
      <c r="W2023" s="12"/>
      <c r="Z2023" s="12"/>
      <c r="AA2023" s="16"/>
    </row>
    <row r="2024">
      <c r="A2024" s="8"/>
      <c r="C2024" s="12"/>
      <c r="D2024" s="12"/>
      <c r="E2024" s="12"/>
      <c r="F2024" s="12"/>
      <c r="G2024" s="12"/>
      <c r="H2024" s="12"/>
      <c r="I2024" s="12"/>
      <c r="J2024" s="12"/>
      <c r="S2024" s="12"/>
      <c r="T2024" s="12"/>
      <c r="U2024" s="16"/>
      <c r="V2024" s="16"/>
      <c r="W2024" s="12"/>
      <c r="Z2024" s="12"/>
      <c r="AA2024" s="16"/>
    </row>
    <row r="2025">
      <c r="A2025" s="8"/>
      <c r="C2025" s="12"/>
      <c r="D2025" s="12"/>
      <c r="E2025" s="12"/>
      <c r="F2025" s="12"/>
      <c r="G2025" s="12"/>
      <c r="H2025" s="12"/>
      <c r="I2025" s="12"/>
      <c r="J2025" s="12"/>
      <c r="S2025" s="12"/>
      <c r="T2025" s="12"/>
      <c r="U2025" s="16"/>
      <c r="V2025" s="16"/>
      <c r="W2025" s="12"/>
      <c r="Z2025" s="12"/>
      <c r="AA2025" s="16"/>
    </row>
    <row r="2026">
      <c r="A2026" s="8"/>
      <c r="C2026" s="12"/>
      <c r="D2026" s="12"/>
      <c r="E2026" s="12"/>
      <c r="F2026" s="12"/>
      <c r="G2026" s="12"/>
      <c r="H2026" s="12"/>
      <c r="I2026" s="12"/>
      <c r="J2026" s="12"/>
      <c r="S2026" s="12"/>
      <c r="T2026" s="12"/>
      <c r="U2026" s="16"/>
      <c r="V2026" s="16"/>
      <c r="W2026" s="12"/>
      <c r="Z2026" s="12"/>
      <c r="AA2026" s="1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</cols>
  <sheetData>
    <row r="1">
      <c r="A1" s="30" t="s">
        <v>23</v>
      </c>
      <c r="B1" s="30"/>
    </row>
    <row r="2">
      <c r="A2" s="30" t="s">
        <v>24</v>
      </c>
      <c r="B2" s="30">
        <v>100.0</v>
      </c>
    </row>
    <row r="3">
      <c r="A3" s="30" t="s">
        <v>25</v>
      </c>
      <c r="B3" s="30">
        <v>100.0</v>
      </c>
    </row>
    <row r="5">
      <c r="A5" s="30" t="s">
        <v>26</v>
      </c>
    </row>
    <row r="6">
      <c r="A6" s="30" t="s">
        <v>27</v>
      </c>
      <c r="B6" s="30">
        <v>20.0</v>
      </c>
    </row>
    <row r="7">
      <c r="A7" s="30" t="s">
        <v>28</v>
      </c>
      <c r="B7" s="30">
        <v>252.0</v>
      </c>
    </row>
    <row r="8">
      <c r="A8" s="30" t="s">
        <v>29</v>
      </c>
      <c r="B8" s="30">
        <v>1.0</v>
      </c>
    </row>
    <row r="9">
      <c r="A9" s="30" t="s">
        <v>30</v>
      </c>
      <c r="B9" s="30">
        <v>20.0</v>
      </c>
    </row>
    <row r="10">
      <c r="A10" s="30" t="s">
        <v>31</v>
      </c>
      <c r="B10" s="30">
        <v>2.0</v>
      </c>
    </row>
    <row r="11">
      <c r="A11" s="30" t="s">
        <v>32</v>
      </c>
      <c r="B11" s="30" t="s">
        <v>33</v>
      </c>
    </row>
    <row r="12">
      <c r="A12" s="30" t="s">
        <v>34</v>
      </c>
      <c r="B12" s="30" t="s">
        <v>35</v>
      </c>
    </row>
    <row r="14">
      <c r="A14" s="30" t="s">
        <v>36</v>
      </c>
      <c r="B14" s="30">
        <v>100.0</v>
      </c>
    </row>
    <row r="15">
      <c r="A15" s="30" t="s">
        <v>37</v>
      </c>
      <c r="B15" s="30">
        <v>1000.0</v>
      </c>
    </row>
    <row r="16">
      <c r="A16" s="30" t="s">
        <v>38</v>
      </c>
      <c r="B16" s="9">
        <f>(1-0.011)^4</f>
        <v>0.9567206906</v>
      </c>
    </row>
    <row r="17">
      <c r="A17" s="30" t="s">
        <v>39</v>
      </c>
      <c r="B17" s="30">
        <f>100/B16</f>
        <v>104.5237142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75"/>
    <col customWidth="1" min="2" max="2" width="11.13"/>
    <col customWidth="1" min="3" max="3" width="13.75"/>
    <col customWidth="1" min="4" max="4" width="7.75"/>
    <col customWidth="1" min="5" max="5" width="7.0"/>
    <col customWidth="1" min="6" max="6" width="7.5"/>
    <col customWidth="1" min="7" max="7" width="8.25"/>
    <col customWidth="1" min="8" max="8" width="13.88"/>
    <col customWidth="1" min="9" max="9" width="14.0"/>
    <col customWidth="1" min="10" max="10" width="13.88"/>
    <col customWidth="1" min="12" max="12" width="8.38"/>
  </cols>
  <sheetData>
    <row r="1">
      <c r="A1" s="1" t="s">
        <v>0</v>
      </c>
      <c r="B1" s="1" t="s">
        <v>40</v>
      </c>
      <c r="C1" s="1" t="s">
        <v>41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>
      <c r="A2" s="31">
        <f>DATE(2014,4,30)</f>
        <v>41759</v>
      </c>
      <c r="B2" s="16">
        <f t="array" ref="B2">XLOOKUP(A2, Index!A:A, Index!AA:AA)
</f>
        <v>100</v>
      </c>
      <c r="C2" s="16">
        <f t="shared" ref="C2:C50" si="1">($A$51-A2)/365</f>
        <v>3.997260274</v>
      </c>
      <c r="D2" s="12">
        <f t="array" ref="D2">XLOOKUP(A2, Index!A:A, Index!C:C)
</f>
        <v>0.00261</v>
      </c>
      <c r="E2" s="12">
        <f t="array" ref="E2">XLOOKUP(A2, Index!A:A, Index!D:D)
</f>
        <v>0.00339</v>
      </c>
      <c r="F2" s="12">
        <f t="array" ref="F2">XLOOKUP(A2, Index!A:A, Index!E:E)
</f>
        <v>0.00438</v>
      </c>
      <c r="G2" s="12">
        <f t="array" ref="G2">XLOOKUP(A2, Index!A:A, Index!F:F)
</f>
        <v>0.00614</v>
      </c>
      <c r="H2" s="12">
        <f t="array" ref="H2">XLOOKUP(A2, Index!A:A, Index!H:H)
</f>
        <v>0.00448</v>
      </c>
      <c r="I2" s="12">
        <f t="array" ref="I2">XLOOKUP(A2, Index!A:A, Index!I:I)
</f>
        <v>0.0057</v>
      </c>
      <c r="J2" s="12">
        <f t="array" ref="J2">XLOOKUP(A2, Index!A:A, Index!J:J)
</f>
        <v>0.009156</v>
      </c>
      <c r="K2" s="12">
        <f t="shared" ref="K2:K13" si="2">I2+((C2-3)/(5-3))*(J2-I2)</f>
        <v>0.007423265753</v>
      </c>
      <c r="L2" s="5">
        <v>0.06</v>
      </c>
      <c r="M2" s="16">
        <f>(LN(B2/Indications!$B$17)+C2*(K2+0.5*(L2)^2))/(L2*SQRT(C2))</f>
        <v>-0.06148769141</v>
      </c>
      <c r="N2" s="16">
        <f t="shared" ref="N2:N50" si="3">M2-L2*SQRT(C2)</f>
        <v>-0.1814465885</v>
      </c>
      <c r="O2" s="32">
        <f>B2*_xlfn.NORM.S.DIST(M2) - EXP(-K2*C2)*_xlfn.NORM.S.DIST(N2)*Indications!$B$17</f>
        <v>4.119468395</v>
      </c>
      <c r="P2" s="16">
        <f>(1000/Indications!$B$17)*O2</f>
        <v>39.41180648</v>
      </c>
    </row>
    <row r="3">
      <c r="A3" s="31">
        <f>DATE(2014,5,30)</f>
        <v>41789</v>
      </c>
      <c r="B3" s="16">
        <f t="array" ref="B3">XLOOKUP(A3, Index!A:A, Index!AA:AA)
</f>
        <v>102.0333455</v>
      </c>
      <c r="C3" s="16">
        <f t="shared" si="1"/>
        <v>3.915068493</v>
      </c>
      <c r="D3" s="12">
        <f t="array" ref="D3">XLOOKUP(A3, Index!A:A, Index!C:C)
</f>
        <v>0.00251</v>
      </c>
      <c r="E3" s="12">
        <f t="array" ref="E3">XLOOKUP(A3, Index!A:A, Index!D:D)
</f>
        <v>0.00311</v>
      </c>
      <c r="F3" s="12">
        <f t="array" ref="F3">XLOOKUP(A3, Index!A:A, Index!E:E)
</f>
        <v>0.00397</v>
      </c>
      <c r="G3" s="12">
        <f t="array" ref="G3">XLOOKUP(A3, Index!A:A, Index!F:F)
</f>
        <v>0.00572</v>
      </c>
      <c r="H3" s="12">
        <f t="array" ref="H3">XLOOKUP(A3, Index!A:A, Index!H:H)
</f>
        <v>0.0037</v>
      </c>
      <c r="I3" s="12">
        <f t="array" ref="I3">XLOOKUP(A3, Index!A:A, Index!I:I)
</f>
        <v>0.00458</v>
      </c>
      <c r="J3" s="12">
        <f t="array" ref="J3">XLOOKUP(A3, Index!A:A, Index!J:J)
</f>
        <v>0.00762</v>
      </c>
      <c r="K3" s="12">
        <f t="shared" si="2"/>
        <v>0.00597090411</v>
      </c>
      <c r="L3" s="5">
        <v>0.06</v>
      </c>
      <c r="M3" s="16">
        <f>(LN(B3/Indications!$B$17)+C3*(K3+0.5*(L3)^2))/(L3*SQRT(C3))</f>
        <v>0.0531449284</v>
      </c>
      <c r="N3" s="16">
        <f t="shared" si="3"/>
        <v>-0.06557426371</v>
      </c>
      <c r="O3" s="32">
        <f>B3*_xlfn.NORM.S.DIST(M3) - EXP(-K3*C3)*_xlfn.NORM.S.DIST(N3)*Indications!$B$17</f>
        <v>4.793899113</v>
      </c>
      <c r="P3" s="16">
        <f>(1000/Indications!$B$17)*O3</f>
        <v>45.8642247</v>
      </c>
    </row>
    <row r="4">
      <c r="A4" s="31">
        <f>DATE(2014,6,30)</f>
        <v>41820</v>
      </c>
      <c r="B4" s="16">
        <f t="array" ref="B4">XLOOKUP(A4, Index!A:A, Index!AA:AA)
</f>
        <v>102.3209543</v>
      </c>
      <c r="C4" s="16">
        <f t="shared" si="1"/>
        <v>3.830136986</v>
      </c>
      <c r="D4" s="12">
        <f t="array" ref="D4">XLOOKUP(A4, Index!A:A, Index!C:C)
</f>
        <v>0.00099</v>
      </c>
      <c r="E4" s="12">
        <f t="array" ref="E4">XLOOKUP(A4, Index!A:A, Index!D:D)
</f>
        <v>0.00207</v>
      </c>
      <c r="F4" s="12">
        <f t="array" ref="F4">XLOOKUP(A4, Index!A:A, Index!E:E)
</f>
        <v>0.00303</v>
      </c>
      <c r="G4" s="12">
        <f t="array" ref="G4">XLOOKUP(A4, Index!A:A, Index!F:F)
</f>
        <v>0.00488</v>
      </c>
      <c r="H4" s="12">
        <f t="array" ref="H4">XLOOKUP(A4, Index!A:A, Index!H:H)
</f>
        <v>0.00311</v>
      </c>
      <c r="I4" s="12">
        <f t="array" ref="I4">XLOOKUP(A4, Index!A:A, Index!I:I)
</f>
        <v>0.003855</v>
      </c>
      <c r="J4" s="12">
        <f t="array" ref="J4">XLOOKUP(A4, Index!A:A, Index!J:J)
</f>
        <v>0.006542</v>
      </c>
      <c r="K4" s="12">
        <f t="shared" si="2"/>
        <v>0.004970289041</v>
      </c>
      <c r="L4" s="5">
        <v>0.06</v>
      </c>
      <c r="M4" s="16">
        <f>(LN(B4/Indications!$B$17)+C4*(K4+0.5*(L4)^2))/(L4*SQRT(C4))</f>
        <v>0.03944361162</v>
      </c>
      <c r="N4" s="16">
        <f t="shared" si="3"/>
        <v>-0.07798080301</v>
      </c>
      <c r="O4" s="32">
        <f>B4*_xlfn.NORM.S.DIST(M4) - EXP(-K4*C4)*_xlfn.NORM.S.DIST(N4)*Indications!$B$17</f>
        <v>4.680958379</v>
      </c>
      <c r="P4" s="16">
        <f>(1000/Indications!$B$17)*O4</f>
        <v>44.78369733</v>
      </c>
    </row>
    <row r="5">
      <c r="A5" s="33">
        <v>41851.0</v>
      </c>
      <c r="B5" s="16">
        <f t="array" ref="B5">XLOOKUP(A5, Index!A:A, Index!AA:AA)
</f>
        <v>101.9302513</v>
      </c>
      <c r="C5" s="16">
        <f t="shared" si="1"/>
        <v>3.745205479</v>
      </c>
      <c r="D5" s="12">
        <f t="array" ref="D5">XLOOKUP(A5, Index!A:A, Index!C:C)
</f>
        <v>0.00098</v>
      </c>
      <c r="E5" s="12">
        <f t="array" ref="E5">XLOOKUP(A5, Index!A:A, Index!D:D)
</f>
        <v>0.00209</v>
      </c>
      <c r="F5" s="12">
        <f t="array" ref="F5">XLOOKUP(A5, Index!A:A, Index!E:E)
</f>
        <v>0.00306</v>
      </c>
      <c r="G5" s="12">
        <f t="array" ref="G5">XLOOKUP(A5, Index!A:A, Index!F:F)
</f>
        <v>0.00489</v>
      </c>
      <c r="H5" s="12">
        <f t="array" ref="H5">XLOOKUP(A5, Index!A:A, Index!H:H)
</f>
        <v>0.00336</v>
      </c>
      <c r="I5" s="12">
        <f t="array" ref="I5">XLOOKUP(A5, Index!A:A, Index!I:I)
</f>
        <v>0.004059</v>
      </c>
      <c r="J5" s="12">
        <f t="array" ref="J5">XLOOKUP(A5, Index!A:A, Index!J:J)
</f>
        <v>0.00648</v>
      </c>
      <c r="K5" s="12">
        <f t="shared" si="2"/>
        <v>0.004961071233</v>
      </c>
      <c r="L5" s="5">
        <v>0.06</v>
      </c>
      <c r="M5" s="16">
        <f>(LN(B5/Indications!$B$17)+C5*(K5+0.5*(L5)^2))/(L5*SQRT(C5))</f>
        <v>0.001691371782</v>
      </c>
      <c r="N5" s="16">
        <f t="shared" si="3"/>
        <v>-0.1144238285</v>
      </c>
      <c r="O5" s="32">
        <f>B5*_xlfn.NORM.S.DIST(M5) - EXP(-K5*C5)*_xlfn.NORM.S.DIST(N5)*Indications!$B$17</f>
        <v>4.407435671</v>
      </c>
      <c r="P5" s="16">
        <f>(1000/Indications!$B$17)*O5</f>
        <v>42.16684899</v>
      </c>
    </row>
    <row r="6">
      <c r="A6" s="31">
        <f>DATE(2014,8,29)</f>
        <v>41880</v>
      </c>
      <c r="B6" s="16">
        <f t="array" ref="B6">XLOOKUP(A6, Index!A:A, Index!AA:AA)
</f>
        <v>102.4019811</v>
      </c>
      <c r="C6" s="16">
        <f t="shared" si="1"/>
        <v>3.665753425</v>
      </c>
      <c r="D6" s="12">
        <f t="array" ref="D6">XLOOKUP(A6, Index!A:A, Index!C:C)
</f>
        <v>0.00067</v>
      </c>
      <c r="E6" s="12">
        <f t="array" ref="E6">XLOOKUP(A6, Index!A:A, Index!D:D)
</f>
        <v>0.00163</v>
      </c>
      <c r="F6" s="12">
        <f t="array" ref="F6">XLOOKUP(A6, Index!A:A, Index!E:E)
</f>
        <v>0.00264</v>
      </c>
      <c r="G6" s="12">
        <f t="array" ref="G6">XLOOKUP(A6, Index!A:A, Index!F:F)
</f>
        <v>0.00434</v>
      </c>
      <c r="H6" s="12">
        <f t="array" ref="H6">XLOOKUP(A6, Index!A:A, Index!H:H)
</f>
        <v>0.002655</v>
      </c>
      <c r="I6" s="12">
        <f t="array" ref="I6">XLOOKUP(A6, Index!A:A, Index!I:I)
</f>
        <v>0.00321</v>
      </c>
      <c r="J6" s="12">
        <f t="array" ref="J6">XLOOKUP(A6, Index!A:A, Index!J:J)
</f>
        <v>0.005035</v>
      </c>
      <c r="K6" s="12">
        <f t="shared" si="2"/>
        <v>0.0038175</v>
      </c>
      <c r="L6" s="5">
        <v>0.06</v>
      </c>
      <c r="M6" s="16">
        <f>(LN(B6/Indications!$B$17)+C6*(K6+0.5*(L6)^2))/(L6*SQRT(C6))</f>
        <v>0.000735162325</v>
      </c>
      <c r="N6" s="16">
        <f t="shared" si="3"/>
        <v>-0.114141782</v>
      </c>
      <c r="O6" s="32">
        <f>B6*_xlfn.NORM.S.DIST(M6) - EXP(-K6*C6)*_xlfn.NORM.S.DIST(N6)*Indications!$B$17</f>
        <v>4.378703031</v>
      </c>
      <c r="P6" s="16">
        <f>(1000/Indications!$B$17)*O6</f>
        <v>41.89195788</v>
      </c>
    </row>
    <row r="7">
      <c r="A7" s="33">
        <v>41912.0</v>
      </c>
      <c r="B7" s="16">
        <f t="array" ref="B7">XLOOKUP(A7, Index!A:A, Index!AA:AA)
</f>
        <v>101.0906433</v>
      </c>
      <c r="C7" s="16">
        <f t="shared" si="1"/>
        <v>3.578082192</v>
      </c>
      <c r="D7" s="12">
        <f t="array" ref="D7">XLOOKUP(A7, Index!A:A, Index!C:C)
</f>
        <v>0.00007</v>
      </c>
      <c r="E7" s="12">
        <f t="array" ref="E7">XLOOKUP(A7, Index!A:A, Index!D:D)
</f>
        <v>0.00083</v>
      </c>
      <c r="F7" s="12">
        <f t="array" ref="F7">XLOOKUP(A7, Index!A:A, Index!E:E)
</f>
        <v>0.00183</v>
      </c>
      <c r="G7" s="12">
        <f t="array" ref="G7">XLOOKUP(A7, Index!A:A, Index!F:F)
</f>
        <v>0.00338</v>
      </c>
      <c r="H7" s="12">
        <f t="array" ref="H7">XLOOKUP(A7, Index!A:A, Index!H:H)
</f>
        <v>0.001928</v>
      </c>
      <c r="I7" s="12">
        <f t="array" ref="I7">XLOOKUP(A7, Index!A:A, Index!I:I)
</f>
        <v>0.00247</v>
      </c>
      <c r="J7" s="12">
        <f t="array" ref="J7">XLOOKUP(A7, Index!A:A, Index!J:J)
</f>
        <v>0.00446</v>
      </c>
      <c r="K7" s="12">
        <f t="shared" si="2"/>
        <v>0.003045191781</v>
      </c>
      <c r="L7" s="5">
        <v>0.06</v>
      </c>
      <c r="M7" s="16">
        <f>(LN(B7/Indications!$B$17)+C7*(K7+0.5*(L7)^2))/(L7*SQRT(C7))</f>
        <v>-0.1415033287</v>
      </c>
      <c r="N7" s="16">
        <f t="shared" si="3"/>
        <v>-0.2549982444</v>
      </c>
      <c r="O7" s="32">
        <f>B7*_xlfn.NORM.S.DIST(M7) - EXP(-K7*C7)*_xlfn.NORM.S.DIST(N7)*Indications!$B$17</f>
        <v>3.56710973</v>
      </c>
      <c r="P7" s="16">
        <f>(1000/Indications!$B$17)*O7</f>
        <v>34.12727685</v>
      </c>
    </row>
    <row r="8">
      <c r="A8" s="33">
        <v>41943.0</v>
      </c>
      <c r="B8" s="16">
        <f t="array" ref="B8">XLOOKUP(A8, Index!A:A, Index!AA:AA)
</f>
        <v>100.9437212</v>
      </c>
      <c r="C8" s="16">
        <f t="shared" si="1"/>
        <v>3.493150685</v>
      </c>
      <c r="D8" s="12">
        <f t="array" ref="D8">XLOOKUP(A8, Index!A:A, Index!C:C)
</f>
        <v>0.0001</v>
      </c>
      <c r="E8" s="12">
        <f t="array" ref="E8">XLOOKUP(A8, Index!A:A, Index!D:D)
</f>
        <v>0.00086</v>
      </c>
      <c r="F8" s="12">
        <f t="array" ref="F8">XLOOKUP(A8, Index!A:A, Index!E:E)
</f>
        <v>0.00189</v>
      </c>
      <c r="G8" s="12">
        <f t="array" ref="G8">XLOOKUP(A8, Index!A:A, Index!F:F)
</f>
        <v>0.0034</v>
      </c>
      <c r="H8" s="12">
        <f t="array" ref="H8">XLOOKUP(A8, Index!A:A, Index!H:H)
</f>
        <v>0.00218</v>
      </c>
      <c r="I8" s="12">
        <f t="array" ref="I8">XLOOKUP(A8, Index!A:A, Index!I:I)
</f>
        <v>0.002689</v>
      </c>
      <c r="J8" s="12">
        <f t="array" ref="J8">XLOOKUP(A8, Index!A:A, Index!J:J)
</f>
        <v>0.00437</v>
      </c>
      <c r="K8" s="12">
        <f t="shared" si="2"/>
        <v>0.003103493151</v>
      </c>
      <c r="L8" s="5">
        <v>0.06</v>
      </c>
      <c r="M8" s="16">
        <f>(LN(B8/Indications!$B$17)+C8*(K8+0.5*(L8)^2))/(L8*SQRT(C8))</f>
        <v>-0.158036522</v>
      </c>
      <c r="N8" s="16">
        <f t="shared" si="3"/>
        <v>-0.2701763565</v>
      </c>
      <c r="O8" s="32">
        <f>B8*_xlfn.NORM.S.DIST(M8) - EXP(-K8*C8)*_xlfn.NORM.S.DIST(N8)*Indications!$B$17</f>
        <v>3.446138501</v>
      </c>
      <c r="P8" s="16">
        <f>(1000/Indications!$B$17)*O8</f>
        <v>32.96992006</v>
      </c>
    </row>
    <row r="9">
      <c r="A9" s="33">
        <v>41971.0</v>
      </c>
      <c r="B9" s="16">
        <f t="array" ref="B9">XLOOKUP(A9, Index!A:A, Index!AA:AA)
</f>
        <v>102.0223764</v>
      </c>
      <c r="C9" s="16">
        <f t="shared" si="1"/>
        <v>3.416438356</v>
      </c>
      <c r="D9" s="12">
        <f t="array" ref="D9">XLOOKUP(A9, Index!A:A, Index!C:C)
</f>
        <v>0.0002</v>
      </c>
      <c r="E9" s="12">
        <f t="array" ref="E9">XLOOKUP(A9, Index!A:A, Index!D:D)
</f>
        <v>0.00082</v>
      </c>
      <c r="F9" s="12">
        <f t="array" ref="F9">XLOOKUP(A9, Index!A:A, Index!E:E)
</f>
        <v>0.0018</v>
      </c>
      <c r="G9" s="12">
        <f t="array" ref="G9">XLOOKUP(A9, Index!A:A, Index!F:F)
</f>
        <v>0.00331</v>
      </c>
      <c r="H9" s="12">
        <f t="array" ref="H9">XLOOKUP(A9, Index!A:A, Index!H:H)
</f>
        <v>0.00208</v>
      </c>
      <c r="I9" s="12">
        <f t="array" ref="I9">XLOOKUP(A9, Index!A:A, Index!I:I)
</f>
        <v>0.00257</v>
      </c>
      <c r="J9" s="12">
        <f t="array" ref="J9">XLOOKUP(A9, Index!A:A, Index!J:J)
</f>
        <v>0.003969</v>
      </c>
      <c r="K9" s="12">
        <f t="shared" si="2"/>
        <v>0.00286129863</v>
      </c>
      <c r="L9" s="5">
        <v>0.06</v>
      </c>
      <c r="M9" s="16">
        <f>(LN(B9/Indications!$B$17)+C9*(K9+0.5*(L9)^2))/(L9*SQRT(C9))</f>
        <v>-0.07481195885</v>
      </c>
      <c r="N9" s="16">
        <f t="shared" si="3"/>
        <v>-0.1857136184</v>
      </c>
      <c r="O9" s="32">
        <f>B9*_xlfn.NORM.S.DIST(M9) - EXP(-K9*C9)*_xlfn.NORM.S.DIST(N9)*Indications!$B$17</f>
        <v>3.840510224</v>
      </c>
      <c r="P9" s="16">
        <f>(1000/Indications!$B$17)*O9</f>
        <v>36.74295594</v>
      </c>
    </row>
    <row r="10">
      <c r="A10" s="33">
        <v>42004.0</v>
      </c>
      <c r="B10" s="16">
        <f t="array" ref="B10">XLOOKUP(A10, Index!A:A, Index!AA:AA)
</f>
        <v>101.9969592</v>
      </c>
      <c r="C10" s="16">
        <f t="shared" si="1"/>
        <v>3.326027397</v>
      </c>
      <c r="D10" s="12">
        <f t="array" ref="D10">XLOOKUP(A10, Index!A:A, Index!C:C)
</f>
        <v>0.00018</v>
      </c>
      <c r="E10" s="12">
        <f t="array" ref="E10">XLOOKUP(A10, Index!A:A, Index!D:D)
</f>
        <v>0.00078</v>
      </c>
      <c r="F10" s="12">
        <f t="array" ref="F10">XLOOKUP(A10, Index!A:A, Index!E:E)
</f>
        <v>0.00171</v>
      </c>
      <c r="G10" s="12">
        <f t="array" ref="G10">XLOOKUP(A10, Index!A:A, Index!F:F)
</f>
        <v>0.00325</v>
      </c>
      <c r="H10" s="12">
        <f t="array" ref="H10">XLOOKUP(A10, Index!A:A, Index!H:H)
</f>
        <v>0.00182</v>
      </c>
      <c r="I10" s="12">
        <f t="array" ref="I10">XLOOKUP(A10, Index!A:A, Index!I:I)
</f>
        <v>0.002204</v>
      </c>
      <c r="J10" s="12">
        <f t="array" ref="J10">XLOOKUP(A10, Index!A:A, Index!J:J)
</f>
        <v>0.003581</v>
      </c>
      <c r="K10" s="12">
        <f t="shared" si="2"/>
        <v>0.002428469863</v>
      </c>
      <c r="L10" s="5">
        <v>0.06</v>
      </c>
      <c r="M10" s="16">
        <f>(LN(B10/Indications!$B$17)+C10*(K10+0.5*(L10)^2))/(L10*SQRT(C10))</f>
        <v>-0.09510647008</v>
      </c>
      <c r="N10" s="16">
        <f t="shared" si="3"/>
        <v>-0.204530867</v>
      </c>
      <c r="O10" s="32">
        <f>B10*_xlfn.NORM.S.DIST(M10) - EXP(-K10*C10)*_xlfn.NORM.S.DIST(N10)*Indications!$B$17</f>
        <v>3.694398862</v>
      </c>
      <c r="P10" s="16">
        <f>(1000/Indications!$B$17)*O10</f>
        <v>35.34507831</v>
      </c>
    </row>
    <row r="11">
      <c r="A11" s="31">
        <f>DATE(2015,1,30)</f>
        <v>42034</v>
      </c>
      <c r="B11" s="16">
        <f t="array" ref="B11">XLOOKUP(A11, Index!A:A, Index!AA:AA)
</f>
        <v>104.2947995</v>
      </c>
      <c r="C11" s="16">
        <f t="shared" si="1"/>
        <v>3.243835616</v>
      </c>
      <c r="D11" s="12">
        <f t="array" ref="D11">XLOOKUP(A11, Index!A:A, Index!C:C)
</f>
        <v>0.00001</v>
      </c>
      <c r="E11" s="12">
        <f t="array" ref="E11">XLOOKUP(A11, Index!A:A, Index!D:D)
</f>
        <v>0.00054</v>
      </c>
      <c r="F11" s="12">
        <f t="array" ref="F11">XLOOKUP(A11, Index!A:A, Index!E:E)
</f>
        <v>0.00132</v>
      </c>
      <c r="G11" s="12">
        <f t="array" ref="G11">XLOOKUP(A11, Index!A:A, Index!F:F)
</f>
        <v>0.0027</v>
      </c>
      <c r="H11" s="12">
        <f t="array" ref="H11">XLOOKUP(A11, Index!A:A, Index!H:H)
</f>
        <v>0.00152</v>
      </c>
      <c r="I11" s="12">
        <f t="array" ref="I11">XLOOKUP(A11, Index!A:A, Index!I:I)
</f>
        <v>0.001912</v>
      </c>
      <c r="J11" s="12">
        <f t="array" ref="J11">XLOOKUP(A11, Index!A:A, Index!J:J)
</f>
        <v>0.00301</v>
      </c>
      <c r="K11" s="12">
        <f t="shared" si="2"/>
        <v>0.002045865753</v>
      </c>
      <c r="L11" s="5">
        <v>0.06</v>
      </c>
      <c r="M11" s="16">
        <f>(LN(B11/Indications!$B$17)+C11*(K11+0.5*(L11)^2))/(L11*SQRT(C11))</f>
        <v>0.09515555095</v>
      </c>
      <c r="N11" s="16">
        <f t="shared" si="3"/>
        <v>-0.01290835708</v>
      </c>
      <c r="O11" s="32">
        <f>B11*_xlfn.NORM.S.DIST(M11) - EXP(-K11*C11)*_xlfn.NORM.S.DIST(N11)*Indications!$B$17</f>
        <v>4.719145024</v>
      </c>
      <c r="P11" s="16">
        <f>(1000/Indications!$B$17)*O11</f>
        <v>45.14903687</v>
      </c>
    </row>
    <row r="12">
      <c r="A12" s="31">
        <f>DATE(2015,2,27)</f>
        <v>42062</v>
      </c>
      <c r="B12" s="16">
        <f t="array" ref="B12">XLOOKUP(A12, Index!A:A, Index!AA:AA)
</f>
        <v>106.7022962</v>
      </c>
      <c r="C12" s="16">
        <f t="shared" si="1"/>
        <v>3.167123288</v>
      </c>
      <c r="D12" s="12">
        <f t="array" ref="D12">XLOOKUP(A12, Index!A:A, Index!C:C)
</f>
        <v>-0.00005</v>
      </c>
      <c r="E12" s="12">
        <f t="array" ref="E12">XLOOKUP(A12, Index!A:A, Index!D:D)
</f>
        <v>0.00039</v>
      </c>
      <c r="F12" s="12">
        <f t="array" ref="F12">XLOOKUP(A12, Index!A:A, Index!E:E)
</f>
        <v>0.0011</v>
      </c>
      <c r="G12" s="12">
        <f t="array" ref="G12">XLOOKUP(A12, Index!A:A, Index!F:F)
</f>
        <v>0.00233</v>
      </c>
      <c r="H12" s="12">
        <f t="array" ref="H12">XLOOKUP(A12, Index!A:A, Index!H:H)
</f>
        <v>0.00098</v>
      </c>
      <c r="I12" s="12">
        <f t="array" ref="I12">XLOOKUP(A12, Index!A:A, Index!I:I)
</f>
        <v>0.001349</v>
      </c>
      <c r="J12" s="12">
        <f t="array" ref="J12">XLOOKUP(A12, Index!A:A, Index!J:J)
</f>
        <v>0.00268</v>
      </c>
      <c r="K12" s="12">
        <f t="shared" si="2"/>
        <v>0.001460220548</v>
      </c>
      <c r="L12" s="5">
        <v>0.06</v>
      </c>
      <c r="M12" s="16">
        <f>(LN(B12/Indications!$B$17)+C12*(K12+0.5*(L12)^2))/(L12*SQRT(C12))</f>
        <v>0.2898919661</v>
      </c>
      <c r="N12" s="16">
        <f t="shared" si="3"/>
        <v>0.1831134858</v>
      </c>
      <c r="O12" s="32">
        <f>B12*_xlfn.NORM.S.DIST(M12) - EXP(-K12*C12)*_xlfn.NORM.S.DIST(N12)*Indications!$B$17</f>
        <v>5.941740836</v>
      </c>
      <c r="P12" s="16">
        <f>(1000/Indications!$B$17)*O12</f>
        <v>56.84586396</v>
      </c>
    </row>
    <row r="13">
      <c r="A13" s="33">
        <v>42094.0</v>
      </c>
      <c r="B13" s="16">
        <f t="array" ref="B13">XLOOKUP(A13, Index!A:A, Index!AA:AA)
</f>
        <v>108.1178674</v>
      </c>
      <c r="C13" s="16">
        <f t="shared" si="1"/>
        <v>3.079452055</v>
      </c>
      <c r="D13" s="12">
        <f t="array" ref="D13">XLOOKUP(A13, Index!A:A, Index!C:C)
</f>
        <v>-0.00015</v>
      </c>
      <c r="E13" s="12">
        <f t="array" ref="E13">XLOOKUP(A13, Index!A:A, Index!D:D)
</f>
        <v>0.00019</v>
      </c>
      <c r="F13" s="12">
        <f t="array" ref="F13">XLOOKUP(A13, Index!A:A, Index!E:E)
</f>
        <v>0.00087</v>
      </c>
      <c r="G13" s="12">
        <f t="array" ref="G13">XLOOKUP(A13, Index!A:A, Index!F:F)
</f>
        <v>0.00198</v>
      </c>
      <c r="H13" s="12">
        <f t="array" ref="H13">XLOOKUP(A13, Index!A:A, Index!H:H)
</f>
        <v>0.000827</v>
      </c>
      <c r="I13" s="12">
        <f t="array" ref="I13">XLOOKUP(A13, Index!A:A, Index!I:I)
</f>
        <v>0.00121</v>
      </c>
      <c r="J13" s="12">
        <f t="array" ref="J13">XLOOKUP(A13, Index!A:A, Index!J:J)
</f>
        <v>0.002445</v>
      </c>
      <c r="K13" s="12">
        <f t="shared" si="2"/>
        <v>0.001259061644</v>
      </c>
      <c r="L13" s="5">
        <v>0.06</v>
      </c>
      <c r="M13" s="16">
        <f>(LN(B13/Indications!$B$17)+C13*(K13+0.5*(L13)^2))/(L13*SQRT(C13))</f>
        <v>0.410562929</v>
      </c>
      <c r="N13" s="16">
        <f t="shared" si="3"/>
        <v>0.3052727234</v>
      </c>
      <c r="O13" s="32">
        <f>B13*_xlfn.NORM.S.DIST(M13) - EXP(-K13*C13)*_xlfn.NORM.S.DIST(N13)*Indications!$B$17</f>
        <v>6.736807246</v>
      </c>
      <c r="P13" s="16">
        <f>(1000/Indications!$B$17)*O13</f>
        <v>64.45242881</v>
      </c>
    </row>
    <row r="14">
      <c r="A14" s="33">
        <v>42124.0</v>
      </c>
      <c r="B14" s="16">
        <f t="array" ref="B14">XLOOKUP(A14, Index!A:A, Index!AA:AA)
</f>
        <v>108.0642031</v>
      </c>
      <c r="C14" s="16">
        <f t="shared" si="1"/>
        <v>2.997260274</v>
      </c>
      <c r="D14" s="12">
        <f t="array" ref="D14">XLOOKUP(A14, Index!A:A, Index!C:C)
</f>
        <v>-0.0004</v>
      </c>
      <c r="E14" s="12">
        <f t="array" ref="E14">XLOOKUP(A14, Index!A:A, Index!D:D)
</f>
        <v>-0.00005</v>
      </c>
      <c r="F14" s="12">
        <f t="array" ref="F14">XLOOKUP(A14, Index!A:A, Index!E:E)
</f>
        <v>0.00064</v>
      </c>
      <c r="G14" s="12">
        <f t="array" ref="G14">XLOOKUP(A14, Index!A:A, Index!F:F)
</f>
        <v>0.00171</v>
      </c>
      <c r="H14" s="12">
        <f t="array" ref="H14">XLOOKUP(A14, Index!A:A, Index!H:H)
</f>
        <v>0.00093</v>
      </c>
      <c r="I14" s="12">
        <f t="array" ref="I14">XLOOKUP(A14, Index!A:A, Index!I:I)
</f>
        <v>0.00152</v>
      </c>
      <c r="J14" s="12">
        <f t="array" ref="J14">XLOOKUP(A14, Index!A:A, Index!J:J)
</f>
        <v>0.002929</v>
      </c>
      <c r="K14" s="12">
        <f t="shared" ref="K14:K25" si="4">H14+((C14-2)/(3-2))*(I14-H14)</f>
        <v>0.001518383562</v>
      </c>
      <c r="L14" s="5">
        <v>0.06</v>
      </c>
      <c r="M14" s="16">
        <f>(LN(B14/Indications!$B$17)+C14*(K14+0.5*(L14)^2))/(L14*SQRT(C14))</f>
        <v>0.4164367158</v>
      </c>
      <c r="N14" s="16">
        <f t="shared" si="3"/>
        <v>0.3125611316</v>
      </c>
      <c r="O14" s="32">
        <f>B14*_xlfn.NORM.S.DIST(M14) - EXP(-K14*C14)*_xlfn.NORM.S.DIST(N14)*Indications!$B$17</f>
        <v>6.688936549</v>
      </c>
      <c r="P14" s="16">
        <f>(1000/Indications!$B$17)*O14</f>
        <v>63.99443994</v>
      </c>
    </row>
    <row r="15">
      <c r="A15" s="33">
        <v>42153.0</v>
      </c>
      <c r="B15" s="16">
        <f t="array" ref="B15">XLOOKUP(A15, Index!A:A, Index!AA:AA)
</f>
        <v>107.9189792</v>
      </c>
      <c r="C15" s="16">
        <f t="shared" si="1"/>
        <v>2.917808219</v>
      </c>
      <c r="D15" s="12">
        <f t="array" ref="D15">XLOOKUP(A15, Index!A:A, Index!C:C)
</f>
        <v>-0.00059</v>
      </c>
      <c r="E15" s="12">
        <f t="array" ref="E15">XLOOKUP(A15, Index!A:A, Index!D:D)
</f>
        <v>-0.00012</v>
      </c>
      <c r="F15" s="12">
        <f t="array" ref="F15">XLOOKUP(A15, Index!A:A, Index!E:E)
</f>
        <v>0.00049</v>
      </c>
      <c r="G15" s="12">
        <f t="array" ref="G15">XLOOKUP(A15, Index!A:A, Index!F:F)
</f>
        <v>0.0016</v>
      </c>
      <c r="H15" s="12">
        <f t="array" ref="H15">XLOOKUP(A15, Index!A:A, Index!H:H)
</f>
        <v>0.00101</v>
      </c>
      <c r="I15" s="12">
        <f t="array" ref="I15">XLOOKUP(A15, Index!A:A, Index!I:I)
</f>
        <v>0.00165</v>
      </c>
      <c r="J15" s="12">
        <f t="array" ref="J15">XLOOKUP(A15, Index!A:A, Index!J:J)
</f>
        <v>0.0035</v>
      </c>
      <c r="K15" s="12">
        <f t="shared" si="4"/>
        <v>0.00159739726</v>
      </c>
      <c r="L15" s="5">
        <v>0.06</v>
      </c>
      <c r="M15" s="16">
        <f>(LN(B15/Indications!$B$17)+C15*(K15+0.5*(L15)^2))/(L15*SQRT(C15))</f>
        <v>0.4086243735</v>
      </c>
      <c r="N15" s="16">
        <f t="shared" si="3"/>
        <v>0.3061348151</v>
      </c>
      <c r="O15" s="32">
        <f>B15*_xlfn.NORM.S.DIST(M15) - EXP(-K15*C15)*_xlfn.NORM.S.DIST(N15)*Indications!$B$17</f>
        <v>6.545349179</v>
      </c>
      <c r="P15" s="16">
        <f>(1000/Indications!$B$17)*O15</f>
        <v>62.62070987</v>
      </c>
    </row>
    <row r="16">
      <c r="A16" s="33">
        <v>42185.0</v>
      </c>
      <c r="B16" s="16">
        <f t="array" ref="B16">XLOOKUP(A16, Index!A:A, Index!AA:AA)
</f>
        <v>105.7380796</v>
      </c>
      <c r="C16" s="16">
        <f t="shared" si="1"/>
        <v>2.830136986</v>
      </c>
      <c r="D16" s="12">
        <f t="array" ref="D16">XLOOKUP(A16, Index!A:A, Index!C:C)
</f>
        <v>-0.00064</v>
      </c>
      <c r="E16" s="12">
        <f t="array" ref="E16">XLOOKUP(A16, Index!A:A, Index!D:D)
</f>
        <v>-0.00014</v>
      </c>
      <c r="F16" s="12">
        <f t="array" ref="F16">XLOOKUP(A16, Index!A:A, Index!E:E)
</f>
        <v>0.0005</v>
      </c>
      <c r="G16" s="12">
        <f t="array" ref="G16">XLOOKUP(A16, Index!A:A, Index!F:F)
</f>
        <v>0.00164</v>
      </c>
      <c r="H16" s="12">
        <f t="array" ref="H16">XLOOKUP(A16, Index!A:A, Index!H:H)
</f>
        <v>0.00125</v>
      </c>
      <c r="I16" s="12">
        <f t="array" ref="I16">XLOOKUP(A16, Index!A:A, Index!I:I)
</f>
        <v>0.002228</v>
      </c>
      <c r="J16" s="12">
        <f t="array" ref="J16">XLOOKUP(A16, Index!A:A, Index!J:J)
</f>
        <v>0.005005</v>
      </c>
      <c r="K16" s="12">
        <f t="shared" si="4"/>
        <v>0.002061873973</v>
      </c>
      <c r="L16" s="5">
        <v>0.06</v>
      </c>
      <c r="M16" s="16">
        <f>(LN(B16/Indications!$B$17)+C16*(K16+0.5*(L16)^2))/(L16*SQRT(C16))</f>
        <v>0.2227182125</v>
      </c>
      <c r="N16" s="16">
        <f t="shared" si="3"/>
        <v>0.1217801466</v>
      </c>
      <c r="O16" s="32">
        <f>B16*_xlfn.NORM.S.DIST(M16) - EXP(-K16*C16)*_xlfn.NORM.S.DIST(N16)*Indications!$B$17</f>
        <v>5.193071538</v>
      </c>
      <c r="P16" s="16">
        <f>(1000/Indications!$B$17)*O16</f>
        <v>49.68318988</v>
      </c>
    </row>
    <row r="17">
      <c r="A17" s="33">
        <v>42216.0</v>
      </c>
      <c r="B17" s="16">
        <f t="array" ref="B17">XLOOKUP(A17, Index!A:A, Index!AA:AA)
</f>
        <v>105.4391397</v>
      </c>
      <c r="C17" s="16">
        <f t="shared" si="1"/>
        <v>2.745205479</v>
      </c>
      <c r="D17" s="12">
        <f t="array" ref="D17">XLOOKUP(A17, Index!A:A, Index!C:C)
</f>
        <v>-0.00075</v>
      </c>
      <c r="E17" s="12">
        <f t="array" ref="E17">XLOOKUP(A17, Index!A:A, Index!D:D)
</f>
        <v>-0.00023</v>
      </c>
      <c r="F17" s="12">
        <f t="array" ref="F17">XLOOKUP(A17, Index!A:A, Index!E:E)
</f>
        <v>0.00048</v>
      </c>
      <c r="G17" s="12">
        <f t="array" ref="G17">XLOOKUP(A17, Index!A:A, Index!F:F)
</f>
        <v>0.00167</v>
      </c>
      <c r="H17" s="12">
        <f t="array" ref="H17">XLOOKUP(A17, Index!A:A, Index!H:H)
</f>
        <v>0.00094</v>
      </c>
      <c r="I17" s="12">
        <f t="array" ref="I17">XLOOKUP(A17, Index!A:A, Index!I:I)
</f>
        <v>0.00169</v>
      </c>
      <c r="J17" s="12">
        <f t="array" ref="J17">XLOOKUP(A17, Index!A:A, Index!J:J)
</f>
        <v>0.003985</v>
      </c>
      <c r="K17" s="12">
        <f t="shared" si="4"/>
        <v>0.00149890411</v>
      </c>
      <c r="L17" s="5">
        <v>0.06</v>
      </c>
      <c r="M17" s="16">
        <f>(LN(B17/Indications!$B$17)+C17*(K17+0.5*(L17)^2))/(L17*SQRT(C17))</f>
        <v>0.1788125266</v>
      </c>
      <c r="N17" s="16">
        <f t="shared" si="3"/>
        <v>0.07940055691</v>
      </c>
      <c r="O17" s="32">
        <f>B17*_xlfn.NORM.S.DIST(M17) - EXP(-K17*C17)*_xlfn.NORM.S.DIST(N17)*Indications!$B$17</f>
        <v>4.860159509</v>
      </c>
      <c r="P17" s="16">
        <f>(1000/Indications!$B$17)*O17</f>
        <v>46.49815162</v>
      </c>
    </row>
    <row r="18">
      <c r="A18" s="33">
        <v>42247.0</v>
      </c>
      <c r="B18" s="16">
        <f t="array" ref="B18">XLOOKUP(A18, Index!A:A, Index!AA:AA)
</f>
        <v>103.5373453</v>
      </c>
      <c r="C18" s="16">
        <f t="shared" si="1"/>
        <v>2.660273973</v>
      </c>
      <c r="D18" s="12">
        <f t="array" ref="D18">XLOOKUP(A18, Index!A:A, Index!C:C)
</f>
        <v>-0.00098</v>
      </c>
      <c r="E18" s="12">
        <f t="array" ref="E18">XLOOKUP(A18, Index!A:A, Index!D:D)
</f>
        <v>-0.00033</v>
      </c>
      <c r="F18" s="12">
        <f t="array" ref="F18">XLOOKUP(A18, Index!A:A, Index!E:E)
</f>
        <v>0.00039</v>
      </c>
      <c r="G18" s="12">
        <f t="array" ref="G18">XLOOKUP(A18, Index!A:A, Index!F:F)
</f>
        <v>0.0016</v>
      </c>
      <c r="H18" s="12">
        <f t="array" ref="H18">XLOOKUP(A18, Index!A:A, Index!H:H)
</f>
        <v>0.00137</v>
      </c>
      <c r="I18" s="12">
        <f t="array" ref="I18">XLOOKUP(A18, Index!A:A, Index!I:I)
</f>
        <v>0.001835</v>
      </c>
      <c r="J18" s="12">
        <f t="array" ref="J18">XLOOKUP(A18, Index!A:A, Index!J:J)
</f>
        <v>0.004678</v>
      </c>
      <c r="K18" s="12">
        <f t="shared" si="4"/>
        <v>0.001677027397</v>
      </c>
      <c r="L18" s="5">
        <v>0.06</v>
      </c>
      <c r="M18" s="16">
        <f>(LN(B18/Indications!$B$17)+C18*(K18+0.5*(L18)^2))/(L18*SQRT(C18))</f>
        <v>-0.002368209574</v>
      </c>
      <c r="N18" s="16">
        <f t="shared" si="3"/>
        <v>-0.1002302875</v>
      </c>
      <c r="O18" s="32">
        <f>B18*_xlfn.NORM.S.DIST(M18) - EXP(-K18*C18)*_xlfn.NORM.S.DIST(N18)*Indications!$B$17</f>
        <v>3.795569653</v>
      </c>
      <c r="P18" s="16">
        <f>(1000/Indications!$B$17)*O18</f>
        <v>36.3130002</v>
      </c>
    </row>
    <row r="19">
      <c r="A19" s="33">
        <v>42277.0</v>
      </c>
      <c r="B19" s="16">
        <f t="array" ref="B19">XLOOKUP(A19, Index!A:A, Index!AA:AA)
</f>
        <v>101.6691544</v>
      </c>
      <c r="C19" s="16">
        <f t="shared" si="1"/>
        <v>2.578082192</v>
      </c>
      <c r="D19" s="12">
        <f t="array" ref="D19">XLOOKUP(A19, Index!A:A, Index!C:C)
</f>
        <v>-0.00113</v>
      </c>
      <c r="E19" s="12">
        <f t="array" ref="E19">XLOOKUP(A19, Index!A:A, Index!D:D)
</f>
        <v>-0.0004</v>
      </c>
      <c r="F19" s="12">
        <f t="array" ref="F19">XLOOKUP(A19, Index!A:A, Index!E:E)
</f>
        <v>0.00029</v>
      </c>
      <c r="G19" s="12">
        <f t="array" ref="G19">XLOOKUP(A19, Index!A:A, Index!F:F)
</f>
        <v>0.00142</v>
      </c>
      <c r="H19" s="12">
        <f t="array" ref="H19">XLOOKUP(A19, Index!A:A, Index!H:H)
</f>
        <v>0.00048</v>
      </c>
      <c r="I19" s="12">
        <f t="array" ref="I19">XLOOKUP(A19, Index!A:A, Index!I:I)
</f>
        <v>0.00122</v>
      </c>
      <c r="J19" s="12">
        <f t="array" ref="J19">XLOOKUP(A19, Index!A:A, Index!J:J)
</f>
        <v>0.00347</v>
      </c>
      <c r="K19" s="12">
        <f t="shared" si="4"/>
        <v>0.0009077808219</v>
      </c>
      <c r="L19" s="5">
        <v>0.06</v>
      </c>
      <c r="M19" s="16">
        <f>(LN(B19/Indications!$B$17)+C19*(K19+0.5*(L19)^2))/(L19*SQRT(C19))</f>
        <v>-0.2149623309</v>
      </c>
      <c r="N19" s="16">
        <f t="shared" si="3"/>
        <v>-0.3113007754</v>
      </c>
      <c r="O19" s="32">
        <f>B19*_xlfn.NORM.S.DIST(M19) - EXP(-K19*C19)*_xlfn.NORM.S.DIST(N19)*Indications!$B$17</f>
        <v>2.787075149</v>
      </c>
      <c r="P19" s="16">
        <f>(1000/Indications!$B$17)*O19</f>
        <v>26.66452462</v>
      </c>
    </row>
    <row r="20">
      <c r="A20" s="33">
        <v>42307.0</v>
      </c>
      <c r="B20" s="16">
        <f t="array" ref="B20">XLOOKUP(A20, Index!A:A, Index!AA:AA)
</f>
        <v>104.1945762</v>
      </c>
      <c r="C20" s="16">
        <f t="shared" si="1"/>
        <v>2.495890411</v>
      </c>
      <c r="D20" s="12">
        <f t="array" ref="D20">XLOOKUP(A20, Index!A:A, Index!C:C)
</f>
        <v>-0.00119</v>
      </c>
      <c r="E20" s="12">
        <f t="array" ref="E20">XLOOKUP(A20, Index!A:A, Index!D:D)
</f>
        <v>-0.00068</v>
      </c>
      <c r="F20" s="12">
        <f t="array" ref="F20">XLOOKUP(A20, Index!A:A, Index!E:E)
</f>
        <v>0.00006</v>
      </c>
      <c r="G20" s="12">
        <f t="array" ref="G20">XLOOKUP(A20, Index!A:A, Index!F:F)
</f>
        <v>0.00107</v>
      </c>
      <c r="H20" s="12">
        <f t="array" ref="H20">XLOOKUP(A20, Index!A:A, Index!H:H)
</f>
        <v>-0.000204</v>
      </c>
      <c r="I20" s="12">
        <f t="array" ref="I20">XLOOKUP(A20, Index!A:A, Index!I:I)
</f>
        <v>0.000416</v>
      </c>
      <c r="J20" s="12">
        <f t="array" ref="J20">XLOOKUP(A20, Index!A:A, Index!J:J)
</f>
        <v>0.002709</v>
      </c>
      <c r="K20" s="12">
        <f t="shared" si="4"/>
        <v>0.0001034520548</v>
      </c>
      <c r="L20" s="5">
        <v>0.06</v>
      </c>
      <c r="M20" s="16">
        <f>(LN(B20/Indications!$B$17)+C20*(K20+0.5*(L20)^2))/(L20*SQRT(C20))</f>
        <v>0.01684674798</v>
      </c>
      <c r="N20" s="16">
        <f t="shared" si="3"/>
        <v>-0.07794357579</v>
      </c>
      <c r="O20" s="32">
        <f>B20*_xlfn.NORM.S.DIST(M20) - EXP(-K20*C20)*_xlfn.NORM.S.DIST(N20)*Indications!$B$17</f>
        <v>3.795207159</v>
      </c>
      <c r="P20" s="16">
        <f>(1000/Indications!$B$17)*O20</f>
        <v>36.30953214</v>
      </c>
    </row>
    <row r="21">
      <c r="A21" s="33">
        <v>42338.0</v>
      </c>
      <c r="B21" s="16">
        <f t="array" ref="B21">XLOOKUP(A21, Index!A:A, Index!AA:AA)
</f>
        <v>104.8460041</v>
      </c>
      <c r="C21" s="16">
        <f t="shared" si="1"/>
        <v>2.410958904</v>
      </c>
      <c r="D21" s="12">
        <f t="array" ref="D21">XLOOKUP(A21, Index!A:A, Index!C:C)
</f>
        <v>-0.00161</v>
      </c>
      <c r="E21" s="12">
        <f t="array" ref="E21">XLOOKUP(A21, Index!A:A, Index!D:D)
</f>
        <v>-0.00114</v>
      </c>
      <c r="F21" s="12">
        <f t="array" ref="F21">XLOOKUP(A21, Index!A:A, Index!E:E)
</f>
        <v>-0.00043</v>
      </c>
      <c r="G21" s="12">
        <f t="array" ref="G21">XLOOKUP(A21, Index!A:A, Index!F:F)
</f>
        <v>0.00048</v>
      </c>
      <c r="H21" s="12">
        <f t="array" ref="H21">XLOOKUP(A21, Index!A:A, Index!H:H)
</f>
        <v>-0.00119</v>
      </c>
      <c r="I21" s="12">
        <f t="array" ref="I21">XLOOKUP(A21, Index!A:A, Index!I:I)
</f>
        <v>-0.000635</v>
      </c>
      <c r="J21" s="12">
        <f t="array" ref="J21">XLOOKUP(A21, Index!A:A, Index!J:J)
</f>
        <v>0.001719</v>
      </c>
      <c r="K21" s="12">
        <f t="shared" si="4"/>
        <v>-0.0009619178082</v>
      </c>
      <c r="L21" s="5">
        <v>0.06</v>
      </c>
      <c r="M21" s="16">
        <f>(LN(B21/Indications!$B$17)+C21*(K21+0.5*(L21)^2))/(L21*SQRT(C21))</f>
        <v>0.05473440274</v>
      </c>
      <c r="N21" s="16">
        <f t="shared" si="3"/>
        <v>-0.03842917413</v>
      </c>
      <c r="O21" s="32">
        <f>B21*_xlfn.NORM.S.DIST(M21) - EXP(-K21*C21)*_xlfn.NORM.S.DIST(N21)*Indications!$B$17</f>
        <v>3.933843186</v>
      </c>
      <c r="P21" s="16">
        <f>(1000/Indications!$B$17)*O21</f>
        <v>37.6358917</v>
      </c>
    </row>
    <row r="22">
      <c r="A22" s="33">
        <v>42369.0</v>
      </c>
      <c r="B22" s="16">
        <f t="array" ref="B22">XLOOKUP(A22, Index!A:A, Index!AA:AA)
</f>
        <v>102.9375068</v>
      </c>
      <c r="C22" s="16">
        <f t="shared" si="1"/>
        <v>2.326027397</v>
      </c>
      <c r="D22" s="12">
        <f t="array" ref="D22">XLOOKUP(A22, Index!A:A, Index!C:C)
</f>
        <v>-0.00205</v>
      </c>
      <c r="E22" s="12">
        <f t="array" ref="E22">XLOOKUP(A22, Index!A:A, Index!D:D)
</f>
        <v>-0.00131</v>
      </c>
      <c r="F22" s="12">
        <f t="array" ref="F22">XLOOKUP(A22, Index!A:A, Index!E:E)
</f>
        <v>-0.0004</v>
      </c>
      <c r="G22" s="12">
        <f t="array" ref="G22">XLOOKUP(A22, Index!A:A, Index!F:F)
</f>
        <v>0.0006</v>
      </c>
      <c r="H22" s="12">
        <f t="array" ref="H22">XLOOKUP(A22, Index!A:A, Index!H:H)
</f>
        <v>-0.00035</v>
      </c>
      <c r="I22" s="12">
        <f t="array" ref="I22">XLOOKUP(A22, Index!A:A, Index!I:I)
</f>
        <v>0.000625</v>
      </c>
      <c r="J22" s="12">
        <f t="array" ref="J22">XLOOKUP(A22, Index!A:A, Index!J:J)
</f>
        <v>0.003318</v>
      </c>
      <c r="K22" s="12">
        <f t="shared" si="4"/>
        <v>-0.00003212328767</v>
      </c>
      <c r="L22" s="5">
        <v>0.06</v>
      </c>
      <c r="M22" s="16">
        <f>(LN(B22/Indications!$B$17)+C22*(K22+0.5*(L22)^2))/(L22*SQRT(C22))</f>
        <v>-0.1221727285</v>
      </c>
      <c r="N22" s="16">
        <f t="shared" si="3"/>
        <v>-0.2136806442</v>
      </c>
      <c r="O22" s="32">
        <f>B22*_xlfn.NORM.S.DIST(M22) - EXP(-K22*C22)*_xlfn.NORM.S.DIST(N22)*Indications!$B$17</f>
        <v>3.041854547</v>
      </c>
      <c r="P22" s="16">
        <f>(1000/Indications!$B$17)*O22</f>
        <v>29.10205183</v>
      </c>
    </row>
    <row r="23">
      <c r="A23" s="33">
        <v>42398.0</v>
      </c>
      <c r="B23" s="16">
        <f t="array" ref="B23">XLOOKUP(A23, Index!A:A, Index!AA:AA)
</f>
        <v>98.9848717</v>
      </c>
      <c r="C23" s="16">
        <f t="shared" si="1"/>
        <v>2.246575342</v>
      </c>
      <c r="D23" s="12">
        <f t="array" ref="D23">XLOOKUP(A23, Index!A:A, Index!C:C)
</f>
        <v>-0.00229</v>
      </c>
      <c r="E23" s="12">
        <f t="array" ref="E23">XLOOKUP(A23, Index!A:A, Index!D:D)
</f>
        <v>-0.00162</v>
      </c>
      <c r="F23" s="12">
        <f t="array" ref="F23">XLOOKUP(A23, Index!A:A, Index!E:E)
</f>
        <v>-0.00089</v>
      </c>
      <c r="G23" s="12">
        <f t="array" ref="G23">XLOOKUP(A23, Index!A:A, Index!F:F)
</f>
        <v>0.00015</v>
      </c>
      <c r="H23" s="12">
        <f t="array" ref="H23">XLOOKUP(A23, Index!A:A, Index!H:H)
</f>
        <v>-0.00173</v>
      </c>
      <c r="I23" s="12">
        <f t="array" ref="I23">XLOOKUP(A23, Index!A:A, Index!I:I)
</f>
        <v>-0.00121</v>
      </c>
      <c r="J23" s="12">
        <f t="array" ref="J23">XLOOKUP(A23, Index!A:A, Index!J:J)
</f>
        <v>0.000775</v>
      </c>
      <c r="K23" s="12">
        <f t="shared" si="4"/>
        <v>-0.001601780822</v>
      </c>
      <c r="L23" s="5">
        <v>0.06</v>
      </c>
      <c r="M23" s="16">
        <f>(LN(B23/Indications!$B$17)+C23*(K23+0.5*(L23)^2))/(L23*SQRT(C23))</f>
        <v>-0.6004753091</v>
      </c>
      <c r="N23" s="16">
        <f t="shared" si="3"/>
        <v>-0.6904067899</v>
      </c>
      <c r="O23" s="32">
        <f>B23*_xlfn.NORM.S.DIST(M23) - EXP(-K23*C23)*_xlfn.NORM.S.DIST(N23)*Indications!$B$17</f>
        <v>1.433836715</v>
      </c>
      <c r="P23" s="16">
        <f>(1000/Indications!$B$17)*O23</f>
        <v>13.71781253</v>
      </c>
    </row>
    <row r="24">
      <c r="A24" s="33">
        <v>42429.0</v>
      </c>
      <c r="B24" s="16">
        <f t="array" ref="B24">XLOOKUP(A24, Index!A:A, Index!AA:AA)
</f>
        <v>98.50625386</v>
      </c>
      <c r="C24" s="16">
        <f t="shared" si="1"/>
        <v>2.161643836</v>
      </c>
      <c r="D24" s="12">
        <f t="array" ref="D24">XLOOKUP(A24, Index!A:A, Index!C:C)
</f>
        <v>-0.00265</v>
      </c>
      <c r="E24" s="12">
        <f t="array" ref="E24">XLOOKUP(A24, Index!A:A, Index!D:D)
</f>
        <v>-0.00205</v>
      </c>
      <c r="F24" s="12">
        <f t="array" ref="F24">XLOOKUP(A24, Index!A:A, Index!E:E)
</f>
        <v>-0.00134</v>
      </c>
      <c r="G24" s="12">
        <f t="array" ref="G24">XLOOKUP(A24, Index!A:A, Index!F:F)
</f>
        <v>-0.00024</v>
      </c>
      <c r="H24" s="12">
        <f t="array" ref="H24">XLOOKUP(A24, Index!A:A, Index!H:H)
</f>
        <v>-0.00216</v>
      </c>
      <c r="I24" s="12">
        <f t="array" ref="I24">XLOOKUP(A24, Index!A:A, Index!I:I)
</f>
        <v>-0.001846</v>
      </c>
      <c r="J24" s="12">
        <f t="array" ref="J24">XLOOKUP(A24, Index!A:A, Index!J:J)
</f>
        <v>-0.000325</v>
      </c>
      <c r="K24" s="12">
        <f t="shared" si="4"/>
        <v>-0.002109243836</v>
      </c>
      <c r="L24" s="5">
        <v>0.06</v>
      </c>
      <c r="M24" s="16">
        <f>(LN(B24/Indications!$B$17)+C24*(K24+0.5*(L24)^2))/(L24*SQRT(C24))</f>
        <v>-0.6797289766</v>
      </c>
      <c r="N24" s="16">
        <f t="shared" si="3"/>
        <v>-0.7679441556</v>
      </c>
      <c r="O24" s="32">
        <f>B24*_xlfn.NORM.S.DIST(M24) - EXP(-K24*C24)*_xlfn.NORM.S.DIST(N24)*Indications!$B$17</f>
        <v>1.230227802</v>
      </c>
      <c r="P24" s="16">
        <f>(1000/Indications!$B$17)*O24</f>
        <v>11.76984392</v>
      </c>
    </row>
    <row r="25">
      <c r="A25" s="33">
        <v>42460.0</v>
      </c>
      <c r="B25" s="16">
        <f t="array" ref="B25">XLOOKUP(A25, Index!A:A, Index!AA:AA)
</f>
        <v>99.7443305</v>
      </c>
      <c r="C25" s="16">
        <f t="shared" si="1"/>
        <v>2.076712329</v>
      </c>
      <c r="D25" s="12">
        <f t="array" ref="D25">XLOOKUP(A25, Index!A:A, Index!C:C)
</f>
        <v>-0.00334</v>
      </c>
      <c r="E25" s="12">
        <f t="array" ref="E25">XLOOKUP(A25, Index!A:A, Index!D:D)
</f>
        <v>-0.00244</v>
      </c>
      <c r="F25" s="12">
        <f t="array" ref="F25">XLOOKUP(A25, Index!A:A, Index!E:E)
</f>
        <v>-0.00132</v>
      </c>
      <c r="G25" s="12">
        <f t="array" ref="G25">XLOOKUP(A25, Index!A:A, Index!F:F)
</f>
        <v>-0.00005</v>
      </c>
      <c r="H25" s="12">
        <f t="array" ref="H25">XLOOKUP(A25, Index!A:A, Index!H:H)
</f>
        <v>-0.00151</v>
      </c>
      <c r="I25" s="12">
        <f t="array" ref="I25">XLOOKUP(A25, Index!A:A, Index!I:I)
</f>
        <v>-0.00115</v>
      </c>
      <c r="J25" s="12">
        <f t="array" ref="J25">XLOOKUP(A25, Index!A:A, Index!J:J)
</f>
        <v>0.00023</v>
      </c>
      <c r="K25" s="12">
        <f t="shared" si="4"/>
        <v>-0.001482383562</v>
      </c>
      <c r="L25" s="5">
        <v>0.06</v>
      </c>
      <c r="M25" s="16">
        <f>(LN(B25/Indications!$B$17)+C25*(K25+0.5*(L25)^2))/(L25*SQRT(C25))</f>
        <v>-0.5336755755</v>
      </c>
      <c r="N25" s="16">
        <f t="shared" si="3"/>
        <v>-0.6201403914</v>
      </c>
      <c r="O25" s="32">
        <f>B25*_xlfn.NORM.S.DIST(M25) - EXP(-K25*C25)*_xlfn.NORM.S.DIST(N25)*Indications!$B$17</f>
        <v>1.547452526</v>
      </c>
      <c r="P25" s="16">
        <f>(1000/Indications!$B$17)*O25</f>
        <v>14.80479849</v>
      </c>
    </row>
    <row r="26">
      <c r="A26" s="33">
        <v>42489.0</v>
      </c>
      <c r="B26" s="16">
        <f t="array" ref="B26">XLOOKUP(A26, Index!A:A, Index!AA:AA)
</f>
        <v>99.19936569</v>
      </c>
      <c r="C26" s="16">
        <f t="shared" si="1"/>
        <v>1.997260274</v>
      </c>
      <c r="D26" s="12">
        <f t="array" ref="D26">XLOOKUP(A26, Index!A:A, Index!C:C)
</f>
        <v>-0.00344</v>
      </c>
      <c r="E26" s="12">
        <f t="array" ref="E26">XLOOKUP(A26, Index!A:A, Index!D:D)
</f>
        <v>-0.00251</v>
      </c>
      <c r="F26" s="12">
        <f t="array" ref="F26">XLOOKUP(A26, Index!A:A, Index!E:E)
</f>
        <v>-0.00141</v>
      </c>
      <c r="G26" s="12">
        <f t="array" ref="G26">XLOOKUP(A26, Index!A:A, Index!F:F)
</f>
        <v>-0.00012</v>
      </c>
      <c r="H26" s="12">
        <f t="array" ref="H26">XLOOKUP(A26, Index!A:A, Index!H:H)
</f>
        <v>-0.00134</v>
      </c>
      <c r="I26" s="12">
        <f t="array" ref="I26">XLOOKUP(A26, Index!A:A, Index!I:I)
</f>
        <v>-0.00091</v>
      </c>
      <c r="J26" s="12">
        <f t="array" ref="J26">XLOOKUP(A26, Index!A:A, Index!J:J)
</f>
        <v>0.00073</v>
      </c>
      <c r="K26" s="12">
        <f t="shared" ref="K26:K37" si="5">G26+((C26-1)/(2-1))*(H26-G26)</f>
        <v>-0.001336657534</v>
      </c>
      <c r="L26" s="5">
        <v>0.06</v>
      </c>
      <c r="M26" s="16">
        <f>(LN(B26/Indications!$B$17)+C26*(K26+0.5*(L26)^2))/(L26*SQRT(C26))</f>
        <v>-0.6056623211</v>
      </c>
      <c r="N26" s="16">
        <f t="shared" si="3"/>
        <v>-0.6904569966</v>
      </c>
      <c r="O26" s="32">
        <f>B26*_xlfn.NORM.S.DIST(M26) - EXP(-K26*C26)*_xlfn.NORM.S.DIST(N26)*Indications!$B$17</f>
        <v>1.346996988</v>
      </c>
      <c r="P26" s="16">
        <f>(1000/Indications!$B$17)*O26</f>
        <v>12.88699888</v>
      </c>
    </row>
    <row r="27">
      <c r="A27" s="33">
        <v>42521.0</v>
      </c>
      <c r="B27" s="16">
        <f t="array" ref="B27">XLOOKUP(A27, Index!A:A, Index!AA:AA)
</f>
        <v>99.55785421</v>
      </c>
      <c r="C27" s="16">
        <f t="shared" si="1"/>
        <v>1.909589041</v>
      </c>
      <c r="D27" s="12">
        <f t="array" ref="D27">XLOOKUP(A27, Index!A:A, Index!C:C)
</f>
        <v>-0.00349</v>
      </c>
      <c r="E27" s="12">
        <f t="array" ref="E27">XLOOKUP(A27, Index!A:A, Index!D:D)
</f>
        <v>-0.00261</v>
      </c>
      <c r="F27" s="12">
        <f t="array" ref="F27">XLOOKUP(A27, Index!A:A, Index!E:E)
</f>
        <v>-0.00153</v>
      </c>
      <c r="G27" s="12">
        <f t="array" ref="G27">XLOOKUP(A27, Index!A:A, Index!F:F)
</f>
        <v>-0.00015</v>
      </c>
      <c r="H27" s="12">
        <f t="array" ref="H27">XLOOKUP(A27, Index!A:A, Index!H:H)
</f>
        <v>-0.00161</v>
      </c>
      <c r="I27" s="12">
        <f t="array" ref="I27">XLOOKUP(A27, Index!A:A, Index!I:I)
</f>
        <v>-0.0013</v>
      </c>
      <c r="J27" s="12">
        <f t="array" ref="J27">XLOOKUP(A27, Index!A:A, Index!J:J)
</f>
        <v>0.000062</v>
      </c>
      <c r="K27" s="12">
        <f t="shared" si="5"/>
        <v>-0.001478</v>
      </c>
      <c r="L27" s="5">
        <v>0.06</v>
      </c>
      <c r="M27" s="16">
        <f>(LN(B27/Indications!$B$17)+C27*(K27+0.5*(L27)^2))/(L27*SQRT(C27))</f>
        <v>-0.5796475901</v>
      </c>
      <c r="N27" s="16">
        <f t="shared" si="3"/>
        <v>-0.6625603186</v>
      </c>
      <c r="O27" s="32">
        <f>B27*_xlfn.NORM.S.DIST(M27) - EXP(-K27*C27)*_xlfn.NORM.S.DIST(N27)*Indications!$B$17</f>
        <v>1.379602428</v>
      </c>
      <c r="P27" s="16">
        <f>(1000/Indications!$B$17)*O27</f>
        <v>13.19894188</v>
      </c>
    </row>
    <row r="28">
      <c r="A28" s="33">
        <v>42551.0</v>
      </c>
      <c r="B28" s="16">
        <f t="array" ref="B28">XLOOKUP(A28, Index!A:A, Index!AA:AA)
</f>
        <v>98.33887144</v>
      </c>
      <c r="C28" s="16">
        <f t="shared" si="1"/>
        <v>1.82739726</v>
      </c>
      <c r="D28" s="12">
        <f t="array" ref="D28">XLOOKUP(A28, Index!A:A, Index!C:C)
</f>
        <v>-0.00364</v>
      </c>
      <c r="E28" s="12">
        <f t="array" ref="E28">XLOOKUP(A28, Index!A:A, Index!D:D)
</f>
        <v>-0.00286</v>
      </c>
      <c r="F28" s="12">
        <f t="array" ref="F28">XLOOKUP(A28, Index!A:A, Index!E:E)
</f>
        <v>-0.00179</v>
      </c>
      <c r="G28" s="12">
        <f t="array" ref="G28">XLOOKUP(A28, Index!A:A, Index!F:F)
</f>
        <v>-0.00051</v>
      </c>
      <c r="H28" s="12">
        <f t="array" ref="H28">XLOOKUP(A28, Index!A:A, Index!H:H)
</f>
        <v>-0.00201</v>
      </c>
      <c r="I28" s="12">
        <f t="array" ref="I28">XLOOKUP(A28, Index!A:A, Index!I:I)
</f>
        <v>-0.002017</v>
      </c>
      <c r="J28" s="12">
        <f t="array" ref="J28">XLOOKUP(A28, Index!A:A, Index!J:J)
</f>
        <v>-0.00077</v>
      </c>
      <c r="K28" s="12">
        <f t="shared" si="5"/>
        <v>-0.00175109589</v>
      </c>
      <c r="L28" s="5">
        <v>0.06</v>
      </c>
      <c r="M28" s="16">
        <f>(LN(B28/Indications!$B$17)+C28*(K28+0.5*(L28)^2))/(L28*SQRT(C28))</f>
        <v>-0.750908115</v>
      </c>
      <c r="N28" s="16">
        <f t="shared" si="3"/>
        <v>-0.83201687</v>
      </c>
      <c r="O28" s="32">
        <f>B28*_xlfn.NORM.S.DIST(M28) - EXP(-K28*C28)*_xlfn.NORM.S.DIST(N28)*Indications!$B$17</f>
        <v>1.004562435</v>
      </c>
      <c r="P28" s="16">
        <f>(1000/Indications!$B$17)*O28</f>
        <v>9.610856669</v>
      </c>
    </row>
    <row r="29">
      <c r="A29" s="33">
        <v>42580.0</v>
      </c>
      <c r="B29" s="16">
        <f t="array" ref="B29">XLOOKUP(A29, Index!A:A, Index!AA:AA)
</f>
        <v>99.79904528</v>
      </c>
      <c r="C29" s="16">
        <f t="shared" si="1"/>
        <v>1.747945205</v>
      </c>
      <c r="D29" s="12">
        <f t="array" ref="D29">XLOOKUP(A29, Index!A:A, Index!C:C)
</f>
        <v>-0.00371</v>
      </c>
      <c r="E29" s="12">
        <f t="array" ref="E29">XLOOKUP(A29, Index!A:A, Index!D:D)
</f>
        <v>-0.00297</v>
      </c>
      <c r="F29" s="12">
        <f t="array" ref="F29">XLOOKUP(A29, Index!A:A, Index!E:E)
</f>
        <v>-0.00186</v>
      </c>
      <c r="G29" s="12">
        <f t="array" ref="G29">XLOOKUP(A29, Index!A:A, Index!F:F)
</f>
        <v>-0.00049</v>
      </c>
      <c r="H29" s="12">
        <f t="array" ref="H29">XLOOKUP(A29, Index!A:A, Index!H:H)
</f>
        <v>-0.002174</v>
      </c>
      <c r="I29" s="12">
        <f t="array" ref="I29">XLOOKUP(A29, Index!A:A, Index!I:I)
</f>
        <v>-0.002173</v>
      </c>
      <c r="J29" s="12">
        <f t="array" ref="J29">XLOOKUP(A29, Index!A:A, Index!J:J)
</f>
        <v>-0.00152</v>
      </c>
      <c r="K29" s="12">
        <f t="shared" si="5"/>
        <v>-0.001749539726</v>
      </c>
      <c r="L29" s="5">
        <v>0.06</v>
      </c>
      <c r="M29" s="16">
        <f>(LN(B29/Indications!$B$17)+C29*(K29+0.5*(L29)^2))/(L29*SQRT(C29))</f>
        <v>-0.5819932807</v>
      </c>
      <c r="N29" s="16">
        <f t="shared" si="3"/>
        <v>-0.6613192079</v>
      </c>
      <c r="O29" s="32">
        <f>B29*_xlfn.NORM.S.DIST(M29) - EXP(-K29*C29)*_xlfn.NORM.S.DIST(N29)*Indications!$B$17</f>
        <v>1.320529874</v>
      </c>
      <c r="P29" s="16">
        <f>(1000/Indications!$B$17)*O29</f>
        <v>12.63378253</v>
      </c>
    </row>
    <row r="30">
      <c r="A30" s="33">
        <v>42613.0</v>
      </c>
      <c r="B30" s="16">
        <f t="array" ref="B30">XLOOKUP(A30, Index!A:A, Index!AA:AA)
</f>
        <v>100.7020732</v>
      </c>
      <c r="C30" s="16">
        <f t="shared" si="1"/>
        <v>1.657534247</v>
      </c>
      <c r="D30" s="12">
        <f t="array" ref="D30">XLOOKUP(A30, Index!A:A, Index!C:C)
</f>
        <v>-0.00372</v>
      </c>
      <c r="E30" s="12">
        <f t="array" ref="E30">XLOOKUP(A30, Index!A:A, Index!D:D)
</f>
        <v>-0.00299</v>
      </c>
      <c r="F30" s="12">
        <f t="array" ref="F30">XLOOKUP(A30, Index!A:A, Index!E:E)
</f>
        <v>-0.00192</v>
      </c>
      <c r="G30" s="12">
        <f t="array" ref="G30">XLOOKUP(A30, Index!A:A, Index!F:F)
</f>
        <v>-0.00052</v>
      </c>
      <c r="H30" s="12">
        <f t="array" ref="H30">XLOOKUP(A30, Index!A:A, Index!H:H)
</f>
        <v>-0.0021</v>
      </c>
      <c r="I30" s="12">
        <f t="array" ref="I30">XLOOKUP(A30, Index!A:A, Index!I:I)
</f>
        <v>-0.00195</v>
      </c>
      <c r="J30" s="12">
        <f t="array" ref="J30">XLOOKUP(A30, Index!A:A, Index!J:J)
</f>
        <v>-0.00123</v>
      </c>
      <c r="K30" s="12">
        <f t="shared" si="5"/>
        <v>-0.00155890411</v>
      </c>
      <c r="L30" s="5">
        <v>0.06</v>
      </c>
      <c r="M30" s="16">
        <f>(LN(B30/Indications!$B$17)+C30*(K30+0.5*(L30)^2))/(L30*SQRT(C30))</f>
        <v>-0.4770138438</v>
      </c>
      <c r="N30" s="16">
        <f t="shared" si="3"/>
        <v>-0.554261001</v>
      </c>
      <c r="O30" s="32">
        <f>B30*_xlfn.NORM.S.DIST(M30) - EXP(-K30*C30)*_xlfn.NORM.S.DIST(N30)*Indications!$B$17</f>
        <v>1.531066514</v>
      </c>
      <c r="P30" s="16">
        <f>(1000/Indications!$B$17)*O30</f>
        <v>14.64803013</v>
      </c>
    </row>
    <row r="31">
      <c r="A31" s="33">
        <v>42643.0</v>
      </c>
      <c r="B31" s="16">
        <f t="array" ref="B31">XLOOKUP(A31, Index!A:A, Index!AA:AA)
</f>
        <v>100.300543</v>
      </c>
      <c r="C31" s="16">
        <f t="shared" si="1"/>
        <v>1.575342466</v>
      </c>
      <c r="D31" s="12">
        <f t="array" ref="D31">XLOOKUP(A31, Index!A:A, Index!C:C)
</f>
        <v>-0.00371</v>
      </c>
      <c r="E31" s="12">
        <f t="array" ref="E31">XLOOKUP(A31, Index!A:A, Index!D:D)
</f>
        <v>-0.00301</v>
      </c>
      <c r="F31" s="12">
        <f t="array" ref="F31">XLOOKUP(A31, Index!A:A, Index!E:E)
</f>
        <v>-0.00203</v>
      </c>
      <c r="G31" s="12">
        <f t="array" ref="G31">XLOOKUP(A31, Index!A:A, Index!F:F)
</f>
        <v>-0.00064</v>
      </c>
      <c r="H31" s="12">
        <f t="array" ref="H31">XLOOKUP(A31, Index!A:A, Index!H:H)
</f>
        <v>-0.00222</v>
      </c>
      <c r="I31" s="12">
        <f t="array" ref="I31">XLOOKUP(A31, Index!A:A, Index!I:I)
</f>
        <v>-0.00217</v>
      </c>
      <c r="J31" s="12">
        <f t="array" ref="J31">XLOOKUP(A31, Index!A:A, Index!J:J)
</f>
        <v>-0.0014</v>
      </c>
      <c r="K31" s="12">
        <f t="shared" si="5"/>
        <v>-0.001549041096</v>
      </c>
      <c r="L31" s="5">
        <v>0.06</v>
      </c>
      <c r="M31" s="16">
        <f>(LN(B31/Indications!$B$17)+C31*(K31+0.5*(L31)^2))/(L31*SQRT(C31))</f>
        <v>-0.5424090839</v>
      </c>
      <c r="N31" s="16">
        <f t="shared" si="3"/>
        <v>-0.6177166723</v>
      </c>
      <c r="O31" s="32">
        <f>B31*_xlfn.NORM.S.DIST(M31) - EXP(-K31*C31)*_xlfn.NORM.S.DIST(N31)*Indications!$B$17</f>
        <v>1.3444025</v>
      </c>
      <c r="P31" s="16">
        <f>(1000/Indications!$B$17)*O31</f>
        <v>12.86217688</v>
      </c>
    </row>
    <row r="32">
      <c r="A32" s="33">
        <v>42674.0</v>
      </c>
      <c r="B32" s="16">
        <f t="array" ref="B32">XLOOKUP(A32, Index!A:A, Index!AA:AA)
</f>
        <v>99.80956247</v>
      </c>
      <c r="C32" s="16">
        <f t="shared" si="1"/>
        <v>1.490410959</v>
      </c>
      <c r="D32" s="12">
        <f t="array" ref="D32">XLOOKUP(A32, Index!A:A, Index!C:C)
</f>
        <v>-0.00372</v>
      </c>
      <c r="E32" s="12">
        <f t="array" ref="E32">XLOOKUP(A32, Index!A:A, Index!D:D)
</f>
        <v>-0.00313</v>
      </c>
      <c r="F32" s="12">
        <f t="array" ref="F32">XLOOKUP(A32, Index!A:A, Index!E:E)
</f>
        <v>-0.00212</v>
      </c>
      <c r="G32" s="12">
        <f t="array" ref="G32">XLOOKUP(A32, Index!A:A, Index!F:F)
</f>
        <v>-0.00069</v>
      </c>
      <c r="H32" s="12">
        <f t="array" ref="H32">XLOOKUP(A32, Index!A:A, Index!H:H)
</f>
        <v>-0.0016</v>
      </c>
      <c r="I32" s="12">
        <f t="array" ref="I32">XLOOKUP(A32, Index!A:A, Index!I:I)
</f>
        <v>-0.001165</v>
      </c>
      <c r="J32" s="12">
        <f t="array" ref="J32">XLOOKUP(A32, Index!A:A, Index!J:J)
</f>
        <v>0.000114</v>
      </c>
      <c r="K32" s="12">
        <f t="shared" si="5"/>
        <v>-0.001136273973</v>
      </c>
      <c r="L32" s="5">
        <v>0.06</v>
      </c>
      <c r="M32" s="16">
        <f>(LN(B32/Indications!$B$17)+C32*(K32+0.5*(L32)^2))/(L32*SQRT(C32))</f>
        <v>-0.6165338604</v>
      </c>
      <c r="N32" s="16">
        <f t="shared" si="3"/>
        <v>-0.6897832935</v>
      </c>
      <c r="O32" s="32">
        <f>B32*_xlfn.NORM.S.DIST(M32) - EXP(-K32*C32)*_xlfn.NORM.S.DIST(N32)*Indications!$B$17</f>
        <v>1.156912104</v>
      </c>
      <c r="P32" s="16">
        <f>(1000/Indications!$B$17)*O32</f>
        <v>11.06841747</v>
      </c>
    </row>
    <row r="33">
      <c r="A33" s="33">
        <v>42704.0</v>
      </c>
      <c r="B33" s="16">
        <f t="array" ref="B33">XLOOKUP(A33, Index!A:A, Index!AA:AA)
</f>
        <v>98.64794354</v>
      </c>
      <c r="C33" s="16">
        <f t="shared" si="1"/>
        <v>1.408219178</v>
      </c>
      <c r="D33" s="12">
        <f t="array" ref="D33">XLOOKUP(A33, Index!A:A, Index!C:C)
</f>
        <v>-0.00372</v>
      </c>
      <c r="E33" s="12">
        <f t="array" ref="E33">XLOOKUP(A33, Index!A:A, Index!D:D)
</f>
        <v>-0.00314</v>
      </c>
      <c r="F33" s="12">
        <f t="array" ref="F33">XLOOKUP(A33, Index!A:A, Index!E:E)
</f>
        <v>-0.00219</v>
      </c>
      <c r="G33" s="12">
        <f t="array" ref="G33">XLOOKUP(A33, Index!A:A, Index!F:F)
</f>
        <v>-0.0008</v>
      </c>
      <c r="H33" s="12">
        <f t="array" ref="H33">XLOOKUP(A33, Index!A:A, Index!H:H)
</f>
        <v>-0.00158</v>
      </c>
      <c r="I33" s="12">
        <f t="array" ref="I33">XLOOKUP(A33, Index!A:A, Index!I:I)
</f>
        <v>-0.000998</v>
      </c>
      <c r="J33" s="12">
        <f t="array" ref="J33">XLOOKUP(A33, Index!A:A, Index!J:J)
</f>
        <v>0.00087</v>
      </c>
      <c r="K33" s="12">
        <f t="shared" si="5"/>
        <v>-0.001118410959</v>
      </c>
      <c r="L33" s="5">
        <v>0.06</v>
      </c>
      <c r="M33" s="16">
        <f>(LN(B33/Indications!$B$17)+C33*(K33+0.5*(L33)^2))/(L33*SQRT(C33))</f>
        <v>-0.7991000858</v>
      </c>
      <c r="N33" s="16">
        <f t="shared" si="3"/>
        <v>-0.8703011324</v>
      </c>
      <c r="O33" s="32">
        <f>B33*_xlfn.NORM.S.DIST(M33) - EXP(-K33*C33)*_xlfn.NORM.S.DIST(N33)*Indications!$B$17</f>
        <v>0.8175290833</v>
      </c>
      <c r="P33" s="16">
        <f>(1000/Indications!$B$17)*O33</f>
        <v>7.821469892</v>
      </c>
    </row>
    <row r="34">
      <c r="A34" s="33">
        <v>42734.0</v>
      </c>
      <c r="B34" s="16">
        <f t="array" ref="B34">XLOOKUP(A34, Index!A:A, Index!AA:AA)
</f>
        <v>100.1055229</v>
      </c>
      <c r="C34" s="16">
        <f t="shared" si="1"/>
        <v>1.326027397</v>
      </c>
      <c r="D34" s="12">
        <f t="array" ref="D34">XLOOKUP(A34, Index!A:A, Index!C:C)
</f>
        <v>-0.00368</v>
      </c>
      <c r="E34" s="12">
        <f t="array" ref="E34">XLOOKUP(A34, Index!A:A, Index!D:D)
</f>
        <v>-0.00319</v>
      </c>
      <c r="F34" s="12">
        <f t="array" ref="F34">XLOOKUP(A34, Index!A:A, Index!E:E)
</f>
        <v>-0.00221</v>
      </c>
      <c r="G34" s="12">
        <f t="array" ref="G34">XLOOKUP(A34, Index!A:A, Index!F:F)
</f>
        <v>-0.00082</v>
      </c>
      <c r="H34" s="12">
        <f t="array" ref="H34">XLOOKUP(A34, Index!A:A, Index!H:H)
</f>
        <v>-0.001605</v>
      </c>
      <c r="I34" s="12">
        <f t="array" ref="I34">XLOOKUP(A34, Index!A:A, Index!I:I)
</f>
        <v>-0.001</v>
      </c>
      <c r="J34" s="12">
        <f t="array" ref="J34">XLOOKUP(A34, Index!A:A, Index!J:J)
</f>
        <v>0.00077</v>
      </c>
      <c r="K34" s="12">
        <f t="shared" si="5"/>
        <v>-0.001075931507</v>
      </c>
      <c r="L34" s="5">
        <v>0.06</v>
      </c>
      <c r="M34" s="16">
        <f>(LN(B34/Indications!$B$17)+C34*(K34+0.5*(L34)^2))/(L34*SQRT(C34))</f>
        <v>-0.6111996728</v>
      </c>
      <c r="N34" s="16">
        <f t="shared" si="3"/>
        <v>-0.6802916306</v>
      </c>
      <c r="O34" s="32">
        <f>B34*_xlfn.NORM.S.DIST(M34) - EXP(-K34*C34)*_xlfn.NORM.S.DIST(N34)*Indications!$B$17</f>
        <v>1.106288468</v>
      </c>
      <c r="P34" s="16">
        <f>(1000/Indications!$B$17)*O34</f>
        <v>10.58409068</v>
      </c>
    </row>
    <row r="35">
      <c r="A35" s="33">
        <v>42766.0</v>
      </c>
      <c r="B35" s="16">
        <f t="array" ref="B35">XLOOKUP(A35, Index!A:A, Index!AA:AA)
</f>
        <v>100.0139878</v>
      </c>
      <c r="C35" s="16">
        <f t="shared" si="1"/>
        <v>1.238356164</v>
      </c>
      <c r="D35" s="12">
        <f t="array" ref="D35">XLOOKUP(A35, Index!A:A, Index!C:C)
</f>
        <v>-0.00372</v>
      </c>
      <c r="E35" s="12">
        <f t="array" ref="E35">XLOOKUP(A35, Index!A:A, Index!D:D)
</f>
        <v>-0.00327</v>
      </c>
      <c r="F35" s="12">
        <f t="array" ref="F35">XLOOKUP(A35, Index!A:A, Index!E:E)
</f>
        <v>-0.00243</v>
      </c>
      <c r="G35" s="12">
        <f t="array" ref="G35">XLOOKUP(A35, Index!A:A, Index!F:F)
</f>
        <v>-0.00101</v>
      </c>
      <c r="H35" s="12">
        <f t="array" ref="H35">XLOOKUP(A35, Index!A:A, Index!H:H)
</f>
        <v>-0.00155</v>
      </c>
      <c r="I35" s="12">
        <f t="array" ref="I35">XLOOKUP(A35, Index!A:A, Index!I:I)
</f>
        <v>-0.00055</v>
      </c>
      <c r="J35" s="12">
        <f t="array" ref="J35">XLOOKUP(A35, Index!A:A, Index!J:J)
</f>
        <v>0.00188</v>
      </c>
      <c r="K35" s="12">
        <f t="shared" si="5"/>
        <v>-0.001138712329</v>
      </c>
      <c r="L35" s="5">
        <v>0.06</v>
      </c>
      <c r="M35" s="16">
        <f>(LN(B35/Indications!$B$17)+C35*(K35+0.5*(L35)^2))/(L35*SQRT(C35))</f>
        <v>-0.6482813157</v>
      </c>
      <c r="N35" s="16">
        <f t="shared" si="3"/>
        <v>-0.7150501872</v>
      </c>
      <c r="O35" s="32">
        <f>B35*_xlfn.NORM.S.DIST(M35) - EXP(-K35*C35)*_xlfn.NORM.S.DIST(N35)*Indications!$B$17</f>
        <v>1.006436765</v>
      </c>
      <c r="P35" s="16">
        <f>(1000/Indications!$B$17)*O35</f>
        <v>9.628788766</v>
      </c>
    </row>
    <row r="36">
      <c r="A36" s="33">
        <v>42794.0</v>
      </c>
      <c r="B36" s="16">
        <f t="array" ref="B36">XLOOKUP(A36, Index!A:A, Index!AA:AA)
</f>
        <v>101.2591421</v>
      </c>
      <c r="C36" s="16">
        <f t="shared" si="1"/>
        <v>1.161643836</v>
      </c>
      <c r="D36" s="12">
        <f t="array" ref="D36">XLOOKUP(A36, Index!A:A, Index!C:C)
</f>
        <v>-0.00371</v>
      </c>
      <c r="E36" s="12">
        <f t="array" ref="E36">XLOOKUP(A36, Index!A:A, Index!D:D)
</f>
        <v>-0.0033</v>
      </c>
      <c r="F36" s="12">
        <f t="array" ref="F36">XLOOKUP(A36, Index!A:A, Index!E:E)
</f>
        <v>-0.00239</v>
      </c>
      <c r="G36" s="12">
        <f t="array" ref="G36">XLOOKUP(A36, Index!A:A, Index!F:F)
</f>
        <v>-0.00114</v>
      </c>
      <c r="H36" s="12">
        <f t="array" ref="H36">XLOOKUP(A36, Index!A:A, Index!H:H)
</f>
        <v>-0.00167</v>
      </c>
      <c r="I36" s="12">
        <f t="array" ref="I36">XLOOKUP(A36, Index!A:A, Index!I:I)
</f>
        <v>-0.00103</v>
      </c>
      <c r="J36" s="12">
        <f t="array" ref="J36">XLOOKUP(A36, Index!A:A, Index!J:J)
</f>
        <v>0.00078</v>
      </c>
      <c r="K36" s="12">
        <f t="shared" si="5"/>
        <v>-0.001225671233</v>
      </c>
      <c r="L36" s="5">
        <v>0.06</v>
      </c>
      <c r="M36" s="16">
        <f>(LN(B36/Indications!$B$17)+C36*(K36+0.5*(L36)^2))/(L36*SQRT(C36))</f>
        <v>-0.4803602369</v>
      </c>
      <c r="N36" s="16">
        <f t="shared" si="3"/>
        <v>-0.5450279863</v>
      </c>
      <c r="O36" s="32">
        <f>B36*_xlfn.NORM.S.DIST(M36) - EXP(-K36*C36)*_xlfn.NORM.S.DIST(N36)*Indications!$B$17</f>
        <v>1.290628144</v>
      </c>
      <c r="P36" s="16">
        <f>(1000/Indications!$B$17)*O36</f>
        <v>12.34770649</v>
      </c>
    </row>
    <row r="37">
      <c r="A37" s="33">
        <v>42825.0</v>
      </c>
      <c r="B37" s="16">
        <f t="array" ref="B37">XLOOKUP(A37, Index!A:A, Index!AA:AA)
</f>
        <v>101.7186139</v>
      </c>
      <c r="C37" s="16">
        <f t="shared" si="1"/>
        <v>1.076712329</v>
      </c>
      <c r="D37" s="12">
        <f t="array" ref="D37">XLOOKUP(A37, Index!A:A, Index!C:C)
</f>
        <v>-0.00373</v>
      </c>
      <c r="E37" s="12">
        <f t="array" ref="E37">XLOOKUP(A37, Index!A:A, Index!D:D)
</f>
        <v>-0.00329</v>
      </c>
      <c r="F37" s="12">
        <f t="array" ref="F37">XLOOKUP(A37, Index!A:A, Index!E:E)
</f>
        <v>-0.00241</v>
      </c>
      <c r="G37" s="12">
        <f t="array" ref="G37">XLOOKUP(A37, Index!A:A, Index!F:F)
</f>
        <v>-0.00109</v>
      </c>
      <c r="H37" s="12">
        <f t="array" ref="H37">XLOOKUP(A37, Index!A:A, Index!H:H)
</f>
        <v>-0.00135</v>
      </c>
      <c r="I37" s="12">
        <f t="array" ref="I37">XLOOKUP(A37, Index!A:A, Index!I:I)
</f>
        <v>-0.00035</v>
      </c>
      <c r="J37" s="12">
        <f t="array" ref="J37">XLOOKUP(A37, Index!A:A, Index!J:J)
</f>
        <v>0.001835</v>
      </c>
      <c r="K37" s="12">
        <f t="shared" si="5"/>
        <v>-0.001109945205</v>
      </c>
      <c r="L37" s="5">
        <v>0.06</v>
      </c>
      <c r="M37" s="16">
        <f>(LN(B37/Indications!$B$17)+C37*(K37+0.5*(L37)^2))/(L37*SQRT(C37))</f>
        <v>-0.4250106071</v>
      </c>
      <c r="N37" s="16">
        <f t="shared" si="3"/>
        <v>-0.487269457</v>
      </c>
      <c r="O37" s="32">
        <f>B37*_xlfn.NORM.S.DIST(M37) - EXP(-K37*C37)*_xlfn.NORM.S.DIST(N37)*Indications!$B$17</f>
        <v>1.359324533</v>
      </c>
      <c r="P37" s="16">
        <f>(1000/Indications!$B$17)*O37</f>
        <v>13.00493906</v>
      </c>
    </row>
    <row r="38">
      <c r="A38" s="33">
        <v>42853.0</v>
      </c>
      <c r="B38" s="16">
        <f t="array" ref="B38">XLOOKUP(A38, Index!A:A, Index!AA:AA)
</f>
        <v>102.1522966</v>
      </c>
      <c r="C38" s="16">
        <f t="shared" si="1"/>
        <v>1</v>
      </c>
      <c r="D38" s="12">
        <f t="array" ref="D38">XLOOKUP(A38, Index!A:A, Index!C:C)
</f>
        <v>-0.00374</v>
      </c>
      <c r="E38" s="12">
        <f t="array" ref="E38">XLOOKUP(A38, Index!A:A, Index!D:D)
</f>
        <v>-0.00329</v>
      </c>
      <c r="F38" s="12">
        <f t="array" ref="F38">XLOOKUP(A38, Index!A:A, Index!E:E)
</f>
        <v>-0.00249</v>
      </c>
      <c r="G38" s="12">
        <f t="array" ref="G38">XLOOKUP(A38, Index!A:A, Index!F:F)
</f>
        <v>-0.00121</v>
      </c>
      <c r="H38" s="12">
        <f t="array" ref="H38">XLOOKUP(A38, Index!A:A, Index!H:H)
</f>
        <v>-0.00141</v>
      </c>
      <c r="I38" s="12">
        <f t="array" ref="I38">XLOOKUP(A38, Index!A:A, Index!I:I)
</f>
        <v>-0.00036</v>
      </c>
      <c r="J38" s="12">
        <f t="array" ref="J38">XLOOKUP(A38, Index!A:A, Index!J:J)
</f>
        <v>0.00192</v>
      </c>
      <c r="K38" s="12">
        <f t="shared" ref="K38:K43" si="6">F38+((C38-0.5)/(1-0.5))*(G38-F38)</f>
        <v>-0.00121</v>
      </c>
      <c r="L38" s="5">
        <v>0.06</v>
      </c>
      <c r="M38" s="16">
        <f>(LN(B38/Indications!$B$17)+C38*(K38+0.5*(L38)^2))/(L38*SQRT(C38))</f>
        <v>-0.3726528698</v>
      </c>
      <c r="N38" s="16">
        <f t="shared" si="3"/>
        <v>-0.4326528698</v>
      </c>
      <c r="O38" s="32">
        <f>B38*_xlfn.NORM.S.DIST(M38) - EXP(-K38*C38)*_xlfn.NORM.S.DIST(N38)*Indications!$B$17</f>
        <v>1.423585467</v>
      </c>
      <c r="P38" s="16">
        <f>(1000/Indications!$B$17)*O38</f>
        <v>13.61973671</v>
      </c>
    </row>
    <row r="39">
      <c r="A39" s="33">
        <v>42886.0</v>
      </c>
      <c r="B39" s="16">
        <f t="array" ref="B39">XLOOKUP(A39, Index!A:A, Index!AA:AA)
</f>
        <v>102.7056997</v>
      </c>
      <c r="C39" s="16">
        <f t="shared" si="1"/>
        <v>0.9095890411</v>
      </c>
      <c r="D39" s="12">
        <f t="array" ref="D39">XLOOKUP(A39, Index!A:A, Index!C:C)
</f>
        <v>-0.00374</v>
      </c>
      <c r="E39" s="12">
        <f t="array" ref="E39">XLOOKUP(A39, Index!A:A, Index!D:D)
</f>
        <v>-0.00329</v>
      </c>
      <c r="F39" s="12">
        <f t="array" ref="F39">XLOOKUP(A39, Index!A:A, Index!E:E)
</f>
        <v>-0.00254</v>
      </c>
      <c r="G39" s="12">
        <f t="array" ref="G39">XLOOKUP(A39, Index!A:A, Index!F:F)
</f>
        <v>-0.00131</v>
      </c>
      <c r="H39" s="12">
        <f t="array" ref="H39">XLOOKUP(A39, Index!A:A, Index!H:H)
</f>
        <v>-0.00162</v>
      </c>
      <c r="I39" s="12">
        <f t="array" ref="I39">XLOOKUP(A39, Index!A:A, Index!I:I)
</f>
        <v>-0.000749</v>
      </c>
      <c r="J39" s="12">
        <f t="array" ref="J39">XLOOKUP(A39, Index!A:A, Index!J:J)
</f>
        <v>0.001643</v>
      </c>
      <c r="K39" s="12">
        <f t="shared" si="6"/>
        <v>-0.001532410959</v>
      </c>
      <c r="L39" s="5">
        <v>0.06</v>
      </c>
      <c r="M39" s="16">
        <f>(LN(B39/Indications!$B$17)+C39*(K39+0.5*(L39)^2))/(L39*SQRT(C39))</f>
        <v>-0.3023755535</v>
      </c>
      <c r="N39" s="16">
        <f t="shared" si="3"/>
        <v>-0.35959898</v>
      </c>
      <c r="O39" s="32">
        <f>B39*_xlfn.NORM.S.DIST(M39) - EXP(-K39*C39)*_xlfn.NORM.S.DIST(N39)*Indications!$B$17</f>
        <v>1.513272252</v>
      </c>
      <c r="P39" s="16">
        <f>(1000/Indications!$B$17)*O39</f>
        <v>14.47778874</v>
      </c>
    </row>
    <row r="40">
      <c r="A40" s="33">
        <v>42916.0</v>
      </c>
      <c r="B40" s="16">
        <f t="array" ref="B40">XLOOKUP(A40, Index!A:A, Index!AA:AA)
</f>
        <v>101.6055819</v>
      </c>
      <c r="C40" s="16">
        <f t="shared" si="1"/>
        <v>0.8273972603</v>
      </c>
      <c r="D40" s="12">
        <f t="array" ref="D40">XLOOKUP(A40, Index!A:A, Index!C:C)
</f>
        <v>-0.00373</v>
      </c>
      <c r="E40" s="12">
        <f t="array" ref="E40">XLOOKUP(A40, Index!A:A, Index!D:D)
</f>
        <v>-0.00331</v>
      </c>
      <c r="F40" s="12">
        <f t="array" ref="F40">XLOOKUP(A40, Index!A:A, Index!E:E)
</f>
        <v>-0.00271</v>
      </c>
      <c r="G40" s="12">
        <f t="array" ref="G40">XLOOKUP(A40, Index!A:A, Index!F:F)
</f>
        <v>-0.00156</v>
      </c>
      <c r="H40" s="12">
        <f t="array" ref="H40">XLOOKUP(A40, Index!A:A, Index!H:H)
</f>
        <v>-0.001255</v>
      </c>
      <c r="I40" s="12">
        <f t="array" ref="I40">XLOOKUP(A40, Index!A:A, Index!I:I)
</f>
        <v>0.000018</v>
      </c>
      <c r="J40" s="12">
        <f t="array" ref="J40">XLOOKUP(A40, Index!A:A, Index!J:J)
</f>
        <v>0.002755</v>
      </c>
      <c r="K40" s="12">
        <f t="shared" si="6"/>
        <v>-0.001956986301</v>
      </c>
      <c r="L40" s="5">
        <v>0.06</v>
      </c>
      <c r="M40" s="16">
        <f>(LN(B40/Indications!$B$17)+C40*(K40+0.5*(L40)^2))/(L40*SQRT(C40))</f>
        <v>-0.5211990774</v>
      </c>
      <c r="N40" s="16">
        <f t="shared" si="3"/>
        <v>-0.5757759052</v>
      </c>
      <c r="O40" s="32">
        <f>B40*_xlfn.NORM.S.DIST(M40) - EXP(-K40*C40)*_xlfn.NORM.S.DIST(N40)*Indications!$B$17</f>
        <v>1.031282762</v>
      </c>
      <c r="P40" s="16">
        <f>(1000/Indications!$B$17)*O40</f>
        <v>9.866495561</v>
      </c>
    </row>
    <row r="41">
      <c r="A41" s="33">
        <v>42947.0</v>
      </c>
      <c r="B41" s="16">
        <f t="array" ref="B41">XLOOKUP(A41, Index!A:A, Index!AA:AA)
</f>
        <v>101.7809646</v>
      </c>
      <c r="C41" s="16">
        <f t="shared" si="1"/>
        <v>0.7424657534</v>
      </c>
      <c r="D41" s="12">
        <f t="array" ref="D41">XLOOKUP(A41, Index!A:A, Index!C:C)
</f>
        <v>-0.0037</v>
      </c>
      <c r="E41" s="12">
        <f t="array" ref="E41">XLOOKUP(A41, Index!A:A, Index!D:D)
</f>
        <v>-0.0033</v>
      </c>
      <c r="F41" s="12">
        <f t="array" ref="F41">XLOOKUP(A41, Index!A:A, Index!E:E)
</f>
        <v>-0.00271</v>
      </c>
      <c r="G41" s="12">
        <f t="array" ref="G41">XLOOKUP(A41, Index!A:A, Index!F:F)
</f>
        <v>-0.00151</v>
      </c>
      <c r="H41" s="12">
        <f t="array" ref="H41">XLOOKUP(A41, Index!A:A, Index!H:H)
</f>
        <v>-0.00153</v>
      </c>
      <c r="I41" s="12">
        <f t="array" ref="I41">XLOOKUP(A41, Index!A:A, Index!I:I)
</f>
        <v>-0.000218</v>
      </c>
      <c r="J41" s="12">
        <f t="array" ref="J41">XLOOKUP(A41, Index!A:A, Index!J:J)
</f>
        <v>0.0028</v>
      </c>
      <c r="K41" s="12">
        <f t="shared" si="6"/>
        <v>-0.002128082192</v>
      </c>
      <c r="L41" s="5">
        <v>0.06</v>
      </c>
      <c r="M41" s="16">
        <f>(LN(B41/Indications!$B$17)+C41*(K41+0.5*(L41)^2))/(L41*SQRT(C41))</f>
        <v>-0.5190432076</v>
      </c>
      <c r="N41" s="16">
        <f t="shared" si="3"/>
        <v>-0.5707430791</v>
      </c>
      <c r="O41" s="32">
        <f>B41*_xlfn.NORM.S.DIST(M41) - EXP(-K41*C41)*_xlfn.NORM.S.DIST(N41)*Indications!$B$17</f>
        <v>0.9833692186</v>
      </c>
      <c r="P41" s="16">
        <f>(1000/Indications!$B$17)*O41</f>
        <v>9.408096779</v>
      </c>
    </row>
    <row r="42">
      <c r="A42" s="33">
        <v>42978.0</v>
      </c>
      <c r="B42" s="16">
        <f t="array" ref="B42">XLOOKUP(A42, Index!A:A, Index!AA:AA)
</f>
        <v>101.1161594</v>
      </c>
      <c r="C42" s="16">
        <f t="shared" si="1"/>
        <v>0.6575342466</v>
      </c>
      <c r="D42" s="12">
        <f t="array" ref="D42">XLOOKUP(A42, Index!A:A, Index!C:C)
</f>
        <v>-0.00373</v>
      </c>
      <c r="E42" s="12">
        <f t="array" ref="E42">XLOOKUP(A42, Index!A:A, Index!D:D)
</f>
        <v>-0.00329</v>
      </c>
      <c r="F42" s="12">
        <f t="array" ref="F42">XLOOKUP(A42, Index!A:A, Index!E:E)
</f>
        <v>-0.00273</v>
      </c>
      <c r="G42" s="12">
        <f t="array" ref="G42">XLOOKUP(A42, Index!A:A, Index!F:F)
</f>
        <v>-0.00161</v>
      </c>
      <c r="H42" s="12">
        <f t="array" ref="H42">XLOOKUP(A42, Index!A:A, Index!H:H)
</f>
        <v>-0.001885</v>
      </c>
      <c r="I42" s="12">
        <f t="array" ref="I42">XLOOKUP(A42, Index!A:A, Index!I:I)
</f>
        <v>-0.000908</v>
      </c>
      <c r="J42" s="12">
        <f t="array" ref="J42">XLOOKUP(A42, Index!A:A, Index!J:J)
</f>
        <v>0.00161</v>
      </c>
      <c r="K42" s="12">
        <f t="shared" si="6"/>
        <v>-0.002377123288</v>
      </c>
      <c r="L42" s="5">
        <v>0.06</v>
      </c>
      <c r="M42" s="16">
        <f>(LN(B42/Indications!$B$17)+C42*(K42+0.5*(L42)^2))/(L42*SQRT(C42))</f>
        <v>-0.6890313406</v>
      </c>
      <c r="N42" s="16">
        <f t="shared" si="3"/>
        <v>-0.7376844319</v>
      </c>
      <c r="O42" s="32">
        <f>B42*_xlfn.NORM.S.DIST(M42) - EXP(-K42*C42)*_xlfn.NORM.S.DIST(N42)*Indications!$B$17</f>
        <v>0.6990580565</v>
      </c>
      <c r="P42" s="16">
        <f>(1000/Indications!$B$17)*O42</f>
        <v>6.688033066</v>
      </c>
    </row>
    <row r="43">
      <c r="A43" s="33">
        <v>43007.0</v>
      </c>
      <c r="B43" s="16">
        <f t="array" ref="B43">XLOOKUP(A43, Index!A:A, Index!AA:AA)
</f>
        <v>101.800629</v>
      </c>
      <c r="C43" s="16">
        <f t="shared" si="1"/>
        <v>0.5780821918</v>
      </c>
      <c r="D43" s="12">
        <f t="array" ref="D43">XLOOKUP(A43, Index!A:A, Index!C:C)
</f>
        <v>-0.00372</v>
      </c>
      <c r="E43" s="12">
        <f t="array" ref="E43">XLOOKUP(A43, Index!A:A, Index!D:D)
</f>
        <v>-0.00329</v>
      </c>
      <c r="F43" s="12">
        <f t="array" ref="F43">XLOOKUP(A43, Index!A:A, Index!E:E)
</f>
        <v>-0.00273</v>
      </c>
      <c r="G43" s="12">
        <f t="array" ref="G43">XLOOKUP(A43, Index!A:A, Index!F:F)
</f>
        <v>-0.00172</v>
      </c>
      <c r="H43" s="12">
        <f t="array" ref="H43">XLOOKUP(A43, Index!A:A, Index!H:H)
</f>
        <v>-0.001655</v>
      </c>
      <c r="I43" s="12">
        <f t="array" ref="I43">XLOOKUP(A43, Index!A:A, Index!I:I)
</f>
        <v>-0.000435</v>
      </c>
      <c r="J43" s="12">
        <f t="array" ref="J43">XLOOKUP(A43, Index!A:A, Index!J:J)
</f>
        <v>0.002493</v>
      </c>
      <c r="K43" s="12">
        <f t="shared" si="6"/>
        <v>-0.002572273973</v>
      </c>
      <c r="L43" s="5">
        <v>0.06</v>
      </c>
      <c r="M43" s="16">
        <f>(LN(B43/Indications!$B$17)+C43*(K43+0.5*(L43)^2))/(L43*SQRT(C43))</f>
        <v>-0.5884414924</v>
      </c>
      <c r="N43" s="16">
        <f t="shared" si="3"/>
        <v>-0.6340605223</v>
      </c>
      <c r="O43" s="32">
        <f>B43*_xlfn.NORM.S.DIST(M43) - EXP(-K43*C43)*_xlfn.NORM.S.DIST(N43)*Indications!$B$17</f>
        <v>0.7797800314</v>
      </c>
      <c r="P43" s="16">
        <f>(1000/Indications!$B$17)*O43</f>
        <v>7.460316901</v>
      </c>
    </row>
    <row r="44">
      <c r="A44" s="33">
        <v>43039.0</v>
      </c>
      <c r="B44" s="16">
        <f t="array" ref="B44">XLOOKUP(A44, Index!A:A, Index!AA:AA)
</f>
        <v>103.1569445</v>
      </c>
      <c r="C44" s="16">
        <f t="shared" si="1"/>
        <v>0.4904109589</v>
      </c>
      <c r="D44" s="12">
        <f t="array" ref="D44">XLOOKUP(A44, Index!A:A, Index!C:C)
</f>
        <v>-0.00372</v>
      </c>
      <c r="E44" s="12">
        <f t="array" ref="E44">XLOOKUP(A44, Index!A:A, Index!D:D)
</f>
        <v>-0.00331</v>
      </c>
      <c r="F44" s="12">
        <f t="array" ref="F44">XLOOKUP(A44, Index!A:A, Index!E:E)
</f>
        <v>-0.00276</v>
      </c>
      <c r="G44" s="12">
        <f t="array" ref="G44">XLOOKUP(A44, Index!A:A, Index!F:F)
</f>
        <v>-0.00185</v>
      </c>
      <c r="H44" s="12">
        <f t="array" ref="H44">XLOOKUP(A44, Index!A:A, Index!H:H)
</f>
        <v>-0.001975</v>
      </c>
      <c r="I44" s="12">
        <f t="array" ref="I44">XLOOKUP(A44, Index!A:A, Index!I:I)
</f>
        <v>-0.000841</v>
      </c>
      <c r="J44" s="12">
        <f t="array" ref="J44">XLOOKUP(A44, Index!A:A, Index!J:J)
</f>
        <v>0.001946</v>
      </c>
      <c r="K44" s="12">
        <f t="shared" ref="K44:K46" si="7">E44+((C44-0.25)/(0.5-0.25))*(F44-E44)</f>
        <v>-0.00278109589</v>
      </c>
      <c r="L44" s="5">
        <v>0.06</v>
      </c>
      <c r="M44" s="16">
        <f>(LN(B44/Indications!$B$17)+C44*(K44+0.5*(L44)^2))/(L44*SQRT(C44))</f>
        <v>-0.3247103993</v>
      </c>
      <c r="N44" s="16">
        <f t="shared" si="3"/>
        <v>-0.3667280081</v>
      </c>
      <c r="O44" s="32">
        <f>B44*_xlfn.NORM.S.DIST(M44) - EXP(-K44*C44)*_xlfn.NORM.S.DIST(N44)*Indications!$B$17</f>
        <v>1.090032853</v>
      </c>
      <c r="P44" s="16">
        <f>(1000/Indications!$B$17)*O44</f>
        <v>10.42856984</v>
      </c>
    </row>
    <row r="45">
      <c r="A45" s="33">
        <v>43069.0</v>
      </c>
      <c r="B45" s="16">
        <f t="array" ref="B45">XLOOKUP(A45, Index!A:A, Index!AA:AA)
</f>
        <v>102.6527701</v>
      </c>
      <c r="C45" s="16">
        <f t="shared" si="1"/>
        <v>0.4082191781</v>
      </c>
      <c r="D45" s="12">
        <f t="array" ref="D45">XLOOKUP(A45, Index!A:A, Index!C:C)
</f>
        <v>-0.00371</v>
      </c>
      <c r="E45" s="12">
        <f t="array" ref="E45">XLOOKUP(A45, Index!A:A, Index!D:D)
</f>
        <v>-0.00329</v>
      </c>
      <c r="F45" s="12">
        <f t="array" ref="F45">XLOOKUP(A45, Index!A:A, Index!E:E)
</f>
        <v>-0.00272</v>
      </c>
      <c r="G45" s="12">
        <f t="array" ref="G45">XLOOKUP(A45, Index!A:A, Index!F:F)
</f>
        <v>-0.00188</v>
      </c>
      <c r="H45" s="12">
        <f t="array" ref="H45">XLOOKUP(A45, Index!A:A, Index!H:H)
</f>
        <v>-0.001805</v>
      </c>
      <c r="I45" s="12">
        <f t="array" ref="I45">XLOOKUP(A45, Index!A:A, Index!I:I)
</f>
        <v>-0.00045</v>
      </c>
      <c r="J45" s="12">
        <f t="array" ref="J45">XLOOKUP(A45, Index!A:A, Index!J:J)
</f>
        <v>0.002235</v>
      </c>
      <c r="K45" s="12">
        <f t="shared" si="7"/>
        <v>-0.002929260274</v>
      </c>
      <c r="L45" s="5">
        <v>0.06</v>
      </c>
      <c r="M45" s="16">
        <f>(LN(B45/Indications!$B$17)+C45*(K45+0.5*(L45)^2))/(L45*SQRT(C45))</f>
        <v>-0.4831805483</v>
      </c>
      <c r="N45" s="16">
        <f t="shared" si="3"/>
        <v>-0.5215157676</v>
      </c>
      <c r="O45" s="32">
        <f>B45*_xlfn.NORM.S.DIST(M45) - EXP(-K45*C45)*_xlfn.NORM.S.DIST(N45)*Indications!$B$17</f>
        <v>0.7829550429</v>
      </c>
      <c r="P45" s="16">
        <f>(1000/Indications!$B$17)*O45</f>
        <v>7.490692894</v>
      </c>
    </row>
    <row r="46">
      <c r="A46" s="33">
        <v>43098.0</v>
      </c>
      <c r="B46" s="16">
        <f t="array" ref="B46">XLOOKUP(A46, Index!A:A, Index!AA:AA)
</f>
        <v>101.9928718</v>
      </c>
      <c r="C46" s="16">
        <f t="shared" si="1"/>
        <v>0.3287671233</v>
      </c>
      <c r="D46" s="12">
        <f t="array" ref="D46">XLOOKUP(A46, Index!A:A, Index!C:C)
</f>
        <v>-0.00368</v>
      </c>
      <c r="E46" s="12">
        <f t="array" ref="E46">XLOOKUP(A46, Index!A:A, Index!D:D)
</f>
        <v>-0.00329</v>
      </c>
      <c r="F46" s="12">
        <f t="array" ref="F46">XLOOKUP(A46, Index!A:A, Index!E:E)
</f>
        <v>-0.00271</v>
      </c>
      <c r="G46" s="12">
        <f t="array" ref="G46">XLOOKUP(A46, Index!A:A, Index!F:F)
</f>
        <v>-0.00186</v>
      </c>
      <c r="H46" s="12">
        <f t="array" ref="H46">XLOOKUP(A46, Index!A:A, Index!H:H)
</f>
        <v>-0.001498</v>
      </c>
      <c r="I46" s="12">
        <f t="array" ref="I46">XLOOKUP(A46, Index!A:A, Index!I:I)
</f>
        <v>0.00013</v>
      </c>
      <c r="J46" s="12">
        <f t="array" ref="J46">XLOOKUP(A46, Index!A:A, Index!J:J)
</f>
        <v>0.00316</v>
      </c>
      <c r="K46" s="12">
        <f t="shared" si="7"/>
        <v>-0.003107260274</v>
      </c>
      <c r="L46" s="5">
        <v>0.06</v>
      </c>
      <c r="M46" s="16">
        <f>(LN(B46/Indications!$B$17)+C46*(K46+0.5*(L46)^2))/(L46*SQRT(C46))</f>
        <v>-0.7249624476</v>
      </c>
      <c r="N46" s="16">
        <f t="shared" si="3"/>
        <v>-0.7593653784</v>
      </c>
      <c r="O46" s="32">
        <f>B46*_xlfn.NORM.S.DIST(M46) - EXP(-K46*C46)*_xlfn.NORM.S.DIST(N46)*Indications!$B$17</f>
        <v>0.4724628323</v>
      </c>
      <c r="P46" s="16">
        <f>(1000/Indications!$B$17)*O46</f>
        <v>4.520149672</v>
      </c>
    </row>
    <row r="47">
      <c r="A47" s="8">
        <v>43131.0</v>
      </c>
      <c r="B47" s="16">
        <f t="array" ref="B47">XLOOKUP(A47, Index!A:A, Index!AA:AA)
</f>
        <v>102.7115104</v>
      </c>
      <c r="C47" s="16">
        <f t="shared" si="1"/>
        <v>0.2383561644</v>
      </c>
      <c r="D47" s="12">
        <f t="array" ref="D47">XLOOKUP(A47, Index!A:A, Index!C:C)
</f>
        <v>-0.00369</v>
      </c>
      <c r="E47" s="12">
        <f t="array" ref="E47">XLOOKUP(A47, Index!A:A, Index!D:D)
</f>
        <v>-0.00328</v>
      </c>
      <c r="F47" s="12">
        <f t="array" ref="F47">XLOOKUP(A47, Index!A:A, Index!E:E)
</f>
        <v>-0.00279</v>
      </c>
      <c r="G47" s="12">
        <f t="array" ref="G47">XLOOKUP(A47, Index!A:A, Index!F:F)
</f>
        <v>-0.00191</v>
      </c>
      <c r="H47" s="12">
        <f t="array" ref="H47">XLOOKUP(A47, Index!A:A, Index!H:H)
</f>
        <v>-0.00126</v>
      </c>
      <c r="I47" s="12">
        <f t="array" ref="I47">XLOOKUP(A47, Index!A:A, Index!I:I)
</f>
        <v>0.000831</v>
      </c>
      <c r="J47" s="12">
        <f t="array" ref="J47">XLOOKUP(A47, Index!A:A, Index!J:J)
</f>
        <v>0.004745</v>
      </c>
      <c r="K47" s="12">
        <f t="shared" ref="K47:K48" si="8">D47+((C47-(1/12))/(0.25-(1/12)))*(E47-D47)</f>
        <v>-0.003308643836</v>
      </c>
      <c r="L47" s="5">
        <v>0.06</v>
      </c>
      <c r="M47" s="16">
        <f>(LN(B47/Indications!$B$17)+C47*(K47+0.5*(L47)^2))/(L47*SQRT(C47))</f>
        <v>-0.6093386622</v>
      </c>
      <c r="N47" s="16">
        <f t="shared" si="3"/>
        <v>-0.6386317022</v>
      </c>
      <c r="O47" s="32">
        <f>B47*_xlfn.NORM.S.DIST(M47) - EXP(-K47*C47)*_xlfn.NORM.S.DIST(N47)*Indications!$B$17</f>
        <v>0.4924380956</v>
      </c>
      <c r="P47" s="16">
        <f>(1000/Indications!$B$17)*O47</f>
        <v>4.711257149</v>
      </c>
    </row>
    <row r="48">
      <c r="A48" s="8">
        <v>43159.0</v>
      </c>
      <c r="B48" s="16">
        <f t="array" ref="B48">XLOOKUP(A48, Index!A:A, Index!AA:AA)
</f>
        <v>101.3045673</v>
      </c>
      <c r="C48" s="16">
        <f t="shared" si="1"/>
        <v>0.1616438356</v>
      </c>
      <c r="D48" s="12">
        <f t="array" ref="D48">XLOOKUP(A48, Index!A:A, Index!C:C)
</f>
        <v>-0.0037</v>
      </c>
      <c r="E48" s="12">
        <f t="array" ref="E48">XLOOKUP(A48, Index!A:A, Index!D:D)
</f>
        <v>-0.00327</v>
      </c>
      <c r="F48" s="12">
        <f t="array" ref="F48">XLOOKUP(A48, Index!A:A, Index!E:E)
</f>
        <v>-0.0027</v>
      </c>
      <c r="G48" s="12">
        <f t="array" ref="G48">XLOOKUP(A48, Index!A:A, Index!F:F)
</f>
        <v>-0.00191</v>
      </c>
      <c r="H48" s="12">
        <f t="array" ref="H48">XLOOKUP(A48, Index!A:A, Index!H:H)
</f>
        <v>-0.001212</v>
      </c>
      <c r="I48" s="12">
        <f t="array" ref="I48">XLOOKUP(A48, Index!A:A, Index!I:I)
</f>
        <v>0.000785</v>
      </c>
      <c r="J48" s="12">
        <f t="array" ref="J48">XLOOKUP(A48, Index!A:A, Index!J:J)
</f>
        <v>0.004545</v>
      </c>
      <c r="K48" s="12">
        <f t="shared" si="8"/>
        <v>-0.003497958904</v>
      </c>
      <c r="L48" s="5">
        <v>0.06</v>
      </c>
      <c r="M48" s="16">
        <f>(LN(B48/Indications!$B$17)+C48*(K48+0.5*(L48)^2))/(L48*SQRT(C48))</f>
        <v>-1.308169723</v>
      </c>
      <c r="N48" s="16">
        <f t="shared" si="3"/>
        <v>-1.332292696</v>
      </c>
      <c r="O48" s="32">
        <f>B48*_xlfn.NORM.S.DIST(M48) - EXP(-K48*C48)*_xlfn.NORM.S.DIST(N48)*Indications!$B$17</f>
        <v>0.1082637977</v>
      </c>
      <c r="P48" s="16">
        <f>(1000/Indications!$B$17)*O48</f>
        <v>1.035782153</v>
      </c>
    </row>
    <row r="49">
      <c r="A49" s="8">
        <v>43188.0</v>
      </c>
      <c r="B49" s="16">
        <f t="array" ref="B49">XLOOKUP(A49, Index!A:A, Index!AA:AA)
</f>
        <v>100.1523901</v>
      </c>
      <c r="C49" s="16">
        <f t="shared" si="1"/>
        <v>0.08219178082</v>
      </c>
      <c r="D49" s="12">
        <f t="array" ref="D49">XLOOKUP(A49, Index!A:A, Index!C:C)
</f>
        <v>-0.00372</v>
      </c>
      <c r="E49" s="12">
        <f t="array" ref="E49">XLOOKUP(A49, Index!A:A, Index!D:D)
</f>
        <v>-0.00328</v>
      </c>
      <c r="F49" s="12">
        <f t="array" ref="F49">XLOOKUP(A49, Index!A:A, Index!E:E)
</f>
        <v>-0.00271</v>
      </c>
      <c r="G49" s="12">
        <f t="array" ref="G49">XLOOKUP(A49, Index!A:A, Index!F:F)
</f>
        <v>-0.0019</v>
      </c>
      <c r="H49" s="12">
        <f t="array" ref="H49">XLOOKUP(A49, Index!A:A, Index!H:H)
</f>
        <v>-0.00157</v>
      </c>
      <c r="I49" s="12">
        <f t="array" ref="I49">XLOOKUP(A49, Index!A:A, Index!I:I)
</f>
        <v>0.000172</v>
      </c>
      <c r="J49" s="12">
        <f t="array" ref="J49">XLOOKUP(A49, Index!A:A, Index!J:J)
</f>
        <v>0.003642</v>
      </c>
      <c r="K49" s="12">
        <f t="shared" ref="K49:K50" si="9">D49</f>
        <v>-0.00372</v>
      </c>
      <c r="L49" s="5">
        <v>0.06</v>
      </c>
      <c r="M49" s="16">
        <f>(LN(B49/Indications!$B$17)+C49*(K49+0.5*(L49)^2))/(L49*SQRT(C49))</f>
        <v>-2.492744423</v>
      </c>
      <c r="N49" s="16">
        <f t="shared" si="3"/>
        <v>-2.509945889</v>
      </c>
      <c r="O49" s="32">
        <f>B49*_xlfn.NORM.S.DIST(M49) - EXP(-K49*C49)*_xlfn.NORM.S.DIST(N49)*Indications!$B$17</f>
        <v>0.003512963016</v>
      </c>
      <c r="P49" s="16">
        <f>(1000/Indications!$B$17)*O49</f>
        <v>0.03360924403</v>
      </c>
    </row>
    <row r="50">
      <c r="A50" s="34">
        <v>43213.0</v>
      </c>
      <c r="B50" s="16">
        <f t="array" ref="B50">XLOOKUP(A50, Index!A:A, Index!AA:AA)
</f>
        <v>100.415789</v>
      </c>
      <c r="C50" s="16">
        <f t="shared" si="1"/>
        <v>0.01369863014</v>
      </c>
      <c r="D50" s="12">
        <f t="array" ref="D50">XLOOKUP(A50, Index!A:A, Index!C:C)
</f>
        <v>-0.00372</v>
      </c>
      <c r="E50" s="12">
        <f t="array" ref="E50">XLOOKUP(A50, Index!A:A, Index!D:D)
</f>
        <v>-0.00328</v>
      </c>
      <c r="F50" s="12">
        <f t="array" ref="F50">XLOOKUP(A50, Index!A:A, Index!E:E)
</f>
        <v>-0.0027</v>
      </c>
      <c r="G50" s="12">
        <f t="array" ref="G50">XLOOKUP(A50, Index!A:A, Index!F:F)
</f>
        <v>-0.00189</v>
      </c>
      <c r="H50" s="12">
        <f t="array" ref="H50">XLOOKUP(A50, Index!A:A, Index!H:H)
</f>
        <v>-0.001325</v>
      </c>
      <c r="I50" s="12">
        <f t="array" ref="I50">XLOOKUP(A50, Index!A:A, Index!I:I)
</f>
        <v>0.000565</v>
      </c>
      <c r="J50" s="12">
        <f t="array" ref="J50">XLOOKUP(A50, Index!A:A, Index!J:J)
</f>
        <v>0.00424</v>
      </c>
      <c r="K50" s="12">
        <f t="shared" si="9"/>
        <v>-0.00372</v>
      </c>
      <c r="L50" s="5">
        <v>0.06</v>
      </c>
      <c r="M50" s="16">
        <f>(LN(B50/Indications!$B$17)+C50*(K50+0.5*(L50)^2))/(L50*SQRT(C50))</f>
        <v>-5.713207474</v>
      </c>
      <c r="N50" s="16">
        <f t="shared" si="3"/>
        <v>-5.720229942</v>
      </c>
      <c r="O50" s="32">
        <f>B50*_xlfn.NORM.S.DIST(M50) - EXP(-K50*C50)*_xlfn.NORM.S.DIST(N50)*Indications!$B$17</f>
        <v>0.0000000006468429147</v>
      </c>
      <c r="P50" s="16">
        <f>(1000/Indications!$B$17)*O50</f>
        <v>0.000000006188480001</v>
      </c>
    </row>
    <row r="51">
      <c r="A51" s="34">
        <v>43218.0</v>
      </c>
    </row>
  </sheetData>
  <drawing r:id="rId1"/>
</worksheet>
</file>