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W:\PS Rekruttering\Equity Research Case\Norway\2026\Case\"/>
    </mc:Choice>
  </mc:AlternateContent>
  <xr:revisionPtr revIDLastSave="0" documentId="13_ncr:1_{5CA40DC2-67A4-4991-AAB3-C83774200C05}" xr6:coauthVersionLast="47" xr6:coauthVersionMax="47" xr10:uidLastSave="{00000000-0000-0000-0000-000000000000}"/>
  <bookViews>
    <workbookView xWindow="30612" yWindow="-108" windowWidth="30936" windowHeight="16776" xr2:uid="{A54EEE92-DC33-41E2-A1EF-27095A1C9648}"/>
  </bookViews>
  <sheets>
    <sheet name="Introduction" sheetId="1" r:id="rId1"/>
    <sheet name="Historical data" sheetId="2" r:id="rId2"/>
    <sheet name="Peer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9" i="2" l="1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4" i="2"/>
  <c r="L13" i="2"/>
  <c r="L12" i="2"/>
  <c r="L11" i="2"/>
  <c r="L10" i="2"/>
  <c r="L9" i="2"/>
  <c r="L8" i="2"/>
  <c r="L7" i="2"/>
  <c r="L6" i="2"/>
  <c r="L5" i="2"/>
  <c r="L4" i="2"/>
  <c r="L3" i="2"/>
</calcChain>
</file>

<file path=xl/sharedStrings.xml><?xml version="1.0" encoding="utf-8"?>
<sst xmlns="http://schemas.openxmlformats.org/spreadsheetml/2006/main" count="237" uniqueCount="130">
  <si>
    <t>PROFIT &amp; LOSS</t>
  </si>
  <si>
    <t>Revenues</t>
  </si>
  <si>
    <t>Operating costs</t>
  </si>
  <si>
    <t>EBITDA</t>
  </si>
  <si>
    <t>Depreciation &amp; amortization</t>
  </si>
  <si>
    <t>Associated income</t>
  </si>
  <si>
    <t>EBIT</t>
  </si>
  <si>
    <t>Net interest</t>
  </si>
  <si>
    <t>Other financial items</t>
  </si>
  <si>
    <t>Profit before taxes</t>
  </si>
  <si>
    <t>Taxes</t>
  </si>
  <si>
    <t>Minority interest</t>
  </si>
  <si>
    <t>Net profit</t>
  </si>
  <si>
    <t>Q1-Q3 2025</t>
  </si>
  <si>
    <t>BALANCE SHEET</t>
  </si>
  <si>
    <t>Tangible non-current assets</t>
  </si>
  <si>
    <t>Intangible non-current assets</t>
  </si>
  <si>
    <t>Other non-current assets</t>
  </si>
  <si>
    <t>Inventories and receivables</t>
  </si>
  <si>
    <t>Other current assets</t>
  </si>
  <si>
    <t>Cash and liquid assets</t>
  </si>
  <si>
    <t>Total assets</t>
  </si>
  <si>
    <t>Equity to shareholders</t>
  </si>
  <si>
    <t>Total equity</t>
  </si>
  <si>
    <t>Interest-bearing non-current debt</t>
  </si>
  <si>
    <t>Other non-current debt</t>
  </si>
  <si>
    <t>Interest bearing current debt</t>
  </si>
  <si>
    <t>Accounts payable</t>
  </si>
  <si>
    <t>Other current debt</t>
  </si>
  <si>
    <t>Total liabilities</t>
  </si>
  <si>
    <t>Total liabilites &amp; equity</t>
  </si>
  <si>
    <t>Total interest bearing debt</t>
  </si>
  <si>
    <t>CASH FLOW</t>
  </si>
  <si>
    <t>Taxes paid</t>
  </si>
  <si>
    <t>Loss (gain) on sale of assets</t>
  </si>
  <si>
    <t>Other non-cash items</t>
  </si>
  <si>
    <t>Cash earnings</t>
  </si>
  <si>
    <t>Change in working capital</t>
  </si>
  <si>
    <t>Cash flow from operations</t>
  </si>
  <si>
    <t>Capex</t>
  </si>
  <si>
    <t>Acquisitions and divestments</t>
  </si>
  <si>
    <t>Other investment items</t>
  </si>
  <si>
    <t>Cash flow from investments</t>
  </si>
  <si>
    <t>Dividend payments</t>
  </si>
  <si>
    <t>Share issues and buy-backs</t>
  </si>
  <si>
    <t>Net change in interest bearing debt</t>
  </si>
  <si>
    <t>Other financing items</t>
  </si>
  <si>
    <t>Cash flow from financing</t>
  </si>
  <si>
    <t>Net change in cash &amp; liquid assets</t>
  </si>
  <si>
    <t>Mcap</t>
  </si>
  <si>
    <t>EV YE25</t>
  </si>
  <si>
    <t>Net debt</t>
  </si>
  <si>
    <t>EV/EBITDA</t>
  </si>
  <si>
    <t>P/E</t>
  </si>
  <si>
    <t>Unlevered FCF</t>
  </si>
  <si>
    <t>Levered FCF</t>
  </si>
  <si>
    <t>FCFE (after debt amort)</t>
  </si>
  <si>
    <t>Offshore Drillers</t>
  </si>
  <si>
    <t>USDm</t>
  </si>
  <si>
    <t>/EV</t>
  </si>
  <si>
    <t>2025e</t>
  </si>
  <si>
    <t>2026e</t>
  </si>
  <si>
    <t>2027e</t>
  </si>
  <si>
    <t>NORTHERN OCEAN</t>
  </si>
  <si>
    <t>SEADRILL</t>
  </si>
  <si>
    <t>VALARIS</t>
  </si>
  <si>
    <t>NOBLE CORP</t>
  </si>
  <si>
    <t>TRANSOCEAN</t>
  </si>
  <si>
    <t>DEEP VALUE DRILLER</t>
  </si>
  <si>
    <t>VENTURA OFFSHORE</t>
  </si>
  <si>
    <t xml:space="preserve">CONSTELLATION </t>
  </si>
  <si>
    <t>FORESEA</t>
  </si>
  <si>
    <t>BORR DRILLING</t>
  </si>
  <si>
    <t>PARATUS ENERGY SERVICES</t>
  </si>
  <si>
    <t>ENERGY HOLDINGS</t>
  </si>
  <si>
    <t>Average</t>
  </si>
  <si>
    <t>-</t>
  </si>
  <si>
    <t>As with all the other cases, keep it simple. Use the provided historical information and make your own assumptions to arrive at your estimates.</t>
  </si>
  <si>
    <t>Website</t>
  </si>
  <si>
    <t>https://www.odfjelldrilling.com/investor/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</si>
  <si>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</si>
  <si>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</si>
  <si>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</si>
  <si>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</si>
  <si>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</si>
  <si>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</si>
  <si>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</si>
  <si>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</si>
  <si>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</si>
  <si>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</si>
  <si>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</si>
  <si>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</si>
  <si>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</si>
  <si>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</si>
  <si>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</si>
  <si>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O</t>
  </si>
  <si>
    <t>Q3 2025</t>
  </si>
  <si>
    <t>Type</t>
  </si>
  <si>
    <t>Built</t>
  </si>
  <si>
    <t>Current status</t>
  </si>
  <si>
    <t>Current client</t>
  </si>
  <si>
    <t>Country</t>
  </si>
  <si>
    <t>Deepsea Aberdeen</t>
  </si>
  <si>
    <t>6GHE</t>
  </si>
  <si>
    <t>Active</t>
  </si>
  <si>
    <t>Equinor</t>
  </si>
  <si>
    <t>UK/Norway</t>
  </si>
  <si>
    <t>Deepsea Stavanger</t>
  </si>
  <si>
    <t>Norway</t>
  </si>
  <si>
    <t>Deepsea Atlantic</t>
  </si>
  <si>
    <t>Deepsea Nordkapp</t>
  </si>
  <si>
    <t>Aker BP</t>
  </si>
  <si>
    <t>Utilization</t>
  </si>
  <si>
    <t>Opex (USD'/day)</t>
  </si>
  <si>
    <t>Contract start</t>
  </si>
  <si>
    <t>Deepsea Bergen (Bollsta)</t>
  </si>
  <si>
    <t>n.a</t>
  </si>
  <si>
    <t>Revenue</t>
  </si>
  <si>
    <t>Opex</t>
  </si>
  <si>
    <t>Historical bonuses</t>
  </si>
  <si>
    <t>Managed fleet (USDm)</t>
  </si>
  <si>
    <t xml:space="preserve">Read the reports and company presentations, to understand the business </t>
  </si>
  <si>
    <t>Implied per rig</t>
  </si>
  <si>
    <t>n.m</t>
  </si>
  <si>
    <t>Good luck!</t>
  </si>
  <si>
    <t>In addition to a financial market where shares are trading, there is also a physical market for rigs, so rig values can be interesting to have a look at</t>
  </si>
  <si>
    <t>Bonuses</t>
  </si>
  <si>
    <t>Introduction to Odfjell Drilling case - ODL</t>
  </si>
  <si>
    <t>Considering several valuation approaches could be helpful, both Peer multiple valuation (multiples are attached in this Excel file) and a DCF. The company pay dividends, and future dividend estimates might be interesting to consider</t>
  </si>
  <si>
    <t>Odfjell Drilling owns five drilling rigs, all working in the North Sea. All rigs are contracted on a day rate basis. The fifth rig was bought from Northern Ocean (NOL) in Q4'25. See link https://newsweb.oslobors.no/message/659811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</si>
</sst>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_ * &quot;-&quot;_ "/>
    <numFmt numFmtId="165" formatCode="#,##0;\(#,##0\);&quot;-&quot;"/>
    <numFmt numFmtId="166" formatCode="[$$-409]#,##0.00"/>
    <numFmt numFmtId="167" formatCode="0.0\x"/>
    <numFmt numFmtId="168" formatCode="0.0"/>
  </numFmts>
  <fonts count="23" x14ac:knownFonts="1">
    <font>
      <sz val="10"/>
      <color theme="1"/>
      <name val="Arial Nova"/>
      <family val="2"/>
      <scheme val="minor"/>
    </font>
    <font>
      <sz val="11"/>
      <color theme="1"/>
      <name val="Arial Nova"/>
      <family val="2"/>
      <scheme val="minor"/>
    </font>
    <font>
      <sz val="10"/>
      <color theme="1"/>
      <name val="Arial Nova"/>
      <family val="2"/>
      <scheme val="minor"/>
    </font>
    <font>
      <sz val="8"/>
      <name val="Arial"/>
      <family val="2"/>
    </font>
    <font>
      <sz val="11"/>
      <color theme="1"/>
      <name val="Calibri"/>
      <family val="2"/>
    </font>
    <font>
      <sz val="8"/>
      <color rgb="FFFFFFFF"/>
      <name val="Arial Nova"/>
      <family val="2"/>
    </font>
    <font>
      <b/>
      <sz val="8"/>
      <color rgb="FFFFFFFF"/>
      <name val="Arial Nova"/>
      <family val="2"/>
    </font>
    <font>
      <sz val="8"/>
      <color rgb="FF000000"/>
      <name val="Arial Nova"/>
      <family val="2"/>
    </font>
    <font>
      <sz val="8"/>
      <name val="Arial Nova"/>
      <family val="2"/>
    </font>
    <font>
      <b/>
      <sz val="8"/>
      <color rgb="FF000000"/>
      <name val="Arial Nova"/>
      <family val="2"/>
    </font>
    <font>
      <b/>
      <sz val="8"/>
      <name val="Arial Nova"/>
      <family val="2"/>
    </font>
    <font>
      <u/>
      <sz val="10"/>
      <color theme="10"/>
      <name val="Arial Nova"/>
      <family val="2"/>
      <scheme val="minor"/>
    </font>
    <font>
      <sz val="8"/>
      <color theme="1"/>
      <name val="Arial Nova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FF0000"/>
      <name val="Arial Nova"/>
      <family val="2"/>
    </font>
    <font>
      <b/>
      <sz val="8"/>
      <color rgb="FFFF0000"/>
      <name val="Arial Nova"/>
      <family val="2"/>
    </font>
    <font>
      <sz val="8"/>
      <color rgb="FF0000FF"/>
      <name val="Arial Nova"/>
      <family val="2"/>
    </font>
    <font>
      <b/>
      <sz val="8"/>
      <color rgb="FF000000"/>
      <name val="Calibri"/>
      <family val="2"/>
    </font>
    <font>
      <b/>
      <sz val="8"/>
      <color theme="1"/>
      <name val="Arial Nova"/>
      <family val="2"/>
      <scheme val="minor"/>
    </font>
    <font>
      <b/>
      <sz val="9"/>
      <color theme="1"/>
      <name val="Arial Nova"/>
      <family val="2"/>
      <scheme val="minor"/>
    </font>
    <font>
      <sz val="9"/>
      <color theme="1"/>
      <name val="Arial Nova"/>
      <family val="2"/>
      <scheme val="minor"/>
    </font>
    <font>
      <u/>
      <sz val="9"/>
      <color theme="10"/>
      <name val="Arial Nov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E7E0"/>
        <bgColor rgb="FF000000"/>
      </patternFill>
    </fill>
    <fill>
      <patternFill patternType="solid">
        <fgColor rgb="FF003255"/>
        <bgColor rgb="FF000000"/>
      </patternFill>
    </fill>
    <fill>
      <patternFill patternType="solid">
        <fgColor rgb="FFE6EF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D9D9D9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D9D9D9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medium">
        <color rgb="FF81B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8F9DA6"/>
      </right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3" fillId="0" borderId="0"/>
    <xf numFmtId="166" fontId="4" fillId="0" borderId="0"/>
    <xf numFmtId="9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</cellStyleXfs>
  <cellXfs count="113">
    <xf numFmtId="0" fontId="0" fillId="0" borderId="0" xfId="0"/>
    <xf numFmtId="166" fontId="5" fillId="3" borderId="1" xfId="3" applyFont="1" applyFill="1" applyBorder="1"/>
    <xf numFmtId="166" fontId="6" fillId="3" borderId="2" xfId="3" applyFont="1" applyFill="1" applyBorder="1" applyAlignment="1">
      <alignment horizontal="centerContinuous"/>
    </xf>
    <xf numFmtId="166" fontId="6" fillId="3" borderId="3" xfId="3" applyFont="1" applyFill="1" applyBorder="1" applyAlignment="1">
      <alignment horizontal="centerContinuous"/>
    </xf>
    <xf numFmtId="166" fontId="6" fillId="3" borderId="4" xfId="3" applyFont="1" applyFill="1" applyBorder="1"/>
    <xf numFmtId="166" fontId="6" fillId="3" borderId="5" xfId="3" applyFont="1" applyFill="1" applyBorder="1" applyAlignment="1">
      <alignment horizontal="center"/>
    </xf>
    <xf numFmtId="166" fontId="6" fillId="3" borderId="6" xfId="3" applyFont="1" applyFill="1" applyBorder="1" applyAlignment="1">
      <alignment horizontal="center"/>
    </xf>
    <xf numFmtId="1" fontId="7" fillId="4" borderId="0" xfId="3" applyNumberFormat="1" applyFont="1" applyFill="1" applyAlignment="1">
      <alignment horizontal="center"/>
    </xf>
    <xf numFmtId="9" fontId="8" fillId="4" borderId="8" xfId="1" applyFont="1" applyFill="1" applyBorder="1" applyAlignment="1">
      <alignment horizontal="center"/>
    </xf>
    <xf numFmtId="167" fontId="8" fillId="4" borderId="0" xfId="3" applyNumberFormat="1" applyFont="1" applyFill="1" applyAlignment="1">
      <alignment horizontal="center"/>
    </xf>
    <xf numFmtId="167" fontId="8" fillId="4" borderId="0" xfId="4" applyNumberFormat="1" applyFont="1" applyFill="1" applyBorder="1" applyAlignment="1">
      <alignment horizontal="center"/>
    </xf>
    <xf numFmtId="167" fontId="8" fillId="4" borderId="8" xfId="4" applyNumberFormat="1" applyFont="1" applyFill="1" applyBorder="1" applyAlignment="1">
      <alignment horizontal="center"/>
    </xf>
    <xf numFmtId="9" fontId="8" fillId="4" borderId="0" xfId="1" applyFont="1" applyFill="1" applyBorder="1" applyAlignment="1">
      <alignment horizontal="center"/>
    </xf>
    <xf numFmtId="1" fontId="8" fillId="4" borderId="0" xfId="4" applyNumberFormat="1" applyFont="1" applyFill="1" applyBorder="1" applyAlignment="1">
      <alignment horizontal="center"/>
    </xf>
    <xf numFmtId="1" fontId="8" fillId="4" borderId="8" xfId="1" applyNumberFormat="1" applyFont="1" applyFill="1" applyBorder="1" applyAlignment="1">
      <alignment horizontal="center"/>
    </xf>
    <xf numFmtId="166" fontId="7" fillId="0" borderId="7" xfId="3" applyFont="1" applyBorder="1" applyAlignment="1">
      <alignment horizontal="left" indent="1"/>
    </xf>
    <xf numFmtId="1" fontId="7" fillId="0" borderId="0" xfId="3" applyNumberFormat="1" applyFont="1" applyAlignment="1">
      <alignment horizontal="center"/>
    </xf>
    <xf numFmtId="9" fontId="8" fillId="0" borderId="8" xfId="1" applyFont="1" applyFill="1" applyBorder="1" applyAlignment="1">
      <alignment horizontal="center"/>
    </xf>
    <xf numFmtId="167" fontId="8" fillId="0" borderId="0" xfId="3" applyNumberFormat="1" applyFont="1" applyAlignment="1">
      <alignment horizontal="center"/>
    </xf>
    <xf numFmtId="167" fontId="8" fillId="0" borderId="0" xfId="4" applyNumberFormat="1" applyFont="1" applyFill="1" applyBorder="1" applyAlignment="1">
      <alignment horizontal="center"/>
    </xf>
    <xf numFmtId="167" fontId="8" fillId="0" borderId="8" xfId="4" applyNumberFormat="1" applyFont="1" applyFill="1" applyBorder="1" applyAlignment="1">
      <alignment horizontal="center"/>
    </xf>
    <xf numFmtId="9" fontId="8" fillId="0" borderId="0" xfId="1" applyFont="1" applyFill="1" applyBorder="1" applyAlignment="1">
      <alignment horizontal="center"/>
    </xf>
    <xf numFmtId="1" fontId="8" fillId="0" borderId="0" xfId="4" applyNumberFormat="1" applyFont="1" applyFill="1" applyBorder="1" applyAlignment="1">
      <alignment horizontal="center"/>
    </xf>
    <xf numFmtId="1" fontId="8" fillId="0" borderId="8" xfId="1" applyNumberFormat="1" applyFont="1" applyFill="1" applyBorder="1" applyAlignment="1">
      <alignment horizontal="center"/>
    </xf>
    <xf numFmtId="166" fontId="7" fillId="4" borderId="9" xfId="3" applyFont="1" applyFill="1" applyBorder="1" applyAlignment="1">
      <alignment horizontal="left" indent="1"/>
    </xf>
    <xf numFmtId="1" fontId="7" fillId="4" borderId="10" xfId="3" applyNumberFormat="1" applyFont="1" applyFill="1" applyBorder="1" applyAlignment="1">
      <alignment horizontal="center"/>
    </xf>
    <xf numFmtId="166" fontId="7" fillId="0" borderId="9" xfId="3" applyFont="1" applyBorder="1" applyAlignment="1">
      <alignment horizontal="left" indent="1"/>
    </xf>
    <xf numFmtId="1" fontId="7" fillId="0" borderId="10" xfId="3" applyNumberFormat="1" applyFont="1" applyBorder="1" applyAlignment="1">
      <alignment horizontal="center"/>
    </xf>
    <xf numFmtId="1" fontId="8" fillId="4" borderId="0" xfId="1" applyNumberFormat="1" applyFont="1" applyFill="1" applyBorder="1" applyAlignment="1">
      <alignment horizontal="center"/>
    </xf>
    <xf numFmtId="9" fontId="8" fillId="0" borderId="10" xfId="1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66" fontId="7" fillId="4" borderId="11" xfId="3" applyFont="1" applyFill="1" applyBorder="1" applyAlignment="1">
      <alignment horizontal="left" indent="1"/>
    </xf>
    <xf numFmtId="1" fontId="7" fillId="4" borderId="12" xfId="3" applyNumberFormat="1" applyFont="1" applyFill="1" applyBorder="1" applyAlignment="1">
      <alignment horizontal="center"/>
    </xf>
    <xf numFmtId="1" fontId="7" fillId="4" borderId="5" xfId="3" applyNumberFormat="1" applyFont="1" applyFill="1" applyBorder="1" applyAlignment="1">
      <alignment horizontal="center"/>
    </xf>
    <xf numFmtId="9" fontId="8" fillId="4" borderId="6" xfId="1" applyFont="1" applyFill="1" applyBorder="1" applyAlignment="1">
      <alignment horizontal="center"/>
    </xf>
    <xf numFmtId="167" fontId="8" fillId="4" borderId="5" xfId="3" applyNumberFormat="1" applyFont="1" applyFill="1" applyBorder="1" applyAlignment="1">
      <alignment horizontal="center"/>
    </xf>
    <xf numFmtId="167" fontId="8" fillId="4" borderId="5" xfId="4" applyNumberFormat="1" applyFont="1" applyFill="1" applyBorder="1" applyAlignment="1">
      <alignment horizontal="center"/>
    </xf>
    <xf numFmtId="167" fontId="8" fillId="4" borderId="6" xfId="4" applyNumberFormat="1" applyFont="1" applyFill="1" applyBorder="1" applyAlignment="1">
      <alignment horizontal="center"/>
    </xf>
    <xf numFmtId="9" fontId="8" fillId="4" borderId="5" xfId="1" applyFont="1" applyFill="1" applyBorder="1" applyAlignment="1">
      <alignment horizontal="center"/>
    </xf>
    <xf numFmtId="1" fontId="8" fillId="4" borderId="5" xfId="1" applyNumberFormat="1" applyFont="1" applyFill="1" applyBorder="1" applyAlignment="1">
      <alignment horizontal="center"/>
    </xf>
    <xf numFmtId="1" fontId="8" fillId="4" borderId="6" xfId="1" applyNumberFormat="1" applyFont="1" applyFill="1" applyBorder="1" applyAlignment="1">
      <alignment horizontal="center"/>
    </xf>
    <xf numFmtId="166" fontId="9" fillId="2" borderId="11" xfId="3" applyFont="1" applyFill="1" applyBorder="1" applyAlignment="1">
      <alignment horizontal="left"/>
    </xf>
    <xf numFmtId="1" fontId="9" fillId="2" borderId="12" xfId="3" applyNumberFormat="1" applyFont="1" applyFill="1" applyBorder="1" applyAlignment="1">
      <alignment horizontal="center"/>
    </xf>
    <xf numFmtId="1" fontId="9" fillId="2" borderId="5" xfId="3" applyNumberFormat="1" applyFont="1" applyFill="1" applyBorder="1" applyAlignment="1">
      <alignment horizontal="center"/>
    </xf>
    <xf numFmtId="9" fontId="10" fillId="2" borderId="6" xfId="1" applyFont="1" applyFill="1" applyBorder="1" applyAlignment="1">
      <alignment horizontal="center"/>
    </xf>
    <xf numFmtId="167" fontId="10" fillId="2" borderId="5" xfId="3" applyNumberFormat="1" applyFont="1" applyFill="1" applyBorder="1" applyAlignment="1">
      <alignment horizontal="center"/>
    </xf>
    <xf numFmtId="167" fontId="10" fillId="2" borderId="5" xfId="4" applyNumberFormat="1" applyFont="1" applyFill="1" applyBorder="1" applyAlignment="1">
      <alignment horizontal="center"/>
    </xf>
    <xf numFmtId="167" fontId="10" fillId="2" borderId="6" xfId="4" applyNumberFormat="1" applyFont="1" applyFill="1" applyBorder="1" applyAlignment="1">
      <alignment horizontal="center"/>
    </xf>
    <xf numFmtId="9" fontId="10" fillId="2" borderId="5" xfId="1" applyFont="1" applyFill="1" applyBorder="1" applyAlignment="1">
      <alignment horizontal="center"/>
    </xf>
    <xf numFmtId="1" fontId="10" fillId="2" borderId="5" xfId="1" applyNumberFormat="1" applyFont="1" applyFill="1" applyBorder="1" applyAlignment="1">
      <alignment horizontal="center"/>
    </xf>
    <xf numFmtId="1" fontId="10" fillId="2" borderId="6" xfId="1" applyNumberFormat="1" applyFont="1" applyFill="1" applyBorder="1" applyAlignment="1">
      <alignment horizontal="center"/>
    </xf>
    <xf numFmtId="0" fontId="10" fillId="0" borderId="13" xfId="2" applyFont="1" applyBorder="1" applyAlignment="1">
      <alignment horizontal="left"/>
    </xf>
    <xf numFmtId="0" fontId="10" fillId="0" borderId="13" xfId="2" applyFont="1" applyBorder="1" applyAlignment="1">
      <alignment horizontal="right"/>
    </xf>
    <xf numFmtId="0" fontId="12" fillId="0" borderId="0" xfId="0" applyFont="1"/>
    <xf numFmtId="165" fontId="10" fillId="0" borderId="14" xfId="2" applyNumberFormat="1" applyFont="1" applyBorder="1" applyAlignment="1" applyProtection="1">
      <alignment horizontal="left"/>
      <protection locked="0"/>
    </xf>
    <xf numFmtId="165" fontId="10" fillId="0" borderId="14" xfId="2" applyNumberFormat="1" applyFont="1" applyBorder="1" applyAlignment="1" applyProtection="1">
      <alignment horizontal="center"/>
      <protection locked="0"/>
    </xf>
    <xf numFmtId="164" fontId="10" fillId="0" borderId="14" xfId="2" applyNumberFormat="1" applyFont="1" applyBorder="1" applyAlignment="1" applyProtection="1">
      <alignment horizontal="center"/>
      <protection locked="0"/>
    </xf>
    <xf numFmtId="0" fontId="10" fillId="0" borderId="15" xfId="2" applyFont="1" applyBorder="1" applyAlignment="1" applyProtection="1">
      <alignment horizontal="center"/>
      <protection locked="0"/>
    </xf>
    <xf numFmtId="0" fontId="10" fillId="0" borderId="14" xfId="2" applyFont="1" applyBorder="1" applyAlignment="1" applyProtection="1">
      <alignment horizontal="center"/>
      <protection locked="0"/>
    </xf>
    <xf numFmtId="0" fontId="8" fillId="0" borderId="0" xfId="2" applyFont="1"/>
    <xf numFmtId="164" fontId="8" fillId="0" borderId="0" xfId="2" applyNumberFormat="1" applyFont="1" applyAlignment="1" applyProtection="1">
      <alignment horizontal="right"/>
      <protection locked="0"/>
    </xf>
    <xf numFmtId="0" fontId="13" fillId="5" borderId="0" xfId="2" applyFont="1" applyFill="1" applyAlignment="1">
      <alignment horizontal="right"/>
    </xf>
    <xf numFmtId="165" fontId="8" fillId="0" borderId="0" xfId="2" applyNumberFormat="1" applyFont="1" applyAlignment="1" applyProtection="1">
      <alignment horizontal="center"/>
      <protection locked="0"/>
    </xf>
    <xf numFmtId="0" fontId="8" fillId="0" borderId="0" xfId="2" applyFont="1" applyAlignment="1" applyProtection="1">
      <alignment horizontal="center"/>
      <protection locked="0"/>
    </xf>
    <xf numFmtId="1" fontId="7" fillId="0" borderId="16" xfId="0" applyNumberFormat="1" applyFont="1" applyBorder="1" applyAlignment="1">
      <alignment horizontal="center"/>
    </xf>
    <xf numFmtId="164" fontId="14" fillId="6" borderId="0" xfId="2" applyNumberFormat="1" applyFont="1" applyFill="1" applyAlignment="1" applyProtection="1">
      <alignment horizontal="right"/>
      <protection locked="0"/>
    </xf>
    <xf numFmtId="0" fontId="10" fillId="0" borderId="0" xfId="2" applyFont="1"/>
    <xf numFmtId="164" fontId="10" fillId="0" borderId="0" xfId="2" applyNumberFormat="1" applyFont="1" applyAlignment="1" applyProtection="1">
      <alignment horizontal="right"/>
      <protection locked="0"/>
    </xf>
    <xf numFmtId="164" fontId="13" fillId="6" borderId="0" xfId="2" applyNumberFormat="1" applyFont="1" applyFill="1" applyAlignment="1" applyProtection="1">
      <alignment horizontal="right"/>
      <protection locked="0"/>
    </xf>
    <xf numFmtId="165" fontId="8" fillId="0" borderId="0" xfId="2" applyNumberFormat="1" applyFont="1" applyAlignment="1" applyProtection="1">
      <alignment horizontal="left"/>
      <protection locked="0"/>
    </xf>
    <xf numFmtId="165" fontId="8" fillId="0" borderId="16" xfId="2" applyNumberFormat="1" applyFont="1" applyBorder="1" applyAlignment="1" applyProtection="1">
      <alignment horizontal="center"/>
      <protection locked="0"/>
    </xf>
    <xf numFmtId="49" fontId="10" fillId="0" borderId="0" xfId="2" applyNumberFormat="1" applyFont="1"/>
    <xf numFmtId="0" fontId="7" fillId="0" borderId="17" xfId="6" applyFont="1" applyBorder="1" applyProtection="1">
      <protection locked="0"/>
    </xf>
    <xf numFmtId="9" fontId="7" fillId="0" borderId="16" xfId="1" applyFont="1" applyFill="1" applyBorder="1" applyAlignment="1">
      <alignment horizontal="center"/>
    </xf>
    <xf numFmtId="9" fontId="7" fillId="0" borderId="0" xfId="1" applyFont="1" applyFill="1" applyBorder="1" applyAlignment="1">
      <alignment horizontal="center"/>
    </xf>
    <xf numFmtId="164" fontId="10" fillId="0" borderId="0" xfId="2" applyNumberFormat="1" applyFont="1" applyAlignment="1">
      <alignment horizontal="right"/>
    </xf>
    <xf numFmtId="164" fontId="13" fillId="6" borderId="0" xfId="2" applyNumberFormat="1" applyFont="1" applyFill="1" applyAlignment="1">
      <alignment horizontal="right"/>
    </xf>
    <xf numFmtId="0" fontId="13" fillId="6" borderId="0" xfId="2" applyFont="1" applyFill="1"/>
    <xf numFmtId="0" fontId="12" fillId="6" borderId="0" xfId="0" applyFont="1" applyFill="1"/>
    <xf numFmtId="0" fontId="10" fillId="0" borderId="13" xfId="2" applyFont="1" applyBorder="1"/>
    <xf numFmtId="0" fontId="15" fillId="0" borderId="13" xfId="2" applyFont="1" applyBorder="1" applyAlignment="1">
      <alignment horizontal="left"/>
    </xf>
    <xf numFmtId="2" fontId="15" fillId="0" borderId="0" xfId="2" applyNumberFormat="1" applyFont="1" applyAlignment="1">
      <alignment horizontal="left"/>
    </xf>
    <xf numFmtId="0" fontId="8" fillId="0" borderId="0" xfId="2" applyFont="1" applyAlignment="1">
      <alignment horizontal="left"/>
    </xf>
    <xf numFmtId="164" fontId="12" fillId="0" borderId="0" xfId="0" applyNumberFormat="1" applyFont="1"/>
    <xf numFmtId="165" fontId="8" fillId="0" borderId="18" xfId="2" applyNumberFormat="1" applyFont="1" applyBorder="1" applyAlignment="1" applyProtection="1">
      <alignment horizontal="center"/>
      <protection locked="0"/>
    </xf>
    <xf numFmtId="1" fontId="7" fillId="0" borderId="0" xfId="0" applyNumberFormat="1" applyFont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2" fontId="16" fillId="0" borderId="0" xfId="2" applyNumberFormat="1" applyFont="1" applyAlignment="1">
      <alignment horizontal="left"/>
    </xf>
    <xf numFmtId="0" fontId="10" fillId="0" borderId="0" xfId="2" applyFont="1" applyAlignment="1">
      <alignment horizontal="left"/>
    </xf>
    <xf numFmtId="164" fontId="8" fillId="0" borderId="0" xfId="2" applyNumberFormat="1" applyFont="1" applyAlignment="1">
      <alignment horizontal="right"/>
    </xf>
    <xf numFmtId="0" fontId="16" fillId="0" borderId="0" xfId="2" applyFont="1" applyAlignment="1">
      <alignment horizontal="left"/>
    </xf>
    <xf numFmtId="2" fontId="7" fillId="0" borderId="0" xfId="2" applyNumberFormat="1" applyFont="1" applyAlignment="1">
      <alignment horizontal="left"/>
    </xf>
    <xf numFmtId="0" fontId="8" fillId="0" borderId="0" xfId="2" applyFont="1" applyAlignment="1" applyProtection="1">
      <alignment horizontal="left"/>
      <protection locked="0"/>
    </xf>
    <xf numFmtId="0" fontId="17" fillId="0" borderId="0" xfId="2" applyFont="1" applyAlignment="1">
      <alignment horizontal="left"/>
    </xf>
    <xf numFmtId="0" fontId="7" fillId="0" borderId="0" xfId="2" applyFont="1" applyAlignment="1">
      <alignment horizontal="left"/>
    </xf>
    <xf numFmtId="0" fontId="14" fillId="6" borderId="0" xfId="2" applyFont="1" applyFill="1"/>
    <xf numFmtId="164" fontId="14" fillId="6" borderId="0" xfId="2" applyNumberFormat="1" applyFont="1" applyFill="1" applyAlignment="1">
      <alignment horizontal="right"/>
    </xf>
    <xf numFmtId="0" fontId="14" fillId="0" borderId="0" xfId="2" applyFont="1"/>
    <xf numFmtId="164" fontId="14" fillId="0" borderId="0" xfId="2" applyNumberFormat="1" applyFont="1" applyAlignment="1">
      <alignment horizontal="right"/>
    </xf>
    <xf numFmtId="164" fontId="14" fillId="0" borderId="0" xfId="2" applyNumberFormat="1" applyFont="1" applyAlignment="1" applyProtection="1">
      <alignment horizontal="right"/>
      <protection locked="0"/>
    </xf>
    <xf numFmtId="0" fontId="13" fillId="0" borderId="0" xfId="2" applyFont="1"/>
    <xf numFmtId="164" fontId="13" fillId="0" borderId="0" xfId="2" applyNumberFormat="1" applyFont="1" applyAlignment="1">
      <alignment horizontal="right"/>
    </xf>
    <xf numFmtId="2" fontId="18" fillId="0" borderId="0" xfId="2" applyNumberFormat="1" applyFont="1" applyAlignment="1">
      <alignment horizontal="left"/>
    </xf>
    <xf numFmtId="1" fontId="12" fillId="0" borderId="0" xfId="0" applyNumberFormat="1" applyFont="1" applyAlignment="1">
      <alignment horizontal="center"/>
    </xf>
    <xf numFmtId="1" fontId="12" fillId="0" borderId="0" xfId="0" applyNumberFormat="1" applyFont="1"/>
    <xf numFmtId="9" fontId="12" fillId="0" borderId="0" xfId="0" applyNumberFormat="1" applyFont="1" applyAlignment="1">
      <alignment horizontal="center"/>
    </xf>
    <xf numFmtId="164" fontId="8" fillId="0" borderId="0" xfId="2" applyNumberFormat="1" applyFont="1" applyAlignment="1" applyProtection="1">
      <alignment horizontal="center"/>
      <protection locked="0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5" applyFont="1"/>
    <xf numFmtId="1" fontId="19" fillId="0" borderId="0" xfId="0" applyNumberFormat="1" applyFont="1"/>
  </cellXfs>
  <cellStyles count="7">
    <cellStyle name="=C:\WINNT35\SYSTEM32\COMMAND.COM" xfId="2" xr:uid="{AE358089-47C8-40C1-916C-533552457E81}"/>
    <cellStyle name="Hyperlink" xfId="5" builtinId="8"/>
    <cellStyle name="Normal" xfId="0" builtinId="0" customBuiltin="1"/>
    <cellStyle name="Normal 3 2" xfId="3" xr:uid="{14EEF45F-FF84-43CE-8F30-A45620F279B4}"/>
    <cellStyle name="Normal 6" xfId="6" xr:uid="{B026C65B-38B1-4771-977B-5FB30DF4304D}"/>
    <cellStyle name="Percent" xfId="1" builtinId="5"/>
    <cellStyle name="Percent 3" xfId="4" xr:uid="{EE3F615E-E10A-4ED7-8596-A94AF1405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12</xdr:row>
      <xdr:rowOff>122210</xdr:rowOff>
    </xdr:from>
    <xdr:to>
      <xdr:col>12</xdr:col>
      <xdr:colOff>91440</xdr:colOff>
      <xdr:row>37</xdr:row>
      <xdr:rowOff>134306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A21F2-1E98-14EB-2A2F-88F38278E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" y="1859570"/>
          <a:ext cx="6955155" cy="3631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SEC Theme">
  <a:themeElements>
    <a:clrScheme name="PSEC2112">
      <a:dk1>
        <a:srgbClr val="000000"/>
      </a:dk1>
      <a:lt1>
        <a:srgbClr val="FFFFFF"/>
      </a:lt1>
      <a:dk2>
        <a:srgbClr val="003255"/>
      </a:dk2>
      <a:lt2>
        <a:srgbClr val="000000"/>
      </a:lt2>
      <a:accent1>
        <a:srgbClr val="003255"/>
      </a:accent1>
      <a:accent2>
        <a:srgbClr val="81B0C0"/>
      </a:accent2>
      <a:accent3>
        <a:srgbClr val="407061"/>
      </a:accent3>
      <a:accent4>
        <a:srgbClr val="8F9DA6"/>
      </a:accent4>
      <a:accent5>
        <a:srgbClr val="C9BE27"/>
      </a:accent5>
      <a:accent6>
        <a:srgbClr val="DE0080"/>
      </a:accent6>
      <a:hlink>
        <a:srgbClr val="738296"/>
      </a:hlink>
      <a:folHlink>
        <a:srgbClr val="C0C0C0"/>
      </a:folHlink>
    </a:clrScheme>
    <a:fontScheme name="PSEC">
      <a:majorFont>
        <a:latin typeface="Cambria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 sz="12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rtlCol="0">
        <a:spAutoFit/>
      </a:bodyPr>
      <a:lstStyle>
        <a:defPPr marL="144000" indent="-144000" algn="l">
          <a:defRPr dirty="0" smtClean="0">
            <a:solidFill>
              <a:schemeClr val="bg2"/>
            </a:solidFill>
            <a:latin typeface="+mn-lt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PSEC Theme" id="{A885140D-A476-477D-8C0E-39067EF44445}" vid="{AA59F3F1-2D71-4BF6-AFFC-C6383D1A057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dfjelldrilling.com/inves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DE1E-4678-423C-BDFD-C7E837FE7E80}">
  <dimension ref="B2:C12"/>
  <sheetViews>
    <sheetView showGridLines="0" tabSelected="1" zoomScaleNormal="100" workbookViewId="0">
      <selection activeCell="O35" sqref="O35:O36"/>
    </sheetView>
  </sheetViews>
  <sheetFormatPr defaultColWidth="9.109375" defaultRowHeight="11.4" x14ac:dyDescent="0.2"/>
  <cols>
    <col min="1" max="16384" width="9.109375" style="109"/>
  </cols>
  <sheetData>
    <row r="2" spans="2:3" x14ac:dyDescent="0.2">
      <c r="B2" s="108" t="s">
        <v>127</v>
      </c>
    </row>
    <row r="3" spans="2:3" x14ac:dyDescent="0.2">
      <c r="B3" s="110">
        <v>1</v>
      </c>
      <c r="C3" s="109" t="s">
        <v>121</v>
      </c>
    </row>
    <row r="4" spans="2:3" x14ac:dyDescent="0.2">
      <c r="B4" s="110">
        <v>2</v>
      </c>
      <c r="C4" s="109" t="s">
        <v>129</v>
      </c>
    </row>
    <row r="5" spans="2:3" x14ac:dyDescent="0.2">
      <c r="B5" s="110">
        <v>3</v>
      </c>
      <c r="C5" s="109" t="s">
        <v>77</v>
      </c>
    </row>
    <row r="6" spans="2:3" x14ac:dyDescent="0.2">
      <c r="B6" s="110">
        <v>4</v>
      </c>
      <c r="C6" s="109" t="s">
        <v>128</v>
      </c>
    </row>
    <row r="7" spans="2:3" x14ac:dyDescent="0.2">
      <c r="B7" s="110">
        <v>5</v>
      </c>
      <c r="C7" s="109" t="s">
        <v>125</v>
      </c>
    </row>
    <row r="9" spans="2:3" x14ac:dyDescent="0.2">
      <c r="C9" s="108" t="s">
        <v>124</v>
      </c>
    </row>
    <row r="11" spans="2:3" x14ac:dyDescent="0.2">
      <c r="B11" s="108" t="s">
        <v>78</v>
      </c>
    </row>
    <row r="12" spans="2:3" x14ac:dyDescent="0.2">
      <c r="B12" s="111" t="s">
        <v>79</v>
      </c>
    </row>
  </sheetData>
  <hyperlinks>
    <hyperlink ref="B12" r:id="rId1" xr:uid="{359BD53D-DFBC-4B36-8397-E99FA1B9799C}"/>
  </hyperlinks>
  <pageMargins left="0.7" right="0.7" top="0.75" bottom="0.75" header="0.3" footer="0.3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C672-E4CC-4D1C-AC1D-D057DFAC393D}">
  <dimension ref="B2:AM70"/>
  <sheetViews>
    <sheetView showGridLines="0" workbookViewId="0">
      <selection activeCell="AJ33" sqref="AJ33"/>
    </sheetView>
  </sheetViews>
  <sheetFormatPr defaultColWidth="9.109375" defaultRowHeight="10.199999999999999" x14ac:dyDescent="0.2"/>
  <cols>
    <col min="1" max="1" width="6.44140625" style="53" customWidth="1"/>
    <col min="2" max="9" width="9.109375" style="53"/>
    <col min="10" max="10" width="10.44140625" style="53" customWidth="1"/>
    <col min="11" max="11" width="9.109375" style="53"/>
    <col min="12" max="12" width="11.33203125" style="53" customWidth="1"/>
    <col min="13" max="30" width="9.109375" style="53"/>
    <col min="31" max="31" width="25.6640625" style="53" customWidth="1"/>
    <col min="32" max="33" width="9.109375" style="53"/>
    <col min="34" max="34" width="12.5546875" style="53" bestFit="1" customWidth="1"/>
    <col min="35" max="35" width="12.109375" style="53" bestFit="1" customWidth="1"/>
    <col min="36" max="36" width="12.33203125" style="53" bestFit="1" customWidth="1"/>
    <col min="37" max="16384" width="9.109375" style="53"/>
  </cols>
  <sheetData>
    <row r="2" spans="2:39" ht="10.8" thickBot="1" x14ac:dyDescent="0.25">
      <c r="B2" s="51" t="s">
        <v>0</v>
      </c>
      <c r="C2" s="52"/>
      <c r="D2" s="52"/>
      <c r="E2" s="52">
        <v>2018</v>
      </c>
      <c r="F2" s="52">
        <v>2019</v>
      </c>
      <c r="G2" s="52">
        <v>2020</v>
      </c>
      <c r="H2" s="52">
        <v>2021</v>
      </c>
      <c r="I2" s="52">
        <v>2022</v>
      </c>
      <c r="J2" s="52">
        <v>2023</v>
      </c>
      <c r="K2" s="52">
        <v>2024</v>
      </c>
      <c r="L2" s="52" t="s">
        <v>13</v>
      </c>
      <c r="O2" s="52" t="s">
        <v>80</v>
      </c>
      <c r="P2" s="52" t="s">
        <v>81</v>
      </c>
      <c r="Q2" s="52" t="s">
        <v>82</v>
      </c>
      <c r="R2" s="52" t="s">
        <v>83</v>
      </c>
      <c r="S2" s="52" t="s">
        <v>84</v>
      </c>
      <c r="T2" s="52" t="s">
        <v>85</v>
      </c>
      <c r="U2" s="52" t="s">
        <v>86</v>
      </c>
      <c r="V2" s="52" t="s">
        <v>87</v>
      </c>
      <c r="W2" s="52" t="s">
        <v>88</v>
      </c>
      <c r="X2" s="52" t="s">
        <v>89</v>
      </c>
      <c r="Y2" s="52" t="s">
        <v>90</v>
      </c>
      <c r="Z2" s="52" t="s">
        <v>91</v>
      </c>
      <c r="AA2" s="52" t="s">
        <v>92</v>
      </c>
      <c r="AB2" s="52" t="s">
        <v>93</v>
      </c>
      <c r="AC2" s="52" t="s">
        <v>94</v>
      </c>
      <c r="AE2" s="54" t="s">
        <v>112</v>
      </c>
      <c r="AF2" s="55" t="s">
        <v>97</v>
      </c>
      <c r="AG2" s="58" t="s">
        <v>98</v>
      </c>
      <c r="AH2" s="56" t="s">
        <v>99</v>
      </c>
      <c r="AI2" s="56" t="s">
        <v>100</v>
      </c>
      <c r="AJ2" s="56" t="s">
        <v>101</v>
      </c>
      <c r="AK2" s="57">
        <v>2022</v>
      </c>
      <c r="AL2" s="58">
        <v>2023</v>
      </c>
      <c r="AM2" s="58">
        <v>2024</v>
      </c>
    </row>
    <row r="3" spans="2:39" x14ac:dyDescent="0.2">
      <c r="B3" s="59" t="s">
        <v>1</v>
      </c>
      <c r="E3" s="60">
        <v>698.47500000000002</v>
      </c>
      <c r="F3" s="60">
        <v>823.19600000000003</v>
      </c>
      <c r="G3" s="60">
        <v>929.73900000000003</v>
      </c>
      <c r="H3" s="60">
        <v>863.85400000000004</v>
      </c>
      <c r="I3" s="60">
        <v>651.51400000000001</v>
      </c>
      <c r="J3" s="60">
        <v>732.5</v>
      </c>
      <c r="K3" s="60">
        <v>775.09999999999991</v>
      </c>
      <c r="L3" s="60">
        <f>+SUM(AA3:AC3)</f>
        <v>656.5</v>
      </c>
      <c r="M3" s="61"/>
      <c r="N3" s="61"/>
      <c r="O3" s="60">
        <v>154.81700000000001</v>
      </c>
      <c r="P3" s="60">
        <v>163.09700000000001</v>
      </c>
      <c r="Q3" s="60">
        <v>164.8</v>
      </c>
      <c r="R3" s="60">
        <v>168.8</v>
      </c>
      <c r="S3" s="60">
        <v>170.9</v>
      </c>
      <c r="T3" s="60">
        <v>183.8</v>
      </c>
      <c r="U3" s="60">
        <v>186</v>
      </c>
      <c r="V3" s="60">
        <v>191.8</v>
      </c>
      <c r="W3" s="60">
        <v>193.6</v>
      </c>
      <c r="X3" s="60">
        <v>191.3</v>
      </c>
      <c r="Y3" s="60">
        <v>186.5</v>
      </c>
      <c r="Z3" s="60">
        <v>203.7</v>
      </c>
      <c r="AA3" s="60">
        <v>203.9</v>
      </c>
      <c r="AB3" s="60">
        <v>218.9</v>
      </c>
      <c r="AC3" s="60">
        <v>233.7</v>
      </c>
      <c r="AE3" s="72" t="s">
        <v>102</v>
      </c>
      <c r="AF3" s="62" t="s">
        <v>103</v>
      </c>
      <c r="AG3" s="63">
        <v>2014</v>
      </c>
      <c r="AH3" s="62" t="s">
        <v>104</v>
      </c>
      <c r="AI3" s="62" t="s">
        <v>105</v>
      </c>
      <c r="AJ3" s="62" t="s">
        <v>106</v>
      </c>
      <c r="AK3" s="73">
        <v>0.91052511415525095</v>
      </c>
      <c r="AL3" s="74">
        <v>0.95756164383561637</v>
      </c>
      <c r="AM3" s="74">
        <v>0.98268493150684921</v>
      </c>
    </row>
    <row r="4" spans="2:39" x14ac:dyDescent="0.2">
      <c r="B4" s="59" t="s">
        <v>2</v>
      </c>
      <c r="E4" s="60">
        <v>-439.32799999999997</v>
      </c>
      <c r="F4" s="60">
        <v>-483.96300000000002</v>
      </c>
      <c r="G4" s="60">
        <v>-509.33560000000006</v>
      </c>
      <c r="H4" s="60">
        <v>-560.31299999999999</v>
      </c>
      <c r="I4" s="60">
        <v>-343.52200000000005</v>
      </c>
      <c r="J4" s="60">
        <v>-404</v>
      </c>
      <c r="K4" s="60">
        <v>-429.7</v>
      </c>
      <c r="L4" s="60">
        <f t="shared" ref="L4:L14" si="0">+SUM(AA4:AC4)</f>
        <v>-330.09999999999997</v>
      </c>
      <c r="M4" s="65"/>
      <c r="N4" s="65"/>
      <c r="O4" s="60">
        <v>-86.825000000000003</v>
      </c>
      <c r="P4" s="60">
        <v>-84.197000000000003</v>
      </c>
      <c r="Q4" s="60">
        <v>-83.600000000000009</v>
      </c>
      <c r="R4" s="60">
        <v>-88.9</v>
      </c>
      <c r="S4" s="60">
        <v>-98</v>
      </c>
      <c r="T4" s="60">
        <v>-98.500000000000014</v>
      </c>
      <c r="U4" s="60">
        <v>-99.2</v>
      </c>
      <c r="V4" s="60">
        <v>-108.30000000000001</v>
      </c>
      <c r="W4" s="60">
        <v>-108.1</v>
      </c>
      <c r="X4" s="60">
        <v>-106.60000000000001</v>
      </c>
      <c r="Y4" s="60">
        <v>-103.8</v>
      </c>
      <c r="Z4" s="60">
        <v>-111.19999999999999</v>
      </c>
      <c r="AA4" s="60">
        <v>-103.89999999999999</v>
      </c>
      <c r="AB4" s="60">
        <v>-111</v>
      </c>
      <c r="AC4" s="60">
        <v>-115.2</v>
      </c>
      <c r="AE4" s="72" t="s">
        <v>107</v>
      </c>
      <c r="AF4" s="62" t="s">
        <v>103</v>
      </c>
      <c r="AG4" s="63">
        <v>2010</v>
      </c>
      <c r="AH4" s="62" t="s">
        <v>104</v>
      </c>
      <c r="AI4" s="62" t="s">
        <v>105</v>
      </c>
      <c r="AJ4" s="62" t="s">
        <v>108</v>
      </c>
      <c r="AK4" s="73">
        <v>0.91356164383561622</v>
      </c>
      <c r="AL4" s="74">
        <v>0.95756164383561637</v>
      </c>
      <c r="AM4" s="74">
        <v>0.98268493150684921</v>
      </c>
    </row>
    <row r="5" spans="2:39" x14ac:dyDescent="0.2">
      <c r="B5" s="66" t="s">
        <v>3</v>
      </c>
      <c r="E5" s="67">
        <v>259.14699999999999</v>
      </c>
      <c r="F5" s="67">
        <v>331.75899999999996</v>
      </c>
      <c r="G5" s="67">
        <v>420.40340000000003</v>
      </c>
      <c r="H5" s="67">
        <v>303.541</v>
      </c>
      <c r="I5" s="67">
        <v>307.99199999999996</v>
      </c>
      <c r="J5" s="67">
        <v>328.5</v>
      </c>
      <c r="K5" s="67">
        <v>345.4</v>
      </c>
      <c r="L5" s="67">
        <f t="shared" si="0"/>
        <v>326.40000000000003</v>
      </c>
      <c r="M5" s="65"/>
      <c r="N5" s="65"/>
      <c r="O5" s="67">
        <v>67.992000000000004</v>
      </c>
      <c r="P5" s="67">
        <v>78.900000000000006</v>
      </c>
      <c r="Q5" s="67">
        <v>81.2</v>
      </c>
      <c r="R5" s="67">
        <v>79.900000000000006</v>
      </c>
      <c r="S5" s="67">
        <v>72.900000000000006</v>
      </c>
      <c r="T5" s="67">
        <v>85.3</v>
      </c>
      <c r="U5" s="67">
        <v>86.8</v>
      </c>
      <c r="V5" s="67">
        <v>83.5</v>
      </c>
      <c r="W5" s="67">
        <v>85.5</v>
      </c>
      <c r="X5" s="67">
        <v>84.7</v>
      </c>
      <c r="Y5" s="67">
        <v>82.7</v>
      </c>
      <c r="Z5" s="67">
        <v>92.5</v>
      </c>
      <c r="AA5" s="67">
        <v>100.00000000000001</v>
      </c>
      <c r="AB5" s="67">
        <v>107.9</v>
      </c>
      <c r="AC5" s="67">
        <v>118.49999999999999</v>
      </c>
      <c r="AE5" s="72" t="s">
        <v>109</v>
      </c>
      <c r="AF5" s="62" t="s">
        <v>103</v>
      </c>
      <c r="AG5" s="63">
        <v>2009</v>
      </c>
      <c r="AH5" s="62" t="s">
        <v>104</v>
      </c>
      <c r="AI5" s="62" t="s">
        <v>105</v>
      </c>
      <c r="AJ5" s="62" t="s">
        <v>108</v>
      </c>
      <c r="AK5" s="73">
        <v>0.92397260273972592</v>
      </c>
      <c r="AL5" s="74">
        <v>0.95756164383561637</v>
      </c>
      <c r="AM5" s="74">
        <v>0.91210958904109574</v>
      </c>
    </row>
    <row r="6" spans="2:39" x14ac:dyDescent="0.2">
      <c r="B6" s="59" t="s">
        <v>4</v>
      </c>
      <c r="E6" s="60">
        <v>-160.63</v>
      </c>
      <c r="F6" s="60">
        <v>-185.19299999999998</v>
      </c>
      <c r="G6" s="60">
        <v>-203.96299999999999</v>
      </c>
      <c r="H6" s="60">
        <v>-181.94</v>
      </c>
      <c r="I6" s="60">
        <v>-171.44900000000001</v>
      </c>
      <c r="J6" s="60">
        <v>-22.100000000000009</v>
      </c>
      <c r="K6" s="60">
        <v>-195</v>
      </c>
      <c r="L6" s="60">
        <f t="shared" si="0"/>
        <v>-135.69999999999999</v>
      </c>
      <c r="M6" s="68"/>
      <c r="N6" s="68"/>
      <c r="O6" s="60">
        <v>-40.658000000000001</v>
      </c>
      <c r="P6" s="60">
        <v>-42.691000000000003</v>
      </c>
      <c r="Q6" s="60">
        <v>-44.1</v>
      </c>
      <c r="R6" s="60">
        <v>-44.000000000000007</v>
      </c>
      <c r="S6" s="60">
        <v>-45.2</v>
      </c>
      <c r="T6" s="60">
        <v>-45.5</v>
      </c>
      <c r="U6" s="60">
        <v>117.3</v>
      </c>
      <c r="V6" s="60">
        <v>-48.7</v>
      </c>
      <c r="W6" s="60">
        <v>-48.1</v>
      </c>
      <c r="X6" s="60">
        <v>-42.4</v>
      </c>
      <c r="Y6" s="60">
        <v>-45.8</v>
      </c>
      <c r="Z6" s="60">
        <v>-58.7</v>
      </c>
      <c r="AA6" s="60">
        <v>-45.3</v>
      </c>
      <c r="AB6" s="60">
        <v>-45.7</v>
      </c>
      <c r="AC6" s="60">
        <v>-44.7</v>
      </c>
      <c r="AE6" s="72" t="s">
        <v>110</v>
      </c>
      <c r="AF6" s="62" t="s">
        <v>103</v>
      </c>
      <c r="AG6" s="63">
        <v>2019</v>
      </c>
      <c r="AH6" s="62" t="s">
        <v>104</v>
      </c>
      <c r="AI6" s="62" t="s">
        <v>111</v>
      </c>
      <c r="AJ6" s="62" t="s">
        <v>108</v>
      </c>
      <c r="AK6" s="73">
        <v>0.94999999999999984</v>
      </c>
      <c r="AL6" s="74">
        <v>0.8869863013698629</v>
      </c>
      <c r="AM6" s="74">
        <v>0.98268493150684921</v>
      </c>
    </row>
    <row r="7" spans="2:39" x14ac:dyDescent="0.2">
      <c r="B7" s="59" t="s">
        <v>5</v>
      </c>
      <c r="E7" s="60">
        <v>0</v>
      </c>
      <c r="F7" s="60">
        <v>0</v>
      </c>
      <c r="G7" s="60">
        <v>0</v>
      </c>
      <c r="H7" s="60">
        <v>-0.436</v>
      </c>
      <c r="I7" s="60">
        <v>0</v>
      </c>
      <c r="J7" s="60">
        <v>0</v>
      </c>
      <c r="K7" s="60">
        <v>0</v>
      </c>
      <c r="L7" s="60">
        <f t="shared" si="0"/>
        <v>0</v>
      </c>
      <c r="M7" s="65"/>
      <c r="N7" s="65"/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E7" s="69" t="s">
        <v>115</v>
      </c>
      <c r="AF7" s="62" t="s">
        <v>103</v>
      </c>
      <c r="AG7" s="63">
        <v>2020</v>
      </c>
      <c r="AH7" s="62" t="s">
        <v>104</v>
      </c>
      <c r="AI7" s="62" t="s">
        <v>105</v>
      </c>
      <c r="AJ7" s="62" t="s">
        <v>108</v>
      </c>
      <c r="AK7" s="73" t="s">
        <v>116</v>
      </c>
      <c r="AL7" s="74" t="s">
        <v>116</v>
      </c>
      <c r="AM7" s="74" t="s">
        <v>116</v>
      </c>
    </row>
    <row r="8" spans="2:39" x14ac:dyDescent="0.2">
      <c r="B8" s="71" t="s">
        <v>6</v>
      </c>
      <c r="E8" s="67">
        <v>98.516999999999996</v>
      </c>
      <c r="F8" s="67">
        <v>146.56599999999997</v>
      </c>
      <c r="G8" s="67">
        <v>216.44040000000001</v>
      </c>
      <c r="H8" s="67">
        <v>121.16499999999999</v>
      </c>
      <c r="I8" s="67">
        <v>136.54300000000001</v>
      </c>
      <c r="J8" s="67">
        <v>306.40000000000003</v>
      </c>
      <c r="K8" s="67">
        <v>150.4</v>
      </c>
      <c r="L8" s="67">
        <f t="shared" si="0"/>
        <v>190.7</v>
      </c>
      <c r="M8" s="65"/>
      <c r="N8" s="65"/>
      <c r="O8" s="67">
        <v>27.334000000000003</v>
      </c>
      <c r="P8" s="67">
        <v>36.209000000000003</v>
      </c>
      <c r="Q8" s="67">
        <v>37.1</v>
      </c>
      <c r="R8" s="67">
        <v>35.9</v>
      </c>
      <c r="S8" s="67">
        <v>27.700000000000003</v>
      </c>
      <c r="T8" s="67">
        <v>39.799999999999997</v>
      </c>
      <c r="U8" s="67">
        <v>204.1</v>
      </c>
      <c r="V8" s="67">
        <v>34.799999999999997</v>
      </c>
      <c r="W8" s="67">
        <v>37.4</v>
      </c>
      <c r="X8" s="67">
        <v>42.300000000000004</v>
      </c>
      <c r="Y8" s="67">
        <v>36.900000000000006</v>
      </c>
      <c r="Z8" s="67">
        <v>33.799999999999997</v>
      </c>
      <c r="AA8" s="67">
        <v>54.700000000000017</v>
      </c>
      <c r="AB8" s="67">
        <v>62.2</v>
      </c>
      <c r="AC8" s="67">
        <v>73.799999999999983</v>
      </c>
      <c r="AE8" s="69"/>
      <c r="AF8" s="62"/>
      <c r="AG8" s="63"/>
      <c r="AH8" s="62"/>
      <c r="AI8" s="62"/>
      <c r="AJ8" s="62"/>
      <c r="AK8" s="70"/>
      <c r="AL8" s="62"/>
      <c r="AM8" s="62"/>
    </row>
    <row r="9" spans="2:39" x14ac:dyDescent="0.2">
      <c r="B9" s="59" t="s">
        <v>7</v>
      </c>
      <c r="E9" s="60">
        <v>-75.489000000000004</v>
      </c>
      <c r="F9" s="60">
        <v>-102.761</v>
      </c>
      <c r="G9" s="60">
        <v>-70.796999999999997</v>
      </c>
      <c r="H9" s="60">
        <v>-43.472999999999999</v>
      </c>
      <c r="I9" s="60">
        <v>-48.308</v>
      </c>
      <c r="J9" s="60">
        <v>-84</v>
      </c>
      <c r="K9" s="60">
        <v>-63.3</v>
      </c>
      <c r="L9" s="60">
        <f t="shared" si="0"/>
        <v>-48.599999999999994</v>
      </c>
      <c r="M9" s="68"/>
      <c r="N9" s="68"/>
      <c r="O9" s="60">
        <v>-5.5330000000000004</v>
      </c>
      <c r="P9" s="60">
        <v>-12.775</v>
      </c>
      <c r="Q9" s="60">
        <v>-24.9</v>
      </c>
      <c r="R9" s="60">
        <v>-5.0999999999999996</v>
      </c>
      <c r="S9" s="60">
        <v>-23.7</v>
      </c>
      <c r="T9" s="60">
        <v>-26.8</v>
      </c>
      <c r="U9" s="60">
        <v>-17.600000000000001</v>
      </c>
      <c r="V9" s="60">
        <v>-15.9</v>
      </c>
      <c r="W9" s="60">
        <v>-20.3</v>
      </c>
      <c r="X9" s="60">
        <v>-14</v>
      </c>
      <c r="Y9" s="60">
        <v>-15.2</v>
      </c>
      <c r="Z9" s="60">
        <v>-13.8</v>
      </c>
      <c r="AA9" s="60">
        <v>-18.7</v>
      </c>
      <c r="AB9" s="60">
        <v>-16.100000000000001</v>
      </c>
      <c r="AC9" s="60">
        <v>-13.8</v>
      </c>
      <c r="AE9" s="54" t="s">
        <v>113</v>
      </c>
      <c r="AF9" s="55" t="s">
        <v>97</v>
      </c>
      <c r="AG9" s="58" t="s">
        <v>98</v>
      </c>
      <c r="AH9" s="56" t="s">
        <v>99</v>
      </c>
      <c r="AI9" s="56" t="s">
        <v>100</v>
      </c>
      <c r="AJ9" s="56" t="s">
        <v>114</v>
      </c>
      <c r="AK9" s="57">
        <v>2022</v>
      </c>
      <c r="AL9" s="58">
        <v>2023</v>
      </c>
      <c r="AM9" s="58">
        <v>2024</v>
      </c>
    </row>
    <row r="10" spans="2:39" x14ac:dyDescent="0.2">
      <c r="B10" s="59" t="s">
        <v>8</v>
      </c>
      <c r="E10" s="60">
        <v>8.1109999999999971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-8.6999999999999993</v>
      </c>
      <c r="L10" s="60">
        <f t="shared" si="0"/>
        <v>0</v>
      </c>
      <c r="M10" s="65"/>
      <c r="N10" s="65"/>
      <c r="O10" s="60">
        <v>0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-8.6999999999999993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E10" s="72" t="s">
        <v>102</v>
      </c>
      <c r="AF10" s="62" t="s">
        <v>103</v>
      </c>
      <c r="AG10" s="63">
        <v>2014</v>
      </c>
      <c r="AH10" s="62" t="s">
        <v>104</v>
      </c>
      <c r="AI10" s="62" t="s">
        <v>105</v>
      </c>
      <c r="AJ10" s="84" t="s">
        <v>106</v>
      </c>
      <c r="AK10" s="64">
        <v>153.75</v>
      </c>
      <c r="AL10" s="85">
        <v>155.5</v>
      </c>
      <c r="AM10" s="85">
        <v>158</v>
      </c>
    </row>
    <row r="11" spans="2:39" x14ac:dyDescent="0.2">
      <c r="B11" s="59" t="s">
        <v>9</v>
      </c>
      <c r="E11" s="75">
        <v>31.138999999999996</v>
      </c>
      <c r="F11" s="75">
        <v>43.804999999999971</v>
      </c>
      <c r="G11" s="75">
        <v>145.64340000000001</v>
      </c>
      <c r="H11" s="75">
        <v>77.691999999999993</v>
      </c>
      <c r="I11" s="75">
        <v>88.235000000000014</v>
      </c>
      <c r="J11" s="75">
        <v>222.4</v>
      </c>
      <c r="K11" s="75">
        <v>78.400000000000006</v>
      </c>
      <c r="L11" s="75">
        <f t="shared" si="0"/>
        <v>142.10000000000002</v>
      </c>
      <c r="M11" s="65"/>
      <c r="N11" s="65"/>
      <c r="O11" s="75">
        <v>21.801000000000002</v>
      </c>
      <c r="P11" s="75">
        <v>23.434000000000005</v>
      </c>
      <c r="Q11" s="75">
        <v>12.200000000000003</v>
      </c>
      <c r="R11" s="75">
        <v>30.799999999999997</v>
      </c>
      <c r="S11" s="75">
        <v>4.0000000000000036</v>
      </c>
      <c r="T11" s="75">
        <v>12.999999999999996</v>
      </c>
      <c r="U11" s="75">
        <v>186.5</v>
      </c>
      <c r="V11" s="75">
        <v>18.899999999999999</v>
      </c>
      <c r="W11" s="75">
        <v>17.099999999999998</v>
      </c>
      <c r="X11" s="75">
        <v>19.600000000000005</v>
      </c>
      <c r="Y11" s="75">
        <v>21.700000000000006</v>
      </c>
      <c r="Z11" s="75">
        <v>19.999999999999996</v>
      </c>
      <c r="AA11" s="75">
        <v>36.000000000000014</v>
      </c>
      <c r="AB11" s="75">
        <v>46.1</v>
      </c>
      <c r="AC11" s="75">
        <v>59.999999999999986</v>
      </c>
      <c r="AE11" s="72" t="s">
        <v>107</v>
      </c>
      <c r="AF11" s="62" t="s">
        <v>103</v>
      </c>
      <c r="AG11" s="63">
        <v>2010</v>
      </c>
      <c r="AH11" s="62" t="s">
        <v>104</v>
      </c>
      <c r="AI11" s="62" t="s">
        <v>105</v>
      </c>
      <c r="AJ11" s="62" t="s">
        <v>108</v>
      </c>
      <c r="AK11" s="64">
        <v>151.25</v>
      </c>
      <c r="AL11" s="85">
        <v>155.5</v>
      </c>
      <c r="AM11" s="85">
        <v>158</v>
      </c>
    </row>
    <row r="12" spans="2:39" x14ac:dyDescent="0.2">
      <c r="B12" s="59" t="s">
        <v>10</v>
      </c>
      <c r="E12" s="60">
        <v>-3.7890000000000001</v>
      </c>
      <c r="F12" s="60">
        <v>-2.9849999999999999</v>
      </c>
      <c r="G12" s="60">
        <v>-2.3390000000000004</v>
      </c>
      <c r="H12" s="60">
        <v>-3.839</v>
      </c>
      <c r="I12" s="60">
        <v>-5.3659999999999997</v>
      </c>
      <c r="J12" s="60">
        <v>-0.29999999999999982</v>
      </c>
      <c r="K12" s="60">
        <v>-13.7</v>
      </c>
      <c r="L12" s="60">
        <f t="shared" si="0"/>
        <v>-14.7</v>
      </c>
      <c r="M12" s="76"/>
      <c r="N12" s="76"/>
      <c r="O12" s="60">
        <v>-1.216</v>
      </c>
      <c r="P12" s="60">
        <v>-1.55</v>
      </c>
      <c r="Q12" s="60">
        <v>-0.5</v>
      </c>
      <c r="R12" s="60">
        <v>-2.1</v>
      </c>
      <c r="S12" s="60">
        <v>-2</v>
      </c>
      <c r="T12" s="60">
        <v>-1.6</v>
      </c>
      <c r="U12" s="60">
        <v>-2.1</v>
      </c>
      <c r="V12" s="60">
        <v>5.4</v>
      </c>
      <c r="W12" s="60">
        <v>-3.3</v>
      </c>
      <c r="X12" s="60">
        <v>-3.3</v>
      </c>
      <c r="Y12" s="60">
        <v>-2.6</v>
      </c>
      <c r="Z12" s="60">
        <v>-4.5</v>
      </c>
      <c r="AA12" s="60">
        <v>-5.3</v>
      </c>
      <c r="AB12" s="60">
        <v>-4.4000000000000004</v>
      </c>
      <c r="AC12" s="60">
        <v>-5</v>
      </c>
      <c r="AE12" s="72" t="s">
        <v>109</v>
      </c>
      <c r="AF12" s="62" t="s">
        <v>103</v>
      </c>
      <c r="AG12" s="63">
        <v>2009</v>
      </c>
      <c r="AH12" s="62" t="s">
        <v>104</v>
      </c>
      <c r="AI12" s="62" t="s">
        <v>105</v>
      </c>
      <c r="AJ12" s="62" t="s">
        <v>108</v>
      </c>
      <c r="AK12" s="64">
        <v>153.75</v>
      </c>
      <c r="AL12" s="85">
        <v>155.5</v>
      </c>
      <c r="AM12" s="85">
        <v>158</v>
      </c>
    </row>
    <row r="13" spans="2:39" x14ac:dyDescent="0.2">
      <c r="B13" s="59" t="s">
        <v>11</v>
      </c>
      <c r="E13" s="60">
        <v>0</v>
      </c>
      <c r="F13" s="60">
        <v>0</v>
      </c>
      <c r="G13" s="60">
        <v>7.2999999999999995E-2</v>
      </c>
      <c r="H13" s="60">
        <v>0</v>
      </c>
      <c r="I13" s="60">
        <v>0</v>
      </c>
      <c r="J13" s="60">
        <v>0</v>
      </c>
      <c r="K13" s="60">
        <v>0</v>
      </c>
      <c r="L13" s="60">
        <f t="shared" si="0"/>
        <v>0</v>
      </c>
      <c r="M13" s="65"/>
      <c r="N13" s="65"/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E13" s="72" t="s">
        <v>110</v>
      </c>
      <c r="AF13" s="62" t="s">
        <v>103</v>
      </c>
      <c r="AG13" s="63">
        <v>2019</v>
      </c>
      <c r="AH13" s="62" t="s">
        <v>104</v>
      </c>
      <c r="AI13" s="62" t="s">
        <v>111</v>
      </c>
      <c r="AJ13" s="62" t="s">
        <v>108</v>
      </c>
      <c r="AK13" s="64">
        <v>153.75</v>
      </c>
      <c r="AL13" s="85">
        <v>155.5</v>
      </c>
      <c r="AM13" s="85">
        <v>158</v>
      </c>
    </row>
    <row r="14" spans="2:39" x14ac:dyDescent="0.2">
      <c r="B14" s="66" t="s">
        <v>12</v>
      </c>
      <c r="E14" s="75">
        <v>27.349999999999994</v>
      </c>
      <c r="F14" s="75">
        <v>40.819999999999965</v>
      </c>
      <c r="G14" s="75">
        <v>143.37740000000002</v>
      </c>
      <c r="H14" s="75">
        <v>73.534999999999997</v>
      </c>
      <c r="I14" s="75">
        <v>82.869</v>
      </c>
      <c r="J14" s="75">
        <v>222.10000000000002</v>
      </c>
      <c r="K14" s="75">
        <v>64.7</v>
      </c>
      <c r="L14" s="75">
        <f t="shared" si="0"/>
        <v>127.4</v>
      </c>
      <c r="M14" s="65"/>
      <c r="N14" s="65"/>
      <c r="O14" s="75">
        <v>20.585000000000001</v>
      </c>
      <c r="P14" s="75">
        <v>21.884000000000004</v>
      </c>
      <c r="Q14" s="75">
        <v>11.700000000000003</v>
      </c>
      <c r="R14" s="75">
        <v>28.699999999999996</v>
      </c>
      <c r="S14" s="75">
        <v>2.0000000000000036</v>
      </c>
      <c r="T14" s="75">
        <v>11.399999999999997</v>
      </c>
      <c r="U14" s="75">
        <v>184.4</v>
      </c>
      <c r="V14" s="75">
        <v>24.299999999999997</v>
      </c>
      <c r="W14" s="75">
        <v>13.799999999999997</v>
      </c>
      <c r="X14" s="75">
        <v>16.300000000000004</v>
      </c>
      <c r="Y14" s="75">
        <v>19.100000000000005</v>
      </c>
      <c r="Z14" s="75">
        <v>15.499999999999996</v>
      </c>
      <c r="AA14" s="75">
        <v>30.700000000000014</v>
      </c>
      <c r="AB14" s="75">
        <v>41.7</v>
      </c>
      <c r="AC14" s="75">
        <v>54.999999999999986</v>
      </c>
      <c r="AE14" s="69" t="s">
        <v>115</v>
      </c>
      <c r="AF14" s="62" t="s">
        <v>103</v>
      </c>
      <c r="AG14" s="63">
        <v>2020</v>
      </c>
      <c r="AH14" s="62" t="s">
        <v>104</v>
      </c>
      <c r="AI14" s="62" t="s">
        <v>105</v>
      </c>
      <c r="AJ14" s="62" t="s">
        <v>108</v>
      </c>
      <c r="AK14" s="86" t="s">
        <v>116</v>
      </c>
      <c r="AL14" s="87" t="s">
        <v>116</v>
      </c>
      <c r="AM14" s="87" t="s">
        <v>116</v>
      </c>
    </row>
    <row r="15" spans="2:39" x14ac:dyDescent="0.2">
      <c r="B15" s="77"/>
      <c r="C15" s="76"/>
      <c r="D15" s="76"/>
      <c r="E15" s="76"/>
      <c r="F15" s="76"/>
      <c r="G15" s="76"/>
      <c r="H15" s="76"/>
      <c r="I15" s="76"/>
      <c r="J15" s="76"/>
      <c r="K15" s="78"/>
      <c r="L15" s="78"/>
      <c r="M15" s="76"/>
      <c r="N15" s="76"/>
      <c r="O15" s="76"/>
      <c r="P15" s="76"/>
      <c r="Q15" s="76"/>
      <c r="R15" s="76"/>
      <c r="S15" s="76"/>
    </row>
    <row r="16" spans="2:39" ht="10.8" thickBot="1" x14ac:dyDescent="0.25">
      <c r="B16" s="79" t="s">
        <v>14</v>
      </c>
      <c r="C16" s="80"/>
      <c r="D16" s="51"/>
      <c r="E16" s="52">
        <v>2018</v>
      </c>
      <c r="F16" s="52">
        <v>2019</v>
      </c>
      <c r="G16" s="52">
        <v>2020</v>
      </c>
      <c r="H16" s="52">
        <v>2021</v>
      </c>
      <c r="I16" s="52">
        <v>2022</v>
      </c>
      <c r="J16" s="52">
        <v>2023</v>
      </c>
      <c r="K16" s="52">
        <v>2024</v>
      </c>
      <c r="L16" s="52" t="s">
        <v>96</v>
      </c>
      <c r="O16" s="52" t="s">
        <v>80</v>
      </c>
      <c r="P16" s="52" t="s">
        <v>81</v>
      </c>
      <c r="Q16" s="52" t="s">
        <v>82</v>
      </c>
      <c r="R16" s="52" t="s">
        <v>83</v>
      </c>
      <c r="S16" s="52" t="s">
        <v>84</v>
      </c>
      <c r="T16" s="52" t="s">
        <v>85</v>
      </c>
      <c r="U16" s="52" t="s">
        <v>86</v>
      </c>
      <c r="V16" s="52" t="s">
        <v>87</v>
      </c>
      <c r="W16" s="52" t="s">
        <v>88</v>
      </c>
      <c r="X16" s="52" t="s">
        <v>89</v>
      </c>
      <c r="Y16" s="52" t="s">
        <v>90</v>
      </c>
      <c r="Z16" s="52" t="s">
        <v>91</v>
      </c>
      <c r="AA16" s="52" t="s">
        <v>92</v>
      </c>
      <c r="AB16" s="52" t="s">
        <v>93</v>
      </c>
      <c r="AC16" s="52" t="s">
        <v>94</v>
      </c>
      <c r="AE16" s="54" t="s">
        <v>126</v>
      </c>
      <c r="AF16" s="55"/>
      <c r="AG16" s="58"/>
      <c r="AH16" s="56"/>
      <c r="AI16" s="56"/>
      <c r="AJ16" s="56"/>
      <c r="AK16" s="57">
        <v>2022</v>
      </c>
      <c r="AL16" s="58">
        <v>2023</v>
      </c>
      <c r="AM16" s="58">
        <v>2024</v>
      </c>
    </row>
    <row r="17" spans="2:39" x14ac:dyDescent="0.2">
      <c r="B17" s="59" t="s">
        <v>15</v>
      </c>
      <c r="C17" s="81"/>
      <c r="D17" s="82"/>
      <c r="E17" s="60">
        <v>1928.1320000000001</v>
      </c>
      <c r="F17" s="60">
        <v>2280.8670000000002</v>
      </c>
      <c r="G17" s="60">
        <v>2203.3870000000002</v>
      </c>
      <c r="H17" s="60">
        <v>2108.8560000000002</v>
      </c>
      <c r="I17" s="60">
        <v>1937.9</v>
      </c>
      <c r="J17" s="60">
        <v>2013</v>
      </c>
      <c r="K17" s="60">
        <v>1932.3</v>
      </c>
      <c r="L17" s="83">
        <f>AC17</f>
        <v>1916</v>
      </c>
      <c r="O17" s="60">
        <v>1996.1010000000001</v>
      </c>
      <c r="P17" s="60">
        <v>1987.2349999999999</v>
      </c>
      <c r="Q17" s="60">
        <v>1953.2</v>
      </c>
      <c r="R17" s="60">
        <v>1937.9</v>
      </c>
      <c r="S17" s="60">
        <v>1908.3</v>
      </c>
      <c r="T17" s="60">
        <v>1875.5</v>
      </c>
      <c r="U17" s="60">
        <v>2013.9</v>
      </c>
      <c r="V17" s="60">
        <v>2013</v>
      </c>
      <c r="W17" s="60">
        <v>1957.7</v>
      </c>
      <c r="X17" s="60">
        <v>1958.9</v>
      </c>
      <c r="Y17" s="60">
        <v>1949.9</v>
      </c>
      <c r="Z17" s="60">
        <v>1932.3</v>
      </c>
      <c r="AA17" s="60">
        <v>1916.5</v>
      </c>
      <c r="AB17" s="60">
        <v>1930.2</v>
      </c>
      <c r="AC17" s="60">
        <v>1916</v>
      </c>
      <c r="AE17" s="53" t="s">
        <v>119</v>
      </c>
      <c r="AK17" s="106">
        <v>0.05</v>
      </c>
      <c r="AL17" s="106">
        <v>0.18</v>
      </c>
      <c r="AM17" s="106">
        <v>0.23</v>
      </c>
    </row>
    <row r="18" spans="2:39" x14ac:dyDescent="0.2">
      <c r="B18" s="59" t="s">
        <v>16</v>
      </c>
      <c r="C18" s="81"/>
      <c r="D18" s="82"/>
      <c r="E18" s="60">
        <v>29.811</v>
      </c>
      <c r="F18" s="60">
        <v>30.455000000000002</v>
      </c>
      <c r="G18" s="60">
        <v>28.891999999999999</v>
      </c>
      <c r="H18" s="60">
        <v>29.806999999999768</v>
      </c>
      <c r="I18" s="60">
        <v>3.4</v>
      </c>
      <c r="J18" s="60">
        <v>3</v>
      </c>
      <c r="K18" s="60">
        <v>2.6</v>
      </c>
      <c r="L18" s="105">
        <f t="shared" ref="L18:L35" si="1">AC18</f>
        <v>3.1</v>
      </c>
      <c r="O18" s="60">
        <v>3.8290000000000002</v>
      </c>
      <c r="P18" s="60">
        <v>3.2829999999999999</v>
      </c>
      <c r="Q18" s="60">
        <v>3.1</v>
      </c>
      <c r="R18" s="60">
        <v>3.4</v>
      </c>
      <c r="S18" s="60">
        <v>3.1</v>
      </c>
      <c r="T18" s="60">
        <v>2.9</v>
      </c>
      <c r="U18" s="60">
        <v>2.9</v>
      </c>
      <c r="V18" s="60">
        <v>3</v>
      </c>
      <c r="W18" s="60">
        <v>2.8</v>
      </c>
      <c r="X18" s="60">
        <v>2.7</v>
      </c>
      <c r="Y18" s="60">
        <v>2.8</v>
      </c>
      <c r="Z18" s="60">
        <v>2.6</v>
      </c>
      <c r="AA18" s="60">
        <v>2.8</v>
      </c>
      <c r="AB18" s="60">
        <v>2.9</v>
      </c>
      <c r="AC18" s="60">
        <v>3.1</v>
      </c>
      <c r="AM18" s="104"/>
    </row>
    <row r="19" spans="2:39" x14ac:dyDescent="0.2">
      <c r="B19" s="59" t="s">
        <v>17</v>
      </c>
      <c r="C19" s="81"/>
      <c r="D19" s="82"/>
      <c r="E19" s="60">
        <v>2.04</v>
      </c>
      <c r="F19" s="60">
        <v>1.725999999999658</v>
      </c>
      <c r="G19" s="60">
        <v>3.6289999999999054</v>
      </c>
      <c r="H19" s="60">
        <v>8.1739999999999995</v>
      </c>
      <c r="I19" s="60">
        <v>7.8999999999998636</v>
      </c>
      <c r="J19" s="60">
        <v>38.699999999999818</v>
      </c>
      <c r="K19" s="60">
        <v>33.900000000000091</v>
      </c>
      <c r="L19" s="105">
        <f t="shared" si="1"/>
        <v>31.300000000000182</v>
      </c>
      <c r="O19" s="60">
        <v>4.101</v>
      </c>
      <c r="P19" s="60">
        <v>7.2270000000000891</v>
      </c>
      <c r="Q19" s="60">
        <v>10.1</v>
      </c>
      <c r="R19" s="60">
        <v>7.8999999999998636</v>
      </c>
      <c r="S19" s="60">
        <v>35.900000000000091</v>
      </c>
      <c r="T19" s="60">
        <v>29.3</v>
      </c>
      <c r="U19" s="60">
        <v>29.699999999999818</v>
      </c>
      <c r="V19" s="60">
        <v>38.699999999999818</v>
      </c>
      <c r="W19" s="60">
        <v>54.5</v>
      </c>
      <c r="X19" s="60">
        <v>36.099999999999909</v>
      </c>
      <c r="Y19" s="60">
        <v>35.799999999999955</v>
      </c>
      <c r="Z19" s="60">
        <v>33.900000000000091</v>
      </c>
      <c r="AA19" s="60">
        <v>32.100000000000136</v>
      </c>
      <c r="AB19" s="60">
        <v>31.999999999999773</v>
      </c>
      <c r="AC19" s="60">
        <v>31.300000000000182</v>
      </c>
    </row>
    <row r="20" spans="2:39" x14ac:dyDescent="0.2">
      <c r="B20" s="59" t="s">
        <v>18</v>
      </c>
      <c r="C20" s="81"/>
      <c r="D20" s="82"/>
      <c r="E20" s="60">
        <v>0</v>
      </c>
      <c r="F20" s="60">
        <v>0</v>
      </c>
      <c r="G20" s="60">
        <v>0</v>
      </c>
      <c r="H20" s="60">
        <v>0</v>
      </c>
      <c r="I20" s="60">
        <v>99.6</v>
      </c>
      <c r="J20" s="60">
        <v>108.4</v>
      </c>
      <c r="K20" s="60">
        <v>106.9</v>
      </c>
      <c r="L20" s="105">
        <f t="shared" si="1"/>
        <v>112.3</v>
      </c>
      <c r="O20" s="60">
        <v>0</v>
      </c>
      <c r="P20" s="60">
        <v>0</v>
      </c>
      <c r="Q20" s="60">
        <v>0</v>
      </c>
      <c r="R20" s="60">
        <v>99.6</v>
      </c>
      <c r="S20" s="60">
        <v>99.100000000000009</v>
      </c>
      <c r="T20" s="60">
        <v>102.2</v>
      </c>
      <c r="U20" s="60">
        <v>110.8</v>
      </c>
      <c r="V20" s="60">
        <v>108.4</v>
      </c>
      <c r="W20" s="60">
        <v>108.60000000000001</v>
      </c>
      <c r="X20" s="60">
        <v>103.5</v>
      </c>
      <c r="Y20" s="60">
        <v>111.8</v>
      </c>
      <c r="Z20" s="60">
        <v>106.9</v>
      </c>
      <c r="AA20" s="60">
        <v>112.1</v>
      </c>
      <c r="AB20" s="60">
        <v>109.1</v>
      </c>
      <c r="AC20" s="60">
        <v>112.3</v>
      </c>
      <c r="AE20" s="54" t="s">
        <v>120</v>
      </c>
      <c r="AF20" s="55"/>
      <c r="AG20" s="58"/>
      <c r="AH20" s="56"/>
      <c r="AI20" s="56"/>
      <c r="AJ20" s="56"/>
      <c r="AK20" s="57">
        <v>2022</v>
      </c>
      <c r="AL20" s="58">
        <v>2023</v>
      </c>
      <c r="AM20" s="58">
        <v>2024</v>
      </c>
    </row>
    <row r="21" spans="2:39" x14ac:dyDescent="0.2">
      <c r="B21" s="59" t="s">
        <v>19</v>
      </c>
      <c r="C21" s="81"/>
      <c r="D21" s="82"/>
      <c r="E21" s="60">
        <v>141.602</v>
      </c>
      <c r="F21" s="60">
        <v>203.65400000000002</v>
      </c>
      <c r="G21" s="60">
        <v>197.68800000000002</v>
      </c>
      <c r="H21" s="60">
        <v>195.28300000000002</v>
      </c>
      <c r="I21" s="60">
        <v>13.30000000000004</v>
      </c>
      <c r="J21" s="60">
        <v>16.600000000000001</v>
      </c>
      <c r="K21" s="60">
        <v>21.099999999999994</v>
      </c>
      <c r="L21" s="105">
        <f t="shared" si="1"/>
        <v>30.800000000000026</v>
      </c>
      <c r="O21" s="60">
        <v>129.47699999999998</v>
      </c>
      <c r="P21" s="60">
        <v>124.99600000000001</v>
      </c>
      <c r="Q21" s="60">
        <v>109.09999999999997</v>
      </c>
      <c r="R21" s="60">
        <v>13.30000000000004</v>
      </c>
      <c r="S21" s="60">
        <v>7.6999999999999886</v>
      </c>
      <c r="T21" s="60">
        <v>12.599999999999994</v>
      </c>
      <c r="U21" s="60">
        <v>15.5</v>
      </c>
      <c r="V21" s="60">
        <v>16.600000000000001</v>
      </c>
      <c r="W21" s="60">
        <v>17.299999999999983</v>
      </c>
      <c r="X21" s="60">
        <v>14.2</v>
      </c>
      <c r="Y21" s="60">
        <v>14.700000000000003</v>
      </c>
      <c r="Z21" s="60">
        <v>21.099999999999994</v>
      </c>
      <c r="AA21" s="60">
        <v>27.5</v>
      </c>
      <c r="AB21" s="60">
        <v>25.2</v>
      </c>
      <c r="AC21" s="60">
        <v>30.800000000000026</v>
      </c>
      <c r="AE21" s="53" t="s">
        <v>117</v>
      </c>
      <c r="AK21" s="104">
        <v>78</v>
      </c>
      <c r="AL21" s="104">
        <v>156.69999999999999</v>
      </c>
      <c r="AM21" s="104">
        <v>173.9</v>
      </c>
    </row>
    <row r="22" spans="2:39" x14ac:dyDescent="0.2">
      <c r="B22" s="59" t="s">
        <v>20</v>
      </c>
      <c r="C22" s="81"/>
      <c r="D22" s="82"/>
      <c r="E22" s="60">
        <v>174.761</v>
      </c>
      <c r="F22" s="60">
        <v>169.69399999999999</v>
      </c>
      <c r="G22" s="60">
        <v>206.89500000000001</v>
      </c>
      <c r="H22" s="60">
        <v>173.03100000000001</v>
      </c>
      <c r="I22" s="60">
        <v>157.19999999999999</v>
      </c>
      <c r="J22" s="60">
        <v>129.19999999999999</v>
      </c>
      <c r="K22" s="60">
        <v>118.1</v>
      </c>
      <c r="L22" s="105">
        <f t="shared" si="1"/>
        <v>96.8</v>
      </c>
      <c r="O22" s="60">
        <v>153.87200000000001</v>
      </c>
      <c r="P22" s="60">
        <v>143.94399999999999</v>
      </c>
      <c r="Q22" s="60">
        <v>155.30000000000001</v>
      </c>
      <c r="R22" s="60">
        <v>157.19999999999999</v>
      </c>
      <c r="S22" s="60">
        <v>138.30000000000001</v>
      </c>
      <c r="T22" s="60">
        <v>117.2</v>
      </c>
      <c r="U22" s="60">
        <v>120.6</v>
      </c>
      <c r="V22" s="60">
        <v>129.19999999999999</v>
      </c>
      <c r="W22" s="60">
        <v>94.8</v>
      </c>
      <c r="X22" s="60">
        <v>111.1</v>
      </c>
      <c r="Y22" s="60">
        <v>118.4</v>
      </c>
      <c r="Z22" s="60">
        <v>118.1</v>
      </c>
      <c r="AA22" s="60">
        <v>102.4</v>
      </c>
      <c r="AB22" s="60">
        <v>103.5</v>
      </c>
      <c r="AC22" s="60">
        <v>96.8</v>
      </c>
      <c r="AE22" s="53" t="s">
        <v>118</v>
      </c>
      <c r="AK22" s="107">
        <v>-67.626000000000005</v>
      </c>
      <c r="AL22" s="107">
        <v>-137.30000000000001</v>
      </c>
      <c r="AM22" s="107">
        <v>-146.30000000000001</v>
      </c>
    </row>
    <row r="23" spans="2:39" x14ac:dyDescent="0.2">
      <c r="B23" s="66" t="s">
        <v>21</v>
      </c>
      <c r="C23" s="88"/>
      <c r="D23" s="89"/>
      <c r="E23" s="75">
        <v>2276.346</v>
      </c>
      <c r="F23" s="75">
        <v>2686.3959999999997</v>
      </c>
      <c r="G23" s="75">
        <v>2640.491</v>
      </c>
      <c r="H23" s="75">
        <v>2515.1509999999998</v>
      </c>
      <c r="I23" s="75">
        <v>2219.3000000000002</v>
      </c>
      <c r="J23" s="75">
        <v>2308.8999999999996</v>
      </c>
      <c r="K23" s="75">
        <v>2214.8999999999996</v>
      </c>
      <c r="L23" s="112">
        <f t="shared" si="1"/>
        <v>2190.3000000000006</v>
      </c>
      <c r="O23" s="75">
        <v>2287.38</v>
      </c>
      <c r="P23" s="75">
        <v>2266.6849999999999</v>
      </c>
      <c r="Q23" s="75">
        <v>2230.8000000000002</v>
      </c>
      <c r="R23" s="75">
        <v>2219.3000000000002</v>
      </c>
      <c r="S23" s="75">
        <v>2192.4</v>
      </c>
      <c r="T23" s="75">
        <v>2139.6999999999998</v>
      </c>
      <c r="U23" s="75">
        <v>2293.4</v>
      </c>
      <c r="V23" s="75">
        <v>2308.8999999999996</v>
      </c>
      <c r="W23" s="75">
        <v>2235.7000000000003</v>
      </c>
      <c r="X23" s="75">
        <v>2226.4999999999995</v>
      </c>
      <c r="Y23" s="75">
        <v>2233.4</v>
      </c>
      <c r="Z23" s="75">
        <v>2214.8999999999996</v>
      </c>
      <c r="AA23" s="75">
        <v>2193.4</v>
      </c>
      <c r="AB23" s="75">
        <v>2202.8999999999996</v>
      </c>
      <c r="AC23" s="75">
        <v>2190.3000000000006</v>
      </c>
    </row>
    <row r="24" spans="2:39" x14ac:dyDescent="0.2">
      <c r="B24" s="59"/>
      <c r="C24" s="81"/>
      <c r="D24" s="82"/>
      <c r="E24" s="90"/>
      <c r="F24" s="90"/>
      <c r="G24" s="90"/>
      <c r="H24" s="90"/>
      <c r="I24" s="90"/>
      <c r="J24" s="90"/>
      <c r="K24" s="90"/>
      <c r="L24" s="105">
        <f t="shared" si="1"/>
        <v>0</v>
      </c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</row>
    <row r="25" spans="2:39" x14ac:dyDescent="0.2">
      <c r="B25" s="59" t="s">
        <v>22</v>
      </c>
      <c r="C25" s="81"/>
      <c r="D25" s="82"/>
      <c r="E25" s="90">
        <v>1023.674</v>
      </c>
      <c r="F25" s="90">
        <v>1062.3779999999997</v>
      </c>
      <c r="G25" s="90">
        <v>1197.8670000000002</v>
      </c>
      <c r="H25" s="90">
        <v>1268.1729999999998</v>
      </c>
      <c r="I25" s="90">
        <v>1208.5</v>
      </c>
      <c r="J25" s="90">
        <v>1394</v>
      </c>
      <c r="K25" s="90">
        <v>1403.1</v>
      </c>
      <c r="L25" s="105">
        <f t="shared" si="1"/>
        <v>1431.9</v>
      </c>
      <c r="O25" s="90">
        <v>1245.9960000000001</v>
      </c>
      <c r="P25" s="90">
        <v>1260.28</v>
      </c>
      <c r="Q25" s="90">
        <v>1270.1000000000004</v>
      </c>
      <c r="R25" s="90">
        <v>1208.5</v>
      </c>
      <c r="S25" s="90">
        <v>1205.8</v>
      </c>
      <c r="T25" s="90">
        <v>1210.2</v>
      </c>
      <c r="U25" s="90">
        <v>1381.7</v>
      </c>
      <c r="V25" s="90">
        <v>1394</v>
      </c>
      <c r="W25" s="90">
        <v>1387.2</v>
      </c>
      <c r="X25" s="90">
        <v>1405.8</v>
      </c>
      <c r="Y25" s="90">
        <v>1408.5</v>
      </c>
      <c r="Z25" s="90">
        <v>1403.1</v>
      </c>
      <c r="AA25" s="90">
        <v>1412.8</v>
      </c>
      <c r="AB25" s="90">
        <v>1416.7</v>
      </c>
      <c r="AC25" s="90">
        <v>1431.9</v>
      </c>
    </row>
    <row r="26" spans="2:39" x14ac:dyDescent="0.2">
      <c r="B26" s="59" t="s">
        <v>11</v>
      </c>
      <c r="C26" s="81"/>
      <c r="D26" s="82"/>
      <c r="E26" s="90">
        <v>0</v>
      </c>
      <c r="F26" s="90">
        <v>0</v>
      </c>
      <c r="G26" s="90">
        <v>0.63600000000000001</v>
      </c>
      <c r="H26" s="90">
        <v>0</v>
      </c>
      <c r="I26" s="90">
        <v>0</v>
      </c>
      <c r="J26" s="90">
        <v>0</v>
      </c>
      <c r="K26" s="90">
        <v>0</v>
      </c>
      <c r="L26" s="105">
        <f t="shared" si="1"/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</row>
    <row r="27" spans="2:39" x14ac:dyDescent="0.2">
      <c r="B27" s="66" t="s">
        <v>23</v>
      </c>
      <c r="C27" s="88"/>
      <c r="D27" s="89"/>
      <c r="E27" s="75">
        <v>1023.674</v>
      </c>
      <c r="F27" s="75">
        <v>1062.3779999999997</v>
      </c>
      <c r="G27" s="75">
        <v>1198.5030000000002</v>
      </c>
      <c r="H27" s="75">
        <v>1268.1729999999998</v>
      </c>
      <c r="I27" s="75">
        <v>1208.5</v>
      </c>
      <c r="J27" s="75">
        <v>1394</v>
      </c>
      <c r="K27" s="75">
        <v>1403.1</v>
      </c>
      <c r="L27" s="112">
        <f t="shared" si="1"/>
        <v>1431.9</v>
      </c>
      <c r="O27" s="75">
        <v>1245.9960000000001</v>
      </c>
      <c r="P27" s="75">
        <v>1260.28</v>
      </c>
      <c r="Q27" s="75">
        <v>1270.1000000000004</v>
      </c>
      <c r="R27" s="75">
        <v>1208.5</v>
      </c>
      <c r="S27" s="75">
        <v>1205.8</v>
      </c>
      <c r="T27" s="75">
        <v>1210.2</v>
      </c>
      <c r="U27" s="75">
        <v>1381.7</v>
      </c>
      <c r="V27" s="75">
        <v>1394</v>
      </c>
      <c r="W27" s="75">
        <v>1387.2</v>
      </c>
      <c r="X27" s="75">
        <v>1405.8</v>
      </c>
      <c r="Y27" s="75">
        <v>1408.5</v>
      </c>
      <c r="Z27" s="75">
        <v>1403.1</v>
      </c>
      <c r="AA27" s="75">
        <v>1412.8</v>
      </c>
      <c r="AB27" s="75">
        <v>1416.7</v>
      </c>
      <c r="AC27" s="75">
        <v>1431.9</v>
      </c>
    </row>
    <row r="28" spans="2:39" x14ac:dyDescent="0.2">
      <c r="B28" s="59" t="s">
        <v>24</v>
      </c>
      <c r="C28" s="81"/>
      <c r="D28" s="82"/>
      <c r="E28" s="60">
        <v>311.81900000000002</v>
      </c>
      <c r="F28" s="60">
        <v>1173.8820000000001</v>
      </c>
      <c r="G28" s="60">
        <v>695.79200000000003</v>
      </c>
      <c r="H28" s="60">
        <v>875.35199999999998</v>
      </c>
      <c r="I28" s="60">
        <v>529</v>
      </c>
      <c r="J28" s="60">
        <v>561.79999999999995</v>
      </c>
      <c r="K28" s="60">
        <v>527.29999999999995</v>
      </c>
      <c r="L28" s="105">
        <f t="shared" si="1"/>
        <v>466.9</v>
      </c>
      <c r="O28" s="60">
        <v>726.56700000000001</v>
      </c>
      <c r="P28" s="60">
        <v>681.15</v>
      </c>
      <c r="Q28" s="60">
        <v>661.8</v>
      </c>
      <c r="R28" s="60">
        <v>529</v>
      </c>
      <c r="S28" s="60">
        <v>469.9</v>
      </c>
      <c r="T28" s="60">
        <v>634.20000000000005</v>
      </c>
      <c r="U28" s="60">
        <v>599.79999999999995</v>
      </c>
      <c r="V28" s="60">
        <v>561.79999999999995</v>
      </c>
      <c r="W28" s="60">
        <v>565.1</v>
      </c>
      <c r="X28" s="60">
        <v>558.9</v>
      </c>
      <c r="Y28" s="60">
        <v>546.1</v>
      </c>
      <c r="Z28" s="60">
        <v>527.29999999999995</v>
      </c>
      <c r="AA28" s="60">
        <v>488.8</v>
      </c>
      <c r="AB28" s="60">
        <v>480.3</v>
      </c>
      <c r="AC28" s="60">
        <v>466.9</v>
      </c>
    </row>
    <row r="29" spans="2:39" x14ac:dyDescent="0.2">
      <c r="B29" s="59" t="s">
        <v>25</v>
      </c>
      <c r="C29" s="81"/>
      <c r="D29" s="82"/>
      <c r="E29" s="60">
        <v>10.302999999999997</v>
      </c>
      <c r="F29" s="60">
        <v>57.847999999999956</v>
      </c>
      <c r="G29" s="60">
        <v>64.132999999999925</v>
      </c>
      <c r="H29" s="60">
        <v>53.845000000000027</v>
      </c>
      <c r="I29" s="60">
        <v>45.1</v>
      </c>
      <c r="J29" s="60">
        <v>40.5</v>
      </c>
      <c r="K29" s="60">
        <v>28.400000000000091</v>
      </c>
      <c r="L29" s="105">
        <f t="shared" si="1"/>
        <v>27.200000000000045</v>
      </c>
      <c r="O29" s="60">
        <v>40.571000000000026</v>
      </c>
      <c r="P29" s="60">
        <v>47.21</v>
      </c>
      <c r="Q29" s="60">
        <v>41.300000000000004</v>
      </c>
      <c r="R29" s="60">
        <v>45.1</v>
      </c>
      <c r="S29" s="60">
        <v>38.5</v>
      </c>
      <c r="T29" s="60">
        <v>36.199999999999932</v>
      </c>
      <c r="U29" s="60">
        <v>30.3</v>
      </c>
      <c r="V29" s="60">
        <v>40.5</v>
      </c>
      <c r="W29" s="60">
        <v>34.699999999999932</v>
      </c>
      <c r="X29" s="60">
        <v>33.899999999999977</v>
      </c>
      <c r="Y29" s="60">
        <v>33</v>
      </c>
      <c r="Z29" s="60">
        <v>28.400000000000091</v>
      </c>
      <c r="AA29" s="60">
        <v>28.999999999999943</v>
      </c>
      <c r="AB29" s="60">
        <v>27.7</v>
      </c>
      <c r="AC29" s="60">
        <v>27.200000000000045</v>
      </c>
    </row>
    <row r="30" spans="2:39" x14ac:dyDescent="0.2">
      <c r="B30" s="59" t="s">
        <v>26</v>
      </c>
      <c r="C30" s="81"/>
      <c r="D30" s="82"/>
      <c r="E30" s="60">
        <v>782.98</v>
      </c>
      <c r="F30" s="60">
        <v>216.58099999999999</v>
      </c>
      <c r="G30" s="60">
        <v>515.79899999999998</v>
      </c>
      <c r="H30" s="60">
        <v>161.05799999999999</v>
      </c>
      <c r="I30" s="60">
        <v>313.5</v>
      </c>
      <c r="J30" s="60">
        <v>149.6</v>
      </c>
      <c r="K30" s="60">
        <v>95</v>
      </c>
      <c r="L30" s="105">
        <f t="shared" si="1"/>
        <v>88.6</v>
      </c>
      <c r="O30" s="60">
        <v>140.595</v>
      </c>
      <c r="P30" s="60">
        <v>139.982</v>
      </c>
      <c r="Q30" s="60">
        <v>140.80000000000001</v>
      </c>
      <c r="R30" s="60">
        <v>313.5</v>
      </c>
      <c r="S30" s="60">
        <v>355</v>
      </c>
      <c r="T30" s="60">
        <v>128.4</v>
      </c>
      <c r="U30" s="60">
        <v>141.1</v>
      </c>
      <c r="V30" s="60">
        <v>149.6</v>
      </c>
      <c r="W30" s="60">
        <v>104.9</v>
      </c>
      <c r="X30" s="60">
        <v>95.7</v>
      </c>
      <c r="Y30" s="60">
        <v>104.7</v>
      </c>
      <c r="Z30" s="60">
        <v>95</v>
      </c>
      <c r="AA30" s="60">
        <v>88.2</v>
      </c>
      <c r="AB30" s="60">
        <v>81.400000000000006</v>
      </c>
      <c r="AC30" s="60">
        <v>88.6</v>
      </c>
      <c r="AM30" s="104"/>
    </row>
    <row r="31" spans="2:39" x14ac:dyDescent="0.2">
      <c r="B31" s="59" t="s">
        <v>27</v>
      </c>
      <c r="C31" s="81"/>
      <c r="D31" s="82"/>
      <c r="E31" s="60">
        <v>0</v>
      </c>
      <c r="F31" s="60">
        <v>0</v>
      </c>
      <c r="G31" s="60">
        <v>0</v>
      </c>
      <c r="H31" s="60">
        <v>0</v>
      </c>
      <c r="I31" s="60">
        <v>49.2</v>
      </c>
      <c r="J31" s="60">
        <v>71</v>
      </c>
      <c r="K31" s="60">
        <v>79.599999999999994</v>
      </c>
      <c r="L31" s="105">
        <f t="shared" si="1"/>
        <v>32.6</v>
      </c>
      <c r="O31" s="60">
        <v>0</v>
      </c>
      <c r="P31" s="60">
        <v>0</v>
      </c>
      <c r="Q31" s="60">
        <v>0</v>
      </c>
      <c r="R31" s="60">
        <v>49.2</v>
      </c>
      <c r="S31" s="60">
        <v>43.6</v>
      </c>
      <c r="T31" s="60">
        <v>38.1</v>
      </c>
      <c r="U31" s="60">
        <v>48.1</v>
      </c>
      <c r="V31" s="60">
        <v>71</v>
      </c>
      <c r="W31" s="60">
        <v>65.7</v>
      </c>
      <c r="X31" s="60">
        <v>60.1</v>
      </c>
      <c r="Y31" s="60">
        <v>74</v>
      </c>
      <c r="Z31" s="60">
        <v>79.599999999999994</v>
      </c>
      <c r="AA31" s="60">
        <v>39.200000000000003</v>
      </c>
      <c r="AB31" s="60">
        <v>40.9</v>
      </c>
      <c r="AC31" s="60">
        <v>32.6</v>
      </c>
    </row>
    <row r="32" spans="2:39" x14ac:dyDescent="0.2">
      <c r="B32" s="59" t="s">
        <v>28</v>
      </c>
      <c r="C32" s="81"/>
      <c r="D32" s="82"/>
      <c r="E32" s="60">
        <v>147.56999999999994</v>
      </c>
      <c r="F32" s="60">
        <v>175.70700000000002</v>
      </c>
      <c r="G32" s="60">
        <v>166.26400000000001</v>
      </c>
      <c r="H32" s="60">
        <v>156.72300000000001</v>
      </c>
      <c r="I32" s="60">
        <v>74</v>
      </c>
      <c r="J32" s="60">
        <v>91.9</v>
      </c>
      <c r="K32" s="60">
        <v>81.500000000000028</v>
      </c>
      <c r="L32" s="105">
        <f t="shared" si="1"/>
        <v>143.10000000000002</v>
      </c>
      <c r="O32" s="60">
        <v>133.65099999999998</v>
      </c>
      <c r="P32" s="60">
        <v>138.06300000000002</v>
      </c>
      <c r="Q32" s="60">
        <v>116.80000000000001</v>
      </c>
      <c r="R32" s="60">
        <v>74</v>
      </c>
      <c r="S32" s="60">
        <v>79.599999999999966</v>
      </c>
      <c r="T32" s="60">
        <v>92.600000000000023</v>
      </c>
      <c r="U32" s="60">
        <v>92.400000000000034</v>
      </c>
      <c r="V32" s="60">
        <v>91.9</v>
      </c>
      <c r="W32" s="60">
        <v>78.200000000000017</v>
      </c>
      <c r="X32" s="60">
        <v>72.100000000000009</v>
      </c>
      <c r="Y32" s="60">
        <v>66.999999999999986</v>
      </c>
      <c r="Z32" s="60">
        <v>81.500000000000028</v>
      </c>
      <c r="AA32" s="60">
        <v>135.40000000000003</v>
      </c>
      <c r="AB32" s="60">
        <v>156</v>
      </c>
      <c r="AC32" s="60">
        <v>143.10000000000002</v>
      </c>
      <c r="AL32" s="105"/>
      <c r="AM32" s="105"/>
    </row>
    <row r="33" spans="2:39" x14ac:dyDescent="0.2">
      <c r="B33" s="66" t="s">
        <v>29</v>
      </c>
      <c r="C33" s="91"/>
      <c r="D33" s="89"/>
      <c r="E33" s="75">
        <v>1252.672</v>
      </c>
      <c r="F33" s="75">
        <v>1624.018</v>
      </c>
      <c r="G33" s="75">
        <v>1441.9879999999998</v>
      </c>
      <c r="H33" s="75">
        <v>1246.9780000000001</v>
      </c>
      <c r="I33" s="75">
        <v>1010.8000000000001</v>
      </c>
      <c r="J33" s="75">
        <v>914.8</v>
      </c>
      <c r="K33" s="75">
        <v>811.80000000000007</v>
      </c>
      <c r="L33" s="112">
        <f t="shared" si="1"/>
        <v>758.40000000000009</v>
      </c>
      <c r="O33" s="75">
        <v>1041.384</v>
      </c>
      <c r="P33" s="75">
        <v>1006.405</v>
      </c>
      <c r="Q33" s="75">
        <v>960.69999999999982</v>
      </c>
      <c r="R33" s="75">
        <v>1010.8000000000001</v>
      </c>
      <c r="S33" s="75">
        <v>986.59999999999991</v>
      </c>
      <c r="T33" s="75">
        <v>929.5</v>
      </c>
      <c r="U33" s="75">
        <v>911.7</v>
      </c>
      <c r="V33" s="75">
        <v>914.8</v>
      </c>
      <c r="W33" s="75">
        <v>848.6</v>
      </c>
      <c r="X33" s="75">
        <v>820.7</v>
      </c>
      <c r="Y33" s="75">
        <v>824.80000000000007</v>
      </c>
      <c r="Z33" s="75">
        <v>811.80000000000007</v>
      </c>
      <c r="AA33" s="75">
        <v>780.60000000000014</v>
      </c>
      <c r="AB33" s="75">
        <v>786.3</v>
      </c>
      <c r="AC33" s="75">
        <v>758.40000000000009</v>
      </c>
    </row>
    <row r="34" spans="2:39" x14ac:dyDescent="0.2">
      <c r="B34" s="66" t="s">
        <v>30</v>
      </c>
      <c r="C34" s="88"/>
      <c r="D34" s="89"/>
      <c r="E34" s="75">
        <v>2276.346</v>
      </c>
      <c r="F34" s="75">
        <v>2686.3959999999997</v>
      </c>
      <c r="G34" s="75">
        <v>2640.491</v>
      </c>
      <c r="H34" s="75">
        <v>2515.1509999999998</v>
      </c>
      <c r="I34" s="75">
        <v>2219.3000000000002</v>
      </c>
      <c r="J34" s="75">
        <v>2308.8000000000002</v>
      </c>
      <c r="K34" s="75">
        <v>2214.9</v>
      </c>
      <c r="L34" s="112">
        <f t="shared" si="1"/>
        <v>2190.3000000000002</v>
      </c>
      <c r="O34" s="75">
        <v>2287.38</v>
      </c>
      <c r="P34" s="75">
        <v>2266.6849999999999</v>
      </c>
      <c r="Q34" s="75">
        <v>2230.8000000000002</v>
      </c>
      <c r="R34" s="75">
        <v>2219.3000000000002</v>
      </c>
      <c r="S34" s="75">
        <v>2192.3999999999996</v>
      </c>
      <c r="T34" s="75">
        <v>2139.6999999999998</v>
      </c>
      <c r="U34" s="75">
        <v>2293.4</v>
      </c>
      <c r="V34" s="75">
        <v>2308.8000000000002</v>
      </c>
      <c r="W34" s="75">
        <v>2235.8000000000002</v>
      </c>
      <c r="X34" s="75">
        <v>2226.5</v>
      </c>
      <c r="Y34" s="75">
        <v>2233.3000000000002</v>
      </c>
      <c r="Z34" s="75">
        <v>2214.9</v>
      </c>
      <c r="AA34" s="75">
        <v>2193.4</v>
      </c>
      <c r="AB34" s="75">
        <v>2203</v>
      </c>
      <c r="AC34" s="75">
        <v>2190.3000000000002</v>
      </c>
    </row>
    <row r="35" spans="2:39" x14ac:dyDescent="0.2">
      <c r="B35" s="59" t="s">
        <v>31</v>
      </c>
      <c r="C35" s="81"/>
      <c r="D35" s="92"/>
      <c r="E35" s="60">
        <v>1094.799</v>
      </c>
      <c r="F35" s="60">
        <v>1390.463</v>
      </c>
      <c r="G35" s="60">
        <v>1211.5909999999999</v>
      </c>
      <c r="H35" s="60">
        <v>1036.4099999999999</v>
      </c>
      <c r="I35" s="60">
        <v>842.5</v>
      </c>
      <c r="J35" s="60">
        <v>711.4</v>
      </c>
      <c r="K35" s="60">
        <v>622.29999999999995</v>
      </c>
      <c r="L35" s="105">
        <f t="shared" si="1"/>
        <v>555.5</v>
      </c>
      <c r="O35" s="60">
        <v>867.16200000000003</v>
      </c>
      <c r="P35" s="60">
        <v>821.13199999999995</v>
      </c>
      <c r="Q35" s="60">
        <v>802.59999999999991</v>
      </c>
      <c r="R35" s="60">
        <v>842.5</v>
      </c>
      <c r="S35" s="60">
        <v>824.9</v>
      </c>
      <c r="T35" s="60">
        <v>762.6</v>
      </c>
      <c r="U35" s="60">
        <v>740.9</v>
      </c>
      <c r="V35" s="60">
        <v>711.4</v>
      </c>
      <c r="W35" s="60">
        <v>670</v>
      </c>
      <c r="X35" s="60">
        <v>654.6</v>
      </c>
      <c r="Y35" s="60">
        <v>650.80000000000007</v>
      </c>
      <c r="Z35" s="60">
        <v>622.29999999999995</v>
      </c>
      <c r="AA35" s="60">
        <v>577</v>
      </c>
      <c r="AB35" s="60">
        <v>561.70000000000005</v>
      </c>
      <c r="AC35" s="60">
        <v>555.5</v>
      </c>
    </row>
    <row r="36" spans="2:39" x14ac:dyDescent="0.2">
      <c r="B36" s="59"/>
      <c r="C36" s="81"/>
      <c r="D36" s="82"/>
      <c r="E36" s="90"/>
      <c r="F36" s="90"/>
      <c r="G36" s="90"/>
      <c r="H36" s="90"/>
      <c r="I36" s="90"/>
      <c r="J36" s="90"/>
      <c r="K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</row>
    <row r="37" spans="2:39" x14ac:dyDescent="0.2">
      <c r="B37" s="59"/>
      <c r="C37" s="81"/>
      <c r="D37" s="82"/>
      <c r="E37" s="90"/>
      <c r="F37" s="90"/>
      <c r="G37" s="90"/>
      <c r="H37" s="90"/>
      <c r="I37" s="90"/>
      <c r="J37" s="90"/>
      <c r="K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</row>
    <row r="38" spans="2:39" ht="10.8" thickBot="1" x14ac:dyDescent="0.25">
      <c r="B38" s="79" t="s">
        <v>32</v>
      </c>
      <c r="C38" s="80"/>
      <c r="D38" s="51"/>
      <c r="E38" s="52">
        <v>2018</v>
      </c>
      <c r="F38" s="52">
        <v>2019</v>
      </c>
      <c r="G38" s="52">
        <v>2020</v>
      </c>
      <c r="H38" s="52">
        <v>2021</v>
      </c>
      <c r="I38" s="52">
        <v>2022</v>
      </c>
      <c r="J38" s="52">
        <v>2023</v>
      </c>
      <c r="K38" s="52">
        <v>2024</v>
      </c>
      <c r="L38" s="52" t="s">
        <v>13</v>
      </c>
      <c r="O38" s="52" t="s">
        <v>80</v>
      </c>
      <c r="P38" s="52" t="s">
        <v>81</v>
      </c>
      <c r="Q38" s="52" t="s">
        <v>82</v>
      </c>
      <c r="R38" s="52" t="s">
        <v>83</v>
      </c>
      <c r="S38" s="52" t="s">
        <v>84</v>
      </c>
      <c r="T38" s="52" t="s">
        <v>85</v>
      </c>
      <c r="U38" s="52" t="s">
        <v>86</v>
      </c>
      <c r="V38" s="52" t="s">
        <v>87</v>
      </c>
      <c r="W38" s="52" t="s">
        <v>88</v>
      </c>
      <c r="X38" s="52" t="s">
        <v>89</v>
      </c>
      <c r="Y38" s="52" t="s">
        <v>90</v>
      </c>
      <c r="Z38" s="52" t="s">
        <v>91</v>
      </c>
      <c r="AA38" s="52" t="s">
        <v>92</v>
      </c>
      <c r="AB38" s="52" t="s">
        <v>93</v>
      </c>
      <c r="AC38" s="52" t="s">
        <v>94</v>
      </c>
    </row>
    <row r="39" spans="2:39" x14ac:dyDescent="0.2">
      <c r="B39" s="59" t="s">
        <v>9</v>
      </c>
      <c r="C39" s="81"/>
      <c r="D39" s="82"/>
      <c r="E39" s="90">
        <v>31.138999999999996</v>
      </c>
      <c r="F39" s="90">
        <v>43.804999999999971</v>
      </c>
      <c r="G39" s="90">
        <v>145.64340000000001</v>
      </c>
      <c r="H39" s="90">
        <v>77.691999999999993</v>
      </c>
      <c r="I39" s="90">
        <v>88.235000000000014</v>
      </c>
      <c r="J39" s="90">
        <v>222.4</v>
      </c>
      <c r="K39" s="90">
        <v>78.400000000000006</v>
      </c>
      <c r="L39" s="90">
        <f t="shared" ref="L39:L59" si="2">+SUM(AA39:AC39)</f>
        <v>142.10000000000002</v>
      </c>
      <c r="O39" s="90">
        <v>21.801000000000002</v>
      </c>
      <c r="P39" s="90">
        <v>23.434000000000005</v>
      </c>
      <c r="Q39" s="90">
        <v>12.200000000000003</v>
      </c>
      <c r="R39" s="90">
        <v>30.799999999999997</v>
      </c>
      <c r="S39" s="90">
        <v>4.0000000000000036</v>
      </c>
      <c r="T39" s="90">
        <v>12.999999999999996</v>
      </c>
      <c r="U39" s="90">
        <v>186.5</v>
      </c>
      <c r="V39" s="90">
        <v>18.899999999999999</v>
      </c>
      <c r="W39" s="90">
        <v>17.099999999999998</v>
      </c>
      <c r="X39" s="90">
        <v>19.600000000000005</v>
      </c>
      <c r="Y39" s="90">
        <v>21.700000000000006</v>
      </c>
      <c r="Z39" s="90">
        <v>19.999999999999996</v>
      </c>
      <c r="AA39" s="90">
        <v>36.000000000000014</v>
      </c>
      <c r="AB39" s="90">
        <v>46.1</v>
      </c>
      <c r="AC39" s="90">
        <v>59.999999999999986</v>
      </c>
    </row>
    <row r="40" spans="2:39" x14ac:dyDescent="0.2">
      <c r="B40" s="59" t="s">
        <v>33</v>
      </c>
      <c r="C40" s="81"/>
      <c r="D40" s="93"/>
      <c r="E40" s="60">
        <v>-3.7890000000000001</v>
      </c>
      <c r="F40" s="60">
        <v>-2.9849999999999999</v>
      </c>
      <c r="G40" s="60">
        <v>-2.3390000000000004</v>
      </c>
      <c r="H40" s="60">
        <v>-3.839</v>
      </c>
      <c r="I40" s="60">
        <v>-5.3659999999999997</v>
      </c>
      <c r="J40" s="60">
        <v>-0.29999999999999982</v>
      </c>
      <c r="K40" s="60">
        <v>-13.7</v>
      </c>
      <c r="L40" s="60">
        <f t="shared" si="2"/>
        <v>-14.7</v>
      </c>
      <c r="O40" s="60">
        <v>-1.216</v>
      </c>
      <c r="P40" s="60">
        <v>-1.55</v>
      </c>
      <c r="Q40" s="60">
        <v>-0.5</v>
      </c>
      <c r="R40" s="60">
        <v>-2.1</v>
      </c>
      <c r="S40" s="60">
        <v>-2</v>
      </c>
      <c r="T40" s="60">
        <v>-1.6</v>
      </c>
      <c r="U40" s="60">
        <v>-2.1</v>
      </c>
      <c r="V40" s="60">
        <v>5.4</v>
      </c>
      <c r="W40" s="60">
        <v>-3.3</v>
      </c>
      <c r="X40" s="60">
        <v>-3.3</v>
      </c>
      <c r="Y40" s="60">
        <v>-2.6</v>
      </c>
      <c r="Z40" s="60">
        <v>-4.5</v>
      </c>
      <c r="AA40" s="60">
        <v>-5.3</v>
      </c>
      <c r="AB40" s="60">
        <v>-4.4000000000000004</v>
      </c>
      <c r="AC40" s="60">
        <v>-5</v>
      </c>
      <c r="AM40" s="105"/>
    </row>
    <row r="41" spans="2:39" x14ac:dyDescent="0.2">
      <c r="B41" s="59" t="s">
        <v>4</v>
      </c>
      <c r="C41" s="81"/>
      <c r="D41" s="82"/>
      <c r="E41" s="90">
        <v>160.63</v>
      </c>
      <c r="F41" s="90">
        <v>185.19299999999998</v>
      </c>
      <c r="G41" s="90">
        <v>203.96299999999999</v>
      </c>
      <c r="H41" s="90">
        <v>181.94</v>
      </c>
      <c r="I41" s="90">
        <v>171.44900000000001</v>
      </c>
      <c r="J41" s="90">
        <v>22.100000000000009</v>
      </c>
      <c r="K41" s="90">
        <v>195</v>
      </c>
      <c r="L41" s="90">
        <f t="shared" si="2"/>
        <v>135.69999999999999</v>
      </c>
      <c r="O41" s="90">
        <v>40.658000000000001</v>
      </c>
      <c r="P41" s="90">
        <v>42.691000000000003</v>
      </c>
      <c r="Q41" s="90">
        <v>44.1</v>
      </c>
      <c r="R41" s="90">
        <v>44.000000000000007</v>
      </c>
      <c r="S41" s="90">
        <v>45.2</v>
      </c>
      <c r="T41" s="90">
        <v>45.5</v>
      </c>
      <c r="U41" s="90">
        <v>-117.3</v>
      </c>
      <c r="V41" s="90">
        <v>48.7</v>
      </c>
      <c r="W41" s="90">
        <v>48.1</v>
      </c>
      <c r="X41" s="90">
        <v>42.4</v>
      </c>
      <c r="Y41" s="90">
        <v>45.8</v>
      </c>
      <c r="Z41" s="90">
        <v>58.7</v>
      </c>
      <c r="AA41" s="90">
        <v>45.3</v>
      </c>
      <c r="AB41" s="90">
        <v>45.7</v>
      </c>
      <c r="AC41" s="90">
        <v>44.7</v>
      </c>
      <c r="AM41" s="105"/>
    </row>
    <row r="42" spans="2:39" x14ac:dyDescent="0.2">
      <c r="B42" s="59" t="s">
        <v>5</v>
      </c>
      <c r="C42" s="81"/>
      <c r="D42" s="93"/>
      <c r="E42" s="60">
        <v>0</v>
      </c>
      <c r="F42" s="60">
        <v>0</v>
      </c>
      <c r="G42" s="60">
        <v>0</v>
      </c>
      <c r="H42" s="60">
        <v>0.436</v>
      </c>
      <c r="I42" s="60">
        <v>0</v>
      </c>
      <c r="J42" s="60">
        <v>0</v>
      </c>
      <c r="K42" s="60">
        <v>0</v>
      </c>
      <c r="L42" s="60">
        <f t="shared" si="2"/>
        <v>0</v>
      </c>
      <c r="O42" s="60">
        <v>0</v>
      </c>
      <c r="P42" s="60">
        <v>0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</row>
    <row r="43" spans="2:39" x14ac:dyDescent="0.2">
      <c r="B43" s="59" t="s">
        <v>34</v>
      </c>
      <c r="C43" s="81"/>
      <c r="D43" s="94"/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f t="shared" si="2"/>
        <v>0</v>
      </c>
      <c r="O43" s="60">
        <v>0</v>
      </c>
      <c r="P43" s="60">
        <v>0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</row>
    <row r="44" spans="2:39" x14ac:dyDescent="0.2">
      <c r="B44" s="59" t="s">
        <v>35</v>
      </c>
      <c r="C44" s="81"/>
      <c r="D44" s="94"/>
      <c r="E44" s="60">
        <v>-12.12999999999996</v>
      </c>
      <c r="F44" s="60">
        <v>6.2209999999999752</v>
      </c>
      <c r="G44" s="60">
        <v>1.9525999999999755</v>
      </c>
      <c r="H44" s="60">
        <v>7.4080000000000084</v>
      </c>
      <c r="I44" s="60" t="s">
        <v>95</v>
      </c>
      <c r="J44" s="60">
        <v>39.499999999999979</v>
      </c>
      <c r="K44" s="60">
        <v>12.599999999999987</v>
      </c>
      <c r="L44" s="60">
        <f t="shared" si="2"/>
        <v>48.300000000000011</v>
      </c>
      <c r="O44" s="60">
        <v>-40.81900000000001</v>
      </c>
      <c r="P44" s="60">
        <v>-15.675000000000004</v>
      </c>
      <c r="Q44" s="60">
        <v>13.966999999999963</v>
      </c>
      <c r="R44" s="60">
        <v>-7.3000000000000114</v>
      </c>
      <c r="S44" s="60">
        <v>23.799999999999997</v>
      </c>
      <c r="T44" s="60">
        <v>0.80000000000000426</v>
      </c>
      <c r="U44" s="60">
        <v>20.799999999999983</v>
      </c>
      <c r="V44" s="60">
        <v>-5.9000000000000057</v>
      </c>
      <c r="W44" s="60">
        <v>9.5000000000000071</v>
      </c>
      <c r="X44" s="60">
        <v>-1.5</v>
      </c>
      <c r="Y44" s="60">
        <v>11.699999999999989</v>
      </c>
      <c r="Z44" s="60">
        <v>-7.1000000000000085</v>
      </c>
      <c r="AA44" s="60">
        <v>14.299999999999997</v>
      </c>
      <c r="AB44" s="60">
        <v>21.599999999999994</v>
      </c>
      <c r="AC44" s="60">
        <v>12.40000000000002</v>
      </c>
    </row>
    <row r="45" spans="2:39" x14ac:dyDescent="0.2">
      <c r="B45" s="66" t="s">
        <v>36</v>
      </c>
      <c r="C45" s="88"/>
      <c r="D45" s="89"/>
      <c r="E45" s="75">
        <v>175.85000000000002</v>
      </c>
      <c r="F45" s="75">
        <v>232.23399999999992</v>
      </c>
      <c r="G45" s="75">
        <v>349.21999999999997</v>
      </c>
      <c r="H45" s="75">
        <v>263.637</v>
      </c>
      <c r="I45" s="75">
        <v>204.49099999999993</v>
      </c>
      <c r="J45" s="75">
        <v>283.69999999999993</v>
      </c>
      <c r="K45" s="75">
        <v>272.3</v>
      </c>
      <c r="L45" s="75">
        <f t="shared" si="2"/>
        <v>311.40000000000003</v>
      </c>
      <c r="O45" s="75">
        <v>20.423999999999992</v>
      </c>
      <c r="P45" s="75">
        <v>48.9</v>
      </c>
      <c r="Q45" s="75">
        <v>69.766999999999967</v>
      </c>
      <c r="R45" s="75">
        <v>65.399999999999991</v>
      </c>
      <c r="S45" s="75">
        <v>71</v>
      </c>
      <c r="T45" s="75">
        <v>57.7</v>
      </c>
      <c r="U45" s="75">
        <v>87.899999999999991</v>
      </c>
      <c r="V45" s="75">
        <v>67.099999999999994</v>
      </c>
      <c r="W45" s="75">
        <v>71.400000000000006</v>
      </c>
      <c r="X45" s="75">
        <v>57.2</v>
      </c>
      <c r="Y45" s="75">
        <v>76.599999999999994</v>
      </c>
      <c r="Z45" s="75">
        <v>67.099999999999994</v>
      </c>
      <c r="AA45" s="75">
        <v>90.300000000000011</v>
      </c>
      <c r="AB45" s="75">
        <v>109</v>
      </c>
      <c r="AC45" s="75">
        <v>112.10000000000001</v>
      </c>
    </row>
    <row r="46" spans="2:39" x14ac:dyDescent="0.2">
      <c r="B46" s="59" t="s">
        <v>37</v>
      </c>
      <c r="C46" s="81"/>
      <c r="D46" s="93"/>
      <c r="E46" s="60">
        <v>44.680999999999955</v>
      </c>
      <c r="F46" s="60">
        <v>-33.914999999999935</v>
      </c>
      <c r="G46" s="60">
        <v>-3.4770000000000039</v>
      </c>
      <c r="H46" s="60">
        <v>-7.1359999999999957</v>
      </c>
      <c r="I46" s="60">
        <v>58.460000000000051</v>
      </c>
      <c r="J46" s="60">
        <v>-19</v>
      </c>
      <c r="K46" s="60">
        <v>15.3</v>
      </c>
      <c r="L46" s="60">
        <f t="shared" si="2"/>
        <v>0</v>
      </c>
      <c r="O46" s="60">
        <v>42.734000000000009</v>
      </c>
      <c r="P46" s="60">
        <v>8.8930000000000007</v>
      </c>
      <c r="Q46" s="60">
        <v>-5.3669999999999618</v>
      </c>
      <c r="R46" s="60">
        <v>12.2</v>
      </c>
      <c r="S46" s="60">
        <v>-14.6</v>
      </c>
      <c r="T46" s="60">
        <v>7.8</v>
      </c>
      <c r="U46" s="60">
        <v>-11.6</v>
      </c>
      <c r="V46" s="60">
        <v>-0.6</v>
      </c>
      <c r="W46" s="60">
        <v>-8.1999999999999993</v>
      </c>
      <c r="X46" s="60">
        <v>14.3</v>
      </c>
      <c r="Y46" s="60">
        <v>-8.8000000000000007</v>
      </c>
      <c r="Z46" s="60">
        <v>18</v>
      </c>
      <c r="AA46" s="60">
        <v>4.0999999999999996</v>
      </c>
      <c r="AB46" s="60">
        <v>18.100000000000001</v>
      </c>
      <c r="AC46" s="60">
        <v>-22.2</v>
      </c>
    </row>
    <row r="47" spans="2:39" x14ac:dyDescent="0.2">
      <c r="B47" s="66" t="s">
        <v>38</v>
      </c>
      <c r="C47" s="88"/>
      <c r="D47" s="89"/>
      <c r="E47" s="75">
        <v>220.53099999999998</v>
      </c>
      <c r="F47" s="75">
        <v>198.31899999999999</v>
      </c>
      <c r="G47" s="75">
        <v>345.74299999999994</v>
      </c>
      <c r="H47" s="75">
        <v>256.50099999999998</v>
      </c>
      <c r="I47" s="75">
        <v>262.95100000000002</v>
      </c>
      <c r="J47" s="75">
        <v>264.7</v>
      </c>
      <c r="K47" s="75">
        <v>287.60000000000002</v>
      </c>
      <c r="L47" s="75">
        <f t="shared" si="2"/>
        <v>311.39999999999998</v>
      </c>
      <c r="O47" s="75">
        <v>63.158000000000001</v>
      </c>
      <c r="P47" s="75">
        <v>57.792999999999999</v>
      </c>
      <c r="Q47" s="75">
        <v>64.400000000000006</v>
      </c>
      <c r="R47" s="75">
        <v>77.599999999999994</v>
      </c>
      <c r="S47" s="75">
        <v>56.4</v>
      </c>
      <c r="T47" s="75">
        <v>65.5</v>
      </c>
      <c r="U47" s="75">
        <v>76.3</v>
      </c>
      <c r="V47" s="75">
        <v>66.5</v>
      </c>
      <c r="W47" s="75">
        <v>63.2</v>
      </c>
      <c r="X47" s="75">
        <v>71.5</v>
      </c>
      <c r="Y47" s="75">
        <v>67.8</v>
      </c>
      <c r="Z47" s="75">
        <v>85.1</v>
      </c>
      <c r="AA47" s="75">
        <v>94.4</v>
      </c>
      <c r="AB47" s="75">
        <v>127.1</v>
      </c>
      <c r="AC47" s="75">
        <v>89.9</v>
      </c>
    </row>
    <row r="48" spans="2:39" x14ac:dyDescent="0.2">
      <c r="B48" s="59"/>
      <c r="C48" s="81"/>
      <c r="D48" s="93"/>
      <c r="E48" s="60"/>
      <c r="F48" s="60"/>
      <c r="G48" s="60"/>
      <c r="H48" s="60"/>
      <c r="I48" s="60"/>
      <c r="J48" s="60"/>
      <c r="K48" s="60"/>
      <c r="L48" s="60">
        <f t="shared" si="2"/>
        <v>0</v>
      </c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 spans="2:29" x14ac:dyDescent="0.2">
      <c r="B49" s="59" t="s">
        <v>39</v>
      </c>
      <c r="C49" s="81"/>
      <c r="D49" s="93"/>
      <c r="E49" s="60">
        <v>-59.087999999999994</v>
      </c>
      <c r="F49" s="60">
        <v>-59.955999999999968</v>
      </c>
      <c r="G49" s="60">
        <v>-114.047</v>
      </c>
      <c r="H49" s="60">
        <v>-97.834000000000003</v>
      </c>
      <c r="I49" s="60">
        <v>-60.296000000000006</v>
      </c>
      <c r="J49" s="60">
        <v>-66.2</v>
      </c>
      <c r="K49" s="60">
        <v>-132</v>
      </c>
      <c r="L49" s="60">
        <f t="shared" si="2"/>
        <v>-116.3</v>
      </c>
      <c r="O49" s="60">
        <v>-16.673999999999999</v>
      </c>
      <c r="P49" s="60">
        <v>-6.3220000000000001</v>
      </c>
      <c r="Q49" s="60">
        <v>-17.100000000000001</v>
      </c>
      <c r="R49" s="60">
        <v>-20.2</v>
      </c>
      <c r="S49" s="60">
        <v>-13.9</v>
      </c>
      <c r="T49" s="60">
        <v>-20.7</v>
      </c>
      <c r="U49" s="60">
        <v>-17.5</v>
      </c>
      <c r="V49" s="60">
        <v>-14.1</v>
      </c>
      <c r="W49" s="60">
        <v>-26.6</v>
      </c>
      <c r="X49" s="60">
        <v>-29.9</v>
      </c>
      <c r="Y49" s="60">
        <v>-30.8</v>
      </c>
      <c r="Z49" s="60">
        <v>-44.7</v>
      </c>
      <c r="AA49" s="60">
        <v>-26.9</v>
      </c>
      <c r="AB49" s="60">
        <v>-52.1</v>
      </c>
      <c r="AC49" s="60">
        <v>-37.299999999999997</v>
      </c>
    </row>
    <row r="50" spans="2:29" x14ac:dyDescent="0.2">
      <c r="B50" s="59" t="s">
        <v>40</v>
      </c>
      <c r="C50" s="81"/>
      <c r="D50" s="93"/>
      <c r="E50" s="60">
        <v>-236.57599999999999</v>
      </c>
      <c r="F50" s="60">
        <v>-365.09800000000001</v>
      </c>
      <c r="G50" s="60">
        <v>0</v>
      </c>
      <c r="H50" s="60">
        <v>0</v>
      </c>
      <c r="I50" s="60">
        <v>-49.67</v>
      </c>
      <c r="J50" s="60">
        <v>0</v>
      </c>
      <c r="K50" s="60">
        <v>0</v>
      </c>
      <c r="L50" s="60">
        <f t="shared" si="2"/>
        <v>0</v>
      </c>
      <c r="O50" s="60">
        <v>-49.67</v>
      </c>
      <c r="P50" s="60">
        <v>0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</row>
    <row r="51" spans="2:29" x14ac:dyDescent="0.2">
      <c r="B51" s="59" t="s">
        <v>41</v>
      </c>
      <c r="C51" s="81"/>
      <c r="D51" s="93"/>
      <c r="E51" s="60">
        <v>2.1740000000000084</v>
      </c>
      <c r="F51" s="60">
        <v>-3.192999999999973</v>
      </c>
      <c r="G51" s="60">
        <v>0.92399999999999949</v>
      </c>
      <c r="H51" s="60">
        <v>0.43800000000000239</v>
      </c>
      <c r="I51" s="60">
        <v>-1.022000000000002</v>
      </c>
      <c r="J51" s="60">
        <v>-19.600000000000005</v>
      </c>
      <c r="K51" s="60">
        <v>1.7000000000000028</v>
      </c>
      <c r="L51" s="60">
        <f t="shared" si="2"/>
        <v>0</v>
      </c>
      <c r="O51" s="60">
        <v>-1.1219999999999999</v>
      </c>
      <c r="P51" s="60">
        <v>0</v>
      </c>
      <c r="Q51" s="60">
        <v>0</v>
      </c>
      <c r="R51" s="60">
        <v>9.9999999999997868E-2</v>
      </c>
      <c r="S51" s="60">
        <v>-30.700000000000003</v>
      </c>
      <c r="T51" s="60">
        <v>12.7</v>
      </c>
      <c r="U51" s="60">
        <v>0</v>
      </c>
      <c r="V51" s="60">
        <v>-1.6</v>
      </c>
      <c r="W51" s="60">
        <v>0</v>
      </c>
      <c r="X51" s="60">
        <v>0</v>
      </c>
      <c r="Y51" s="60">
        <v>0</v>
      </c>
      <c r="Z51" s="60">
        <v>1.7000000000000028</v>
      </c>
      <c r="AA51" s="60">
        <v>0</v>
      </c>
      <c r="AB51" s="60">
        <v>0</v>
      </c>
      <c r="AC51" s="60">
        <v>0</v>
      </c>
    </row>
    <row r="52" spans="2:29" x14ac:dyDescent="0.2">
      <c r="B52" s="66" t="s">
        <v>42</v>
      </c>
      <c r="C52" s="88"/>
      <c r="D52" s="89"/>
      <c r="E52" s="75">
        <v>-293.48999999999995</v>
      </c>
      <c r="F52" s="75">
        <v>-428.24699999999996</v>
      </c>
      <c r="G52" s="75">
        <v>-113.12299999999999</v>
      </c>
      <c r="H52" s="75">
        <v>-97.396000000000001</v>
      </c>
      <c r="I52" s="75">
        <v>-110.988</v>
      </c>
      <c r="J52" s="75">
        <v>-85.8</v>
      </c>
      <c r="K52" s="75">
        <v>-130.30000000000001</v>
      </c>
      <c r="L52" s="75">
        <f t="shared" si="2"/>
        <v>-116.3</v>
      </c>
      <c r="O52" s="75">
        <v>-67.465999999999994</v>
      </c>
      <c r="P52" s="75">
        <v>-6.3220000000000001</v>
      </c>
      <c r="Q52" s="75">
        <v>-17.100000000000001</v>
      </c>
      <c r="R52" s="75">
        <v>-20.100000000000001</v>
      </c>
      <c r="S52" s="75">
        <v>-44.6</v>
      </c>
      <c r="T52" s="75">
        <v>-8</v>
      </c>
      <c r="U52" s="75">
        <v>-17.5</v>
      </c>
      <c r="V52" s="75">
        <v>-15.7</v>
      </c>
      <c r="W52" s="75">
        <v>-26.6</v>
      </c>
      <c r="X52" s="75">
        <v>-29.9</v>
      </c>
      <c r="Y52" s="75">
        <v>-30.8</v>
      </c>
      <c r="Z52" s="75">
        <v>-43</v>
      </c>
      <c r="AA52" s="75">
        <v>-26.9</v>
      </c>
      <c r="AB52" s="75">
        <v>-52.1</v>
      </c>
      <c r="AC52" s="75">
        <v>-37.299999999999997</v>
      </c>
    </row>
    <row r="53" spans="2:29" x14ac:dyDescent="0.2">
      <c r="B53" s="59"/>
      <c r="C53" s="81"/>
      <c r="D53" s="93"/>
      <c r="E53" s="60"/>
      <c r="F53" s="60"/>
      <c r="G53" s="60"/>
      <c r="H53" s="60"/>
      <c r="I53" s="60"/>
      <c r="J53" s="60"/>
      <c r="K53" s="60"/>
      <c r="L53" s="60">
        <f t="shared" si="2"/>
        <v>0</v>
      </c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 spans="2:29" x14ac:dyDescent="0.2">
      <c r="B54" s="59" t="s">
        <v>43</v>
      </c>
      <c r="C54" s="81"/>
      <c r="D54" s="95"/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-28.4</v>
      </c>
      <c r="K54" s="90">
        <v>-57.199999999999996</v>
      </c>
      <c r="L54" s="90">
        <f t="shared" si="2"/>
        <v>-111.60000000000001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-14.2</v>
      </c>
      <c r="V54" s="90">
        <v>-14.2</v>
      </c>
      <c r="W54" s="90">
        <v>-14.2</v>
      </c>
      <c r="X54" s="90">
        <v>-14.2</v>
      </c>
      <c r="Y54" s="90">
        <v>-14.4</v>
      </c>
      <c r="Z54" s="90">
        <v>-14.4</v>
      </c>
      <c r="AA54" s="90">
        <v>-30</v>
      </c>
      <c r="AB54" s="90">
        <v>-38.4</v>
      </c>
      <c r="AC54" s="90">
        <v>-43.2</v>
      </c>
    </row>
    <row r="55" spans="2:29" x14ac:dyDescent="0.2">
      <c r="B55" s="59" t="s">
        <v>44</v>
      </c>
      <c r="C55" s="81"/>
      <c r="D55" s="82"/>
      <c r="E55" s="90">
        <v>172.20578666666665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f t="shared" si="2"/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>
        <v>0</v>
      </c>
    </row>
    <row r="56" spans="2:29" x14ac:dyDescent="0.2">
      <c r="B56" s="59" t="s">
        <v>45</v>
      </c>
      <c r="C56" s="81"/>
      <c r="D56" s="94"/>
      <c r="E56" s="60">
        <v>-138.77600000000007</v>
      </c>
      <c r="F56" s="60">
        <v>295.66399999999999</v>
      </c>
      <c r="G56" s="60">
        <v>-206.22899999999993</v>
      </c>
      <c r="H56" s="60">
        <v>-175.18100000000004</v>
      </c>
      <c r="I56" s="60">
        <v>-291.90999999999997</v>
      </c>
      <c r="J56" s="60">
        <v>-145.20000000000005</v>
      </c>
      <c r="K56" s="60">
        <v>-90.399999999999991</v>
      </c>
      <c r="L56" s="60">
        <f t="shared" si="2"/>
        <v>-75</v>
      </c>
      <c r="O56" s="60">
        <v>-169.24799999999982</v>
      </c>
      <c r="P56" s="60">
        <v>-46.030000000000086</v>
      </c>
      <c r="Q56" s="60">
        <v>-18.532000000000039</v>
      </c>
      <c r="R56" s="60">
        <v>-58.100000000000009</v>
      </c>
      <c r="S56" s="60">
        <v>-19.600000000000001</v>
      </c>
      <c r="T56" s="60">
        <v>-67.200000000000045</v>
      </c>
      <c r="U56" s="60">
        <v>-34.900000000000006</v>
      </c>
      <c r="V56" s="60">
        <v>-23.499999999999986</v>
      </c>
      <c r="W56" s="60">
        <v>-50.599999999999994</v>
      </c>
      <c r="X56" s="60">
        <v>-6.8999999999999986</v>
      </c>
      <c r="Y56" s="60">
        <v>-12.3</v>
      </c>
      <c r="Z56" s="60">
        <v>-20.599999999999994</v>
      </c>
      <c r="AA56" s="60">
        <v>-53</v>
      </c>
      <c r="AB56" s="60">
        <v>-8</v>
      </c>
      <c r="AC56" s="60">
        <v>-14</v>
      </c>
    </row>
    <row r="57" spans="2:29" x14ac:dyDescent="0.2">
      <c r="B57" s="59" t="s">
        <v>46</v>
      </c>
      <c r="C57" s="81"/>
      <c r="D57" s="94"/>
      <c r="E57" s="60">
        <v>-155.7367866666666</v>
      </c>
      <c r="F57" s="60">
        <v>-72.999999999999972</v>
      </c>
      <c r="G57" s="60">
        <v>13.08899999999992</v>
      </c>
      <c r="H57" s="60">
        <v>-13.602999999999959</v>
      </c>
      <c r="I57" s="60">
        <v>120.23299999999995</v>
      </c>
      <c r="J57" s="60">
        <v>-22.199999999999946</v>
      </c>
      <c r="K57" s="60">
        <v>-16.400000000000002</v>
      </c>
      <c r="L57" s="60">
        <f t="shared" si="2"/>
        <v>-10</v>
      </c>
      <c r="O57" s="60">
        <v>141.47199999999981</v>
      </c>
      <c r="P57" s="60">
        <v>-7.6709999999999141</v>
      </c>
      <c r="Q57" s="60">
        <v>-8.1679999999999602</v>
      </c>
      <c r="R57" s="60">
        <v>-5.3999999999999915</v>
      </c>
      <c r="S57" s="60">
        <v>-5.5</v>
      </c>
      <c r="T57" s="60">
        <v>-5.4999999999999574</v>
      </c>
      <c r="U57" s="60">
        <v>-5.5999999999999943</v>
      </c>
      <c r="V57" s="60">
        <v>-5.5999999999999943</v>
      </c>
      <c r="W57" s="60">
        <v>-4.2999999999999972</v>
      </c>
      <c r="X57" s="60">
        <v>-4.4000000000000021</v>
      </c>
      <c r="Y57" s="60">
        <v>-4.3999999999999986</v>
      </c>
      <c r="Z57" s="60">
        <v>-3.3000000000000043</v>
      </c>
      <c r="AA57" s="60">
        <v>-3.2000000000000028</v>
      </c>
      <c r="AB57" s="60">
        <v>-3.5</v>
      </c>
      <c r="AC57" s="60">
        <v>-3.2999999999999972</v>
      </c>
    </row>
    <row r="58" spans="2:29" x14ac:dyDescent="0.2">
      <c r="B58" s="66" t="s">
        <v>47</v>
      </c>
      <c r="C58" s="88"/>
      <c r="D58" s="89"/>
      <c r="E58" s="75">
        <v>-122.30699999999999</v>
      </c>
      <c r="F58" s="75">
        <v>222.66400000000004</v>
      </c>
      <c r="G58" s="75">
        <v>-193.14000000000001</v>
      </c>
      <c r="H58" s="75">
        <v>-188.78399999999999</v>
      </c>
      <c r="I58" s="75">
        <v>-171.67700000000002</v>
      </c>
      <c r="J58" s="75">
        <v>-196.5</v>
      </c>
      <c r="K58" s="75">
        <v>-164</v>
      </c>
      <c r="L58" s="75">
        <f t="shared" si="2"/>
        <v>-196.6</v>
      </c>
      <c r="O58" s="75">
        <v>-27.776</v>
      </c>
      <c r="P58" s="75">
        <v>-53.701000000000001</v>
      </c>
      <c r="Q58" s="75">
        <v>-26.7</v>
      </c>
      <c r="R58" s="75">
        <v>-63.5</v>
      </c>
      <c r="S58" s="75">
        <v>-25.1</v>
      </c>
      <c r="T58" s="75">
        <v>-72.7</v>
      </c>
      <c r="U58" s="75">
        <v>-54.7</v>
      </c>
      <c r="V58" s="75">
        <v>-44</v>
      </c>
      <c r="W58" s="75">
        <v>-69.099999999999994</v>
      </c>
      <c r="X58" s="75">
        <v>-25.5</v>
      </c>
      <c r="Y58" s="75">
        <v>-31.1</v>
      </c>
      <c r="Z58" s="75">
        <v>-38.299999999999997</v>
      </c>
      <c r="AA58" s="75">
        <v>-86.2</v>
      </c>
      <c r="AB58" s="75">
        <v>-49.9</v>
      </c>
      <c r="AC58" s="75">
        <v>-60.5</v>
      </c>
    </row>
    <row r="59" spans="2:29" x14ac:dyDescent="0.2">
      <c r="B59" s="59" t="s">
        <v>48</v>
      </c>
      <c r="C59" s="81"/>
      <c r="D59" s="82"/>
      <c r="E59" s="90">
        <v>-195.26599999999996</v>
      </c>
      <c r="F59" s="90">
        <v>-7.2639999999999247</v>
      </c>
      <c r="G59" s="90">
        <v>39.479999999999933</v>
      </c>
      <c r="H59" s="90">
        <v>-29.67900000000003</v>
      </c>
      <c r="I59" s="90">
        <v>-19.713999999999995</v>
      </c>
      <c r="J59" s="90">
        <v>-17.600000000000016</v>
      </c>
      <c r="K59" s="90">
        <v>-6.6999999999999957</v>
      </c>
      <c r="L59" s="90">
        <f t="shared" si="2"/>
        <v>-1.4999999999999929</v>
      </c>
      <c r="O59" s="90">
        <v>-32.083999999999989</v>
      </c>
      <c r="P59" s="90">
        <v>-2.230000000000004</v>
      </c>
      <c r="Q59" s="90">
        <v>20.600000000000005</v>
      </c>
      <c r="R59" s="90">
        <v>-6.0000000000000071</v>
      </c>
      <c r="S59" s="90">
        <v>-13.300000000000004</v>
      </c>
      <c r="T59" s="90">
        <v>-15.200000000000003</v>
      </c>
      <c r="U59" s="90">
        <v>4.0999999999999943</v>
      </c>
      <c r="V59" s="90">
        <v>6.7999999999999972</v>
      </c>
      <c r="W59" s="90">
        <v>-32.499999999999993</v>
      </c>
      <c r="X59" s="90">
        <v>16.100000000000001</v>
      </c>
      <c r="Y59" s="90">
        <v>5.8999999999999986</v>
      </c>
      <c r="Z59" s="90">
        <v>3.7999999999999972</v>
      </c>
      <c r="AA59" s="90">
        <v>-18.700000000000003</v>
      </c>
      <c r="AB59" s="90">
        <v>25.1</v>
      </c>
      <c r="AC59" s="90">
        <v>-7.8999999999999915</v>
      </c>
    </row>
    <row r="60" spans="2:29" x14ac:dyDescent="0.2">
      <c r="B60" s="77"/>
      <c r="C60" s="76"/>
      <c r="D60" s="76"/>
      <c r="E60" s="76"/>
      <c r="F60" s="76"/>
      <c r="G60" s="76"/>
      <c r="H60" s="76"/>
      <c r="I60" s="76"/>
      <c r="J60" s="76"/>
      <c r="K60" s="78"/>
      <c r="L60" s="78"/>
      <c r="M60" s="76"/>
      <c r="N60" s="76"/>
      <c r="O60" s="76"/>
      <c r="P60" s="76"/>
      <c r="Q60" s="76"/>
      <c r="R60" s="76"/>
      <c r="S60" s="76"/>
    </row>
    <row r="61" spans="2:29" x14ac:dyDescent="0.2">
      <c r="B61" s="96"/>
      <c r="C61" s="97"/>
      <c r="D61" s="97"/>
      <c r="E61" s="97"/>
      <c r="F61" s="97"/>
      <c r="G61" s="97"/>
      <c r="H61" s="97"/>
      <c r="I61" s="97"/>
      <c r="J61" s="97"/>
      <c r="K61" s="78"/>
      <c r="L61" s="78"/>
      <c r="M61" s="97"/>
      <c r="N61" s="97"/>
      <c r="O61" s="97"/>
      <c r="P61" s="97"/>
      <c r="Q61" s="97"/>
      <c r="R61" s="97"/>
      <c r="S61" s="97"/>
    </row>
    <row r="62" spans="2:29" x14ac:dyDescent="0.2"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100"/>
      <c r="N62" s="100"/>
      <c r="O62" s="100"/>
      <c r="P62" s="100"/>
      <c r="Q62" s="100"/>
      <c r="R62" s="100"/>
      <c r="S62" s="100"/>
      <c r="T62" s="99"/>
    </row>
    <row r="63" spans="2:29" x14ac:dyDescent="0.2">
      <c r="B63" s="101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</row>
    <row r="64" spans="2:29" x14ac:dyDescent="0.2">
      <c r="B64" s="98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</row>
    <row r="65" spans="2:20" x14ac:dyDescent="0.2">
      <c r="B65" s="103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</row>
    <row r="66" spans="2:20" x14ac:dyDescent="0.2">
      <c r="B66" s="98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</row>
    <row r="67" spans="2:20" x14ac:dyDescent="0.2">
      <c r="B67" s="98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</row>
    <row r="68" spans="2:20" x14ac:dyDescent="0.2">
      <c r="B68" s="98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</row>
    <row r="69" spans="2:20" x14ac:dyDescent="0.2">
      <c r="B69" s="98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</row>
    <row r="70" spans="2:20" x14ac:dyDescent="0.2">
      <c r="B70" s="98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2581-607B-44BC-B6AD-6F35B7FCEE31}">
  <dimension ref="B2:W16"/>
  <sheetViews>
    <sheetView showGridLines="0" workbookViewId="0">
      <selection activeCell="I22" sqref="I22"/>
    </sheetView>
  </sheetViews>
  <sheetFormatPr defaultRowHeight="13.2" x14ac:dyDescent="0.25"/>
  <cols>
    <col min="1" max="1" width="4.88671875" customWidth="1"/>
    <col min="2" max="2" width="24.88671875" bestFit="1" customWidth="1"/>
  </cols>
  <sheetData>
    <row r="2" spans="2:23" x14ac:dyDescent="0.25">
      <c r="B2" s="1"/>
      <c r="C2" s="2" t="s">
        <v>49</v>
      </c>
      <c r="D2" s="2" t="s">
        <v>50</v>
      </c>
      <c r="E2" s="3" t="s">
        <v>51</v>
      </c>
      <c r="F2" s="2" t="s">
        <v>52</v>
      </c>
      <c r="G2" s="2"/>
      <c r="H2" s="3"/>
      <c r="I2" s="2" t="s">
        <v>53</v>
      </c>
      <c r="J2" s="2"/>
      <c r="K2" s="3"/>
      <c r="L2" s="2" t="s">
        <v>54</v>
      </c>
      <c r="M2" s="2"/>
      <c r="N2" s="3"/>
      <c r="O2" s="2" t="s">
        <v>55</v>
      </c>
      <c r="P2" s="2"/>
      <c r="Q2" s="3"/>
      <c r="R2" s="2" t="s">
        <v>56</v>
      </c>
      <c r="S2" s="2"/>
      <c r="T2" s="3"/>
      <c r="U2" s="2" t="s">
        <v>122</v>
      </c>
      <c r="V2" s="2"/>
      <c r="W2" s="3"/>
    </row>
    <row r="3" spans="2:23" x14ac:dyDescent="0.25">
      <c r="B3" s="4" t="s">
        <v>57</v>
      </c>
      <c r="C3" s="5" t="s">
        <v>58</v>
      </c>
      <c r="D3" s="5" t="s">
        <v>58</v>
      </c>
      <c r="E3" s="6" t="s">
        <v>59</v>
      </c>
      <c r="F3" s="5" t="s">
        <v>60</v>
      </c>
      <c r="G3" s="5" t="s">
        <v>61</v>
      </c>
      <c r="H3" s="6" t="s">
        <v>62</v>
      </c>
      <c r="I3" s="5" t="s">
        <v>60</v>
      </c>
      <c r="J3" s="5" t="s">
        <v>61</v>
      </c>
      <c r="K3" s="6" t="s">
        <v>62</v>
      </c>
      <c r="L3" s="5" t="s">
        <v>60</v>
      </c>
      <c r="M3" s="5" t="s">
        <v>61</v>
      </c>
      <c r="N3" s="6" t="s">
        <v>62</v>
      </c>
      <c r="O3" s="5" t="s">
        <v>60</v>
      </c>
      <c r="P3" s="5" t="s">
        <v>61</v>
      </c>
      <c r="Q3" s="6" t="s">
        <v>62</v>
      </c>
      <c r="R3" s="5" t="s">
        <v>60</v>
      </c>
      <c r="S3" s="5" t="s">
        <v>61</v>
      </c>
      <c r="T3" s="6" t="s">
        <v>62</v>
      </c>
      <c r="U3" s="5" t="s">
        <v>60</v>
      </c>
      <c r="V3" s="5" t="s">
        <v>61</v>
      </c>
      <c r="W3" s="6" t="s">
        <v>62</v>
      </c>
    </row>
    <row r="4" spans="2:23" x14ac:dyDescent="0.25">
      <c r="B4" s="15" t="s">
        <v>63</v>
      </c>
      <c r="C4" s="16">
        <v>280.71506845382061</v>
      </c>
      <c r="D4" s="16">
        <v>312.35121765382064</v>
      </c>
      <c r="E4" s="17">
        <v>0.10128389905962343</v>
      </c>
      <c r="F4" s="18">
        <v>5.0250263783306552</v>
      </c>
      <c r="G4" s="19">
        <v>18.62614971548469</v>
      </c>
      <c r="H4" s="20">
        <v>14.15171847539732</v>
      </c>
      <c r="I4" s="18" t="s">
        <v>76</v>
      </c>
      <c r="J4" s="19" t="s">
        <v>76</v>
      </c>
      <c r="K4" s="20" t="s">
        <v>76</v>
      </c>
      <c r="L4" s="21">
        <v>0.10636435500251883</v>
      </c>
      <c r="M4" s="21">
        <v>2.9399813354265888E-2</v>
      </c>
      <c r="N4" s="17">
        <v>4.6545138305205049E-2</v>
      </c>
      <c r="O4" s="21">
        <v>-8.6846599772076427E-2</v>
      </c>
      <c r="P4" s="21">
        <v>-6.4725150310158347E-3</v>
      </c>
      <c r="Q4" s="17">
        <v>1.2906325335349829E-2</v>
      </c>
      <c r="R4" s="21">
        <v>-1.623397531561322</v>
      </c>
      <c r="S4" s="21">
        <v>-6.4725150310158347E-3</v>
      </c>
      <c r="T4" s="17">
        <v>1.2906325335349829E-2</v>
      </c>
      <c r="U4" s="22">
        <v>312.35121765382064</v>
      </c>
      <c r="V4" s="22">
        <v>314.16815015382059</v>
      </c>
      <c r="W4" s="23">
        <v>310.5451501538206</v>
      </c>
    </row>
    <row r="5" spans="2:23" x14ac:dyDescent="0.25">
      <c r="B5" s="24" t="s">
        <v>64</v>
      </c>
      <c r="C5" s="25">
        <v>2391.7021585599996</v>
      </c>
      <c r="D5" s="7">
        <v>2715.5719089199997</v>
      </c>
      <c r="E5" s="8">
        <v>0.11926391980126394</v>
      </c>
      <c r="F5" s="9">
        <v>9.3707331905058133</v>
      </c>
      <c r="G5" s="10">
        <v>7.2424726762650335</v>
      </c>
      <c r="H5" s="11">
        <v>4.6085998314381937</v>
      </c>
      <c r="I5" s="9" t="s">
        <v>76</v>
      </c>
      <c r="J5" s="10">
        <v>41.397728629894317</v>
      </c>
      <c r="K5" s="11">
        <v>9.4564340812866217</v>
      </c>
      <c r="L5" s="12">
        <v>4.4256099794388066E-3</v>
      </c>
      <c r="M5" s="12">
        <v>3.3998364372799211E-2</v>
      </c>
      <c r="N5" s="8">
        <v>0.11367612547171978</v>
      </c>
      <c r="O5" s="12">
        <v>-1.3116077287352165E-2</v>
      </c>
      <c r="P5" s="12">
        <v>2.2901577875808064E-2</v>
      </c>
      <c r="Q5" s="8">
        <v>0.11076545382201877</v>
      </c>
      <c r="R5" s="12">
        <v>-1.2279852762972355E-2</v>
      </c>
      <c r="S5" s="12">
        <v>2.2901577875808064E-2</v>
      </c>
      <c r="T5" s="8">
        <v>0.11076545382201877</v>
      </c>
      <c r="U5" s="13">
        <v>275.89264676981134</v>
      </c>
      <c r="V5" s="13">
        <v>270.32782423454279</v>
      </c>
      <c r="W5" s="14">
        <v>243.41308076574742</v>
      </c>
    </row>
    <row r="6" spans="2:23" x14ac:dyDescent="0.25">
      <c r="B6" s="26" t="s">
        <v>65</v>
      </c>
      <c r="C6" s="27">
        <v>4016.69625894</v>
      </c>
      <c r="D6" s="16">
        <v>4720.5398626900005</v>
      </c>
      <c r="E6" s="17">
        <v>0.14910235359159008</v>
      </c>
      <c r="F6" s="18">
        <v>7.5198138974322291</v>
      </c>
      <c r="G6" s="19">
        <v>9.8215145188243387</v>
      </c>
      <c r="H6" s="20">
        <v>6.0821276882817106</v>
      </c>
      <c r="I6" s="18">
        <v>14.22814471190005</v>
      </c>
      <c r="J6" s="19">
        <v>19.309160804413782</v>
      </c>
      <c r="K6" s="20">
        <v>8.1290604757050939</v>
      </c>
      <c r="L6" s="21">
        <v>1.2628823552827403E-2</v>
      </c>
      <c r="M6" s="21">
        <v>5.0108918445867555E-3</v>
      </c>
      <c r="N6" s="17">
        <v>8.4173402332266681E-2</v>
      </c>
      <c r="O6" s="21">
        <v>6.1384766635321584E-3</v>
      </c>
      <c r="P6" s="21">
        <v>-7.1152406001299545E-3</v>
      </c>
      <c r="Q6" s="17">
        <v>8.6517789583051202E-2</v>
      </c>
      <c r="R6" s="21">
        <v>6.7608787170694963E-3</v>
      </c>
      <c r="S6" s="21">
        <v>-7.1152406001299545E-3</v>
      </c>
      <c r="T6" s="17">
        <v>8.6517789583051202E-2</v>
      </c>
      <c r="U6" s="22">
        <v>252.24258808267186</v>
      </c>
      <c r="V6" s="22">
        <v>253.76975084679395</v>
      </c>
      <c r="W6" s="23">
        <v>235.2002106006108</v>
      </c>
    </row>
    <row r="7" spans="2:23" x14ac:dyDescent="0.25">
      <c r="B7" s="24" t="s">
        <v>66</v>
      </c>
      <c r="C7" s="25">
        <v>5753.6273599999995</v>
      </c>
      <c r="D7" s="7">
        <v>7134.3901098999995</v>
      </c>
      <c r="E7" s="8">
        <v>0.19353619981951808</v>
      </c>
      <c r="F7" s="9">
        <v>6.555752273432442</v>
      </c>
      <c r="G7" s="10">
        <v>7.3473263169242564</v>
      </c>
      <c r="H7" s="11">
        <v>5.4909299476531279</v>
      </c>
      <c r="I7" s="9">
        <v>41.372390775550834</v>
      </c>
      <c r="J7" s="10">
        <v>49.174265514507631</v>
      </c>
      <c r="K7" s="11">
        <v>13.443546837594154</v>
      </c>
      <c r="L7" s="12">
        <v>8.5193722341673175E-2</v>
      </c>
      <c r="M7" s="12">
        <v>3.0919930439308695E-2</v>
      </c>
      <c r="N7" s="8">
        <v>8.4840076896559341E-2</v>
      </c>
      <c r="O7" s="12">
        <v>7.7838070156145772E-2</v>
      </c>
      <c r="P7" s="12">
        <v>1.0835746221319399E-2</v>
      </c>
      <c r="Q7" s="8">
        <v>8.0892734093452753E-2</v>
      </c>
      <c r="R7" s="12">
        <v>7.7516186258541411E-2</v>
      </c>
      <c r="S7" s="12">
        <v>1.0835746221319399E-2</v>
      </c>
      <c r="T7" s="8">
        <v>8.0892734093452753E-2</v>
      </c>
      <c r="U7" s="13">
        <v>335.17268972684565</v>
      </c>
      <c r="V7" s="13">
        <v>325.51622045520139</v>
      </c>
      <c r="W7" s="14">
        <v>304.87825834110737</v>
      </c>
    </row>
    <row r="8" spans="2:23" x14ac:dyDescent="0.25">
      <c r="B8" s="26" t="s">
        <v>67</v>
      </c>
      <c r="C8" s="27">
        <v>5471.93041395</v>
      </c>
      <c r="D8" s="16">
        <v>10457.557913075001</v>
      </c>
      <c r="E8" s="17">
        <v>0.4767487343188902</v>
      </c>
      <c r="F8" s="18">
        <v>7.6328177105461794</v>
      </c>
      <c r="G8" s="19">
        <v>8.047866771156631</v>
      </c>
      <c r="H8" s="20">
        <v>7.4426902591312425</v>
      </c>
      <c r="I8" s="18" t="s">
        <v>76</v>
      </c>
      <c r="J8" s="19">
        <v>49.664065961438318</v>
      </c>
      <c r="K8" s="20">
        <v>30.948904797056226</v>
      </c>
      <c r="L8" s="21">
        <v>0.11328241869154099</v>
      </c>
      <c r="M8" s="21">
        <v>9.9845035387709974E-2</v>
      </c>
      <c r="N8" s="17">
        <v>0.10850425555769319</v>
      </c>
      <c r="O8" s="21">
        <v>0.12845055541699044</v>
      </c>
      <c r="P8" s="21">
        <v>0.11589673422805973</v>
      </c>
      <c r="Q8" s="17">
        <v>0.12807277277336804</v>
      </c>
      <c r="R8" s="21">
        <v>1.170382224008764E-2</v>
      </c>
      <c r="S8" s="21">
        <v>4.908480713045435E-3</v>
      </c>
      <c r="T8" s="17">
        <v>4.1384901379626512E-2</v>
      </c>
      <c r="U8" s="22">
        <v>457.59442443443697</v>
      </c>
      <c r="V8" s="22">
        <v>431.15719288980455</v>
      </c>
      <c r="W8" s="23">
        <v>423.85824449989059</v>
      </c>
    </row>
    <row r="9" spans="2:23" x14ac:dyDescent="0.25">
      <c r="B9" s="24" t="s">
        <v>68</v>
      </c>
      <c r="C9" s="25">
        <v>213.5035929751744</v>
      </c>
      <c r="D9" s="7">
        <v>301.88565633750761</v>
      </c>
      <c r="E9" s="8">
        <v>0.29276668668060934</v>
      </c>
      <c r="F9" s="9">
        <v>5.932042101569631</v>
      </c>
      <c r="G9" s="10">
        <v>5.9204874747501002</v>
      </c>
      <c r="H9" s="11">
        <v>5.6325276027966957</v>
      </c>
      <c r="I9" s="9">
        <v>9.9463070203169686</v>
      </c>
      <c r="J9" s="10">
        <v>9.0448761675985487</v>
      </c>
      <c r="K9" s="11">
        <v>9.1897855337992027</v>
      </c>
      <c r="L9" s="12">
        <v>0.16391325301737175</v>
      </c>
      <c r="M9" s="12">
        <v>0.16478966343710635</v>
      </c>
      <c r="N9" s="8">
        <v>0.17348946300066484</v>
      </c>
      <c r="O9" s="12">
        <v>0.17778902476210132</v>
      </c>
      <c r="P9" s="12">
        <v>0.18656505524018466</v>
      </c>
      <c r="Q9" s="8">
        <v>0.19636872611241146</v>
      </c>
      <c r="R9" s="12">
        <v>9.9720080967145602E-2</v>
      </c>
      <c r="S9" s="12">
        <v>0.14094928691016431</v>
      </c>
      <c r="T9" s="8">
        <v>0.19636872611241146</v>
      </c>
      <c r="U9" s="13">
        <v>301.88565633750761</v>
      </c>
      <c r="V9" s="13">
        <v>262.05334672011628</v>
      </c>
      <c r="W9" s="14">
        <v>225.6573523201163</v>
      </c>
    </row>
    <row r="10" spans="2:23" x14ac:dyDescent="0.25">
      <c r="B10" s="26" t="s">
        <v>69</v>
      </c>
      <c r="C10" s="27">
        <v>252.51270993077122</v>
      </c>
      <c r="D10" s="16">
        <v>329.99172785077121</v>
      </c>
      <c r="E10" s="17">
        <v>0.23479078831648026</v>
      </c>
      <c r="F10" s="18">
        <v>4.0168748009865105</v>
      </c>
      <c r="G10" s="19">
        <v>15.689237286681452</v>
      </c>
      <c r="H10" s="20">
        <v>2.8747439929799432</v>
      </c>
      <c r="I10" s="18">
        <v>16.822985436287144</v>
      </c>
      <c r="J10" s="19" t="s">
        <v>76</v>
      </c>
      <c r="K10" s="20">
        <v>3.0788864579468127</v>
      </c>
      <c r="L10" s="21">
        <v>0.18443865995187481</v>
      </c>
      <c r="M10" s="21">
        <v>-0.33624525900290891</v>
      </c>
      <c r="N10" s="17">
        <v>0.29915890623252145</v>
      </c>
      <c r="O10" s="21">
        <v>0.1720269133855053</v>
      </c>
      <c r="P10" s="21">
        <v>-0.52445836899183251</v>
      </c>
      <c r="Q10" s="17">
        <v>0.4349812630426137</v>
      </c>
      <c r="R10" s="21">
        <v>-9.1487640389793009E-4</v>
      </c>
      <c r="S10" s="21">
        <v>-0.10321224625542719</v>
      </c>
      <c r="T10" s="17">
        <v>0.34593624029439457</v>
      </c>
      <c r="U10" s="22">
        <v>177.68785345810758</v>
      </c>
      <c r="V10" s="22">
        <v>248.9976094581076</v>
      </c>
      <c r="W10" s="23">
        <v>234.71942138118453</v>
      </c>
    </row>
    <row r="11" spans="2:23" x14ac:dyDescent="0.25">
      <c r="B11" s="24" t="s">
        <v>70</v>
      </c>
      <c r="C11" s="25">
        <v>1027.7143052413128</v>
      </c>
      <c r="D11" s="7">
        <v>1472.6072554763127</v>
      </c>
      <c r="E11" s="8">
        <v>0.30211242582198194</v>
      </c>
      <c r="F11" s="9">
        <v>6.8916225672105913</v>
      </c>
      <c r="G11" s="10">
        <v>4.0508765445903467</v>
      </c>
      <c r="H11" s="11">
        <v>3.3543670565323866</v>
      </c>
      <c r="I11" s="9" t="s">
        <v>76</v>
      </c>
      <c r="J11" s="10">
        <v>14.178006594444602</v>
      </c>
      <c r="K11" s="11">
        <v>9.3878779659839111</v>
      </c>
      <c r="L11" s="12">
        <v>6.1212807712157813E-2</v>
      </c>
      <c r="M11" s="12">
        <v>0.17190266382795358</v>
      </c>
      <c r="N11" s="8">
        <v>0.21155575742468849</v>
      </c>
      <c r="O11" s="12">
        <v>4.0094848884413059E-2</v>
      </c>
      <c r="P11" s="12">
        <v>0.18787956463582767</v>
      </c>
      <c r="Q11" s="8">
        <v>0.23651726252396774</v>
      </c>
      <c r="R11" s="12">
        <v>4.0094848884413059E-2</v>
      </c>
      <c r="S11" s="12">
        <v>0.11490208478807015</v>
      </c>
      <c r="T11" s="8">
        <v>0.15567340835865837</v>
      </c>
      <c r="U11" s="28">
        <v>343.60835961113963</v>
      </c>
      <c r="V11" s="28">
        <v>298.55483915543135</v>
      </c>
      <c r="W11" s="14">
        <v>247.35673465009799</v>
      </c>
    </row>
    <row r="12" spans="2:23" x14ac:dyDescent="0.25">
      <c r="B12" s="26" t="s">
        <v>71</v>
      </c>
      <c r="C12" s="27">
        <v>853.435294117647</v>
      </c>
      <c r="D12" s="16">
        <v>1041.7766941176471</v>
      </c>
      <c r="E12" s="17">
        <v>0.18078864795446348</v>
      </c>
      <c r="F12" s="18">
        <v>3.9804157259268762</v>
      </c>
      <c r="G12" s="19">
        <v>4.7422680097671934</v>
      </c>
      <c r="H12" s="20">
        <v>3.2401142243204282</v>
      </c>
      <c r="I12" s="18">
        <v>6.4908611034284922</v>
      </c>
      <c r="J12" s="19">
        <v>10.167781642607215</v>
      </c>
      <c r="K12" s="20">
        <v>4.9697270934645461</v>
      </c>
      <c r="L12" s="21">
        <v>0.21118690909700316</v>
      </c>
      <c r="M12" s="21">
        <v>0.18783199999087527</v>
      </c>
      <c r="N12" s="17">
        <v>0.28825622987875976</v>
      </c>
      <c r="O12" s="21">
        <v>0.22737119186126661</v>
      </c>
      <c r="P12" s="21">
        <v>0.19138562832565961</v>
      </c>
      <c r="Q12" s="17">
        <v>0.32803077285908944</v>
      </c>
      <c r="R12" s="21">
        <v>0.25050241239557774</v>
      </c>
      <c r="S12" s="21">
        <v>0.36714587756058559</v>
      </c>
      <c r="T12" s="17">
        <v>0.32803077285908944</v>
      </c>
      <c r="U12" s="22">
        <v>303.85153578431374</v>
      </c>
      <c r="V12" s="22">
        <v>257.6704212009804</v>
      </c>
      <c r="W12" s="23">
        <v>193.23906703431376</v>
      </c>
    </row>
    <row r="13" spans="2:23" x14ac:dyDescent="0.25">
      <c r="B13" s="24" t="s">
        <v>72</v>
      </c>
      <c r="C13" s="25">
        <v>1337.8846946399999</v>
      </c>
      <c r="D13" s="7">
        <v>3145.5997059399997</v>
      </c>
      <c r="E13" s="8">
        <v>0.57468056341892371</v>
      </c>
      <c r="F13" s="9">
        <v>6.8221711777381353</v>
      </c>
      <c r="G13" s="10">
        <v>6.6708123271135014</v>
      </c>
      <c r="H13" s="11">
        <v>5.6864628727692743</v>
      </c>
      <c r="I13" s="9">
        <v>34.584078724055537</v>
      </c>
      <c r="J13" s="10">
        <v>25.081342605812488</v>
      </c>
      <c r="K13" s="11">
        <v>11.24936586494489</v>
      </c>
      <c r="L13" s="12">
        <v>0.13829436096987532</v>
      </c>
      <c r="M13" s="12">
        <v>0.11008846853465636</v>
      </c>
      <c r="N13" s="8">
        <v>0.12919216520673776</v>
      </c>
      <c r="O13" s="12">
        <v>0.16128818093555045</v>
      </c>
      <c r="P13" s="12">
        <v>0.11640900734865435</v>
      </c>
      <c r="Q13" s="8">
        <v>0.15646325022525764</v>
      </c>
      <c r="R13" s="12">
        <v>6.4396796708390616E-2</v>
      </c>
      <c r="S13" s="12">
        <v>1.5907820259298724E-2</v>
      </c>
      <c r="T13" s="8">
        <v>5.5962063135902011E-2</v>
      </c>
      <c r="U13" s="13">
        <v>131.06665441416666</v>
      </c>
      <c r="V13" s="13">
        <v>124.57741152875001</v>
      </c>
      <c r="W13" s="14">
        <v>115.85533703916663</v>
      </c>
    </row>
    <row r="14" spans="2:23" x14ac:dyDescent="0.25">
      <c r="B14" s="26" t="s">
        <v>73</v>
      </c>
      <c r="C14" s="27">
        <v>793.93130004020747</v>
      </c>
      <c r="D14" s="16">
        <v>1417.3291463401201</v>
      </c>
      <c r="E14" s="17">
        <v>0.43983985506096002</v>
      </c>
      <c r="F14" s="18">
        <v>5.5133662429285044</v>
      </c>
      <c r="G14" s="19">
        <v>5.4604089822713542</v>
      </c>
      <c r="H14" s="20">
        <v>4.8030454632876749</v>
      </c>
      <c r="I14" s="18">
        <v>10.194623248696651</v>
      </c>
      <c r="J14" s="19">
        <v>8.9010897956150234</v>
      </c>
      <c r="K14" s="20">
        <v>6.990302196390612</v>
      </c>
      <c r="L14" s="21">
        <v>0.2170083550887888</v>
      </c>
      <c r="M14" s="21">
        <v>0.14066742313514533</v>
      </c>
      <c r="N14" s="17">
        <v>0.14122549617597507</v>
      </c>
      <c r="O14" s="21">
        <v>0.29027127874718667</v>
      </c>
      <c r="P14" s="21">
        <v>0.16650665142990362</v>
      </c>
      <c r="Q14" s="17">
        <v>0.16933092996643714</v>
      </c>
      <c r="R14" s="29">
        <v>0.3237754371027684</v>
      </c>
      <c r="S14" s="21">
        <v>0.14131555492194742</v>
      </c>
      <c r="T14" s="17">
        <v>0.13283704360689183</v>
      </c>
      <c r="U14" s="30">
        <v>70.866457317006009</v>
      </c>
      <c r="V14" s="30">
        <v>64.256715205251751</v>
      </c>
      <c r="W14" s="23">
        <v>58.456739275785324</v>
      </c>
    </row>
    <row r="15" spans="2:23" x14ac:dyDescent="0.25">
      <c r="B15" s="31" t="s">
        <v>74</v>
      </c>
      <c r="C15" s="32">
        <v>640.41578905342226</v>
      </c>
      <c r="D15" s="33">
        <v>658.56851305342229</v>
      </c>
      <c r="E15" s="34">
        <v>2.7563911180380929E-2</v>
      </c>
      <c r="F15" s="35">
        <v>6.2950381816565937</v>
      </c>
      <c r="G15" s="36">
        <v>4.0638801982260189</v>
      </c>
      <c r="H15" s="37">
        <v>4.08722054012373</v>
      </c>
      <c r="I15" s="35">
        <v>16.741900248064255</v>
      </c>
      <c r="J15" s="36">
        <v>5.789963736729403</v>
      </c>
      <c r="K15" s="37">
        <v>6.3126340517303632</v>
      </c>
      <c r="L15" s="38">
        <v>0.11417229112789462</v>
      </c>
      <c r="M15" s="38">
        <v>0.1953009680016442</v>
      </c>
      <c r="N15" s="34">
        <v>0.1877506312568453</v>
      </c>
      <c r="O15" s="38">
        <v>0.10677012835843136</v>
      </c>
      <c r="P15" s="38">
        <v>0.19396003380606072</v>
      </c>
      <c r="Q15" s="34">
        <v>0.18739092597986542</v>
      </c>
      <c r="R15" s="38">
        <v>9.3997176567079371E-2</v>
      </c>
      <c r="S15" s="38">
        <v>0.16273032282476005</v>
      </c>
      <c r="T15" s="34">
        <v>0.14896011657575847</v>
      </c>
      <c r="U15" s="39">
        <v>124.90887551675911</v>
      </c>
      <c r="V15" s="39">
        <v>101.34934576333367</v>
      </c>
      <c r="W15" s="40">
        <v>82.85276907378875</v>
      </c>
    </row>
    <row r="16" spans="2:23" x14ac:dyDescent="0.25">
      <c r="B16" s="41" t="s">
        <v>75</v>
      </c>
      <c r="C16" s="42">
        <v>1953.01729998769</v>
      </c>
      <c r="D16" s="43">
        <v>2849.8457838486324</v>
      </c>
      <c r="E16" s="44">
        <v>0.26056189424821674</v>
      </c>
      <c r="F16" s="45">
        <v>6.3907543080767066</v>
      </c>
      <c r="G16" s="46">
        <v>7.9343701556891846</v>
      </c>
      <c r="H16" s="47">
        <v>5.5562115717262568</v>
      </c>
      <c r="I16" s="45">
        <v>18.383285867504501</v>
      </c>
      <c r="J16" s="46">
        <v>21.855130689292306</v>
      </c>
      <c r="K16" s="47">
        <v>10.009056078572264</v>
      </c>
      <c r="L16" s="48">
        <v>0.10475927814066645</v>
      </c>
      <c r="M16" s="48">
        <v>7.6701621638240222E-2</v>
      </c>
      <c r="N16" s="44">
        <v>0.15824391896831846</v>
      </c>
      <c r="O16" s="48">
        <v>9.0750767989254744E-2</v>
      </c>
      <c r="P16" s="48">
        <v>6.6044073671319328E-2</v>
      </c>
      <c r="Q16" s="44">
        <v>0.18144086334488291</v>
      </c>
      <c r="R16" s="48">
        <v>-4.6024676142788684E-2</v>
      </c>
      <c r="S16" s="48">
        <v>7.6742927506259245E-2</v>
      </c>
      <c r="T16" s="44">
        <v>0.14478091677225319</v>
      </c>
      <c r="U16" s="49" t="s">
        <v>123</v>
      </c>
      <c r="V16" s="49" t="s">
        <v>123</v>
      </c>
      <c r="W16" s="5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Historical data</vt:lpstr>
      <vt:lpstr>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Sivert Helgheim</dc:creator>
  <cp:lastModifiedBy>Mats Herman Hjelmtvedt</cp:lastModifiedBy>
  <dcterms:created xsi:type="dcterms:W3CDTF">2020-11-19T08:19:38Z</dcterms:created>
  <dcterms:modified xsi:type="dcterms:W3CDTF">2026-02-09T10:53:46Z</dcterms:modified>
</cp:coreProperties>
</file>