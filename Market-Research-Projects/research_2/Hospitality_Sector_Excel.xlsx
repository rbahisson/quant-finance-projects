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riott" sheetId="1" r:id="rId4"/>
    <sheet state="visible" name="M.O." sheetId="2" r:id="rId5"/>
    <sheet state="visible" name="NH" sheetId="3" r:id="rId6"/>
    <sheet state="visible" name="Comparison" sheetId="4" r:id="rId7"/>
    <sheet state="visible" name="Liquidity Graphs" sheetId="5" r:id="rId8"/>
    <sheet state="visible" name="Efficiency Graphs" sheetId="6" r:id="rId9"/>
    <sheet state="visible" name="Debt Graphs" sheetId="7" r:id="rId10"/>
    <sheet state="visible" name="Profitability Graphs" sheetId="8" r:id="rId11"/>
    <sheet state="visible" name="Operating Graphs" sheetId="9" r:id="rId12"/>
  </sheets>
  <definedNames/>
  <calcPr/>
</workbook>
</file>

<file path=xl/sharedStrings.xml><?xml version="1.0" encoding="utf-8"?>
<sst xmlns="http://schemas.openxmlformats.org/spreadsheetml/2006/main" count="445" uniqueCount="164">
  <si>
    <t>MARRIOTT ANALYSIS</t>
  </si>
  <si>
    <t xml:space="preserve">Income statement </t>
  </si>
  <si>
    <t>EBIT/EBITDA &amp; related</t>
  </si>
  <si>
    <t>Earnings before Interest &amp; Taxes (EBIT)</t>
  </si>
  <si>
    <t xml:space="preserve">Total revenues </t>
  </si>
  <si>
    <t xml:space="preserve">Depreciation &amp; Amortization </t>
  </si>
  <si>
    <t>Cost of operating revenue</t>
  </si>
  <si>
    <t>Earnings before Interest, Taxes, Depreciation &amp; Amortization (EBITDA)</t>
  </si>
  <si>
    <t xml:space="preserve">Gross profit </t>
  </si>
  <si>
    <t>Free Cash Flow</t>
  </si>
  <si>
    <t xml:space="preserve">Selling, General &amp; Administrative expenses </t>
  </si>
  <si>
    <t>Other operating expenses</t>
  </si>
  <si>
    <t xml:space="preserve">Total operating expenses </t>
  </si>
  <si>
    <t>Operating profit (EBIT)</t>
  </si>
  <si>
    <t xml:space="preserve">Net financial income </t>
  </si>
  <si>
    <t>FINANCIAL ASSETS</t>
  </si>
  <si>
    <t>Sale of Tangible &amp; Intangible Fixed Assets</t>
  </si>
  <si>
    <t>financial investments</t>
  </si>
  <si>
    <t>Equity earnings - including non-recurring</t>
  </si>
  <si>
    <t>current financial investments</t>
  </si>
  <si>
    <t>Other non-operating income</t>
  </si>
  <si>
    <t>non-current financial investments</t>
  </si>
  <si>
    <t>Normalized pre-tax profit</t>
  </si>
  <si>
    <t>cash and cash equivalents</t>
  </si>
  <si>
    <t>Non-Recurring Income/Expenses</t>
  </si>
  <si>
    <t xml:space="preserve">Income before taxes </t>
  </si>
  <si>
    <t>FINANCIAL LIABILITIES (Total Debt)</t>
  </si>
  <si>
    <t xml:space="preserve">Tax expenses </t>
  </si>
  <si>
    <t>short-term debt</t>
  </si>
  <si>
    <t xml:space="preserve">Net income </t>
  </si>
  <si>
    <t>long-term loan</t>
  </si>
  <si>
    <t xml:space="preserve">Balance sheet </t>
  </si>
  <si>
    <t>Net Debt (Financial liabilities - Cash&amp;Cash Equivalents)</t>
  </si>
  <si>
    <t xml:space="preserve">Intangible assets </t>
  </si>
  <si>
    <t>Total Funds</t>
  </si>
  <si>
    <t>PP&amp;E</t>
  </si>
  <si>
    <t>Working Capital</t>
  </si>
  <si>
    <t>Investments in Associates, Joint Ventures and Unconsolidated Subsidiaries</t>
  </si>
  <si>
    <t>Net interest expenses</t>
  </si>
  <si>
    <t>Receivables &amp; Loans - Long-Term</t>
  </si>
  <si>
    <t>interest expenses</t>
  </si>
  <si>
    <t>Other non-current assets</t>
  </si>
  <si>
    <t>interest income</t>
  </si>
  <si>
    <t xml:space="preserve">Total fixed non-current assets </t>
  </si>
  <si>
    <t>Loans &amp; Receivables</t>
  </si>
  <si>
    <t>Prepaid Expenses - Short-Term</t>
  </si>
  <si>
    <t>Assets Held for Sale/Discontinued Operations</t>
  </si>
  <si>
    <t>Cash and cash equivalents</t>
  </si>
  <si>
    <t xml:space="preserve">Total current assets </t>
  </si>
  <si>
    <t xml:space="preserve">Total ASSETS </t>
  </si>
  <si>
    <t>Debt - Long-Term - Total</t>
  </si>
  <si>
    <t>Deferred Tax &amp; Investment Tax Credits - Long-Term</t>
  </si>
  <si>
    <t>Operating Lease Liabilities - Long-Term</t>
  </si>
  <si>
    <t>Other Non-Current Liabilities - Total</t>
  </si>
  <si>
    <t xml:space="preserve">Total long-term liabilities </t>
  </si>
  <si>
    <t>Trade Accounts Payable &amp; Accruals - Short-Term</t>
  </si>
  <si>
    <t>Short-Term Debt &amp; Current Portion of Long-Term Debt</t>
  </si>
  <si>
    <t>Operating Lease Liabilities - Current Portion/Short-Term</t>
  </si>
  <si>
    <t>Other Current Liabilities - Total</t>
  </si>
  <si>
    <t xml:space="preserve">Total current libailities </t>
  </si>
  <si>
    <t>Total LIABILITIES</t>
  </si>
  <si>
    <t>Common Equity - Contributed</t>
  </si>
  <si>
    <t>Equity - Non-Contributed - Reserves &amp; Retained Earnings</t>
  </si>
  <si>
    <t>Common Stock - Treasury/Repurchased</t>
  </si>
  <si>
    <t xml:space="preserve">Total EQUITY </t>
  </si>
  <si>
    <t xml:space="preserve">TTL EQ+LB </t>
  </si>
  <si>
    <t>Ratios</t>
  </si>
  <si>
    <t xml:space="preserve">Liquidity  Ratios </t>
  </si>
  <si>
    <t xml:space="preserve">Current Ratio </t>
  </si>
  <si>
    <t xml:space="preserve">Cash ratio </t>
  </si>
  <si>
    <t xml:space="preserve">Quick Ratio </t>
  </si>
  <si>
    <t xml:space="preserve">Profitability Ratios </t>
  </si>
  <si>
    <t>Operating Margin - %</t>
  </si>
  <si>
    <t>Gross Profit Margin - %</t>
  </si>
  <si>
    <t>Return on sales</t>
  </si>
  <si>
    <t>EBITDA Margin - %</t>
  </si>
  <si>
    <t>Income Tax Rate - %</t>
  </si>
  <si>
    <t>Net Margin - %</t>
  </si>
  <si>
    <t>Return on total assets (ROA)</t>
  </si>
  <si>
    <t>Return on investment (ROI)</t>
  </si>
  <si>
    <t>Return on equity (ROE) (average common equity)</t>
  </si>
  <si>
    <t xml:space="preserve">Return on Invested Capital (ROIC) </t>
  </si>
  <si>
    <t xml:space="preserve">Sales growth ratio </t>
  </si>
  <si>
    <t>Debt  Ratios</t>
  </si>
  <si>
    <t>Total Debt Percentage of Total Assets</t>
  </si>
  <si>
    <t>Total Debt Percentage of Total Capital</t>
  </si>
  <si>
    <t>Total Debt Percentage of Total Equity</t>
  </si>
  <si>
    <t xml:space="preserve">Interest coverage ratio </t>
  </si>
  <si>
    <t>Operating Ratios</t>
  </si>
  <si>
    <t>Fixed Asset Turnover Ratio</t>
  </si>
  <si>
    <t>Asset Turnover</t>
  </si>
  <si>
    <t>Sales revenue per employee</t>
  </si>
  <si>
    <t xml:space="preserve">Net income per employee </t>
  </si>
  <si>
    <t>Accounts Receivable Turnover</t>
  </si>
  <si>
    <t>Average Receivables Collection Days</t>
  </si>
  <si>
    <t>Payables Turnover</t>
  </si>
  <si>
    <t>Average Payables Payment Days</t>
  </si>
  <si>
    <t>Average Net Trade Cycle Days</t>
  </si>
  <si>
    <t xml:space="preserve">Mandarin Oriental </t>
  </si>
  <si>
    <t>Intangible assets</t>
  </si>
  <si>
    <t>Investments - Long-Term</t>
  </si>
  <si>
    <t>Inventories - Total</t>
  </si>
  <si>
    <t>Net Income after Tax</t>
  </si>
  <si>
    <t>Derivative Financial Instruments - Hedging - Short-Term</t>
  </si>
  <si>
    <t>After Tax Income/Expense</t>
  </si>
  <si>
    <t>Other Current Assets - Total</t>
  </si>
  <si>
    <t>Equity in Earnings/(Loss) of Affiliates (after Taxes)</t>
  </si>
  <si>
    <t>Cash and short term investments</t>
  </si>
  <si>
    <t>Net Income</t>
  </si>
  <si>
    <t>Income Available to Common Shares</t>
  </si>
  <si>
    <t>Derivative Liabilities - Hedging - Short-Term</t>
  </si>
  <si>
    <t>Liabilities Held for Sale/Discontinued Operations - Short-Term</t>
  </si>
  <si>
    <t>Income Taxes - Payable - Short-Term</t>
  </si>
  <si>
    <t>Common Equity</t>
  </si>
  <si>
    <t>Minority Interest - Equity</t>
  </si>
  <si>
    <t>Inventory Turnover</t>
  </si>
  <si>
    <t>Average Inventory Days</t>
  </si>
  <si>
    <t>Average Net Trade Cycle Days (Cash Conversion Cycle)</t>
  </si>
  <si>
    <t>NH hotels</t>
  </si>
  <si>
    <t>Industry Specific</t>
  </si>
  <si>
    <t>Marriott</t>
  </si>
  <si>
    <t>M.O.</t>
  </si>
  <si>
    <t>NH</t>
  </si>
  <si>
    <t>Liquidity Ratios</t>
  </si>
  <si>
    <t xml:space="preserve">Cash Ratio </t>
  </si>
  <si>
    <t xml:space="preserve">Operating profit margin ratio </t>
  </si>
  <si>
    <t>Return on total assets</t>
  </si>
  <si>
    <t xml:space="preserve">Return on investment </t>
  </si>
  <si>
    <t xml:space="preserve">Return on equity </t>
  </si>
  <si>
    <t xml:space="preserve">Debt Ratios </t>
  </si>
  <si>
    <t xml:space="preserve">Debt to asset ratio </t>
  </si>
  <si>
    <t xml:space="preserve">Debt to equity ratio </t>
  </si>
  <si>
    <t xml:space="preserve">Total debt to capitalization ratio </t>
  </si>
  <si>
    <t xml:space="preserve">Operating Ratio </t>
  </si>
  <si>
    <t xml:space="preserve">Fixed Asset Turnover Ratio </t>
  </si>
  <si>
    <t xml:space="preserve">Efficiency Ratio </t>
  </si>
  <si>
    <t xml:space="preserve">Days' inventory on hand ratio </t>
  </si>
  <si>
    <t xml:space="preserve">Accounts receivable turnover ratio </t>
  </si>
  <si>
    <t xml:space="preserve">Accounts receivable days on hand </t>
  </si>
  <si>
    <t xml:space="preserve">Accounts payable turnover ratio </t>
  </si>
  <si>
    <t xml:space="preserve">Accounts payable days on hand </t>
  </si>
  <si>
    <t xml:space="preserve">Operating expense ratio </t>
  </si>
  <si>
    <t>Total asset turnover ratio</t>
  </si>
  <si>
    <t>Current Ratio</t>
  </si>
  <si>
    <t>Industry</t>
  </si>
  <si>
    <t>Cash Ratio</t>
  </si>
  <si>
    <t>Quick Ratio</t>
  </si>
  <si>
    <t>Operating Profit Margin Ratio</t>
  </si>
  <si>
    <t>Return on Sales</t>
  </si>
  <si>
    <t>Return on Total Assets</t>
  </si>
  <si>
    <t>Return on Investment</t>
  </si>
  <si>
    <t>Return on Equity</t>
  </si>
  <si>
    <t>Sales Growth Ratio</t>
  </si>
  <si>
    <t>Debt to Asset Ratio</t>
  </si>
  <si>
    <t>Debt to Equity Ratio</t>
  </si>
  <si>
    <t>Total debt to Capitalization Ratio</t>
  </si>
  <si>
    <t>Interest Coverage Ratio</t>
  </si>
  <si>
    <t>Days' Inventory on Hand Ratio</t>
  </si>
  <si>
    <t>Accounts Receivable Turnover Ratio</t>
  </si>
  <si>
    <t>Accounts Receivable Days on Hand</t>
  </si>
  <si>
    <t>Accounts Payable Turnover Ratio</t>
  </si>
  <si>
    <t>Accounts Payable Days on Hand</t>
  </si>
  <si>
    <t>Operating Expense Ratio</t>
  </si>
  <si>
    <t>Total Asset Turnover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</si>
</sst>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"/>
    <numFmt numFmtId="165" formatCode="#,##0.00;(#,##0.00)"/>
  </numFmts>
  <fonts count="21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2.0"/>
      <color theme="1"/>
      <name val="Aptos Narrow"/>
    </font>
    <font/>
    <font>
      <b/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2.0"/>
      <color theme="1"/>
      <name val="Calibri"/>
    </font>
    <font>
      <sz val="11.0"/>
      <color rgb="FFF5475B"/>
      <name val="Arial"/>
    </font>
    <font>
      <b/>
      <sz val="12.0"/>
      <color theme="1"/>
      <name val="Aptos Narrow"/>
    </font>
    <font>
      <i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ptos Narrow"/>
    </font>
    <font>
      <b/>
      <sz val="11.0"/>
      <color rgb="FF000000"/>
      <name val="Calibri"/>
    </font>
    <font>
      <sz val="11.0"/>
      <color rgb="FF000000"/>
      <name val="Calibri"/>
    </font>
    <font>
      <color rgb="FFF5475B"/>
      <name val="Calibri"/>
    </font>
    <font>
      <color rgb="FF000000"/>
      <name val="Calibri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3CAFC"/>
        <bgColor rgb="FFE3CAFC"/>
      </patternFill>
    </fill>
    <fill>
      <patternFill patternType="solid">
        <fgColor rgb="FFD5D8DB"/>
        <bgColor rgb="FFD5D8DB"/>
      </patternFill>
    </fill>
    <fill>
      <patternFill patternType="solid">
        <fgColor rgb="FFF7C7AC"/>
        <bgColor rgb="FFF7C7AC"/>
      </patternFill>
    </fill>
    <fill>
      <patternFill patternType="solid">
        <fgColor rgb="FFD2F1DA"/>
        <bgColor rgb="FFD2F1DA"/>
      </patternFill>
    </fill>
    <fill>
      <patternFill patternType="solid">
        <fgColor rgb="FFD8D8D8"/>
        <bgColor rgb="FFD8D8D8"/>
      </patternFill>
    </fill>
    <fill>
      <patternFill patternType="solid">
        <fgColor rgb="FFFDE49A"/>
        <bgColor rgb="FFFDE49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D9E6FC"/>
        <bgColor rgb="FFD9E6FC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</fills>
  <borders count="71">
    <border/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D5D8DB"/>
      </left>
      <top style="thin">
        <color rgb="FFD5D8D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D5D8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5D8DB"/>
      </bottom>
    </border>
    <border>
      <top style="thin">
        <color rgb="FF000000"/>
      </top>
      <bottom style="thin">
        <color rgb="FFD5D8DB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</border>
    <border>
      <top style="thin">
        <color rgb="FF000000"/>
      </top>
      <bottom style="thin">
        <color rgb="FFCCCCCC"/>
      </bottom>
    </border>
    <border>
      <left style="thin">
        <color rgb="FF000000"/>
      </left>
      <top style="thin">
        <color rgb="FFD5D8DB"/>
      </top>
      <bottom style="thin">
        <color rgb="FFD5D8DB"/>
      </bottom>
    </border>
    <border>
      <left style="thin">
        <color rgb="FF000000"/>
      </left>
      <right style="thin">
        <color rgb="FF000000"/>
      </right>
      <top style="thin">
        <color rgb="FFD5D8DB"/>
      </top>
      <bottom style="thin">
        <color rgb="FFD5D8DB"/>
      </bottom>
    </border>
    <border>
      <top style="thin">
        <color rgb="FFD5D8DB"/>
      </top>
      <bottom style="thin">
        <color rgb="FFD5D8DB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E8E8E8"/>
      </bottom>
    </border>
    <border>
      <left style="thin">
        <color rgb="FFCCCCCC"/>
      </lef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CCCCCC"/>
      </top>
    </border>
    <border>
      <top style="thin">
        <color rgb="FFCCCCCC"/>
      </top>
    </border>
    <border>
      <top style="thin">
        <color rgb="FF000000"/>
      </top>
      <bottom style="thin">
        <color rgb="FF000000"/>
      </bottom>
    </border>
    <border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000000"/>
      </left>
      <right style="thin">
        <color rgb="FFD5D8DB"/>
      </right>
      <top style="thin">
        <color rgb="FF000000"/>
      </top>
      <bottom style="thin">
        <color rgb="FFD5D8DB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D5D8DB"/>
      </right>
      <bottom style="thin">
        <color rgb="FFD5D8DB"/>
      </bottom>
    </border>
    <border>
      <left style="thin">
        <color rgb="FFB7B7B7"/>
      </left>
      <top style="thin">
        <color rgb="FFB7B7B7"/>
      </top>
    </border>
    <border>
      <left style="thin">
        <color rgb="FF000000"/>
      </left>
      <right style="thin">
        <color rgb="FFD5D8DB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5D8DB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D5D8DB"/>
      </left>
      <top style="thin">
        <color rgb="FFD5D8DB"/>
      </top>
      <bottom style="thin">
        <color rgb="FFD5D8DB"/>
      </bottom>
    </border>
    <border>
      <left style="thin">
        <color rgb="FFD5D8DB"/>
      </left>
      <bottom style="thin">
        <color rgb="FFD5D8DB"/>
      </bottom>
    </border>
    <border>
      <left style="thin">
        <color rgb="FF000000"/>
      </left>
      <right style="thin">
        <color rgb="FF000000"/>
      </right>
      <bottom style="thin">
        <color rgb="FFD5D8DB"/>
      </bottom>
    </border>
    <border>
      <bottom style="thin">
        <color rgb="FFD5D8D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D5D8DB"/>
      </top>
      <bottom style="thin">
        <color rgb="FF000000"/>
      </bottom>
    </border>
    <border>
      <top style="thin">
        <color rgb="FFD5D8DB"/>
      </top>
      <bottom style="thin">
        <color rgb="FF000000"/>
      </bottom>
    </border>
    <border>
      <left/>
      <right/>
      <bottom/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D5D8DB"/>
      </bottom>
    </border>
    <border>
      <left style="thin">
        <color rgb="FFD5D8DB"/>
      </left>
      <right style="thin">
        <color rgb="FFD5D8DB"/>
      </right>
      <bottom style="thin">
        <color rgb="FFD5D8DB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/>
      <right/>
    </border>
    <border>
      <left style="thin">
        <color rgb="FF000000"/>
      </left>
      <top style="thin">
        <color rgb="FF000000"/>
      </top>
      <bottom style="thin">
        <color rgb="FFB7B7B7"/>
      </bottom>
    </border>
    <border>
      <right style="thin">
        <color rgb="FFD5D8DB"/>
      </right>
      <bottom style="thin">
        <color rgb="FFD5D8DB"/>
      </bottom>
    </border>
    <border>
      <right style="thin">
        <color rgb="FF000000"/>
      </right>
      <bottom style="thin">
        <color rgb="FFD5D8DB"/>
      </bottom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D5D8DB"/>
      </left>
      <right style="thin">
        <color rgb="FFD5D8DB"/>
      </right>
    </border>
    <border>
      <right style="thin">
        <color rgb="FF000000"/>
      </right>
      <top style="thin">
        <color rgb="FFD5D8DB"/>
      </top>
      <bottom style="thin">
        <color rgb="FFD5D8DB"/>
      </bottom>
    </border>
    <border>
      <left style="thin">
        <color rgb="FF000000"/>
      </left>
      <right style="thin">
        <color rgb="FF000000"/>
      </right>
      <bottom style="thin">
        <color rgb="FFCCCCCC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Fill="1" applyFont="1"/>
    <xf borderId="0" fillId="4" fontId="3" numFmtId="0" xfId="0" applyAlignment="1" applyFill="1" applyFont="1">
      <alignment vertical="bottom"/>
    </xf>
    <xf borderId="1" fillId="5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vertical="bottom"/>
    </xf>
    <xf borderId="4" fillId="6" fontId="5" numFmtId="0" xfId="0" applyAlignment="1" applyBorder="1" applyFill="1" applyFont="1">
      <alignment vertical="bottom"/>
    </xf>
    <xf borderId="5" fillId="6" fontId="6" numFmtId="0" xfId="0" applyAlignment="1" applyBorder="1" applyFont="1">
      <alignment horizontal="right" vertical="bottom"/>
    </xf>
    <xf borderId="6" fillId="6" fontId="6" numFmtId="0" xfId="0" applyAlignment="1" applyBorder="1" applyFont="1">
      <alignment horizontal="right" vertical="bottom"/>
    </xf>
    <xf borderId="7" fillId="4" fontId="3" numFmtId="0" xfId="0" applyAlignment="1" applyBorder="1" applyFont="1">
      <alignment vertical="bottom"/>
    </xf>
    <xf borderId="8" fillId="0" fontId="1" numFmtId="0" xfId="0" applyAlignment="1" applyBorder="1" applyFont="1">
      <alignment horizontal="right" vertical="bottom"/>
    </xf>
    <xf borderId="9" fillId="0" fontId="7" numFmtId="0" xfId="0" applyAlignment="1" applyBorder="1" applyFont="1">
      <alignment horizontal="right" vertical="bottom"/>
    </xf>
    <xf borderId="10" fillId="0" fontId="8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2" fillId="0" fontId="8" numFmtId="4" xfId="0" applyAlignment="1" applyBorder="1" applyFont="1" applyNumberFormat="1">
      <alignment horizontal="right" vertical="bottom"/>
    </xf>
    <xf borderId="13" fillId="0" fontId="1" numFmtId="0" xfId="0" applyAlignment="1" applyBorder="1" applyFont="1">
      <alignment vertical="bottom"/>
    </xf>
    <xf borderId="14" fillId="0" fontId="1" numFmtId="3" xfId="0" applyAlignment="1" applyBorder="1" applyFont="1" applyNumberFormat="1">
      <alignment horizontal="right" vertical="bottom"/>
    </xf>
    <xf borderId="15" fillId="0" fontId="1" numFmtId="3" xfId="0" applyAlignment="1" applyBorder="1" applyFont="1" applyNumberFormat="1">
      <alignment horizontal="right" vertical="bottom"/>
    </xf>
    <xf borderId="14" fillId="0" fontId="1" numFmtId="4" xfId="0" applyAlignment="1" applyBorder="1" applyFont="1" applyNumberFormat="1">
      <alignment horizontal="right" vertical="bottom"/>
    </xf>
    <xf borderId="16" fillId="0" fontId="8" numFmtId="0" xfId="0" applyAlignment="1" applyBorder="1" applyFont="1">
      <alignment vertical="bottom"/>
    </xf>
    <xf borderId="17" fillId="0" fontId="8" numFmtId="0" xfId="0" applyAlignment="1" applyBorder="1" applyFont="1">
      <alignment horizontal="right" vertical="bottom"/>
    </xf>
    <xf borderId="18" fillId="0" fontId="8" numFmtId="0" xfId="0" applyAlignment="1" applyBorder="1" applyFont="1">
      <alignment horizontal="right" vertical="bottom"/>
    </xf>
    <xf borderId="19" fillId="0" fontId="7" numFmtId="0" xfId="0" applyAlignment="1" applyBorder="1" applyFont="1">
      <alignment vertical="bottom"/>
    </xf>
    <xf borderId="20" fillId="0" fontId="7" numFmtId="3" xfId="0" applyAlignment="1" applyBorder="1" applyFont="1" applyNumberFormat="1">
      <alignment horizontal="right" vertical="bottom"/>
    </xf>
    <xf borderId="21" fillId="0" fontId="7" numFmtId="3" xfId="0" applyAlignment="1" applyBorder="1" applyFont="1" applyNumberFormat="1">
      <alignment horizontal="right" vertical="bottom"/>
    </xf>
    <xf borderId="20" fillId="0" fontId="7" numFmtId="0" xfId="0" applyAlignment="1" applyBorder="1" applyFont="1">
      <alignment horizontal="right" vertical="bottom"/>
    </xf>
    <xf borderId="22" fillId="0" fontId="8" numFmtId="0" xfId="0" applyAlignment="1" applyBorder="1" applyFont="1">
      <alignment vertical="bottom"/>
    </xf>
    <xf borderId="23" fillId="0" fontId="8" numFmtId="4" xfId="0" applyAlignment="1" applyBorder="1" applyFont="1" applyNumberFormat="1">
      <alignment horizontal="right" vertical="bottom"/>
    </xf>
    <xf borderId="24" fillId="0" fontId="8" numFmtId="4" xfId="0" applyAlignment="1" applyBorder="1" applyFont="1" applyNumberFormat="1">
      <alignment horizontal="right" vertical="bottom"/>
    </xf>
    <xf borderId="19" fillId="0" fontId="1" numFmtId="0" xfId="0" applyAlignment="1" applyBorder="1" applyFont="1">
      <alignment vertical="bottom"/>
    </xf>
    <xf borderId="20" fillId="0" fontId="1" numFmtId="3" xfId="0" applyAlignment="1" applyBorder="1" applyFont="1" applyNumberFormat="1">
      <alignment horizontal="right" vertical="bottom"/>
    </xf>
    <xf borderId="21" fillId="0" fontId="1" numFmtId="3" xfId="0" applyAlignment="1" applyBorder="1" applyFont="1" applyNumberFormat="1">
      <alignment horizontal="right" vertical="bottom"/>
    </xf>
    <xf borderId="23" fillId="0" fontId="8" numFmtId="0" xfId="0" applyAlignment="1" applyBorder="1" applyFont="1">
      <alignment vertical="bottom"/>
    </xf>
    <xf borderId="22" fillId="0" fontId="8" numFmtId="4" xfId="0" applyAlignment="1" applyBorder="1" applyFont="1" applyNumberFormat="1">
      <alignment horizontal="right" vertical="bottom"/>
    </xf>
    <xf borderId="23" fillId="0" fontId="8" numFmtId="0" xfId="0" applyAlignment="1" applyBorder="1" applyFont="1">
      <alignment horizontal="right" vertical="bottom"/>
    </xf>
    <xf borderId="25" fillId="0" fontId="8" numFmtId="4" xfId="0" applyAlignment="1" applyBorder="1" applyFont="1" applyNumberFormat="1">
      <alignment horizontal="right" vertical="bottom"/>
    </xf>
    <xf borderId="20" fillId="0" fontId="9" numFmtId="3" xfId="0" applyAlignment="1" applyBorder="1" applyFont="1" applyNumberFormat="1">
      <alignment horizontal="right" vertical="bottom"/>
    </xf>
    <xf borderId="21" fillId="0" fontId="9" numFmtId="3" xfId="0" applyAlignment="1" applyBorder="1" applyFont="1" applyNumberFormat="1">
      <alignment horizontal="right" vertical="bottom"/>
    </xf>
    <xf borderId="20" fillId="0" fontId="9" numFmtId="0" xfId="0" applyAlignment="1" applyBorder="1" applyFont="1">
      <alignment horizontal="right" vertical="bottom"/>
    </xf>
    <xf borderId="13" fillId="7" fontId="10" numFmtId="0" xfId="0" applyAlignment="1" applyBorder="1" applyFill="1" applyFont="1">
      <alignment vertical="bottom"/>
    </xf>
    <xf borderId="13" fillId="0" fontId="10" numFmtId="0" xfId="0" applyAlignment="1" applyBorder="1" applyFont="1">
      <alignment horizontal="right" vertical="bottom"/>
    </xf>
    <xf borderId="5" fillId="0" fontId="10" numFmtId="4" xfId="0" applyAlignment="1" applyBorder="1" applyFont="1" applyNumberFormat="1">
      <alignment horizontal="right" vertical="bottom"/>
    </xf>
    <xf borderId="5" fillId="0" fontId="10" numFmtId="0" xfId="0" applyAlignment="1" applyBorder="1" applyFont="1">
      <alignment horizontal="right" vertical="bottom"/>
    </xf>
    <xf borderId="20" fillId="0" fontId="3" numFmtId="3" xfId="0" applyAlignment="1" applyBorder="1" applyFont="1" applyNumberFormat="1">
      <alignment vertical="bottom"/>
    </xf>
    <xf borderId="21" fillId="0" fontId="3" numFmtId="3" xfId="0" applyAlignment="1" applyBorder="1" applyFont="1" applyNumberFormat="1">
      <alignment vertical="bottom"/>
    </xf>
    <xf borderId="20" fillId="0" fontId="3" numFmtId="0" xfId="0" applyAlignment="1" applyBorder="1" applyFont="1">
      <alignment vertical="bottom"/>
    </xf>
    <xf borderId="26" fillId="0" fontId="3" numFmtId="0" xfId="0" applyAlignment="1" applyBorder="1" applyFont="1">
      <alignment vertical="bottom"/>
    </xf>
    <xf borderId="13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27" fillId="0" fontId="3" numFmtId="0" xfId="0" applyAlignment="1" applyBorder="1" applyFont="1">
      <alignment horizontal="right" vertical="bottom"/>
    </xf>
    <xf borderId="26" fillId="0" fontId="11" numFmtId="0" xfId="0" applyAlignment="1" applyBorder="1" applyFont="1">
      <alignment vertical="bottom"/>
    </xf>
    <xf borderId="8" fillId="0" fontId="11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2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28" fillId="0" fontId="3" numFmtId="0" xfId="0" applyAlignment="1" applyBorder="1" applyFont="1">
      <alignment horizontal="right" vertical="bottom"/>
    </xf>
    <xf borderId="29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28" fillId="0" fontId="3" numFmtId="0" xfId="0" applyAlignment="1" applyBorder="1" applyFont="1">
      <alignment vertical="bottom"/>
    </xf>
    <xf borderId="22" fillId="0" fontId="3" numFmtId="0" xfId="0" applyAlignment="1" applyBorder="1" applyFont="1">
      <alignment vertical="bottom"/>
    </xf>
    <xf borderId="23" fillId="4" fontId="3" numFmtId="0" xfId="0" applyAlignment="1" applyBorder="1" applyFont="1">
      <alignment horizontal="right" vertical="bottom"/>
    </xf>
    <xf borderId="24" fillId="0" fontId="3" numFmtId="0" xfId="0" applyAlignment="1" applyBorder="1" applyFont="1">
      <alignment horizontal="right" vertical="bottom"/>
    </xf>
    <xf borderId="22" fillId="0" fontId="3" numFmtId="0" xfId="0" applyAlignment="1" applyBorder="1" applyFont="1">
      <alignment horizontal="right" vertical="bottom"/>
    </xf>
    <xf borderId="23" fillId="0" fontId="3" numFmtId="4" xfId="0" applyAlignment="1" applyBorder="1" applyFont="1" applyNumberFormat="1">
      <alignment horizontal="right" vertical="bottom"/>
    </xf>
    <xf borderId="25" fillId="0" fontId="3" numFmtId="0" xfId="0" applyAlignment="1" applyBorder="1" applyFont="1">
      <alignment horizontal="right" vertical="bottom"/>
    </xf>
    <xf borderId="13" fillId="7" fontId="12" numFmtId="0" xfId="0" applyAlignment="1" applyBorder="1" applyFont="1">
      <alignment vertical="bottom"/>
    </xf>
    <xf borderId="13" fillId="0" fontId="10" numFmtId="4" xfId="0" applyAlignment="1" applyBorder="1" applyFont="1" applyNumberFormat="1">
      <alignment horizontal="right" vertical="bottom"/>
    </xf>
    <xf borderId="30" fillId="0" fontId="7" numFmtId="0" xfId="0" applyAlignment="1" applyBorder="1" applyFont="1">
      <alignment vertical="bottom"/>
    </xf>
    <xf borderId="31" fillId="0" fontId="7" numFmtId="3" xfId="0" applyAlignment="1" applyBorder="1" applyFont="1" applyNumberFormat="1">
      <alignment horizontal="right" vertical="bottom"/>
    </xf>
    <xf borderId="32" fillId="0" fontId="7" numFmtId="3" xfId="0" applyAlignment="1" applyBorder="1" applyFont="1" applyNumberFormat="1">
      <alignment horizontal="right" vertical="bottom"/>
    </xf>
    <xf borderId="31" fillId="0" fontId="9" numFmtId="0" xfId="0" applyAlignment="1" applyBorder="1" applyFont="1">
      <alignment horizontal="right" vertical="bottom"/>
    </xf>
    <xf borderId="13" fillId="0" fontId="3" numFmtId="4" xfId="0" applyAlignment="1" applyBorder="1" applyFont="1" applyNumberFormat="1">
      <alignment horizontal="right" vertical="bottom"/>
    </xf>
    <xf borderId="27" fillId="0" fontId="3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3" xfId="0" applyAlignment="1" applyBorder="1" applyFont="1" applyNumberFormat="1">
      <alignment horizontal="right" vertical="bottom"/>
    </xf>
    <xf borderId="33" fillId="0" fontId="1" numFmtId="3" xfId="0" applyAlignment="1" applyBorder="1" applyFont="1" applyNumberFormat="1">
      <alignment horizontal="right" vertical="bottom"/>
    </xf>
    <xf borderId="22" fillId="0" fontId="3" numFmtId="4" xfId="0" applyAlignment="1" applyBorder="1" applyFont="1" applyNumberFormat="1">
      <alignment horizontal="right" vertical="bottom"/>
    </xf>
    <xf borderId="25" fillId="0" fontId="3" numFmtId="4" xfId="0" applyAlignment="1" applyBorder="1" applyFont="1" applyNumberFormat="1">
      <alignment horizontal="right" vertical="bottom"/>
    </xf>
    <xf borderId="34" fillId="0" fontId="3" numFmtId="164" xfId="0" applyAlignment="1" applyBorder="1" applyFont="1" applyNumberFormat="1">
      <alignment vertical="bottom"/>
    </xf>
    <xf borderId="1" fillId="8" fontId="1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right" vertical="bottom"/>
    </xf>
    <xf borderId="35" fillId="0" fontId="8" numFmtId="0" xfId="0" applyAlignment="1" applyBorder="1" applyFont="1">
      <alignment vertical="bottom"/>
    </xf>
    <xf borderId="36" fillId="0" fontId="7" numFmtId="0" xfId="0" applyAlignment="1" applyBorder="1" applyFont="1">
      <alignment vertical="bottom"/>
    </xf>
    <xf borderId="11" fillId="0" fontId="7" numFmtId="0" xfId="0" applyAlignment="1" applyBorder="1" applyFont="1">
      <alignment horizontal="right" vertical="bottom"/>
    </xf>
    <xf borderId="12" fillId="0" fontId="7" numFmtId="0" xfId="0" applyAlignment="1" applyBorder="1" applyFont="1">
      <alignment horizontal="right" vertical="bottom"/>
    </xf>
    <xf borderId="10" fillId="0" fontId="7" numFmtId="0" xfId="0" applyAlignment="1" applyBorder="1" applyFont="1">
      <alignment horizontal="right" vertical="bottom"/>
    </xf>
    <xf borderId="26" fillId="0" fontId="13" numFmtId="0" xfId="0" applyAlignment="1" applyBorder="1" applyFont="1">
      <alignment readingOrder="0" vertical="bottom"/>
    </xf>
    <xf borderId="17" fillId="0" fontId="8" numFmtId="4" xfId="0" applyAlignment="1" applyBorder="1" applyFont="1" applyNumberFormat="1">
      <alignment horizontal="right" vertical="bottom"/>
    </xf>
    <xf borderId="17" fillId="0" fontId="7" numFmtId="3" xfId="0" applyAlignment="1" applyBorder="1" applyFont="1" applyNumberFormat="1">
      <alignment horizontal="right" vertical="bottom"/>
    </xf>
    <xf borderId="18" fillId="0" fontId="7" numFmtId="3" xfId="0" applyAlignment="1" applyBorder="1" applyFont="1" applyNumberFormat="1">
      <alignment horizontal="right" vertical="bottom"/>
    </xf>
    <xf borderId="16" fillId="0" fontId="7" numFmtId="3" xfId="0" applyAlignment="1" applyBorder="1" applyFont="1" applyNumberFormat="1">
      <alignment horizontal="right" vertical="bottom"/>
    </xf>
    <xf borderId="17" fillId="0" fontId="7" numFmtId="4" xfId="0" applyAlignment="1" applyBorder="1" applyFont="1" applyNumberFormat="1">
      <alignment horizontal="right" vertical="bottom"/>
    </xf>
    <xf borderId="26" fillId="0" fontId="13" numFmtId="0" xfId="0" applyAlignment="1" applyBorder="1" applyFont="1">
      <alignment vertical="bottom"/>
    </xf>
    <xf borderId="17" fillId="0" fontId="8" numFmtId="3" xfId="0" applyAlignment="1" applyBorder="1" applyFont="1" applyNumberFormat="1">
      <alignment horizontal="right" vertical="bottom"/>
    </xf>
    <xf borderId="17" fillId="0" fontId="7" numFmtId="0" xfId="0" applyAlignment="1" applyBorder="1" applyFont="1">
      <alignment horizontal="right" vertical="bottom"/>
    </xf>
    <xf borderId="37" fillId="0" fontId="8" numFmtId="0" xfId="0" applyAlignment="1" applyBorder="1" applyFont="1">
      <alignment vertical="bottom"/>
    </xf>
    <xf borderId="38" fillId="0" fontId="7" numFmtId="0" xfId="0" applyAlignment="1" applyBorder="1" applyFont="1">
      <alignment vertical="bottom"/>
    </xf>
    <xf borderId="39" fillId="0" fontId="8" numFmtId="0" xfId="0" applyAlignment="1" applyBorder="1" applyFont="1">
      <alignment vertical="bottom"/>
    </xf>
    <xf borderId="40" fillId="0" fontId="8" numFmtId="0" xfId="0" applyAlignment="1" applyBorder="1" applyFont="1">
      <alignment horizontal="right" vertical="bottom"/>
    </xf>
    <xf borderId="41" fillId="9" fontId="3" numFmtId="0" xfId="0" applyAlignment="1" applyBorder="1" applyFill="1" applyFont="1">
      <alignment vertical="bottom"/>
    </xf>
    <xf borderId="5" fillId="0" fontId="7" numFmtId="0" xfId="0" applyAlignment="1" applyBorder="1" applyFont="1">
      <alignment vertical="bottom"/>
    </xf>
    <xf borderId="17" fillId="0" fontId="3" numFmtId="3" xfId="0" applyAlignment="1" applyBorder="1" applyFont="1" applyNumberFormat="1">
      <alignment vertical="bottom"/>
    </xf>
    <xf borderId="18" fillId="0" fontId="3" numFmtId="3" xfId="0" applyAlignment="1" applyBorder="1" applyFont="1" applyNumberFormat="1">
      <alignment vertical="bottom"/>
    </xf>
    <xf borderId="9" fillId="10" fontId="1" numFmtId="0" xfId="0" applyAlignment="1" applyBorder="1" applyFill="1" applyFont="1">
      <alignment vertical="bottom"/>
    </xf>
    <xf borderId="9" fillId="10" fontId="1" numFmtId="3" xfId="0" applyAlignment="1" applyBorder="1" applyFont="1" applyNumberFormat="1">
      <alignment horizontal="right" vertical="bottom"/>
    </xf>
    <xf borderId="0" fillId="3" fontId="2" numFmtId="10" xfId="0" applyFont="1" applyNumberFormat="1"/>
    <xf borderId="42" fillId="0" fontId="7" numFmtId="0" xfId="0" applyAlignment="1" applyBorder="1" applyFont="1">
      <alignment vertical="bottom"/>
    </xf>
    <xf borderId="18" fillId="0" fontId="7" numFmtId="0" xfId="0" applyAlignment="1" applyBorder="1" applyFont="1">
      <alignment horizontal="right" vertical="bottom"/>
    </xf>
    <xf borderId="43" fillId="0" fontId="7" numFmtId="0" xfId="0" applyAlignment="1" applyBorder="1" applyFont="1">
      <alignment vertical="bottom"/>
    </xf>
    <xf borderId="44" fillId="0" fontId="7" numFmtId="3" xfId="0" applyAlignment="1" applyBorder="1" applyFont="1" applyNumberFormat="1">
      <alignment horizontal="right" vertical="bottom"/>
    </xf>
    <xf borderId="45" fillId="0" fontId="7" numFmtId="3" xfId="0" applyAlignment="1" applyBorder="1" applyFont="1" applyNumberFormat="1">
      <alignment horizontal="right" vertical="bottom"/>
    </xf>
    <xf borderId="44" fillId="0" fontId="7" numFmtId="4" xfId="0" applyAlignment="1" applyBorder="1" applyFont="1" applyNumberFormat="1">
      <alignment horizontal="right" vertical="bottom"/>
    </xf>
    <xf borderId="9" fillId="11" fontId="1" numFmtId="0" xfId="0" applyAlignment="1" applyBorder="1" applyFill="1" applyFont="1">
      <alignment vertical="bottom"/>
    </xf>
    <xf borderId="9" fillId="11" fontId="1" numFmtId="3" xfId="0" applyAlignment="1" applyBorder="1" applyFont="1" applyNumberFormat="1">
      <alignment horizontal="right" vertical="bottom"/>
    </xf>
    <xf borderId="46" fillId="12" fontId="7" numFmtId="0" xfId="0" applyAlignment="1" applyBorder="1" applyFill="1" applyFont="1">
      <alignment horizontal="center" vertical="bottom"/>
    </xf>
    <xf borderId="47" fillId="0" fontId="4" numFmtId="0" xfId="0" applyBorder="1" applyFont="1"/>
    <xf borderId="48" fillId="0" fontId="4" numFmtId="0" xfId="0" applyBorder="1" applyFont="1"/>
    <xf borderId="1" fillId="13" fontId="1" numFmtId="0" xfId="0" applyAlignment="1" applyBorder="1" applyFill="1" applyFont="1">
      <alignment horizontal="center" vertical="bottom"/>
    </xf>
    <xf borderId="49" fillId="0" fontId="1" numFmtId="0" xfId="0" applyAlignment="1" applyBorder="1" applyFont="1">
      <alignment horizontal="right" vertical="bottom"/>
    </xf>
    <xf borderId="10" fillId="0" fontId="7" numFmtId="2" xfId="0" applyAlignment="1" applyBorder="1" applyFont="1" applyNumberFormat="1">
      <alignment vertical="bottom"/>
    </xf>
    <xf borderId="11" fillId="0" fontId="7" numFmtId="2" xfId="0" applyAlignment="1" applyBorder="1" applyFont="1" applyNumberFormat="1">
      <alignment horizontal="right" vertical="bottom"/>
    </xf>
    <xf borderId="12" fillId="0" fontId="7" numFmtId="2" xfId="0" applyAlignment="1" applyBorder="1" applyFont="1" applyNumberFormat="1">
      <alignment horizontal="right" vertical="bottom"/>
    </xf>
    <xf borderId="16" fillId="0" fontId="7" numFmtId="2" xfId="0" applyAlignment="1" applyBorder="1" applyFont="1" applyNumberFormat="1">
      <alignment vertical="bottom"/>
    </xf>
    <xf borderId="17" fillId="0" fontId="7" numFmtId="2" xfId="0" applyAlignment="1" applyBorder="1" applyFont="1" applyNumberFormat="1">
      <alignment horizontal="right" vertical="bottom"/>
    </xf>
    <xf borderId="18" fillId="0" fontId="7" numFmtId="2" xfId="0" applyAlignment="1" applyBorder="1" applyFont="1" applyNumberFormat="1">
      <alignment horizontal="right" vertical="bottom"/>
    </xf>
    <xf borderId="50" fillId="0" fontId="7" numFmtId="2" xfId="0" applyAlignment="1" applyBorder="1" applyFont="1" applyNumberFormat="1">
      <alignment vertical="bottom"/>
    </xf>
    <xf borderId="40" fillId="0" fontId="7" numFmtId="2" xfId="0" applyAlignment="1" applyBorder="1" applyFont="1" applyNumberFormat="1">
      <alignment horizontal="right" vertical="bottom"/>
    </xf>
    <xf borderId="51" fillId="0" fontId="7" numFmtId="2" xfId="0" applyAlignment="1" applyBorder="1" applyFont="1" applyNumberFormat="1">
      <alignment horizontal="right" vertical="bottom"/>
    </xf>
    <xf borderId="52" fillId="4" fontId="3" numFmtId="0" xfId="0" applyAlignment="1" applyBorder="1" applyFont="1">
      <alignment vertical="bottom"/>
    </xf>
    <xf borderId="53" fillId="13" fontId="1" numFmtId="0" xfId="0" applyAlignment="1" applyBorder="1" applyFont="1">
      <alignment horizontal="center" vertical="bottom"/>
    </xf>
    <xf borderId="54" fillId="0" fontId="4" numFmtId="0" xfId="0" applyBorder="1" applyFont="1"/>
    <xf borderId="55" fillId="0" fontId="4" numFmtId="0" xfId="0" applyBorder="1" applyFont="1"/>
    <xf borderId="11" fillId="0" fontId="8" numFmtId="0" xfId="0" applyAlignment="1" applyBorder="1" applyFont="1">
      <alignment vertical="bottom"/>
    </xf>
    <xf borderId="10" fillId="0" fontId="8" numFmtId="10" xfId="0" applyAlignment="1" applyBorder="1" applyFont="1" applyNumberFormat="1">
      <alignment horizontal="right" vertical="bottom"/>
    </xf>
    <xf borderId="11" fillId="0" fontId="8" numFmtId="10" xfId="0" applyAlignment="1" applyBorder="1" applyFont="1" applyNumberFormat="1">
      <alignment horizontal="right" vertical="bottom"/>
    </xf>
    <xf borderId="44" fillId="0" fontId="8" numFmtId="0" xfId="0" applyAlignment="1" applyBorder="1" applyFont="1">
      <alignment vertical="bottom"/>
    </xf>
    <xf borderId="56" fillId="0" fontId="8" numFmtId="10" xfId="0" applyAlignment="1" applyBorder="1" applyFont="1" applyNumberFormat="1">
      <alignment horizontal="right" vertical="bottom"/>
    </xf>
    <xf borderId="44" fillId="0" fontId="8" numFmtId="10" xfId="0" applyAlignment="1" applyBorder="1" applyFont="1" applyNumberFormat="1">
      <alignment horizontal="right" vertical="bottom"/>
    </xf>
    <xf borderId="26" fillId="4" fontId="7" numFmtId="0" xfId="0" applyAlignment="1" applyBorder="1" applyFont="1">
      <alignment vertical="bottom"/>
    </xf>
    <xf borderId="26" fillId="4" fontId="7" numFmtId="0" xfId="0" applyAlignment="1" applyBorder="1" applyFont="1">
      <alignment readingOrder="0" vertical="bottom"/>
    </xf>
    <xf borderId="26" fillId="3" fontId="2" numFmtId="10" xfId="0" applyBorder="1" applyFont="1" applyNumberFormat="1"/>
    <xf borderId="8" fillId="3" fontId="2" numFmtId="10" xfId="0" applyBorder="1" applyFont="1" applyNumberFormat="1"/>
    <xf borderId="22" fillId="4" fontId="7" numFmtId="0" xfId="0" applyAlignment="1" applyBorder="1" applyFont="1">
      <alignment vertical="bottom"/>
    </xf>
    <xf borderId="22" fillId="0" fontId="8" numFmtId="10" xfId="0" applyAlignment="1" applyBorder="1" applyFont="1" applyNumberFormat="1">
      <alignment horizontal="right" vertical="bottom"/>
    </xf>
    <xf borderId="23" fillId="0" fontId="8" numFmtId="10" xfId="0" applyAlignment="1" applyBorder="1" applyFont="1" applyNumberFormat="1">
      <alignment horizontal="right" vertical="bottom"/>
    </xf>
    <xf borderId="13" fillId="13" fontId="1" numFmtId="0" xfId="0" applyAlignment="1" applyBorder="1" applyFont="1">
      <alignment horizontal="center" vertical="bottom"/>
    </xf>
    <xf borderId="6" fillId="0" fontId="4" numFmtId="0" xfId="0" applyBorder="1" applyFont="1"/>
    <xf borderId="27" fillId="0" fontId="4" numFmtId="0" xfId="0" applyBorder="1" applyFont="1"/>
    <xf borderId="9" fillId="0" fontId="3" numFmtId="0" xfId="0" applyAlignment="1" applyBorder="1" applyFont="1">
      <alignment vertical="bottom"/>
    </xf>
    <xf borderId="9" fillId="0" fontId="13" numFmtId="0" xfId="0" applyAlignment="1" applyBorder="1" applyFont="1">
      <alignment horizontal="right" vertical="bottom"/>
    </xf>
    <xf borderId="12" fillId="0" fontId="8" numFmtId="10" xfId="0" applyAlignment="1" applyBorder="1" applyFont="1" applyNumberFormat="1">
      <alignment horizontal="right" vertical="bottom"/>
    </xf>
    <xf borderId="56" fillId="0" fontId="8" numFmtId="0" xfId="0" applyAlignment="1" applyBorder="1" applyFont="1">
      <alignment vertical="bottom"/>
    </xf>
    <xf borderId="45" fillId="0" fontId="8" numFmtId="10" xfId="0" applyAlignment="1" applyBorder="1" applyFont="1" applyNumberFormat="1">
      <alignment horizontal="right" vertical="bottom"/>
    </xf>
    <xf borderId="23" fillId="0" fontId="8" numFmtId="2" xfId="0" applyAlignment="1" applyBorder="1" applyFont="1" applyNumberFormat="1">
      <alignment vertical="bottom"/>
    </xf>
    <xf borderId="24" fillId="0" fontId="8" numFmtId="2" xfId="0" applyAlignment="1" applyBorder="1" applyFont="1" applyNumberFormat="1">
      <alignment vertical="bottom"/>
    </xf>
    <xf borderId="57" fillId="0" fontId="8" numFmtId="0" xfId="0" applyAlignment="1" applyBorder="1" applyFont="1">
      <alignment vertical="bottom"/>
    </xf>
    <xf borderId="13" fillId="0" fontId="1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8" fillId="0" fontId="3" numFmtId="2" xfId="0" applyAlignment="1" applyBorder="1" applyFont="1" applyNumberFormat="1">
      <alignment vertical="bottom"/>
    </xf>
    <xf borderId="0" fillId="0" fontId="3" numFmtId="2" xfId="0" applyAlignment="1" applyFont="1" applyNumberFormat="1">
      <alignment vertical="bottom"/>
    </xf>
    <xf borderId="8" fillId="0" fontId="3" numFmtId="165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22" fillId="0" fontId="13" numFmtId="0" xfId="0" applyAlignment="1" applyBorder="1" applyFont="1">
      <alignment vertical="bottom"/>
    </xf>
    <xf borderId="24" fillId="0" fontId="3" numFmtId="4" xfId="0" applyAlignment="1" applyBorder="1" applyFont="1" applyNumberFormat="1">
      <alignment horizontal="right" vertical="bottom"/>
    </xf>
    <xf borderId="0" fillId="2" fontId="1" numFmtId="0" xfId="0" applyAlignment="1" applyFont="1">
      <alignment horizontal="center" readingOrder="0" vertical="bottom"/>
    </xf>
    <xf borderId="20" fillId="0" fontId="7" numFmtId="3" xfId="0" applyAlignment="1" applyBorder="1" applyFont="1" applyNumberFormat="1">
      <alignment horizontal="right" readingOrder="0" vertical="bottom"/>
    </xf>
    <xf borderId="14" fillId="0" fontId="1" numFmtId="3" xfId="0" applyAlignment="1" applyBorder="1" applyFont="1" applyNumberFormat="1">
      <alignment horizontal="right" readingOrder="0" vertical="bottom"/>
    </xf>
    <xf borderId="20" fillId="0" fontId="1" numFmtId="3" xfId="0" applyAlignment="1" applyBorder="1" applyFont="1" applyNumberFormat="1">
      <alignment horizontal="right" readingOrder="0" vertical="bottom"/>
    </xf>
    <xf borderId="13" fillId="0" fontId="10" numFmtId="1" xfId="0" applyAlignment="1" applyBorder="1" applyFont="1" applyNumberFormat="1">
      <alignment horizontal="right" vertical="bottom"/>
    </xf>
    <xf borderId="5" fillId="0" fontId="10" numFmtId="1" xfId="0" applyAlignment="1" applyBorder="1" applyFont="1" applyNumberFormat="1">
      <alignment horizontal="right" vertical="bottom"/>
    </xf>
    <xf borderId="14" fillId="0" fontId="7" numFmtId="3" xfId="0" applyAlignment="1" applyBorder="1" applyFont="1" applyNumberFormat="1">
      <alignment horizontal="right" readingOrder="0" vertical="bottom"/>
    </xf>
    <xf borderId="58" fillId="0" fontId="7" numFmtId="3" xfId="0" applyAlignment="1" applyBorder="1" applyFont="1" applyNumberFormat="1">
      <alignment horizontal="right" readingOrder="0" vertical="bottom"/>
    </xf>
    <xf borderId="59" fillId="4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23" fillId="0" fontId="3" numFmtId="0" xfId="0" applyAlignment="1" applyBorder="1" applyFont="1">
      <alignment vertical="bottom"/>
    </xf>
    <xf borderId="26" fillId="0" fontId="3" numFmtId="2" xfId="0" applyAlignment="1" applyBorder="1" applyFont="1" applyNumberFormat="1">
      <alignment horizontal="right" vertical="bottom"/>
    </xf>
    <xf borderId="41" fillId="9" fontId="3" numFmtId="3" xfId="0" applyAlignment="1" applyBorder="1" applyFont="1" applyNumberFormat="1">
      <alignment vertical="bottom"/>
    </xf>
    <xf borderId="0" fillId="0" fontId="14" numFmtId="0" xfId="0" applyAlignment="1" applyFont="1">
      <alignment vertical="bottom"/>
    </xf>
    <xf borderId="60" fillId="0" fontId="7" numFmtId="0" xfId="0" applyAlignment="1" applyBorder="1" applyFont="1">
      <alignment vertical="bottom"/>
    </xf>
    <xf borderId="37" fillId="6" fontId="15" numFmtId="0" xfId="0" applyAlignment="1" applyBorder="1" applyFont="1">
      <alignment vertical="bottom"/>
    </xf>
    <xf borderId="37" fillId="6" fontId="16" numFmtId="0" xfId="0" applyAlignment="1" applyBorder="1" applyFont="1">
      <alignment vertical="bottom"/>
    </xf>
    <xf borderId="61" fillId="6" fontId="16" numFmtId="0" xfId="0" applyAlignment="1" applyBorder="1" applyFont="1">
      <alignment vertical="bottom"/>
    </xf>
    <xf borderId="62" fillId="6" fontId="16" numFmtId="0" xfId="0" applyAlignment="1" applyBorder="1" applyFont="1">
      <alignment vertical="bottom"/>
    </xf>
    <xf borderId="63" fillId="0" fontId="7" numFmtId="0" xfId="0" applyAlignment="1" applyBorder="1" applyFont="1">
      <alignment vertical="bottom"/>
    </xf>
    <xf borderId="64" fillId="0" fontId="7" numFmtId="0" xfId="0" applyAlignment="1" applyBorder="1" applyFont="1">
      <alignment vertical="bottom"/>
    </xf>
    <xf borderId="65" fillId="13" fontId="1" numFmtId="0" xfId="0" applyAlignment="1" applyBorder="1" applyFont="1">
      <alignment horizontal="center" vertical="bottom"/>
    </xf>
    <xf borderId="66" fillId="0" fontId="4" numFmtId="0" xfId="0" applyBorder="1" applyFont="1"/>
    <xf borderId="67" fillId="0" fontId="4" numFmtId="0" xfId="0" applyBorder="1" applyFont="1"/>
    <xf borderId="26" fillId="0" fontId="2" numFmtId="2" xfId="0" applyBorder="1" applyFont="1" applyNumberFormat="1"/>
    <xf borderId="8" fillId="0" fontId="2" numFmtId="2" xfId="0" applyBorder="1" applyFont="1" applyNumberFormat="1"/>
    <xf borderId="68" fillId="0" fontId="8" numFmtId="0" xfId="0" applyAlignment="1" applyBorder="1" applyFont="1">
      <alignment vertical="bottom"/>
    </xf>
    <xf borderId="22" fillId="0" fontId="13" numFmtId="0" xfId="0" applyAlignment="1" applyBorder="1" applyFont="1">
      <alignment readingOrder="0" vertical="bottom"/>
    </xf>
    <xf borderId="11" fillId="0" fontId="8" numFmtId="3" xfId="0" applyAlignment="1" applyBorder="1" applyFont="1" applyNumberFormat="1">
      <alignment horizontal="right" vertical="bottom"/>
    </xf>
    <xf borderId="12" fillId="0" fontId="8" numFmtId="3" xfId="0" applyAlignment="1" applyBorder="1" applyFont="1" applyNumberFormat="1">
      <alignment horizontal="right" vertical="bottom"/>
    </xf>
    <xf borderId="17" fillId="0" fontId="16" numFmtId="3" xfId="0" applyAlignment="1" applyBorder="1" applyFont="1" applyNumberFormat="1">
      <alignment horizontal="right" readingOrder="0"/>
    </xf>
    <xf borderId="18" fillId="0" fontId="16" numFmtId="3" xfId="0" applyAlignment="1" applyBorder="1" applyFont="1" applyNumberFormat="1">
      <alignment horizontal="right" readingOrder="0"/>
    </xf>
    <xf borderId="23" fillId="0" fontId="8" numFmtId="3" xfId="0" applyAlignment="1" applyBorder="1" applyFont="1" applyNumberFormat="1">
      <alignment horizontal="right" vertical="bottom"/>
    </xf>
    <xf borderId="24" fillId="0" fontId="8" numFmtId="3" xfId="0" applyAlignment="1" applyBorder="1" applyFont="1" applyNumberFormat="1">
      <alignment horizontal="right" vertical="bottom"/>
    </xf>
    <xf borderId="69" fillId="0" fontId="17" numFmtId="3" xfId="0" applyAlignment="1" applyBorder="1" applyFont="1" applyNumberFormat="1">
      <alignment horizontal="right" readingOrder="0"/>
    </xf>
    <xf borderId="5" fillId="0" fontId="1" numFmtId="3" xfId="0" applyAlignment="1" applyBorder="1" applyFont="1" applyNumberFormat="1">
      <alignment horizontal="right" readingOrder="0" vertical="bottom"/>
    </xf>
    <xf borderId="62" fillId="0" fontId="17" numFmtId="3" xfId="0" applyAlignment="1" applyBorder="1" applyFont="1" applyNumberFormat="1">
      <alignment horizontal="right" readingOrder="0"/>
    </xf>
    <xf borderId="69" fillId="0" fontId="18" numFmtId="3" xfId="0" applyAlignment="1" applyBorder="1" applyFont="1" applyNumberFormat="1">
      <alignment horizontal="right" readingOrder="0"/>
    </xf>
    <xf borderId="9" fillId="0" fontId="1" numFmtId="3" xfId="0" applyAlignment="1" applyBorder="1" applyFont="1" applyNumberFormat="1">
      <alignment horizontal="right" readingOrder="0" vertical="bottom"/>
    </xf>
    <xf borderId="70" fillId="0" fontId="7" numFmtId="3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10" xfId="0" applyAlignment="1" applyFont="1" applyNumberFormat="1">
      <alignment vertical="bottom"/>
    </xf>
    <xf borderId="0" fillId="14" fontId="2" numFmtId="0" xfId="0" applyFill="1" applyFont="1"/>
    <xf borderId="0" fillId="15" fontId="19" numFmtId="0" xfId="0" applyAlignment="1" applyFill="1" applyFont="1">
      <alignment horizontal="center" readingOrder="0"/>
    </xf>
    <xf borderId="0" fillId="16" fontId="20" numFmtId="0" xfId="0" applyAlignment="1" applyFill="1" applyFont="1">
      <alignment horizontal="center" readingOrder="0"/>
    </xf>
    <xf borderId="0" fillId="12" fontId="20" numFmtId="0" xfId="0" applyAlignment="1" applyFont="1">
      <alignment horizontal="center" readingOrder="0"/>
    </xf>
    <xf borderId="0" fillId="17" fontId="19" numFmtId="0" xfId="0" applyAlignment="1" applyFill="1" applyFont="1">
      <alignment horizontal="center" readingOrder="0"/>
    </xf>
    <xf borderId="0" fillId="18" fontId="19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2" numFmtId="165" xfId="0" applyFont="1" applyNumberFormat="1"/>
    <xf borderId="0" fillId="0" fontId="2" numFmtId="2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'Liquidity Graphs'!$A$2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'Liquidity Graphs'!$B$1:$F$1</c:f>
            </c:strRef>
          </c:cat>
          <c:val>
            <c:numRef>
              <c:f>'Liquidity Graphs'!$B$2:$F$2</c:f>
              <c:numCache/>
            </c:numRef>
          </c:val>
          <c:smooth val="0"/>
        </c:ser>
        <c:ser>
          <c:idx val="1"/>
          <c:order val="1"/>
          <c:tx>
            <c:strRef>
              <c:f>'Liquidity Graphs'!$A$3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'Liquidity Graphs'!$B$1:$F$1</c:f>
            </c:strRef>
          </c:cat>
          <c:val>
            <c:numRef>
              <c:f>'Liquidity Graphs'!$B$3:$F$3</c:f>
              <c:numCache/>
            </c:numRef>
          </c:val>
          <c:smooth val="0"/>
        </c:ser>
        <c:ser>
          <c:idx val="2"/>
          <c:order val="2"/>
          <c:tx>
            <c:strRef>
              <c:f>'Liquidity Graphs'!$A$4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'Liquidity Graphs'!$B$1:$F$1</c:f>
            </c:strRef>
          </c:cat>
          <c:val>
            <c:numRef>
              <c:f>'Liquidity Graphs'!$B$4:$F$4</c:f>
              <c:numCache/>
            </c:numRef>
          </c:val>
          <c:smooth val="0"/>
        </c:ser>
        <c:ser>
          <c:idx val="3"/>
          <c:order val="3"/>
          <c:tx>
            <c:strRef>
              <c:f>'Liquidity Graphs'!$A$5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'Liquidity Graphs'!$B$1:$F$1</c:f>
            </c:strRef>
          </c:cat>
          <c:val>
            <c:numRef>
              <c:f>'Liquidity Graphs'!$B$5:$F$5</c:f>
              <c:numCache/>
            </c:numRef>
          </c:val>
          <c:smooth val="0"/>
        </c:ser>
        <c:axId val="34631802"/>
        <c:axId val="204641932"/>
      </c:lineChart>
      <c:catAx>
        <c:axId val="34631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41932"/>
      </c:catAx>
      <c:valAx>
        <c:axId val="2046419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Ratio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31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'Liquidity Graphs'!$A$19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'Liquidity Graphs'!$B$18:$F$18</c:f>
            </c:strRef>
          </c:cat>
          <c:val>
            <c:numRef>
              <c:f>'Liquidity Graphs'!$B$19:$F$19</c:f>
              <c:numCache/>
            </c:numRef>
          </c:val>
          <c:smooth val="0"/>
        </c:ser>
        <c:ser>
          <c:idx val="1"/>
          <c:order val="1"/>
          <c:tx>
            <c:strRef>
              <c:f>'Liquidity Graphs'!$A$20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'Liquidity Graphs'!$B$18:$F$18</c:f>
            </c:strRef>
          </c:cat>
          <c:val>
            <c:numRef>
              <c:f>'Liquidity Graphs'!$B$20:$F$20</c:f>
              <c:numCache/>
            </c:numRef>
          </c:val>
          <c:smooth val="0"/>
        </c:ser>
        <c:ser>
          <c:idx val="2"/>
          <c:order val="2"/>
          <c:tx>
            <c:strRef>
              <c:f>'Liquidity Graphs'!$A$21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'Liquidity Graphs'!$B$18:$F$18</c:f>
            </c:strRef>
          </c:cat>
          <c:val>
            <c:numRef>
              <c:f>'Liquidity Graphs'!$B$21:$F$21</c:f>
              <c:numCache/>
            </c:numRef>
          </c:val>
          <c:smooth val="0"/>
        </c:ser>
        <c:ser>
          <c:idx val="3"/>
          <c:order val="3"/>
          <c:tx>
            <c:strRef>
              <c:f>'Liquidity Graphs'!$A$22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'Liquidity Graphs'!$B$18:$F$18</c:f>
            </c:strRef>
          </c:cat>
          <c:val>
            <c:numRef>
              <c:f>'Liquidity Graphs'!$B$22:$F$22</c:f>
              <c:numCache/>
            </c:numRef>
          </c:val>
          <c:smooth val="0"/>
        </c:ser>
        <c:axId val="50882842"/>
        <c:axId val="1812805840"/>
      </c:lineChart>
      <c:catAx>
        <c:axId val="50882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805840"/>
      </c:catAx>
      <c:valAx>
        <c:axId val="181280584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Ratio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82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Ratio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'Liquidity Graphs'!$A$36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'Liquidity Graphs'!$B$35:$F$35</c:f>
            </c:strRef>
          </c:cat>
          <c:val>
            <c:numRef>
              <c:f>'Liquidity Graphs'!$B$36:$F$36</c:f>
              <c:numCache/>
            </c:numRef>
          </c:val>
          <c:smooth val="0"/>
        </c:ser>
        <c:ser>
          <c:idx val="1"/>
          <c:order val="1"/>
          <c:tx>
            <c:strRef>
              <c:f>'Liquidity Graphs'!$A$37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'Liquidity Graphs'!$B$35:$F$35</c:f>
            </c:strRef>
          </c:cat>
          <c:val>
            <c:numRef>
              <c:f>'Liquidity Graphs'!$B$37:$F$37</c:f>
              <c:numCache/>
            </c:numRef>
          </c:val>
          <c:smooth val="0"/>
        </c:ser>
        <c:ser>
          <c:idx val="2"/>
          <c:order val="2"/>
          <c:tx>
            <c:strRef>
              <c:f>'Liquidity Graphs'!$A$38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'Liquidity Graphs'!$B$35:$F$35</c:f>
            </c:strRef>
          </c:cat>
          <c:val>
            <c:numRef>
              <c:f>'Liquidity Graphs'!$B$38:$F$38</c:f>
              <c:numCache/>
            </c:numRef>
          </c:val>
          <c:smooth val="0"/>
        </c:ser>
        <c:ser>
          <c:idx val="3"/>
          <c:order val="3"/>
          <c:tx>
            <c:strRef>
              <c:f>'Liquidity Graphs'!$A$39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'Liquidity Graphs'!$B$35:$F$35</c:f>
            </c:strRef>
          </c:cat>
          <c:val>
            <c:numRef>
              <c:f>'Liquidity Graphs'!$B$39:$F$39</c:f>
              <c:numCache/>
            </c:numRef>
          </c:val>
          <c:smooth val="0"/>
        </c:ser>
        <c:axId val="440030356"/>
        <c:axId val="887230280"/>
      </c:lineChart>
      <c:catAx>
        <c:axId val="440030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230280"/>
      </c:catAx>
      <c:valAx>
        <c:axId val="88723028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Quick Ratio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030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Operating Profit Margin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'Efficiency Graphs'!$A$2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'Efficiency Graphs'!$B$1:$F$1</c:f>
            </c:strRef>
          </c:cat>
          <c:val>
            <c:numRef>
              <c:f>'Efficiency Graphs'!$B$2:$F$2</c:f>
              <c:numCache/>
            </c:numRef>
          </c:val>
          <c:smooth val="0"/>
        </c:ser>
        <c:ser>
          <c:idx val="1"/>
          <c:order val="1"/>
          <c:tx>
            <c:strRef>
              <c:f>'Efficiency Graphs'!$A$3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'Efficiency Graphs'!$B$1:$F$1</c:f>
            </c:strRef>
          </c:cat>
          <c:val>
            <c:numRef>
              <c:f>'Efficiency Graphs'!$B$3:$F$3</c:f>
              <c:numCache/>
            </c:numRef>
          </c:val>
          <c:smooth val="0"/>
        </c:ser>
        <c:ser>
          <c:idx val="2"/>
          <c:order val="2"/>
          <c:tx>
            <c:strRef>
              <c:f>'Efficiency Graphs'!$A$4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'Efficiency Graphs'!$B$1:$F$1</c:f>
            </c:strRef>
          </c:cat>
          <c:val>
            <c:numRef>
              <c:f>'Efficiency Graphs'!$B$4:$F$4</c:f>
              <c:numCache/>
            </c:numRef>
          </c:val>
          <c:smooth val="0"/>
        </c:ser>
        <c:ser>
          <c:idx val="3"/>
          <c:order val="3"/>
          <c:tx>
            <c:strRef>
              <c:f>'Efficiency Graphs'!$A$5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'Efficiency Graphs'!$B$1:$F$1</c:f>
            </c:strRef>
          </c:cat>
          <c:val>
            <c:numRef>
              <c:f>'Efficiency Graphs'!$B$5:$F$5</c:f>
              <c:numCache/>
            </c:numRef>
          </c:val>
          <c:smooth val="0"/>
        </c:ser>
        <c:axId val="2009102329"/>
        <c:axId val="1822392387"/>
      </c:lineChart>
      <c:catAx>
        <c:axId val="2009102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392387"/>
      </c:catAx>
      <c:valAx>
        <c:axId val="1822392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Operating Profit Margin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102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on Sales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'Efficiency Graphs'!$A$18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'Efficiency Graphs'!$B$17:$F$17</c:f>
            </c:strRef>
          </c:cat>
          <c:val>
            <c:numRef>
              <c:f>'Efficiency Graphs'!$B$18:$F$18</c:f>
              <c:numCache/>
            </c:numRef>
          </c:val>
          <c:smooth val="0"/>
        </c:ser>
        <c:ser>
          <c:idx val="1"/>
          <c:order val="1"/>
          <c:tx>
            <c:strRef>
              <c:f>'Efficiency Graphs'!$A$19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'Efficiency Graphs'!$B$17:$F$17</c:f>
            </c:strRef>
          </c:cat>
          <c:val>
            <c:numRef>
              <c:f>'Efficiency Graphs'!$B$19:$F$19</c:f>
              <c:numCache/>
            </c:numRef>
          </c:val>
          <c:smooth val="0"/>
        </c:ser>
        <c:ser>
          <c:idx val="2"/>
          <c:order val="2"/>
          <c:tx>
            <c:strRef>
              <c:f>'Efficiency Graphs'!$A$20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'Efficiency Graphs'!$B$17:$F$17</c:f>
            </c:strRef>
          </c:cat>
          <c:val>
            <c:numRef>
              <c:f>'Efficiency Graphs'!$B$20:$F$20</c:f>
              <c:numCache/>
            </c:numRef>
          </c:val>
          <c:smooth val="0"/>
        </c:ser>
        <c:ser>
          <c:idx val="3"/>
          <c:order val="3"/>
          <c:tx>
            <c:strRef>
              <c:f>'Efficiency Graphs'!$A$21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'Efficiency Graphs'!$B$17:$F$17</c:f>
            </c:strRef>
          </c:cat>
          <c:val>
            <c:numRef>
              <c:f>'Efficiency Graphs'!$B$21:$F$21</c:f>
              <c:numCache/>
            </c:numRef>
          </c:val>
          <c:smooth val="0"/>
        </c:ser>
        <c:axId val="2132223176"/>
        <c:axId val="1443339975"/>
      </c:lineChart>
      <c:catAx>
        <c:axId val="2132223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339975"/>
      </c:catAx>
      <c:valAx>
        <c:axId val="1443339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Return on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223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on Total Assets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'Efficiency Graphs'!$A$34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'Efficiency Graphs'!$B$33:$F$33</c:f>
            </c:strRef>
          </c:cat>
          <c:val>
            <c:numRef>
              <c:f>'Efficiency Graphs'!$B$34:$F$34</c:f>
              <c:numCache/>
            </c:numRef>
          </c:val>
          <c:smooth val="0"/>
        </c:ser>
        <c:ser>
          <c:idx val="1"/>
          <c:order val="1"/>
          <c:tx>
            <c:strRef>
              <c:f>'Efficiency Graphs'!$A$35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'Efficiency Graphs'!$B$33:$F$33</c:f>
            </c:strRef>
          </c:cat>
          <c:val>
            <c:numRef>
              <c:f>'Efficiency Graphs'!$B$35:$F$35</c:f>
              <c:numCache/>
            </c:numRef>
          </c:val>
          <c:smooth val="0"/>
        </c:ser>
        <c:ser>
          <c:idx val="2"/>
          <c:order val="2"/>
          <c:tx>
            <c:strRef>
              <c:f>'Efficiency Graphs'!$A$36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'Efficiency Graphs'!$B$33:$F$33</c:f>
            </c:strRef>
          </c:cat>
          <c:val>
            <c:numRef>
              <c:f>'Efficiency Graphs'!$B$36:$F$36</c:f>
              <c:numCache/>
            </c:numRef>
          </c:val>
          <c:smooth val="0"/>
        </c:ser>
        <c:ser>
          <c:idx val="3"/>
          <c:order val="3"/>
          <c:tx>
            <c:strRef>
              <c:f>'Efficiency Graphs'!$A$37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'Efficiency Graphs'!$B$33:$F$33</c:f>
            </c:strRef>
          </c:cat>
          <c:val>
            <c:numRef>
              <c:f>'Efficiency Graphs'!$B$37:$F$37</c:f>
              <c:numCache/>
            </c:numRef>
          </c:val>
          <c:smooth val="0"/>
        </c:ser>
        <c:axId val="2128030534"/>
        <c:axId val="677271734"/>
      </c:lineChart>
      <c:catAx>
        <c:axId val="2128030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271734"/>
      </c:catAx>
      <c:valAx>
        <c:axId val="677271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Return on Total Assets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030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on Investment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'Efficiency Graphs'!$A$50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'Efficiency Graphs'!$B$49:$F$49</c:f>
            </c:strRef>
          </c:cat>
          <c:val>
            <c:numRef>
              <c:f>'Efficiency Graphs'!$B$50:$F$50</c:f>
              <c:numCache/>
            </c:numRef>
          </c:val>
          <c:smooth val="0"/>
        </c:ser>
        <c:ser>
          <c:idx val="1"/>
          <c:order val="1"/>
          <c:tx>
            <c:strRef>
              <c:f>'Efficiency Graphs'!$A$51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'Efficiency Graphs'!$B$49:$F$49</c:f>
            </c:strRef>
          </c:cat>
          <c:val>
            <c:numRef>
              <c:f>'Efficiency Graphs'!$B$51:$F$51</c:f>
              <c:numCache/>
            </c:numRef>
          </c:val>
          <c:smooth val="0"/>
        </c:ser>
        <c:ser>
          <c:idx val="2"/>
          <c:order val="2"/>
          <c:tx>
            <c:strRef>
              <c:f>'Efficiency Graphs'!$A$52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'Efficiency Graphs'!$B$49:$F$49</c:f>
            </c:strRef>
          </c:cat>
          <c:val>
            <c:numRef>
              <c:f>'Efficiency Graphs'!$B$52:$F$52</c:f>
              <c:numCache/>
            </c:numRef>
          </c:val>
          <c:smooth val="0"/>
        </c:ser>
        <c:ser>
          <c:idx val="3"/>
          <c:order val="3"/>
          <c:tx>
            <c:strRef>
              <c:f>'Efficiency Graphs'!$A$53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'Efficiency Graphs'!$B$49:$F$49</c:f>
            </c:strRef>
          </c:cat>
          <c:val>
            <c:numRef>
              <c:f>'Efficiency Graphs'!$B$53:$F$53</c:f>
              <c:numCache/>
            </c:numRef>
          </c:val>
          <c:smooth val="0"/>
        </c:ser>
        <c:axId val="1534973631"/>
        <c:axId val="667110833"/>
      </c:lineChart>
      <c:catAx>
        <c:axId val="153497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110833"/>
      </c:catAx>
      <c:valAx>
        <c:axId val="667110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Return on Investment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973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on Equity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'Efficiency Graphs'!$A$66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'Efficiency Graphs'!$B$65:$F$65</c:f>
            </c:strRef>
          </c:cat>
          <c:val>
            <c:numRef>
              <c:f>'Efficiency Graphs'!$B$66:$F$66</c:f>
              <c:numCache/>
            </c:numRef>
          </c:val>
          <c:smooth val="0"/>
        </c:ser>
        <c:ser>
          <c:idx val="1"/>
          <c:order val="1"/>
          <c:tx>
            <c:strRef>
              <c:f>'Efficiency Graphs'!$A$67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'Efficiency Graphs'!$B$65:$F$65</c:f>
            </c:strRef>
          </c:cat>
          <c:val>
            <c:numRef>
              <c:f>'Efficiency Graphs'!$B$67:$F$67</c:f>
              <c:numCache/>
            </c:numRef>
          </c:val>
          <c:smooth val="0"/>
        </c:ser>
        <c:ser>
          <c:idx val="2"/>
          <c:order val="2"/>
          <c:tx>
            <c:strRef>
              <c:f>'Efficiency Graphs'!$A$68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'Efficiency Graphs'!$B$65:$F$65</c:f>
            </c:strRef>
          </c:cat>
          <c:val>
            <c:numRef>
              <c:f>'Efficiency Graphs'!$B$68:$F$68</c:f>
              <c:numCache/>
            </c:numRef>
          </c:val>
          <c:smooth val="0"/>
        </c:ser>
        <c:ser>
          <c:idx val="3"/>
          <c:order val="3"/>
          <c:tx>
            <c:strRef>
              <c:f>'Efficiency Graphs'!$A$69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'Efficiency Graphs'!$B$65:$F$65</c:f>
            </c:strRef>
          </c:cat>
          <c:val>
            <c:numRef>
              <c:f>'Efficiency Graphs'!$B$69:$F$69</c:f>
              <c:numCache/>
            </c:numRef>
          </c:val>
          <c:smooth val="0"/>
        </c:ser>
        <c:axId val="1015171610"/>
        <c:axId val="447608481"/>
      </c:lineChart>
      <c:catAx>
        <c:axId val="1015171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608481"/>
      </c:catAx>
      <c:valAx>
        <c:axId val="447608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Return on Equity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171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Growth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'Efficiency Graphs'!$A$82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'Efficiency Graphs'!$B$81:$F$81</c:f>
            </c:strRef>
          </c:cat>
          <c:val>
            <c:numRef>
              <c:f>'Efficiency Graphs'!$B$82:$F$82</c:f>
              <c:numCache/>
            </c:numRef>
          </c:val>
          <c:smooth val="0"/>
        </c:ser>
        <c:ser>
          <c:idx val="1"/>
          <c:order val="1"/>
          <c:tx>
            <c:strRef>
              <c:f>'Efficiency Graphs'!$A$83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'Efficiency Graphs'!$B$81:$F$81</c:f>
            </c:strRef>
          </c:cat>
          <c:val>
            <c:numRef>
              <c:f>'Efficiency Graphs'!$B$83:$F$83</c:f>
              <c:numCache/>
            </c:numRef>
          </c:val>
          <c:smooth val="0"/>
        </c:ser>
        <c:ser>
          <c:idx val="2"/>
          <c:order val="2"/>
          <c:tx>
            <c:strRef>
              <c:f>'Efficiency Graphs'!$A$84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'Efficiency Graphs'!$B$81:$F$81</c:f>
            </c:strRef>
          </c:cat>
          <c:val>
            <c:numRef>
              <c:f>'Efficiency Graphs'!$B$84:$F$84</c:f>
              <c:numCache/>
            </c:numRef>
          </c:val>
          <c:smooth val="0"/>
        </c:ser>
        <c:ser>
          <c:idx val="3"/>
          <c:order val="3"/>
          <c:tx>
            <c:strRef>
              <c:f>'Efficiency Graphs'!$A$85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'Efficiency Graphs'!$B$81:$F$81</c:f>
            </c:strRef>
          </c:cat>
          <c:val>
            <c:numRef>
              <c:f>'Efficiency Graphs'!$B$85:$F$85</c:f>
              <c:numCache/>
            </c:numRef>
          </c:val>
          <c:smooth val="0"/>
        </c:ser>
        <c:axId val="1481881034"/>
        <c:axId val="1729548838"/>
      </c:lineChart>
      <c:catAx>
        <c:axId val="1481881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548838"/>
      </c:catAx>
      <c:valAx>
        <c:axId val="1729548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Growth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881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Debt-to-Asset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'Debt Graphs'!$A$2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'Debt Graphs'!$B$1:$F$1</c:f>
            </c:strRef>
          </c:cat>
          <c:val>
            <c:numRef>
              <c:f>'Debt Graphs'!$B$2:$F$2</c:f>
              <c:numCache/>
            </c:numRef>
          </c:val>
          <c:smooth val="0"/>
        </c:ser>
        <c:ser>
          <c:idx val="1"/>
          <c:order val="1"/>
          <c:tx>
            <c:strRef>
              <c:f>'Debt Graphs'!$A$3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'Debt Graphs'!$B$1:$F$1</c:f>
            </c:strRef>
          </c:cat>
          <c:val>
            <c:numRef>
              <c:f>'Debt Graphs'!$B$3:$F$3</c:f>
              <c:numCache/>
            </c:numRef>
          </c:val>
          <c:smooth val="0"/>
        </c:ser>
        <c:ser>
          <c:idx val="2"/>
          <c:order val="2"/>
          <c:tx>
            <c:strRef>
              <c:f>'Debt Graphs'!$A$4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'Debt Graphs'!$B$1:$F$1</c:f>
            </c:strRef>
          </c:cat>
          <c:val>
            <c:numRef>
              <c:f>'Debt Graphs'!$B$4:$F$4</c:f>
              <c:numCache/>
            </c:numRef>
          </c:val>
          <c:smooth val="0"/>
        </c:ser>
        <c:ser>
          <c:idx val="3"/>
          <c:order val="3"/>
          <c:tx>
            <c:strRef>
              <c:f>'Debt Graphs'!$A$5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'Debt Graphs'!$B$1:$F$1</c:f>
            </c:strRef>
          </c:cat>
          <c:val>
            <c:numRef>
              <c:f>'Debt Graphs'!$B$5:$F$5</c:f>
              <c:numCache/>
            </c:numRef>
          </c:val>
          <c:smooth val="0"/>
        </c:ser>
        <c:axId val="601536917"/>
        <c:axId val="35359310"/>
      </c:lineChart>
      <c:catAx>
        <c:axId val="601536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59310"/>
      </c:catAx>
      <c:valAx>
        <c:axId val="35359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Debt-to-Asset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536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Debt-to-Equity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'Debt Graphs'!$A$18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'Debt Graphs'!$B$17:$F$17</c:f>
            </c:strRef>
          </c:cat>
          <c:val>
            <c:numRef>
              <c:f>'Debt Graphs'!$B$18:$F$18</c:f>
              <c:numCache/>
            </c:numRef>
          </c:val>
          <c:smooth val="0"/>
        </c:ser>
        <c:ser>
          <c:idx val="1"/>
          <c:order val="1"/>
          <c:tx>
            <c:strRef>
              <c:f>'Debt Graphs'!$A$19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'Debt Graphs'!$B$17:$F$17</c:f>
            </c:strRef>
          </c:cat>
          <c:val>
            <c:numRef>
              <c:f>'Debt Graphs'!$B$19:$F$19</c:f>
              <c:numCache/>
            </c:numRef>
          </c:val>
          <c:smooth val="0"/>
        </c:ser>
        <c:ser>
          <c:idx val="2"/>
          <c:order val="2"/>
          <c:tx>
            <c:strRef>
              <c:f>'Debt Graphs'!$A$20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'Debt Graphs'!$B$17:$F$17</c:f>
            </c:strRef>
          </c:cat>
          <c:val>
            <c:numRef>
              <c:f>'Debt Graphs'!$B$20:$F$20</c:f>
              <c:numCache/>
            </c:numRef>
          </c:val>
          <c:smooth val="0"/>
        </c:ser>
        <c:ser>
          <c:idx val="3"/>
          <c:order val="3"/>
          <c:tx>
            <c:strRef>
              <c:f>'Debt Graphs'!$A$21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'Debt Graphs'!$B$17:$F$17</c:f>
            </c:strRef>
          </c:cat>
          <c:val>
            <c:numRef>
              <c:f>'Debt Graphs'!$B$21:$F$21</c:f>
              <c:numCache/>
            </c:numRef>
          </c:val>
          <c:smooth val="0"/>
        </c:ser>
        <c:axId val="1225407511"/>
        <c:axId val="332975378"/>
      </c:lineChart>
      <c:catAx>
        <c:axId val="1225407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975378"/>
      </c:catAx>
      <c:valAx>
        <c:axId val="332975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Debt-to-Equity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407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Debt-to-Capitalization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'Debt Graphs'!$A$34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'Debt Graphs'!$B$33:$F$33</c:f>
            </c:strRef>
          </c:cat>
          <c:val>
            <c:numRef>
              <c:f>'Debt Graphs'!$B$34:$F$34</c:f>
              <c:numCache/>
            </c:numRef>
          </c:val>
          <c:smooth val="0"/>
        </c:ser>
        <c:ser>
          <c:idx val="1"/>
          <c:order val="1"/>
          <c:tx>
            <c:strRef>
              <c:f>'Debt Graphs'!$A$35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'Debt Graphs'!$B$33:$F$33</c:f>
            </c:strRef>
          </c:cat>
          <c:val>
            <c:numRef>
              <c:f>'Debt Graphs'!$B$35:$F$35</c:f>
              <c:numCache/>
            </c:numRef>
          </c:val>
          <c:smooth val="0"/>
        </c:ser>
        <c:ser>
          <c:idx val="2"/>
          <c:order val="2"/>
          <c:tx>
            <c:strRef>
              <c:f>'Debt Graphs'!$A$36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'Debt Graphs'!$B$33:$F$33</c:f>
            </c:strRef>
          </c:cat>
          <c:val>
            <c:numRef>
              <c:f>'Debt Graphs'!$B$36:$F$36</c:f>
              <c:numCache/>
            </c:numRef>
          </c:val>
          <c:smooth val="0"/>
        </c:ser>
        <c:ser>
          <c:idx val="3"/>
          <c:order val="3"/>
          <c:tx>
            <c:strRef>
              <c:f>'Debt Graphs'!$A$37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'Debt Graphs'!$B$33:$F$33</c:f>
            </c:strRef>
          </c:cat>
          <c:val>
            <c:numRef>
              <c:f>'Debt Graphs'!$B$37:$F$37</c:f>
              <c:numCache/>
            </c:numRef>
          </c:val>
          <c:smooth val="0"/>
        </c:ser>
        <c:axId val="1250379439"/>
        <c:axId val="702298699"/>
      </c:lineChart>
      <c:catAx>
        <c:axId val="1250379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298699"/>
      </c:catAx>
      <c:valAx>
        <c:axId val="702298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Debt-to-Capitalization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379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Interest Coverage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'Debt Graphs'!$A$50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'Debt Graphs'!$B$49:$F$49</c:f>
            </c:strRef>
          </c:cat>
          <c:val>
            <c:numRef>
              <c:f>'Debt Graphs'!$B$50:$F$50</c:f>
              <c:numCache/>
            </c:numRef>
          </c:val>
          <c:smooth val="0"/>
        </c:ser>
        <c:ser>
          <c:idx val="1"/>
          <c:order val="1"/>
          <c:tx>
            <c:strRef>
              <c:f>'Debt Graphs'!$A$51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'Debt Graphs'!$B$49:$F$49</c:f>
            </c:strRef>
          </c:cat>
          <c:val>
            <c:numRef>
              <c:f>'Debt Graphs'!$B$51:$F$51</c:f>
              <c:numCache/>
            </c:numRef>
          </c:val>
          <c:smooth val="0"/>
        </c:ser>
        <c:ser>
          <c:idx val="2"/>
          <c:order val="2"/>
          <c:tx>
            <c:strRef>
              <c:f>'Debt Graphs'!$A$52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'Debt Graphs'!$B$49:$F$49</c:f>
            </c:strRef>
          </c:cat>
          <c:val>
            <c:numRef>
              <c:f>'Debt Graphs'!$B$52:$F$52</c:f>
              <c:numCache/>
            </c:numRef>
          </c:val>
          <c:smooth val="0"/>
        </c:ser>
        <c:ser>
          <c:idx val="3"/>
          <c:order val="3"/>
          <c:tx>
            <c:strRef>
              <c:f>'Debt Graphs'!$A$53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'Debt Graphs'!$B$49:$F$49</c:f>
            </c:strRef>
          </c:cat>
          <c:val>
            <c:numRef>
              <c:f>'Debt Graphs'!$B$53:$F$53</c:f>
              <c:numCache/>
            </c:numRef>
          </c:val>
          <c:smooth val="0"/>
        </c:ser>
        <c:axId val="1851188501"/>
        <c:axId val="1366667139"/>
      </c:lineChart>
      <c:catAx>
        <c:axId val="1851188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667139"/>
      </c:catAx>
      <c:valAx>
        <c:axId val="1366667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Interest Coverage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188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Fixed Asset Turnover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'Profitability Graphs'!$A$2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'Profitability Graphs'!$B$1:$F$1</c:f>
            </c:strRef>
          </c:cat>
          <c:val>
            <c:numRef>
              <c:f>'Profitability Graphs'!$B$2:$F$2</c:f>
              <c:numCache/>
            </c:numRef>
          </c:val>
          <c:smooth val="0"/>
        </c:ser>
        <c:ser>
          <c:idx val="1"/>
          <c:order val="1"/>
          <c:tx>
            <c:strRef>
              <c:f>'Profitability Graphs'!$A$3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'Profitability Graphs'!$B$1:$F$1</c:f>
            </c:strRef>
          </c:cat>
          <c:val>
            <c:numRef>
              <c:f>'Profitability Graphs'!$B$3:$F$3</c:f>
              <c:numCache/>
            </c:numRef>
          </c:val>
          <c:smooth val="0"/>
        </c:ser>
        <c:ser>
          <c:idx val="2"/>
          <c:order val="2"/>
          <c:tx>
            <c:strRef>
              <c:f>'Profitability Graphs'!$A$4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'Profitability Graphs'!$B$1:$F$1</c:f>
            </c:strRef>
          </c:cat>
          <c:val>
            <c:numRef>
              <c:f>'Profitability Graphs'!$B$4:$F$4</c:f>
              <c:numCache/>
            </c:numRef>
          </c:val>
          <c:smooth val="0"/>
        </c:ser>
        <c:ser>
          <c:idx val="3"/>
          <c:order val="3"/>
          <c:tx>
            <c:strRef>
              <c:f>'Profitability Graphs'!$A$5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'Profitability Graphs'!$B$1:$F$1</c:f>
            </c:strRef>
          </c:cat>
          <c:val>
            <c:numRef>
              <c:f>'Profitability Graphs'!$B$5:$F$5</c:f>
              <c:numCache/>
            </c:numRef>
          </c:val>
          <c:smooth val="0"/>
        </c:ser>
        <c:axId val="1504391165"/>
        <c:axId val="1805627049"/>
      </c:lineChart>
      <c:catAx>
        <c:axId val="1504391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627049"/>
      </c:catAx>
      <c:valAx>
        <c:axId val="1805627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Fixed Asset Turnover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391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Days' Inventory on Hand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'Operating Graphs'!$A$2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'Operating Graphs'!$B$1:$F$1</c:f>
            </c:strRef>
          </c:cat>
          <c:val>
            <c:numRef>
              <c:f>'Operating Graphs'!$B$2:$F$2</c:f>
              <c:numCache/>
            </c:numRef>
          </c:val>
          <c:smooth val="0"/>
        </c:ser>
        <c:ser>
          <c:idx val="1"/>
          <c:order val="1"/>
          <c:tx>
            <c:strRef>
              <c:f>'Operating Graphs'!$A$3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'Operating Graphs'!$B$1:$F$1</c:f>
            </c:strRef>
          </c:cat>
          <c:val>
            <c:numRef>
              <c:f>'Operating Graphs'!$B$3:$F$3</c:f>
              <c:numCache/>
            </c:numRef>
          </c:val>
          <c:smooth val="0"/>
        </c:ser>
        <c:axId val="1294178538"/>
        <c:axId val="1575617461"/>
      </c:lineChart>
      <c:catAx>
        <c:axId val="1294178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617461"/>
      </c:catAx>
      <c:valAx>
        <c:axId val="1575617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Days' Inventory on Hand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178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Accounts Receivable Turnover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'Operating Graphs'!$A$18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'Operating Graphs'!$B$17:$F$17</c:f>
            </c:strRef>
          </c:cat>
          <c:val>
            <c:numRef>
              <c:f>'Operating Graphs'!$B$18:$F$18</c:f>
              <c:numCache/>
            </c:numRef>
          </c:val>
          <c:smooth val="0"/>
        </c:ser>
        <c:ser>
          <c:idx val="1"/>
          <c:order val="1"/>
          <c:tx>
            <c:strRef>
              <c:f>'Operating Graphs'!$A$19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'Operating Graphs'!$B$17:$F$17</c:f>
            </c:strRef>
          </c:cat>
          <c:val>
            <c:numRef>
              <c:f>'Operating Graphs'!$B$19:$F$19</c:f>
              <c:numCache/>
            </c:numRef>
          </c:val>
          <c:smooth val="0"/>
        </c:ser>
        <c:ser>
          <c:idx val="2"/>
          <c:order val="2"/>
          <c:tx>
            <c:strRef>
              <c:f>'Operating Graphs'!$A$20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'Operating Graphs'!$B$17:$F$17</c:f>
            </c:strRef>
          </c:cat>
          <c:val>
            <c:numRef>
              <c:f>'Operating Graphs'!$B$20:$F$20</c:f>
              <c:numCache/>
            </c:numRef>
          </c:val>
          <c:smooth val="0"/>
        </c:ser>
        <c:ser>
          <c:idx val="3"/>
          <c:order val="3"/>
          <c:tx>
            <c:strRef>
              <c:f>'Operating Graphs'!$A$21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'Operating Graphs'!$B$17:$F$17</c:f>
            </c:strRef>
          </c:cat>
          <c:val>
            <c:numRef>
              <c:f>'Operating Graphs'!$B$21:$F$21</c:f>
              <c:numCache/>
            </c:numRef>
          </c:val>
          <c:smooth val="0"/>
        </c:ser>
        <c:axId val="392427593"/>
        <c:axId val="1135829247"/>
      </c:lineChart>
      <c:catAx>
        <c:axId val="392427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829247"/>
      </c:catAx>
      <c:valAx>
        <c:axId val="1135829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Accounts Receivable Turnover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427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Accounts Receivable Days on Hand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'Operating Graphs'!$A$34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'Operating Graphs'!$B$33:$F$33</c:f>
            </c:strRef>
          </c:cat>
          <c:val>
            <c:numRef>
              <c:f>'Operating Graphs'!$B$34:$F$34</c:f>
              <c:numCache/>
            </c:numRef>
          </c:val>
          <c:smooth val="0"/>
        </c:ser>
        <c:ser>
          <c:idx val="1"/>
          <c:order val="1"/>
          <c:tx>
            <c:strRef>
              <c:f>'Operating Graphs'!$A$35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'Operating Graphs'!$B$33:$F$33</c:f>
            </c:strRef>
          </c:cat>
          <c:val>
            <c:numRef>
              <c:f>'Operating Graphs'!$B$35:$F$35</c:f>
              <c:numCache/>
            </c:numRef>
          </c:val>
          <c:smooth val="0"/>
        </c:ser>
        <c:ser>
          <c:idx val="2"/>
          <c:order val="2"/>
          <c:tx>
            <c:strRef>
              <c:f>'Operating Graphs'!$A$36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'Operating Graphs'!$B$33:$F$33</c:f>
            </c:strRef>
          </c:cat>
          <c:val>
            <c:numRef>
              <c:f>'Operating Graphs'!$B$36:$F$36</c:f>
              <c:numCache/>
            </c:numRef>
          </c:val>
          <c:smooth val="0"/>
        </c:ser>
        <c:ser>
          <c:idx val="3"/>
          <c:order val="3"/>
          <c:tx>
            <c:strRef>
              <c:f>'Operating Graphs'!$A$37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'Operating Graphs'!$B$33:$F$33</c:f>
            </c:strRef>
          </c:cat>
          <c:val>
            <c:numRef>
              <c:f>'Operating Graphs'!$B$37:$F$37</c:f>
              <c:numCache/>
            </c:numRef>
          </c:val>
          <c:smooth val="0"/>
        </c:ser>
        <c:axId val="1070663681"/>
        <c:axId val="850034820"/>
      </c:lineChart>
      <c:catAx>
        <c:axId val="1070663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034820"/>
      </c:catAx>
      <c:valAx>
        <c:axId val="850034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Accounts Receivable Days on Hand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663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Accounts Payable Turnover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'Operating Graphs'!$A$50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'Operating Graphs'!$B$49:$F$49</c:f>
            </c:strRef>
          </c:cat>
          <c:val>
            <c:numRef>
              <c:f>'Operating Graphs'!$B$50:$F$50</c:f>
              <c:numCache/>
            </c:numRef>
          </c:val>
          <c:smooth val="0"/>
        </c:ser>
        <c:ser>
          <c:idx val="1"/>
          <c:order val="1"/>
          <c:tx>
            <c:strRef>
              <c:f>'Operating Graphs'!$A$51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'Operating Graphs'!$B$49:$F$49</c:f>
            </c:strRef>
          </c:cat>
          <c:val>
            <c:numRef>
              <c:f>'Operating Graphs'!$B$51:$F$51</c:f>
              <c:numCache/>
            </c:numRef>
          </c:val>
          <c:smooth val="0"/>
        </c:ser>
        <c:ser>
          <c:idx val="2"/>
          <c:order val="2"/>
          <c:tx>
            <c:strRef>
              <c:f>'Operating Graphs'!$A$52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'Operating Graphs'!$B$49:$F$49</c:f>
            </c:strRef>
          </c:cat>
          <c:val>
            <c:numRef>
              <c:f>'Operating Graphs'!$B$52:$F$52</c:f>
              <c:numCache/>
            </c:numRef>
          </c:val>
          <c:smooth val="0"/>
        </c:ser>
        <c:ser>
          <c:idx val="3"/>
          <c:order val="3"/>
          <c:tx>
            <c:strRef>
              <c:f>'Operating Graphs'!$A$53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'Operating Graphs'!$B$49:$F$49</c:f>
            </c:strRef>
          </c:cat>
          <c:val>
            <c:numRef>
              <c:f>'Operating Graphs'!$B$53:$F$53</c:f>
              <c:numCache/>
            </c:numRef>
          </c:val>
          <c:smooth val="0"/>
        </c:ser>
        <c:axId val="720607930"/>
        <c:axId val="1546376963"/>
      </c:lineChart>
      <c:catAx>
        <c:axId val="720607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376963"/>
      </c:catAx>
      <c:valAx>
        <c:axId val="1546376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Accounts Payable Turnover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607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Accounts Payable Days on Hand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'Operating Graphs'!$A$66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'Operating Graphs'!$B$65:$F$65</c:f>
            </c:strRef>
          </c:cat>
          <c:val>
            <c:numRef>
              <c:f>'Operating Graphs'!$B$66:$F$66</c:f>
              <c:numCache/>
            </c:numRef>
          </c:val>
          <c:smooth val="0"/>
        </c:ser>
        <c:ser>
          <c:idx val="1"/>
          <c:order val="1"/>
          <c:tx>
            <c:strRef>
              <c:f>'Operating Graphs'!$A$67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'Operating Graphs'!$B$65:$F$65</c:f>
            </c:strRef>
          </c:cat>
          <c:val>
            <c:numRef>
              <c:f>'Operating Graphs'!$B$67:$F$67</c:f>
              <c:numCache/>
            </c:numRef>
          </c:val>
          <c:smooth val="0"/>
        </c:ser>
        <c:ser>
          <c:idx val="2"/>
          <c:order val="2"/>
          <c:tx>
            <c:strRef>
              <c:f>'Operating Graphs'!$A$68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'Operating Graphs'!$B$65:$F$65</c:f>
            </c:strRef>
          </c:cat>
          <c:val>
            <c:numRef>
              <c:f>'Operating Graphs'!$B$68:$F$68</c:f>
              <c:numCache/>
            </c:numRef>
          </c:val>
          <c:smooth val="0"/>
        </c:ser>
        <c:ser>
          <c:idx val="3"/>
          <c:order val="3"/>
          <c:tx>
            <c:strRef>
              <c:f>'Operating Graphs'!$A$69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'Operating Graphs'!$B$65:$F$65</c:f>
            </c:strRef>
          </c:cat>
          <c:val>
            <c:numRef>
              <c:f>'Operating Graphs'!$B$69:$F$69</c:f>
              <c:numCache/>
            </c:numRef>
          </c:val>
          <c:smooth val="0"/>
        </c:ser>
        <c:axId val="538506868"/>
        <c:axId val="1728669870"/>
      </c:lineChart>
      <c:catAx>
        <c:axId val="538506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669870"/>
      </c:catAx>
      <c:valAx>
        <c:axId val="1728669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Accounts Payable Days on Hand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506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Asset Turnover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'Operating Graphs'!$A$97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'Operating Graphs'!$B$96:$F$96</c:f>
            </c:strRef>
          </c:cat>
          <c:val>
            <c:numRef>
              <c:f>'Operating Graphs'!$B$97:$F$97</c:f>
              <c:numCache/>
            </c:numRef>
          </c:val>
          <c:smooth val="0"/>
        </c:ser>
        <c:ser>
          <c:idx val="1"/>
          <c:order val="1"/>
          <c:tx>
            <c:strRef>
              <c:f>'Operating Graphs'!$A$98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'Operating Graphs'!$B$96:$F$96</c:f>
            </c:strRef>
          </c:cat>
          <c:val>
            <c:numRef>
              <c:f>'Operating Graphs'!$B$98:$F$98</c:f>
              <c:numCache/>
            </c:numRef>
          </c:val>
          <c:smooth val="0"/>
        </c:ser>
        <c:ser>
          <c:idx val="2"/>
          <c:order val="2"/>
          <c:tx>
            <c:strRef>
              <c:f>'Operating Graphs'!$A$99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'Operating Graphs'!$B$96:$F$96</c:f>
            </c:strRef>
          </c:cat>
          <c:val>
            <c:numRef>
              <c:f>'Operating Graphs'!$B$99:$F$99</c:f>
              <c:numCache/>
            </c:numRef>
          </c:val>
          <c:smooth val="0"/>
        </c:ser>
        <c:ser>
          <c:idx val="3"/>
          <c:order val="3"/>
          <c:tx>
            <c:strRef>
              <c:f>'Operating Graphs'!$A$100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'Operating Graphs'!$B$96:$F$96</c:f>
            </c:strRef>
          </c:cat>
          <c:val>
            <c:numRef>
              <c:f>'Operating Graphs'!$B$100:$F$100</c:f>
              <c:numCache/>
            </c:numRef>
          </c:val>
          <c:smooth val="0"/>
        </c:ser>
        <c:axId val="499986346"/>
        <c:axId val="581014339"/>
      </c:lineChart>
      <c:catAx>
        <c:axId val="499986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014339"/>
      </c:catAx>
      <c:valAx>
        <c:axId val="581014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Asset Turnover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986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0</xdr:row>
      <xdr:rowOff>47625</xdr:rowOff>
    </xdr:from>
    <xdr:ext cx="4714875" cy="2933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904875</xdr:colOff>
      <xdr:row>0</xdr:row>
      <xdr:rowOff>47625</xdr:rowOff>
    </xdr:from>
    <xdr:ext cx="4714875" cy="2933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790575</xdr:colOff>
      <xdr:row>0</xdr:row>
      <xdr:rowOff>47625</xdr:rowOff>
    </xdr:from>
    <xdr:ext cx="4714875" cy="2933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0</xdr:row>
      <xdr:rowOff>28575</xdr:rowOff>
    </xdr:from>
    <xdr:ext cx="4657725" cy="2886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</xdr:colOff>
      <xdr:row>16</xdr:row>
      <xdr:rowOff>28575</xdr:rowOff>
    </xdr:from>
    <xdr:ext cx="4657725" cy="28860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857250</xdr:colOff>
      <xdr:row>16</xdr:row>
      <xdr:rowOff>28575</xdr:rowOff>
    </xdr:from>
    <xdr:ext cx="4657725" cy="28860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38100</xdr:colOff>
      <xdr:row>48</xdr:row>
      <xdr:rowOff>28575</xdr:rowOff>
    </xdr:from>
    <xdr:ext cx="4657725" cy="28860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857250</xdr:colOff>
      <xdr:row>48</xdr:row>
      <xdr:rowOff>28575</xdr:rowOff>
    </xdr:from>
    <xdr:ext cx="4657725" cy="28860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857250</xdr:colOff>
      <xdr:row>0</xdr:row>
      <xdr:rowOff>28575</xdr:rowOff>
    </xdr:from>
    <xdr:ext cx="4657725" cy="28860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0</xdr:row>
      <xdr:rowOff>19050</xdr:rowOff>
    </xdr:from>
    <xdr:ext cx="4686300" cy="29051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876300</xdr:colOff>
      <xdr:row>0</xdr:row>
      <xdr:rowOff>19050</xdr:rowOff>
    </xdr:from>
    <xdr:ext cx="4686300" cy="29051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28575</xdr:colOff>
      <xdr:row>32</xdr:row>
      <xdr:rowOff>38100</xdr:rowOff>
    </xdr:from>
    <xdr:ext cx="4686300" cy="29051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876300</xdr:colOff>
      <xdr:row>32</xdr:row>
      <xdr:rowOff>38100</xdr:rowOff>
    </xdr:from>
    <xdr:ext cx="4686300" cy="29051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28575</xdr:rowOff>
    </xdr:from>
    <xdr:ext cx="4705350" cy="29146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0</xdr:row>
      <xdr:rowOff>28575</xdr:rowOff>
    </xdr:from>
    <xdr:ext cx="4676775" cy="28956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</xdr:colOff>
      <xdr:row>16</xdr:row>
      <xdr:rowOff>28575</xdr:rowOff>
    </xdr:from>
    <xdr:ext cx="4676775" cy="28956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876300</xdr:colOff>
      <xdr:row>16</xdr:row>
      <xdr:rowOff>28575</xdr:rowOff>
    </xdr:from>
    <xdr:ext cx="4676775" cy="28956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38100</xdr:colOff>
      <xdr:row>48</xdr:row>
      <xdr:rowOff>28575</xdr:rowOff>
    </xdr:from>
    <xdr:ext cx="4676775" cy="28956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876300</xdr:colOff>
      <xdr:row>48</xdr:row>
      <xdr:rowOff>28575</xdr:rowOff>
    </xdr:from>
    <xdr:ext cx="4676775" cy="28956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876300</xdr:colOff>
      <xdr:row>0</xdr:row>
      <xdr:rowOff>28575</xdr:rowOff>
    </xdr:from>
    <xdr:ext cx="4676775" cy="28956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0"/>
    <col customWidth="1" min="8" max="8" width="57.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5"/>
      <c r="C3" s="5"/>
      <c r="D3" s="5"/>
      <c r="E3" s="5"/>
      <c r="F3" s="6"/>
      <c r="G3" s="7"/>
      <c r="H3" s="8" t="s">
        <v>2</v>
      </c>
      <c r="I3" s="9">
        <v>2024.0</v>
      </c>
      <c r="J3" s="10">
        <v>2023.0</v>
      </c>
      <c r="K3" s="9">
        <v>2022.0</v>
      </c>
      <c r="L3" s="10">
        <v>2021.0</v>
      </c>
      <c r="M3" s="9">
        <v>2020.0</v>
      </c>
      <c r="N3" s="7"/>
      <c r="O3" s="7"/>
      <c r="P3" s="7"/>
      <c r="Q3" s="7"/>
      <c r="R3" s="7"/>
      <c r="S3" s="2"/>
      <c r="T3" s="2"/>
      <c r="U3" s="2"/>
      <c r="V3" s="2"/>
      <c r="W3" s="2"/>
      <c r="X3" s="2"/>
      <c r="Y3" s="2"/>
      <c r="Z3" s="2"/>
    </row>
    <row r="4">
      <c r="A4" s="11"/>
      <c r="B4" s="12">
        <v>2024.0</v>
      </c>
      <c r="C4" s="12">
        <v>2023.0</v>
      </c>
      <c r="D4" s="12">
        <v>2022.0</v>
      </c>
      <c r="E4" s="12">
        <v>2021.0</v>
      </c>
      <c r="F4" s="13">
        <v>2020.0</v>
      </c>
      <c r="G4" s="7"/>
      <c r="H4" s="14" t="s">
        <v>3</v>
      </c>
      <c r="I4" s="15">
        <f t="shared" ref="I4:M4" si="1">B11</f>
        <v>3844</v>
      </c>
      <c r="J4" s="16">
        <f t="shared" si="1"/>
        <v>3924</v>
      </c>
      <c r="K4" s="15">
        <f t="shared" si="1"/>
        <v>3474</v>
      </c>
      <c r="L4" s="16">
        <f t="shared" si="1"/>
        <v>1758</v>
      </c>
      <c r="M4" s="15">
        <f t="shared" si="1"/>
        <v>777</v>
      </c>
      <c r="N4" s="7"/>
      <c r="O4" s="7"/>
      <c r="P4" s="7"/>
      <c r="Q4" s="7"/>
      <c r="R4" s="7"/>
      <c r="S4" s="2"/>
      <c r="T4" s="2"/>
      <c r="U4" s="2"/>
      <c r="V4" s="2"/>
      <c r="W4" s="2"/>
      <c r="X4" s="2"/>
      <c r="Y4" s="2"/>
      <c r="Z4" s="2"/>
    </row>
    <row r="5">
      <c r="A5" s="17" t="s">
        <v>4</v>
      </c>
      <c r="B5" s="18">
        <v>6618.0</v>
      </c>
      <c r="C5" s="19">
        <v>6300.0</v>
      </c>
      <c r="D5" s="18">
        <v>5356.0</v>
      </c>
      <c r="E5" s="19">
        <v>3415.0</v>
      </c>
      <c r="F5" s="20">
        <v>2119.0</v>
      </c>
      <c r="G5" s="7"/>
      <c r="H5" s="21" t="s">
        <v>5</v>
      </c>
      <c r="I5" s="22">
        <v>183.0</v>
      </c>
      <c r="J5" s="23">
        <v>189.0</v>
      </c>
      <c r="K5" s="22">
        <v>193.0</v>
      </c>
      <c r="L5" s="23">
        <v>192.0</v>
      </c>
      <c r="M5" s="22">
        <v>478.0</v>
      </c>
      <c r="N5" s="7"/>
      <c r="O5" s="7"/>
      <c r="P5" s="7"/>
      <c r="Q5" s="7"/>
      <c r="R5" s="7"/>
      <c r="S5" s="2"/>
      <c r="T5" s="2"/>
      <c r="U5" s="2"/>
      <c r="V5" s="2"/>
      <c r="W5" s="2"/>
      <c r="X5" s="2"/>
      <c r="Y5" s="2"/>
      <c r="Z5" s="2"/>
    </row>
    <row r="6">
      <c r="A6" s="24" t="s">
        <v>6</v>
      </c>
      <c r="B6" s="25">
        <v>1383.0</v>
      </c>
      <c r="C6" s="26">
        <v>1354.0</v>
      </c>
      <c r="D6" s="25">
        <v>1267.0</v>
      </c>
      <c r="E6" s="26">
        <v>954.0</v>
      </c>
      <c r="F6" s="27">
        <v>907.0</v>
      </c>
      <c r="G6" s="7"/>
      <c r="H6" s="28" t="s">
        <v>7</v>
      </c>
      <c r="I6" s="29">
        <f t="shared" ref="I6:M6" si="2">I4+I5</f>
        <v>4027</v>
      </c>
      <c r="J6" s="30">
        <f t="shared" si="2"/>
        <v>4113</v>
      </c>
      <c r="K6" s="29">
        <f t="shared" si="2"/>
        <v>3667</v>
      </c>
      <c r="L6" s="30">
        <f t="shared" si="2"/>
        <v>1950</v>
      </c>
      <c r="M6" s="29">
        <f t="shared" si="2"/>
        <v>1255</v>
      </c>
      <c r="N6" s="7"/>
      <c r="O6" s="7"/>
      <c r="P6" s="7"/>
      <c r="Q6" s="7"/>
      <c r="R6" s="7"/>
      <c r="S6" s="2"/>
      <c r="T6" s="2"/>
      <c r="U6" s="2"/>
      <c r="V6" s="2"/>
      <c r="W6" s="2"/>
      <c r="X6" s="2"/>
      <c r="Y6" s="2"/>
      <c r="Z6" s="2"/>
    </row>
    <row r="7">
      <c r="A7" s="31" t="s">
        <v>8</v>
      </c>
      <c r="B7" s="32">
        <f t="shared" ref="B7:F7" si="3">B5-B6</f>
        <v>5235</v>
      </c>
      <c r="C7" s="33">
        <f t="shared" si="3"/>
        <v>4946</v>
      </c>
      <c r="D7" s="32">
        <f t="shared" si="3"/>
        <v>4089</v>
      </c>
      <c r="E7" s="33">
        <f t="shared" si="3"/>
        <v>2461</v>
      </c>
      <c r="F7" s="32">
        <f t="shared" si="3"/>
        <v>1212</v>
      </c>
      <c r="G7" s="7"/>
      <c r="H7" s="34" t="s">
        <v>9</v>
      </c>
      <c r="I7" s="35">
        <v>1999.0</v>
      </c>
      <c r="J7" s="29">
        <v>2718.0</v>
      </c>
      <c r="K7" s="30">
        <v>2031.0</v>
      </c>
      <c r="L7" s="36">
        <v>994.0</v>
      </c>
      <c r="M7" s="37">
        <v>1504.0</v>
      </c>
      <c r="N7" s="7"/>
      <c r="O7" s="7"/>
      <c r="P7" s="7"/>
      <c r="Q7" s="7"/>
      <c r="R7" s="7"/>
      <c r="S7" s="2"/>
      <c r="T7" s="2"/>
      <c r="U7" s="2"/>
      <c r="V7" s="2"/>
      <c r="W7" s="2"/>
      <c r="X7" s="2"/>
      <c r="Y7" s="2"/>
      <c r="Z7" s="2"/>
    </row>
    <row r="8">
      <c r="A8" s="24" t="s">
        <v>10</v>
      </c>
      <c r="B8" s="25">
        <v>1074.0</v>
      </c>
      <c r="C8" s="26">
        <v>1011.0</v>
      </c>
      <c r="D8" s="25">
        <v>891.0</v>
      </c>
      <c r="E8" s="26">
        <v>823.0</v>
      </c>
      <c r="F8" s="27">
        <v>762.0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2"/>
      <c r="T8" s="2"/>
      <c r="U8" s="2"/>
      <c r="V8" s="2"/>
      <c r="W8" s="2"/>
      <c r="X8" s="2"/>
      <c r="Y8" s="2"/>
      <c r="Z8" s="2"/>
    </row>
    <row r="9">
      <c r="A9" s="24" t="s">
        <v>11</v>
      </c>
      <c r="B9" s="25">
        <v>317.0</v>
      </c>
      <c r="C9" s="26">
        <v>11.0</v>
      </c>
      <c r="D9" s="38">
        <v>-276.0</v>
      </c>
      <c r="E9" s="39">
        <v>-120.0</v>
      </c>
      <c r="F9" s="40">
        <v>-327.0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2"/>
      <c r="T9" s="2"/>
      <c r="U9" s="2"/>
      <c r="V9" s="2"/>
      <c r="W9" s="2"/>
      <c r="X9" s="2"/>
      <c r="Y9" s="2"/>
      <c r="Z9" s="2"/>
    </row>
    <row r="10">
      <c r="A10" s="24" t="s">
        <v>12</v>
      </c>
      <c r="B10" s="25">
        <f t="shared" ref="B10:F10" si="4">B8+B9</f>
        <v>1391</v>
      </c>
      <c r="C10" s="26">
        <f t="shared" si="4"/>
        <v>1022</v>
      </c>
      <c r="D10" s="25">
        <f t="shared" si="4"/>
        <v>615</v>
      </c>
      <c r="E10" s="26">
        <f t="shared" si="4"/>
        <v>703</v>
      </c>
      <c r="F10" s="25">
        <f t="shared" si="4"/>
        <v>435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2"/>
      <c r="T10" s="2"/>
      <c r="U10" s="2"/>
      <c r="V10" s="2"/>
      <c r="W10" s="2"/>
      <c r="X10" s="2"/>
      <c r="Y10" s="2"/>
      <c r="Z10" s="2"/>
    </row>
    <row r="11">
      <c r="A11" s="31" t="s">
        <v>13</v>
      </c>
      <c r="B11" s="32">
        <f t="shared" ref="B11:F11" si="5">B7-B10</f>
        <v>3844</v>
      </c>
      <c r="C11" s="33">
        <f t="shared" si="5"/>
        <v>3924</v>
      </c>
      <c r="D11" s="32">
        <f t="shared" si="5"/>
        <v>3474</v>
      </c>
      <c r="E11" s="33">
        <f t="shared" si="5"/>
        <v>1758</v>
      </c>
      <c r="F11" s="32">
        <f t="shared" si="5"/>
        <v>777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2"/>
      <c r="T11" s="2"/>
      <c r="U11" s="2"/>
      <c r="V11" s="2"/>
      <c r="W11" s="2"/>
      <c r="X11" s="2"/>
      <c r="Y11" s="2"/>
      <c r="Z11" s="2"/>
    </row>
    <row r="12">
      <c r="A12" s="24" t="s">
        <v>14</v>
      </c>
      <c r="B12" s="38">
        <v>-655.0</v>
      </c>
      <c r="C12" s="39">
        <v>-535.0</v>
      </c>
      <c r="D12" s="38">
        <v>-366.0</v>
      </c>
      <c r="E12" s="39">
        <v>-382.0</v>
      </c>
      <c r="F12" s="40">
        <v>-409.0</v>
      </c>
      <c r="G12" s="7"/>
      <c r="H12" s="41" t="s">
        <v>15</v>
      </c>
      <c r="I12" s="42">
        <f t="shared" ref="I12:M12" si="6">I13+I16</f>
        <v>694</v>
      </c>
      <c r="J12" s="42">
        <f t="shared" si="6"/>
        <v>646</v>
      </c>
      <c r="K12" s="42">
        <f t="shared" si="6"/>
        <v>842</v>
      </c>
      <c r="L12" s="43">
        <f t="shared" si="6"/>
        <v>1780</v>
      </c>
      <c r="M12" s="44">
        <f t="shared" si="6"/>
        <v>1299</v>
      </c>
      <c r="N12" s="7"/>
      <c r="O12" s="7"/>
      <c r="P12" s="7"/>
      <c r="Q12" s="7"/>
      <c r="R12" s="7"/>
      <c r="S12" s="2"/>
      <c r="T12" s="2"/>
      <c r="U12" s="2"/>
      <c r="V12" s="2"/>
      <c r="W12" s="2"/>
      <c r="X12" s="2"/>
      <c r="Y12" s="2"/>
      <c r="Z12" s="2"/>
    </row>
    <row r="13">
      <c r="A13" s="24" t="s">
        <v>16</v>
      </c>
      <c r="B13" s="25">
        <v>24.0</v>
      </c>
      <c r="C13" s="26">
        <v>24.0</v>
      </c>
      <c r="D13" s="45"/>
      <c r="E13" s="46"/>
      <c r="F13" s="47"/>
      <c r="G13" s="7"/>
      <c r="H13" s="48" t="s">
        <v>17</v>
      </c>
      <c r="I13" s="49">
        <v>298.0</v>
      </c>
      <c r="J13" s="49">
        <v>308.0</v>
      </c>
      <c r="K13" s="49">
        <v>335.0</v>
      </c>
      <c r="L13" s="50">
        <v>387.0</v>
      </c>
      <c r="M13" s="51">
        <v>422.0</v>
      </c>
      <c r="N13" s="7"/>
      <c r="O13" s="7"/>
      <c r="P13" s="7"/>
      <c r="Q13" s="7"/>
      <c r="R13" s="7"/>
      <c r="S13" s="2"/>
      <c r="T13" s="2"/>
      <c r="U13" s="2"/>
      <c r="V13" s="2"/>
      <c r="W13" s="2"/>
      <c r="X13" s="2"/>
      <c r="Y13" s="2"/>
      <c r="Z13" s="2"/>
    </row>
    <row r="14">
      <c r="A14" s="24" t="s">
        <v>18</v>
      </c>
      <c r="B14" s="25">
        <v>8.0</v>
      </c>
      <c r="C14" s="26">
        <v>9.0</v>
      </c>
      <c r="D14" s="25">
        <v>18.0</v>
      </c>
      <c r="E14" s="39">
        <v>-24.0</v>
      </c>
      <c r="F14" s="40">
        <v>-141.0</v>
      </c>
      <c r="G14" s="7"/>
      <c r="H14" s="52" t="s">
        <v>19</v>
      </c>
      <c r="I14" s="53">
        <v>298.0</v>
      </c>
      <c r="J14" s="54">
        <v>308.0</v>
      </c>
      <c r="K14" s="55">
        <v>335.0</v>
      </c>
      <c r="L14" s="56">
        <v>387.0</v>
      </c>
      <c r="M14" s="57">
        <v>422.0</v>
      </c>
      <c r="N14" s="7"/>
      <c r="O14" s="7"/>
      <c r="P14" s="7"/>
      <c r="Q14" s="7"/>
      <c r="R14" s="7"/>
      <c r="S14" s="2"/>
      <c r="T14" s="2"/>
      <c r="U14" s="2"/>
      <c r="V14" s="2"/>
      <c r="W14" s="2"/>
      <c r="X14" s="2"/>
      <c r="Y14" s="2"/>
      <c r="Z14" s="2"/>
    </row>
    <row r="15">
      <c r="A15" s="24" t="s">
        <v>20</v>
      </c>
      <c r="B15" s="25">
        <v>7.0</v>
      </c>
      <c r="C15" s="26">
        <v>16.0</v>
      </c>
      <c r="D15" s="45"/>
      <c r="E15" s="46"/>
      <c r="F15" s="47"/>
      <c r="G15" s="7"/>
      <c r="H15" s="52" t="s">
        <v>21</v>
      </c>
      <c r="I15" s="58"/>
      <c r="J15" s="7"/>
      <c r="K15" s="48"/>
      <c r="L15" s="59"/>
      <c r="M15" s="60"/>
      <c r="N15" s="7"/>
      <c r="O15" s="7"/>
      <c r="P15" s="7"/>
      <c r="Q15" s="7"/>
      <c r="R15" s="7"/>
      <c r="S15" s="2"/>
      <c r="T15" s="2"/>
      <c r="U15" s="2"/>
      <c r="V15" s="2"/>
      <c r="W15" s="2"/>
      <c r="X15" s="2"/>
      <c r="Y15" s="2"/>
      <c r="Z15" s="2"/>
    </row>
    <row r="16">
      <c r="A16" s="24" t="s">
        <v>22</v>
      </c>
      <c r="B16" s="25">
        <f t="shared" ref="B16:F16" si="7">B11+SUM(B12:B15)</f>
        <v>3228</v>
      </c>
      <c r="C16" s="26">
        <f t="shared" si="7"/>
        <v>3438</v>
      </c>
      <c r="D16" s="25">
        <f t="shared" si="7"/>
        <v>3126</v>
      </c>
      <c r="E16" s="26">
        <f t="shared" si="7"/>
        <v>1352</v>
      </c>
      <c r="F16" s="25">
        <f t="shared" si="7"/>
        <v>227</v>
      </c>
      <c r="G16" s="7"/>
      <c r="H16" s="61" t="s">
        <v>23</v>
      </c>
      <c r="I16" s="62">
        <v>396.0</v>
      </c>
      <c r="J16" s="63">
        <v>338.0</v>
      </c>
      <c r="K16" s="64">
        <v>507.0</v>
      </c>
      <c r="L16" s="65">
        <v>1393.0</v>
      </c>
      <c r="M16" s="66">
        <v>877.0</v>
      </c>
      <c r="N16" s="7"/>
      <c r="O16" s="7"/>
      <c r="P16" s="7"/>
      <c r="Q16" s="7"/>
      <c r="R16" s="7"/>
      <c r="S16" s="2"/>
      <c r="T16" s="2"/>
      <c r="U16" s="2"/>
      <c r="V16" s="2"/>
      <c r="W16" s="2"/>
      <c r="X16" s="2"/>
      <c r="Y16" s="2"/>
      <c r="Z16" s="2"/>
    </row>
    <row r="17">
      <c r="A17" s="24" t="s">
        <v>24</v>
      </c>
      <c r="B17" s="38">
        <v>-77.0</v>
      </c>
      <c r="C17" s="39">
        <v>-60.0</v>
      </c>
      <c r="D17" s="38">
        <v>-12.0</v>
      </c>
      <c r="E17" s="39">
        <v>-172.0</v>
      </c>
      <c r="F17" s="40">
        <v>-693.0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2"/>
      <c r="T17" s="2"/>
      <c r="U17" s="2"/>
      <c r="V17" s="2"/>
      <c r="W17" s="2"/>
      <c r="X17" s="2"/>
      <c r="Y17" s="2"/>
      <c r="Z17" s="2"/>
    </row>
    <row r="18">
      <c r="A18" s="31" t="s">
        <v>25</v>
      </c>
      <c r="B18" s="32">
        <f t="shared" ref="B18:F18" si="8">B16+B17</f>
        <v>3151</v>
      </c>
      <c r="C18" s="33">
        <f t="shared" si="8"/>
        <v>3378</v>
      </c>
      <c r="D18" s="32">
        <f t="shared" si="8"/>
        <v>3114</v>
      </c>
      <c r="E18" s="33">
        <f t="shared" si="8"/>
        <v>1180</v>
      </c>
      <c r="F18" s="32">
        <f t="shared" si="8"/>
        <v>-466</v>
      </c>
      <c r="G18" s="7"/>
      <c r="H18" s="67" t="s">
        <v>26</v>
      </c>
      <c r="I18" s="68">
        <f t="shared" ref="I18:M18" si="9">I19+I20</f>
        <v>14447</v>
      </c>
      <c r="J18" s="43">
        <f t="shared" si="9"/>
        <v>11873</v>
      </c>
      <c r="K18" s="68">
        <f t="shared" si="9"/>
        <v>10064</v>
      </c>
      <c r="L18" s="68">
        <f t="shared" si="9"/>
        <v>10138</v>
      </c>
      <c r="M18" s="43">
        <f t="shared" si="9"/>
        <v>10376</v>
      </c>
      <c r="N18" s="7"/>
      <c r="O18" s="7"/>
      <c r="P18" s="7"/>
      <c r="Q18" s="7"/>
      <c r="R18" s="7"/>
      <c r="S18" s="2"/>
      <c r="T18" s="2"/>
      <c r="U18" s="2"/>
      <c r="V18" s="2"/>
      <c r="W18" s="2"/>
      <c r="X18" s="2"/>
      <c r="Y18" s="2"/>
      <c r="Z18" s="2"/>
    </row>
    <row r="19">
      <c r="A19" s="69" t="s">
        <v>27</v>
      </c>
      <c r="B19" s="70">
        <v>776.0</v>
      </c>
      <c r="C19" s="71">
        <v>295.0</v>
      </c>
      <c r="D19" s="70">
        <v>756.0</v>
      </c>
      <c r="E19" s="71">
        <v>81.0</v>
      </c>
      <c r="F19" s="72">
        <v>-199.0</v>
      </c>
      <c r="G19" s="7"/>
      <c r="H19" s="48" t="s">
        <v>28</v>
      </c>
      <c r="I19" s="73">
        <v>1309.0</v>
      </c>
      <c r="J19" s="50">
        <v>553.0</v>
      </c>
      <c r="K19" s="49">
        <v>684.0</v>
      </c>
      <c r="L19" s="50">
        <v>805.0</v>
      </c>
      <c r="M19" s="74">
        <v>1173.0</v>
      </c>
      <c r="N19" s="7"/>
      <c r="O19" s="7"/>
      <c r="P19" s="7"/>
      <c r="Q19" s="7"/>
      <c r="R19" s="7"/>
      <c r="S19" s="2"/>
      <c r="T19" s="2"/>
      <c r="U19" s="2"/>
      <c r="V19" s="2"/>
      <c r="W19" s="2"/>
      <c r="X19" s="2"/>
      <c r="Y19" s="2"/>
      <c r="Z19" s="2"/>
    </row>
    <row r="20">
      <c r="A20" s="75" t="s">
        <v>29</v>
      </c>
      <c r="B20" s="76">
        <f t="shared" ref="B20:F20" si="10">B18-B19</f>
        <v>2375</v>
      </c>
      <c r="C20" s="77">
        <f t="shared" si="10"/>
        <v>3083</v>
      </c>
      <c r="D20" s="76">
        <f t="shared" si="10"/>
        <v>2358</v>
      </c>
      <c r="E20" s="77">
        <f t="shared" si="10"/>
        <v>1099</v>
      </c>
      <c r="F20" s="76">
        <f t="shared" si="10"/>
        <v>-267</v>
      </c>
      <c r="G20" s="7"/>
      <c r="H20" s="61" t="s">
        <v>30</v>
      </c>
      <c r="I20" s="78">
        <v>13138.0</v>
      </c>
      <c r="J20" s="65">
        <v>11320.0</v>
      </c>
      <c r="K20" s="78">
        <v>9380.0</v>
      </c>
      <c r="L20" s="65">
        <v>9333.0</v>
      </c>
      <c r="M20" s="79">
        <v>9203.0</v>
      </c>
      <c r="N20" s="7"/>
      <c r="O20" s="7"/>
      <c r="P20" s="7"/>
      <c r="Q20" s="7"/>
      <c r="R20" s="7"/>
      <c r="S20" s="2"/>
      <c r="T20" s="2"/>
      <c r="U20" s="2"/>
      <c r="V20" s="2"/>
      <c r="W20" s="2"/>
      <c r="X20" s="2"/>
      <c r="Y20" s="2"/>
      <c r="Z20" s="2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2"/>
      <c r="T21" s="2"/>
      <c r="U21" s="2"/>
      <c r="V21" s="2"/>
      <c r="W21" s="2"/>
      <c r="X21" s="2"/>
      <c r="Y21" s="2"/>
      <c r="Z21" s="2"/>
    </row>
    <row r="22">
      <c r="A22" s="7"/>
      <c r="B22" s="7"/>
      <c r="C22" s="7"/>
      <c r="D22" s="7"/>
      <c r="E22" s="7"/>
      <c r="F22" s="7"/>
      <c r="G22" s="7"/>
      <c r="H22" s="7"/>
      <c r="I22" s="80"/>
      <c r="J22" s="80"/>
      <c r="K22" s="80"/>
      <c r="L22" s="80"/>
      <c r="M22" s="80"/>
      <c r="N22" s="7"/>
      <c r="O22" s="7"/>
      <c r="P22" s="7"/>
      <c r="Q22" s="7"/>
      <c r="R22" s="7"/>
      <c r="S22" s="2"/>
      <c r="T22" s="2"/>
      <c r="U22" s="2"/>
      <c r="V22" s="2"/>
      <c r="W22" s="2"/>
      <c r="X22" s="2"/>
      <c r="Y22" s="2"/>
      <c r="Z22" s="2"/>
    </row>
    <row r="23">
      <c r="A23" s="81" t="s">
        <v>31</v>
      </c>
      <c r="B23" s="5"/>
      <c r="C23" s="5"/>
      <c r="D23" s="5"/>
      <c r="E23" s="5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2"/>
      <c r="T23" s="2"/>
      <c r="U23" s="2"/>
      <c r="V23" s="2"/>
      <c r="W23" s="2"/>
      <c r="X23" s="2"/>
      <c r="Y23" s="2"/>
      <c r="Z23" s="2"/>
    </row>
    <row r="24">
      <c r="A24" s="11"/>
      <c r="B24" s="12">
        <v>2024.0</v>
      </c>
      <c r="C24" s="12">
        <v>2023.0</v>
      </c>
      <c r="D24" s="12">
        <v>2022.0</v>
      </c>
      <c r="E24" s="12">
        <v>2021.0</v>
      </c>
      <c r="F24" s="82">
        <v>2020.0</v>
      </c>
      <c r="G24" s="7"/>
      <c r="H24" s="83" t="s">
        <v>32</v>
      </c>
      <c r="I24" s="15">
        <f t="shared" ref="I24:M24" si="11">I18-B35</f>
        <v>14051</v>
      </c>
      <c r="J24" s="15">
        <f t="shared" si="11"/>
        <v>11535</v>
      </c>
      <c r="K24" s="15">
        <f t="shared" si="11"/>
        <v>9557</v>
      </c>
      <c r="L24" s="15">
        <f t="shared" si="11"/>
        <v>8745</v>
      </c>
      <c r="M24" s="15">
        <f t="shared" si="11"/>
        <v>9499</v>
      </c>
      <c r="N24" s="7"/>
      <c r="O24" s="7"/>
      <c r="P24" s="7"/>
      <c r="Q24" s="7"/>
      <c r="R24" s="7"/>
      <c r="S24" s="2"/>
      <c r="T24" s="2"/>
      <c r="U24" s="2"/>
      <c r="V24" s="2"/>
      <c r="W24" s="2"/>
      <c r="X24" s="2"/>
      <c r="Y24" s="2"/>
      <c r="Z24" s="2"/>
    </row>
    <row r="25">
      <c r="A25" s="84" t="s">
        <v>33</v>
      </c>
      <c r="B25" s="85">
        <v>18219.0</v>
      </c>
      <c r="C25" s="86">
        <v>18076.0</v>
      </c>
      <c r="D25" s="85">
        <v>17619.0</v>
      </c>
      <c r="E25" s="87">
        <v>17999.0</v>
      </c>
      <c r="F25" s="85">
        <v>18164.0</v>
      </c>
      <c r="G25" s="7"/>
      <c r="H25" s="88" t="s">
        <v>34</v>
      </c>
      <c r="I25" s="89">
        <f t="shared" ref="I25:M25" si="12">I18+B55</f>
        <v>11455</v>
      </c>
      <c r="J25" s="89">
        <f t="shared" si="12"/>
        <v>11191</v>
      </c>
      <c r="K25" s="89">
        <f t="shared" si="12"/>
        <v>10632</v>
      </c>
      <c r="L25" s="89">
        <f t="shared" si="12"/>
        <v>11552</v>
      </c>
      <c r="M25" s="89">
        <f t="shared" si="12"/>
        <v>10806</v>
      </c>
      <c r="N25" s="7"/>
      <c r="O25" s="7"/>
      <c r="P25" s="7"/>
      <c r="Q25" s="7"/>
      <c r="R25" s="7"/>
      <c r="S25" s="2"/>
      <c r="T25" s="2"/>
      <c r="U25" s="2"/>
      <c r="V25" s="2"/>
      <c r="W25" s="2"/>
      <c r="X25" s="2"/>
      <c r="Y25" s="2"/>
      <c r="Z25" s="2"/>
    </row>
    <row r="26">
      <c r="A26" s="84" t="s">
        <v>35</v>
      </c>
      <c r="B26" s="90">
        <v>2678.0</v>
      </c>
      <c r="C26" s="91">
        <v>2510.0</v>
      </c>
      <c r="D26" s="90">
        <v>2572.0</v>
      </c>
      <c r="E26" s="92">
        <v>2565.0</v>
      </c>
      <c r="F26" s="93">
        <v>2266.0</v>
      </c>
      <c r="G26" s="7"/>
      <c r="H26" s="94" t="s">
        <v>36</v>
      </c>
      <c r="I26" s="95">
        <f t="shared" ref="I26:M26" si="13">B36-B49</f>
        <v>-5164</v>
      </c>
      <c r="J26" s="95">
        <f t="shared" si="13"/>
        <v>-4451</v>
      </c>
      <c r="K26" s="95">
        <f t="shared" si="13"/>
        <v>-4026</v>
      </c>
      <c r="L26" s="95">
        <f t="shared" si="13"/>
        <v>-2781</v>
      </c>
      <c r="M26" s="95">
        <f t="shared" si="13"/>
        <v>-2927</v>
      </c>
      <c r="N26" s="7"/>
      <c r="O26" s="7"/>
      <c r="P26" s="7"/>
      <c r="Q26" s="7"/>
      <c r="R26" s="7"/>
      <c r="S26" s="2"/>
      <c r="T26" s="2"/>
      <c r="U26" s="2"/>
      <c r="V26" s="2"/>
      <c r="W26" s="2"/>
      <c r="X26" s="2"/>
      <c r="Y26" s="2"/>
      <c r="Z26" s="2"/>
    </row>
    <row r="27">
      <c r="A27" s="84" t="s">
        <v>37</v>
      </c>
      <c r="B27" s="90">
        <v>298.0</v>
      </c>
      <c r="C27" s="91">
        <v>308.0</v>
      </c>
      <c r="D27" s="90">
        <v>335.0</v>
      </c>
      <c r="E27" s="92">
        <v>387.0</v>
      </c>
      <c r="F27" s="96">
        <v>422.0</v>
      </c>
      <c r="G27" s="7"/>
      <c r="H27" s="97" t="s">
        <v>38</v>
      </c>
      <c r="I27" s="22">
        <f t="shared" ref="I27:M27" si="14">I28-I28</f>
        <v>0</v>
      </c>
      <c r="J27" s="22">
        <f t="shared" si="14"/>
        <v>0</v>
      </c>
      <c r="K27" s="22">
        <f t="shared" si="14"/>
        <v>0</v>
      </c>
      <c r="L27" s="22">
        <f t="shared" si="14"/>
        <v>0</v>
      </c>
      <c r="M27" s="22">
        <f t="shared" si="14"/>
        <v>0</v>
      </c>
      <c r="N27" s="7"/>
      <c r="O27" s="7"/>
      <c r="P27" s="7"/>
      <c r="Q27" s="7"/>
      <c r="R27" s="7"/>
      <c r="S27" s="2"/>
      <c r="T27" s="2"/>
      <c r="U27" s="2"/>
      <c r="V27" s="2"/>
      <c r="W27" s="2"/>
      <c r="X27" s="2"/>
      <c r="Y27" s="2"/>
      <c r="Z27" s="2"/>
    </row>
    <row r="28">
      <c r="A28" s="84" t="s">
        <v>39</v>
      </c>
      <c r="B28" s="90">
        <v>136.0</v>
      </c>
      <c r="C28" s="91">
        <v>138.0</v>
      </c>
      <c r="D28" s="90">
        <v>152.0</v>
      </c>
      <c r="E28" s="92">
        <v>144.0</v>
      </c>
      <c r="F28" s="96">
        <v>159.0</v>
      </c>
      <c r="G28" s="7"/>
      <c r="H28" s="97" t="s">
        <v>40</v>
      </c>
      <c r="I28" s="22">
        <v>695.0</v>
      </c>
      <c r="J28" s="22">
        <v>565.0</v>
      </c>
      <c r="K28" s="22">
        <v>403.0</v>
      </c>
      <c r="L28" s="22">
        <v>420.0</v>
      </c>
      <c r="M28" s="22">
        <v>445.0</v>
      </c>
      <c r="N28" s="7"/>
      <c r="O28" s="7"/>
      <c r="P28" s="7"/>
      <c r="Q28" s="7"/>
      <c r="R28" s="7"/>
      <c r="S28" s="2"/>
      <c r="T28" s="2"/>
      <c r="U28" s="2"/>
      <c r="V28" s="2"/>
      <c r="W28" s="2"/>
      <c r="X28" s="2"/>
      <c r="Y28" s="2"/>
      <c r="Z28" s="2"/>
    </row>
    <row r="29">
      <c r="A29" s="98" t="s">
        <v>41</v>
      </c>
      <c r="B29" s="90">
        <v>1366.0</v>
      </c>
      <c r="C29" s="91">
        <v>1331.0</v>
      </c>
      <c r="D29" s="90">
        <v>824.0</v>
      </c>
      <c r="E29" s="92">
        <v>832.0</v>
      </c>
      <c r="F29" s="96">
        <v>865.0</v>
      </c>
      <c r="G29" s="7"/>
      <c r="H29" s="99" t="s">
        <v>42</v>
      </c>
      <c r="I29" s="100">
        <v>40.0</v>
      </c>
      <c r="J29" s="100">
        <v>30.0</v>
      </c>
      <c r="K29" s="100">
        <v>26.0</v>
      </c>
      <c r="L29" s="100">
        <v>28.0</v>
      </c>
      <c r="M29" s="100">
        <v>27.0</v>
      </c>
      <c r="N29" s="7"/>
      <c r="O29" s="7"/>
      <c r="P29" s="7"/>
      <c r="Q29" s="7"/>
      <c r="R29" s="7"/>
      <c r="S29" s="2"/>
      <c r="T29" s="2"/>
      <c r="U29" s="2"/>
      <c r="V29" s="2"/>
      <c r="W29" s="2"/>
      <c r="X29" s="2"/>
      <c r="Y29" s="2"/>
      <c r="Z29" s="2"/>
    </row>
    <row r="30">
      <c r="A30" s="75" t="s">
        <v>43</v>
      </c>
      <c r="B30" s="76">
        <f t="shared" ref="B30:F30" si="15">SUM(B25:B29)</f>
        <v>22697</v>
      </c>
      <c r="C30" s="76">
        <f t="shared" si="15"/>
        <v>22363</v>
      </c>
      <c r="D30" s="76">
        <f t="shared" si="15"/>
        <v>21502</v>
      </c>
      <c r="E30" s="76">
        <f t="shared" si="15"/>
        <v>21927</v>
      </c>
      <c r="F30" s="76">
        <f t="shared" si="15"/>
        <v>21876</v>
      </c>
      <c r="G30" s="7"/>
      <c r="H30" s="2"/>
      <c r="I30" s="2"/>
      <c r="J30" s="2"/>
      <c r="K30" s="2"/>
      <c r="L30" s="2"/>
      <c r="M30" s="2"/>
      <c r="N30" s="7"/>
      <c r="O30" s="7"/>
      <c r="P30" s="7"/>
      <c r="Q30" s="7"/>
      <c r="R30" s="7"/>
      <c r="S30" s="2"/>
      <c r="T30" s="2"/>
      <c r="U30" s="2"/>
      <c r="V30" s="2"/>
      <c r="W30" s="2"/>
      <c r="X30" s="2"/>
      <c r="Y30" s="2"/>
      <c r="Z30" s="2"/>
    </row>
    <row r="31">
      <c r="A31" s="101"/>
      <c r="B31" s="101"/>
      <c r="C31" s="101"/>
      <c r="D31" s="101"/>
      <c r="E31" s="101"/>
      <c r="F31" s="101"/>
      <c r="G31" s="7"/>
      <c r="H31" s="2"/>
      <c r="I31" s="2"/>
      <c r="J31" s="2"/>
      <c r="K31" s="2"/>
      <c r="L31" s="2"/>
      <c r="M31" s="2"/>
      <c r="N31" s="7"/>
      <c r="O31" s="7"/>
      <c r="P31" s="7"/>
      <c r="Q31" s="7"/>
      <c r="R31" s="7"/>
      <c r="S31" s="2"/>
      <c r="T31" s="2"/>
      <c r="U31" s="2"/>
      <c r="V31" s="2"/>
      <c r="W31" s="2"/>
      <c r="X31" s="2"/>
      <c r="Y31" s="2"/>
      <c r="Z31" s="2"/>
    </row>
    <row r="32">
      <c r="A32" s="102" t="s">
        <v>44</v>
      </c>
      <c r="B32" s="90">
        <v>2795.0</v>
      </c>
      <c r="C32" s="91">
        <v>2712.0</v>
      </c>
      <c r="D32" s="90">
        <v>2571.0</v>
      </c>
      <c r="E32" s="91">
        <v>1982.0</v>
      </c>
      <c r="F32" s="93">
        <v>1768.0</v>
      </c>
      <c r="G32" s="7"/>
      <c r="H32" s="2"/>
      <c r="I32" s="2"/>
      <c r="J32" s="2"/>
      <c r="K32" s="2"/>
      <c r="L32" s="2"/>
      <c r="M32" s="2"/>
      <c r="N32" s="7"/>
      <c r="O32" s="7"/>
      <c r="P32" s="7"/>
      <c r="Q32" s="7"/>
      <c r="R32" s="7"/>
      <c r="S32" s="2"/>
      <c r="T32" s="2"/>
      <c r="U32" s="2"/>
      <c r="V32" s="2"/>
      <c r="W32" s="2"/>
      <c r="X32" s="2"/>
      <c r="Y32" s="2"/>
      <c r="Z32" s="2"/>
    </row>
    <row r="33">
      <c r="A33" s="84" t="s">
        <v>45</v>
      </c>
      <c r="B33" s="90">
        <v>294.0</v>
      </c>
      <c r="C33" s="91">
        <v>261.0</v>
      </c>
      <c r="D33" s="90">
        <v>235.0</v>
      </c>
      <c r="E33" s="91">
        <v>251.0</v>
      </c>
      <c r="F33" s="96">
        <v>172.0</v>
      </c>
      <c r="G33" s="7"/>
      <c r="H33" s="2"/>
      <c r="I33" s="2"/>
      <c r="J33" s="2"/>
      <c r="K33" s="2"/>
      <c r="L33" s="2"/>
      <c r="M33" s="2"/>
      <c r="N33" s="7"/>
      <c r="O33" s="7"/>
      <c r="P33" s="7"/>
      <c r="Q33" s="7"/>
      <c r="R33" s="7"/>
      <c r="S33" s="2"/>
      <c r="T33" s="2"/>
      <c r="U33" s="2"/>
      <c r="V33" s="2"/>
      <c r="W33" s="2"/>
      <c r="X33" s="2"/>
      <c r="Y33" s="2"/>
      <c r="Z33" s="2"/>
    </row>
    <row r="34">
      <c r="A34" s="84" t="s">
        <v>46</v>
      </c>
      <c r="B34" s="103"/>
      <c r="C34" s="104"/>
      <c r="D34" s="103"/>
      <c r="E34" s="104"/>
      <c r="F34" s="96">
        <v>8.0</v>
      </c>
      <c r="G34" s="7"/>
      <c r="H34" s="2"/>
      <c r="I34" s="2"/>
      <c r="J34" s="2"/>
      <c r="K34" s="2"/>
      <c r="L34" s="2"/>
      <c r="M34" s="2"/>
      <c r="N34" s="7"/>
      <c r="O34" s="7"/>
      <c r="P34" s="7"/>
      <c r="Q34" s="7"/>
      <c r="R34" s="7"/>
      <c r="S34" s="2"/>
      <c r="T34" s="2"/>
      <c r="U34" s="2"/>
      <c r="V34" s="2"/>
      <c r="W34" s="2"/>
      <c r="X34" s="2"/>
      <c r="Y34" s="2"/>
      <c r="Z34" s="2"/>
    </row>
    <row r="35">
      <c r="A35" s="98" t="s">
        <v>47</v>
      </c>
      <c r="B35" s="90">
        <v>396.0</v>
      </c>
      <c r="C35" s="91">
        <v>338.0</v>
      </c>
      <c r="D35" s="90">
        <v>507.0</v>
      </c>
      <c r="E35" s="91">
        <v>1393.0</v>
      </c>
      <c r="F35" s="96">
        <v>877.0</v>
      </c>
      <c r="G35" s="7"/>
      <c r="H35" s="2"/>
      <c r="I35" s="2"/>
      <c r="J35" s="2"/>
      <c r="K35" s="2"/>
      <c r="L35" s="2"/>
      <c r="M35" s="2"/>
      <c r="N35" s="7"/>
      <c r="O35" s="7"/>
      <c r="P35" s="7"/>
      <c r="Q35" s="7"/>
      <c r="R35" s="7"/>
      <c r="S35" s="2"/>
      <c r="T35" s="2"/>
      <c r="U35" s="2"/>
      <c r="V35" s="2"/>
      <c r="W35" s="2"/>
      <c r="X35" s="2"/>
      <c r="Y35" s="2"/>
      <c r="Z35" s="2"/>
    </row>
    <row r="36">
      <c r="A36" s="75" t="s">
        <v>48</v>
      </c>
      <c r="B36" s="76">
        <f t="shared" ref="B36:F36" si="16">SUM(B32:B35)</f>
        <v>3485</v>
      </c>
      <c r="C36" s="76">
        <f t="shared" si="16"/>
        <v>3311</v>
      </c>
      <c r="D36" s="76">
        <f t="shared" si="16"/>
        <v>3313</v>
      </c>
      <c r="E36" s="76">
        <f t="shared" si="16"/>
        <v>3626</v>
      </c>
      <c r="F36" s="76">
        <f t="shared" si="16"/>
        <v>2825</v>
      </c>
      <c r="G36" s="7"/>
      <c r="H36" s="2"/>
      <c r="I36" s="2"/>
      <c r="J36" s="2"/>
      <c r="K36" s="2"/>
      <c r="L36" s="2"/>
      <c r="M36" s="2"/>
      <c r="N36" s="7"/>
      <c r="O36" s="7"/>
      <c r="P36" s="7"/>
      <c r="Q36" s="7"/>
      <c r="R36" s="7"/>
      <c r="S36" s="2"/>
      <c r="T36" s="2"/>
      <c r="U36" s="2"/>
      <c r="V36" s="2"/>
      <c r="W36" s="2"/>
      <c r="X36" s="2"/>
      <c r="Y36" s="2"/>
      <c r="Z36" s="2"/>
    </row>
    <row r="37">
      <c r="A37" s="105" t="s">
        <v>49</v>
      </c>
      <c r="B37" s="106">
        <f t="shared" ref="B37:F37" si="17">B30+B36</f>
        <v>26182</v>
      </c>
      <c r="C37" s="106">
        <f t="shared" si="17"/>
        <v>25674</v>
      </c>
      <c r="D37" s="106">
        <f t="shared" si="17"/>
        <v>24815</v>
      </c>
      <c r="E37" s="106">
        <f t="shared" si="17"/>
        <v>25553</v>
      </c>
      <c r="F37" s="106">
        <f t="shared" si="17"/>
        <v>24701</v>
      </c>
      <c r="G37" s="7"/>
      <c r="H37" s="107"/>
      <c r="I37" s="2"/>
      <c r="J37" s="2"/>
      <c r="K37" s="2"/>
      <c r="L37" s="2"/>
      <c r="M37" s="2"/>
      <c r="N37" s="7"/>
      <c r="O37" s="7"/>
      <c r="P37" s="7"/>
      <c r="Q37" s="7"/>
      <c r="R37" s="7"/>
      <c r="S37" s="2"/>
      <c r="T37" s="2"/>
      <c r="U37" s="2"/>
      <c r="V37" s="2"/>
      <c r="W37" s="2"/>
      <c r="X37" s="2"/>
      <c r="Y37" s="2"/>
      <c r="Z37" s="2"/>
    </row>
    <row r="38">
      <c r="A38" s="101"/>
      <c r="B38" s="101"/>
      <c r="C38" s="101"/>
      <c r="D38" s="101"/>
      <c r="E38" s="101"/>
      <c r="F38" s="101"/>
      <c r="G38" s="7"/>
      <c r="H38" s="2"/>
      <c r="I38" s="2"/>
      <c r="J38" s="2"/>
      <c r="K38" s="2"/>
      <c r="L38" s="2"/>
      <c r="M38" s="2"/>
      <c r="N38" s="7"/>
      <c r="O38" s="7"/>
      <c r="P38" s="7"/>
      <c r="Q38" s="7"/>
      <c r="R38" s="7"/>
      <c r="S38" s="2"/>
      <c r="T38" s="2"/>
      <c r="U38" s="2"/>
      <c r="V38" s="2"/>
      <c r="W38" s="2"/>
      <c r="X38" s="2"/>
      <c r="Y38" s="2"/>
      <c r="Z38" s="2"/>
    </row>
    <row r="39">
      <c r="A39" s="108" t="s">
        <v>50</v>
      </c>
      <c r="B39" s="96">
        <v>13138.0</v>
      </c>
      <c r="C39" s="109">
        <v>11320.0</v>
      </c>
      <c r="D39" s="90">
        <v>9380.0</v>
      </c>
      <c r="E39" s="91">
        <v>9333.0</v>
      </c>
      <c r="F39" s="93">
        <v>9203.0</v>
      </c>
      <c r="G39" s="7"/>
      <c r="H39" s="2"/>
      <c r="I39" s="2"/>
      <c r="J39" s="2"/>
      <c r="K39" s="2"/>
      <c r="L39" s="2"/>
      <c r="M39" s="2"/>
      <c r="N39" s="7"/>
      <c r="O39" s="7"/>
      <c r="P39" s="7"/>
      <c r="Q39" s="7"/>
      <c r="R39" s="7"/>
      <c r="S39" s="2"/>
      <c r="T39" s="2"/>
      <c r="U39" s="2"/>
      <c r="V39" s="2"/>
      <c r="W39" s="2"/>
      <c r="X39" s="2"/>
      <c r="Y39" s="2"/>
      <c r="Z39" s="2"/>
    </row>
    <row r="40">
      <c r="A40" s="108" t="s">
        <v>51</v>
      </c>
      <c r="B40" s="90">
        <v>81.0</v>
      </c>
      <c r="C40" s="91">
        <v>209.0</v>
      </c>
      <c r="D40" s="90">
        <v>313.0</v>
      </c>
      <c r="E40" s="91">
        <v>169.0</v>
      </c>
      <c r="F40" s="96">
        <v>83.0</v>
      </c>
      <c r="G40" s="7"/>
      <c r="H40" s="2"/>
      <c r="I40" s="2"/>
      <c r="J40" s="2"/>
      <c r="K40" s="2"/>
      <c r="L40" s="2"/>
      <c r="M40" s="2"/>
      <c r="N40" s="7"/>
      <c r="O40" s="7"/>
      <c r="P40" s="7"/>
      <c r="Q40" s="7"/>
      <c r="R40" s="7"/>
      <c r="S40" s="2"/>
      <c r="T40" s="2"/>
      <c r="U40" s="2"/>
      <c r="V40" s="2"/>
      <c r="W40" s="2"/>
      <c r="X40" s="2"/>
      <c r="Y40" s="2"/>
      <c r="Z40" s="2"/>
    </row>
    <row r="41">
      <c r="A41" s="108" t="s">
        <v>52</v>
      </c>
      <c r="B41" s="90">
        <v>794.0</v>
      </c>
      <c r="C41" s="91">
        <v>887.0</v>
      </c>
      <c r="D41" s="90">
        <v>1034.0</v>
      </c>
      <c r="E41" s="91">
        <v>1098.0</v>
      </c>
      <c r="F41" s="96">
        <v>823.0</v>
      </c>
      <c r="G41" s="7"/>
      <c r="H41" s="2"/>
      <c r="I41" s="2"/>
      <c r="J41" s="2"/>
      <c r="K41" s="2"/>
      <c r="L41" s="2"/>
      <c r="M41" s="2"/>
      <c r="N41" s="7"/>
      <c r="O41" s="7"/>
      <c r="P41" s="7"/>
      <c r="Q41" s="7"/>
      <c r="R41" s="7"/>
      <c r="S41" s="2"/>
      <c r="T41" s="2"/>
      <c r="U41" s="2"/>
      <c r="V41" s="2"/>
      <c r="W41" s="2"/>
      <c r="X41" s="2"/>
      <c r="Y41" s="2"/>
      <c r="Z41" s="2"/>
    </row>
    <row r="42">
      <c r="A42" s="110" t="s">
        <v>53</v>
      </c>
      <c r="B42" s="111">
        <v>6512.0</v>
      </c>
      <c r="C42" s="112">
        <v>6178.0</v>
      </c>
      <c r="D42" s="111">
        <v>6181.0</v>
      </c>
      <c r="E42" s="112">
        <v>7132.0</v>
      </c>
      <c r="F42" s="113">
        <v>8410.0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5" t="s">
        <v>54</v>
      </c>
      <c r="B43" s="76">
        <f t="shared" ref="B43:F43" si="18">SUM(B39:B42)</f>
        <v>20525</v>
      </c>
      <c r="C43" s="76">
        <f t="shared" si="18"/>
        <v>18594</v>
      </c>
      <c r="D43" s="76">
        <f t="shared" si="18"/>
        <v>16908</v>
      </c>
      <c r="E43" s="76">
        <f t="shared" si="18"/>
        <v>17732</v>
      </c>
      <c r="F43" s="76">
        <f t="shared" si="18"/>
        <v>18519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1"/>
      <c r="B44" s="101"/>
      <c r="C44" s="101"/>
      <c r="D44" s="101"/>
      <c r="E44" s="101"/>
      <c r="F44" s="10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8" t="s">
        <v>55</v>
      </c>
      <c r="B45" s="90">
        <v>3749.0</v>
      </c>
      <c r="C45" s="91">
        <v>3776.0</v>
      </c>
      <c r="D45" s="90">
        <v>3235.0</v>
      </c>
      <c r="E45" s="91">
        <v>2930.0</v>
      </c>
      <c r="F45" s="93">
        <v>2663.0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8" t="s">
        <v>56</v>
      </c>
      <c r="B46" s="90">
        <v>1309.0</v>
      </c>
      <c r="C46" s="91">
        <v>553.0</v>
      </c>
      <c r="D46" s="90">
        <v>684.0</v>
      </c>
      <c r="E46" s="91">
        <v>805.0</v>
      </c>
      <c r="F46" s="93">
        <v>1173.0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8" t="s">
        <v>57</v>
      </c>
      <c r="B47" s="90">
        <v>104.0</v>
      </c>
      <c r="C47" s="91">
        <v>105.0</v>
      </c>
      <c r="D47" s="90">
        <v>106.0</v>
      </c>
      <c r="E47" s="91">
        <v>150.0</v>
      </c>
      <c r="F47" s="96">
        <v>147.0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0" t="s">
        <v>58</v>
      </c>
      <c r="B48" s="111">
        <v>3487.0</v>
      </c>
      <c r="C48" s="112">
        <v>3328.0</v>
      </c>
      <c r="D48" s="111">
        <v>3314.0</v>
      </c>
      <c r="E48" s="112">
        <v>2522.0</v>
      </c>
      <c r="F48" s="113">
        <v>1769.0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5" t="s">
        <v>59</v>
      </c>
      <c r="B49" s="76">
        <f t="shared" ref="B49:F49" si="19">SUM(B45:B48)</f>
        <v>8649</v>
      </c>
      <c r="C49" s="76">
        <f t="shared" si="19"/>
        <v>7762</v>
      </c>
      <c r="D49" s="76">
        <f t="shared" si="19"/>
        <v>7339</v>
      </c>
      <c r="E49" s="76">
        <f t="shared" si="19"/>
        <v>6407</v>
      </c>
      <c r="F49" s="76">
        <f t="shared" si="19"/>
        <v>5752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5" t="s">
        <v>60</v>
      </c>
      <c r="B50" s="106">
        <f t="shared" ref="B50:F50" si="20">B43+B49</f>
        <v>29174</v>
      </c>
      <c r="C50" s="106">
        <f t="shared" si="20"/>
        <v>26356</v>
      </c>
      <c r="D50" s="106">
        <f t="shared" si="20"/>
        <v>24247</v>
      </c>
      <c r="E50" s="106">
        <f t="shared" si="20"/>
        <v>24139</v>
      </c>
      <c r="F50" s="106">
        <f t="shared" si="20"/>
        <v>24271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1"/>
      <c r="B51" s="101"/>
      <c r="C51" s="101"/>
      <c r="D51" s="101"/>
      <c r="E51" s="101"/>
      <c r="F51" s="10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8" t="s">
        <v>61</v>
      </c>
      <c r="B52" s="90">
        <v>6184.0</v>
      </c>
      <c r="C52" s="91">
        <v>6056.0</v>
      </c>
      <c r="D52" s="90">
        <v>5970.0</v>
      </c>
      <c r="E52" s="91">
        <v>5897.0</v>
      </c>
      <c r="F52" s="93">
        <v>5856.0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8" t="s">
        <v>62</v>
      </c>
      <c r="B53" s="96">
        <v>15468.0</v>
      </c>
      <c r="C53" s="109">
        <v>14191.0</v>
      </c>
      <c r="D53" s="96">
        <v>11613.0</v>
      </c>
      <c r="E53" s="91">
        <v>9963.0</v>
      </c>
      <c r="F53" s="93">
        <v>9071.0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8" t="s">
        <v>63</v>
      </c>
      <c r="B54" s="96">
        <v>24644.0</v>
      </c>
      <c r="C54" s="109">
        <v>20929.0</v>
      </c>
      <c r="D54" s="96">
        <v>17015.0</v>
      </c>
      <c r="E54" s="109">
        <v>14446.0</v>
      </c>
      <c r="F54" s="96">
        <v>14497.0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5" t="s">
        <v>64</v>
      </c>
      <c r="B55" s="106">
        <f t="shared" ref="B55:F55" si="21">B52+B53-B54</f>
        <v>-2992</v>
      </c>
      <c r="C55" s="106">
        <f t="shared" si="21"/>
        <v>-682</v>
      </c>
      <c r="D55" s="106">
        <f t="shared" si="21"/>
        <v>568</v>
      </c>
      <c r="E55" s="106">
        <f t="shared" si="21"/>
        <v>1414</v>
      </c>
      <c r="F55" s="106">
        <f t="shared" si="21"/>
        <v>430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4" t="s">
        <v>65</v>
      </c>
      <c r="B56" s="115">
        <f t="shared" ref="B56:F56" si="22">B50+B55</f>
        <v>26182</v>
      </c>
      <c r="C56" s="115">
        <f t="shared" si="22"/>
        <v>25674</v>
      </c>
      <c r="D56" s="115">
        <f t="shared" si="22"/>
        <v>24815</v>
      </c>
      <c r="E56" s="115">
        <f t="shared" si="22"/>
        <v>25553</v>
      </c>
      <c r="F56" s="115">
        <f t="shared" si="22"/>
        <v>24701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7"/>
      <c r="C57" s="7"/>
      <c r="D57" s="7"/>
      <c r="E57" s="7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6" t="s">
        <v>66</v>
      </c>
      <c r="B58" s="117"/>
      <c r="C58" s="117"/>
      <c r="D58" s="117"/>
      <c r="E58" s="117"/>
      <c r="F58" s="11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9" t="s">
        <v>67</v>
      </c>
      <c r="B59" s="5"/>
      <c r="C59" s="5"/>
      <c r="D59" s="5"/>
      <c r="E59" s="5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/>
      <c r="B60" s="120">
        <v>2024.0</v>
      </c>
      <c r="C60" s="120">
        <v>2023.0</v>
      </c>
      <c r="D60" s="120">
        <v>2022.0</v>
      </c>
      <c r="E60" s="120">
        <v>2021.0</v>
      </c>
      <c r="F60" s="120">
        <v>2020.0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1" t="s">
        <v>68</v>
      </c>
      <c r="B61" s="122">
        <f t="shared" ref="B61:F61" si="23">B36/B49</f>
        <v>0.4029367557</v>
      </c>
      <c r="C61" s="123">
        <f t="shared" si="23"/>
        <v>0.4265653182</v>
      </c>
      <c r="D61" s="122">
        <f t="shared" si="23"/>
        <v>0.4514238997</v>
      </c>
      <c r="E61" s="123">
        <f t="shared" si="23"/>
        <v>0.5659434993</v>
      </c>
      <c r="F61" s="122">
        <f t="shared" si="23"/>
        <v>0.4911335188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4" t="s">
        <v>69</v>
      </c>
      <c r="B62" s="125">
        <f t="shared" ref="B62:F62" si="24">B35/B49</f>
        <v>0.04578563996</v>
      </c>
      <c r="C62" s="126">
        <f t="shared" si="24"/>
        <v>0.04354547797</v>
      </c>
      <c r="D62" s="125">
        <f t="shared" si="24"/>
        <v>0.06908298133</v>
      </c>
      <c r="E62" s="126">
        <f t="shared" si="24"/>
        <v>0.2174184486</v>
      </c>
      <c r="F62" s="125">
        <f t="shared" si="24"/>
        <v>0.1524687065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7" t="s">
        <v>70</v>
      </c>
      <c r="B63" s="128">
        <f t="shared" ref="B63:F63" si="25">(B35+B33)/B49</f>
        <v>0.07977800902</v>
      </c>
      <c r="C63" s="129">
        <f t="shared" si="25"/>
        <v>0.07717083226</v>
      </c>
      <c r="D63" s="128">
        <f t="shared" si="25"/>
        <v>0.1011036926</v>
      </c>
      <c r="E63" s="129">
        <f t="shared" si="25"/>
        <v>0.2565943499</v>
      </c>
      <c r="F63" s="128">
        <f t="shared" si="25"/>
        <v>0.1823713491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0"/>
      <c r="B64" s="130"/>
      <c r="C64" s="130"/>
      <c r="D64" s="130"/>
      <c r="E64" s="130"/>
      <c r="F64" s="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1" t="s">
        <v>71</v>
      </c>
      <c r="B65" s="132"/>
      <c r="C65" s="132"/>
      <c r="D65" s="132"/>
      <c r="E65" s="132"/>
      <c r="F65" s="13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/>
      <c r="B66" s="120">
        <v>2024.0</v>
      </c>
      <c r="C66" s="120">
        <v>2023.0</v>
      </c>
      <c r="D66" s="120">
        <v>2022.0</v>
      </c>
      <c r="E66" s="120">
        <v>2021.0</v>
      </c>
      <c r="F66" s="120">
        <v>2020.0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4" t="s">
        <v>72</v>
      </c>
      <c r="B67" s="135">
        <f t="shared" ref="B67:F67" si="26">B11/B5</f>
        <v>0.580840133</v>
      </c>
      <c r="C67" s="135">
        <f t="shared" si="26"/>
        <v>0.6228571429</v>
      </c>
      <c r="D67" s="135">
        <f t="shared" si="26"/>
        <v>0.6486183719</v>
      </c>
      <c r="E67" s="135">
        <f t="shared" si="26"/>
        <v>0.5147877013</v>
      </c>
      <c r="F67" s="136">
        <f t="shared" si="26"/>
        <v>0.3666823974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7" t="s">
        <v>73</v>
      </c>
      <c r="B68" s="138">
        <f t="shared" ref="B68:F68" si="27">B7/B5</f>
        <v>0.7910244787</v>
      </c>
      <c r="C68" s="138">
        <f t="shared" si="27"/>
        <v>0.7850793651</v>
      </c>
      <c r="D68" s="138">
        <f t="shared" si="27"/>
        <v>0.7634428678</v>
      </c>
      <c r="E68" s="138">
        <f t="shared" si="27"/>
        <v>0.7206442167</v>
      </c>
      <c r="F68" s="139">
        <f t="shared" si="27"/>
        <v>0.5719679094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40" t="s">
        <v>74</v>
      </c>
      <c r="B69" s="138">
        <f t="shared" ref="B69:F69" si="28">B20/B5</f>
        <v>0.3588697492</v>
      </c>
      <c r="C69" s="138">
        <f t="shared" si="28"/>
        <v>0.4893650794</v>
      </c>
      <c r="D69" s="138">
        <f t="shared" si="28"/>
        <v>0.4402539208</v>
      </c>
      <c r="E69" s="138">
        <f t="shared" si="28"/>
        <v>0.3218155198</v>
      </c>
      <c r="F69" s="139">
        <f t="shared" si="28"/>
        <v>-0.1260028315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7" t="s">
        <v>75</v>
      </c>
      <c r="B70" s="138">
        <f t="shared" ref="B70:F70" si="29">I6/B5</f>
        <v>0.6084919915</v>
      </c>
      <c r="C70" s="138">
        <f t="shared" si="29"/>
        <v>0.6528571429</v>
      </c>
      <c r="D70" s="138">
        <f t="shared" si="29"/>
        <v>0.6846527259</v>
      </c>
      <c r="E70" s="138">
        <f t="shared" si="29"/>
        <v>0.5710102489</v>
      </c>
      <c r="F70" s="139">
        <f t="shared" si="29"/>
        <v>0.5922605002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7" t="s">
        <v>76</v>
      </c>
      <c r="B71" s="138">
        <f t="shared" ref="B71:F71" si="30">B19/B18</f>
        <v>0.2462710251</v>
      </c>
      <c r="C71" s="138">
        <f t="shared" si="30"/>
        <v>0.08732978094</v>
      </c>
      <c r="D71" s="138">
        <f t="shared" si="30"/>
        <v>0.2427745665</v>
      </c>
      <c r="E71" s="138">
        <f t="shared" si="30"/>
        <v>0.0686440678</v>
      </c>
      <c r="F71" s="139">
        <f t="shared" si="30"/>
        <v>0.4270386266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7" t="s">
        <v>77</v>
      </c>
      <c r="B72" s="138">
        <f t="shared" ref="B72:F72" si="31">B20/B5</f>
        <v>0.3588697492</v>
      </c>
      <c r="C72" s="138">
        <f t="shared" si="31"/>
        <v>0.4893650794</v>
      </c>
      <c r="D72" s="138">
        <f t="shared" si="31"/>
        <v>0.4402539208</v>
      </c>
      <c r="E72" s="138">
        <f t="shared" si="31"/>
        <v>0.3218155198</v>
      </c>
      <c r="F72" s="139">
        <f t="shared" si="31"/>
        <v>-0.1260028315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41" t="s">
        <v>78</v>
      </c>
      <c r="B73" s="138">
        <f t="shared" ref="B73:E73" si="32">B20/((B37+C37)/2)</f>
        <v>0.09159981487</v>
      </c>
      <c r="C73" s="138">
        <f t="shared" si="32"/>
        <v>0.1221256115</v>
      </c>
      <c r="D73" s="138">
        <f t="shared" si="32"/>
        <v>0.09363087675</v>
      </c>
      <c r="E73" s="138">
        <f t="shared" si="32"/>
        <v>0.04373781192</v>
      </c>
      <c r="F73" s="139">
        <f>F20/((F37+25051)/2)</f>
        <v>-0.01073323685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41" t="s">
        <v>79</v>
      </c>
      <c r="B74" s="138">
        <f t="shared" ref="B74:F74" si="33">B11/(I25)</f>
        <v>0.3355739852</v>
      </c>
      <c r="C74" s="138">
        <f t="shared" si="33"/>
        <v>0.3506389063</v>
      </c>
      <c r="D74" s="138">
        <f t="shared" si="33"/>
        <v>0.3267494357</v>
      </c>
      <c r="E74" s="138">
        <f t="shared" si="33"/>
        <v>0.1521814404</v>
      </c>
      <c r="F74" s="139">
        <f t="shared" si="33"/>
        <v>0.0719044975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41" t="s">
        <v>80</v>
      </c>
      <c r="B75" s="138">
        <f t="shared" ref="B75:E75" si="34">B20/((B55+C55)/2)</f>
        <v>-1.292868808</v>
      </c>
      <c r="C75" s="138">
        <f t="shared" si="34"/>
        <v>-54.0877193</v>
      </c>
      <c r="D75" s="138">
        <f t="shared" si="34"/>
        <v>2.379414733</v>
      </c>
      <c r="E75" s="138">
        <f t="shared" si="34"/>
        <v>1.19197397</v>
      </c>
      <c r="F75" s="139">
        <f>F20/((F55+703)/2)</f>
        <v>-0.4713150927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41" t="s">
        <v>81</v>
      </c>
      <c r="B76" s="142">
        <f t="shared" ref="B76:F76" si="35">(B20+I28*(1-B71))/((I25+J25)/2)</f>
        <v>0.2560135686</v>
      </c>
      <c r="C76" s="142">
        <f t="shared" si="35"/>
        <v>0.3298042133</v>
      </c>
      <c r="D76" s="142">
        <f t="shared" si="35"/>
        <v>0.2400975342</v>
      </c>
      <c r="E76" s="142">
        <f t="shared" si="35"/>
        <v>0.1333007864</v>
      </c>
      <c r="F76" s="143">
        <f t="shared" si="35"/>
        <v>-0.002226945927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44" t="s">
        <v>82</v>
      </c>
      <c r="B77" s="145">
        <f t="shared" ref="B77:E77" si="36">(B5-C5)/C5</f>
        <v>0.05047619048</v>
      </c>
      <c r="C77" s="145">
        <f t="shared" si="36"/>
        <v>0.1762509335</v>
      </c>
      <c r="D77" s="145">
        <f t="shared" si="36"/>
        <v>0.568374817</v>
      </c>
      <c r="E77" s="145">
        <f t="shared" si="36"/>
        <v>0.6116092496</v>
      </c>
      <c r="F77" s="146">
        <f>(F5-5373)/5373</f>
        <v>-0.6056206961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47" t="s">
        <v>83</v>
      </c>
      <c r="B79" s="148"/>
      <c r="C79" s="148"/>
      <c r="D79" s="148"/>
      <c r="E79" s="148"/>
      <c r="F79" s="14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0"/>
      <c r="B80" s="151">
        <v>2024.0</v>
      </c>
      <c r="C80" s="151">
        <v>2023.0</v>
      </c>
      <c r="D80" s="151">
        <v>2022.0</v>
      </c>
      <c r="E80" s="151">
        <v>2021.0</v>
      </c>
      <c r="F80" s="151">
        <v>2020.0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4" t="s">
        <v>84</v>
      </c>
      <c r="B81" s="136">
        <f t="shared" ref="B81:F81" si="37">I18/B37</f>
        <v>0.551791307</v>
      </c>
      <c r="C81" s="152">
        <f t="shared" si="37"/>
        <v>0.4624522864</v>
      </c>
      <c r="D81" s="136">
        <f t="shared" si="37"/>
        <v>0.4055611525</v>
      </c>
      <c r="E81" s="152">
        <f t="shared" si="37"/>
        <v>0.3967440222</v>
      </c>
      <c r="F81" s="136">
        <f t="shared" si="37"/>
        <v>0.420063965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3" t="s">
        <v>85</v>
      </c>
      <c r="B82" s="139">
        <f t="shared" ref="B82:F82" si="38">I18/(I18+B55)</f>
        <v>1.261195984</v>
      </c>
      <c r="C82" s="154">
        <f t="shared" si="38"/>
        <v>1.060941828</v>
      </c>
      <c r="D82" s="139">
        <f t="shared" si="38"/>
        <v>0.9465763732</v>
      </c>
      <c r="E82" s="154">
        <f t="shared" si="38"/>
        <v>0.8775969529</v>
      </c>
      <c r="F82" s="139">
        <f t="shared" si="38"/>
        <v>0.9602072922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3" t="s">
        <v>86</v>
      </c>
      <c r="B83" s="139">
        <f t="shared" ref="B83:C83" si="39">ABS(I18/B55)</f>
        <v>4.828542781</v>
      </c>
      <c r="C83" s="154">
        <f t="shared" si="39"/>
        <v>17.40909091</v>
      </c>
      <c r="D83" s="139">
        <f t="shared" ref="D83:F83" si="40">K18/D55</f>
        <v>17.71830986</v>
      </c>
      <c r="E83" s="154">
        <f t="shared" si="40"/>
        <v>7.169731259</v>
      </c>
      <c r="F83" s="139">
        <f t="shared" si="40"/>
        <v>24.13023256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8" t="s">
        <v>87</v>
      </c>
      <c r="B84" s="155">
        <f t="shared" ref="B84:F84" si="41">B11/I28</f>
        <v>5.530935252</v>
      </c>
      <c r="C84" s="156">
        <f t="shared" si="41"/>
        <v>6.945132743</v>
      </c>
      <c r="D84" s="155">
        <f t="shared" si="41"/>
        <v>8.620347395</v>
      </c>
      <c r="E84" s="156">
        <f t="shared" si="41"/>
        <v>4.185714286</v>
      </c>
      <c r="F84" s="155">
        <f t="shared" si="41"/>
        <v>1.746067416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7"/>
      <c r="B85" s="157"/>
      <c r="C85" s="157"/>
      <c r="D85" s="157"/>
      <c r="E85" s="157"/>
      <c r="F85" s="15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47" t="s">
        <v>88</v>
      </c>
      <c r="B86" s="148"/>
      <c r="C86" s="148"/>
      <c r="D86" s="148"/>
      <c r="E86" s="148"/>
      <c r="F86" s="14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0"/>
      <c r="B87" s="151">
        <v>2024.0</v>
      </c>
      <c r="C87" s="151">
        <v>2023.0</v>
      </c>
      <c r="D87" s="151">
        <v>2022.0</v>
      </c>
      <c r="E87" s="151">
        <v>2021.0</v>
      </c>
      <c r="F87" s="151">
        <v>2020.0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8" t="s">
        <v>89</v>
      </c>
      <c r="B88" s="159">
        <f t="shared" ref="B88:E88" si="42">B5/((B30+C30)/2)</f>
        <v>0.2937416778</v>
      </c>
      <c r="C88" s="159">
        <f t="shared" si="42"/>
        <v>0.2872449561</v>
      </c>
      <c r="D88" s="159">
        <f t="shared" si="42"/>
        <v>0.2466554606</v>
      </c>
      <c r="E88" s="159">
        <f t="shared" si="42"/>
        <v>0.1559253932</v>
      </c>
      <c r="F88" s="159">
        <f>F5/((F30+21924)/2)</f>
        <v>0.09675799087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8" t="s">
        <v>90</v>
      </c>
      <c r="B89" s="160">
        <f t="shared" ref="B89:E89" si="43">B5/((B37+C37)/2)</f>
        <v>0.2552452947</v>
      </c>
      <c r="C89" s="160">
        <f t="shared" si="43"/>
        <v>0.2495593099</v>
      </c>
      <c r="D89" s="160">
        <f t="shared" si="43"/>
        <v>0.2126747141</v>
      </c>
      <c r="E89" s="160">
        <f t="shared" si="43"/>
        <v>0.1359095793</v>
      </c>
      <c r="F89" s="160">
        <f>F5/((F37+25051)/2)</f>
        <v>0.08518250523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94" t="s">
        <v>91</v>
      </c>
      <c r="B90" s="160">
        <f>B5/0.1515</f>
        <v>43683.16832</v>
      </c>
      <c r="C90" s="161">
        <f>C5/0.144</f>
        <v>43750</v>
      </c>
      <c r="D90" s="160">
        <f>D5/0.13</f>
        <v>41200</v>
      </c>
      <c r="E90" s="161">
        <f>E5/0.1205</f>
        <v>28340.24896</v>
      </c>
      <c r="F90" s="160">
        <f>F5/0.1475</f>
        <v>14366.10169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4" t="s">
        <v>92</v>
      </c>
      <c r="B91" s="160">
        <f>B20/0.1515</f>
        <v>15676.56766</v>
      </c>
      <c r="C91" s="161">
        <f>C20/0.144</f>
        <v>21409.72222</v>
      </c>
      <c r="D91" s="160">
        <f>D20/0.13</f>
        <v>18138.46154</v>
      </c>
      <c r="E91" s="161">
        <f>E20/0.1205</f>
        <v>9120.33195</v>
      </c>
      <c r="F91" s="160">
        <f>F20/0.1475</f>
        <v>-1810.169492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94" t="s">
        <v>93</v>
      </c>
      <c r="B92" s="162">
        <f t="shared" ref="B92:E92" si="44">B5/((B32+C32)/2)</f>
        <v>2.403486472</v>
      </c>
      <c r="C92" s="163">
        <f t="shared" si="44"/>
        <v>2.385008518</v>
      </c>
      <c r="D92" s="162">
        <f t="shared" si="44"/>
        <v>2.352734461</v>
      </c>
      <c r="E92" s="163">
        <f t="shared" si="44"/>
        <v>1.821333333</v>
      </c>
      <c r="F92" s="162">
        <f>F5/((F32+2395)/2)</f>
        <v>1.018015854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4" t="s">
        <v>94</v>
      </c>
      <c r="B93" s="162">
        <f t="shared" ref="B93:F93" si="45">366/B92</f>
        <v>152.2787851</v>
      </c>
      <c r="C93" s="163">
        <f t="shared" si="45"/>
        <v>153.4585714</v>
      </c>
      <c r="D93" s="162">
        <f t="shared" si="45"/>
        <v>155.5636669</v>
      </c>
      <c r="E93" s="163">
        <f t="shared" si="45"/>
        <v>200.9516837</v>
      </c>
      <c r="F93" s="162">
        <f t="shared" si="45"/>
        <v>359.5228882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94" t="s">
        <v>95</v>
      </c>
      <c r="B94" s="162">
        <f>B6/750.5</f>
        <v>1.842771486</v>
      </c>
      <c r="C94" s="163">
        <f>C6/742</f>
        <v>1.824797844</v>
      </c>
      <c r="D94" s="162">
        <f>D6/736</f>
        <v>1.721467391</v>
      </c>
      <c r="E94" s="163">
        <f>E6/626.5</f>
        <v>1.522745411</v>
      </c>
      <c r="F94" s="162">
        <f>F6/623.5</f>
        <v>1.454691259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4" t="s">
        <v>96</v>
      </c>
      <c r="B95" s="162">
        <f t="shared" ref="B95:F95" si="46">366/B94</f>
        <v>198.6138829</v>
      </c>
      <c r="C95" s="163">
        <f t="shared" si="46"/>
        <v>200.5701625</v>
      </c>
      <c r="D95" s="162">
        <f t="shared" si="46"/>
        <v>212.6093133</v>
      </c>
      <c r="E95" s="163">
        <f t="shared" si="46"/>
        <v>240.3553459</v>
      </c>
      <c r="F95" s="162">
        <f t="shared" si="46"/>
        <v>251.5997795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64" t="s">
        <v>97</v>
      </c>
      <c r="B96" s="65">
        <f t="shared" ref="B96:F96" si="47">B93-B95</f>
        <v>-46.33509773</v>
      </c>
      <c r="C96" s="165">
        <f t="shared" si="47"/>
        <v>-47.11159105</v>
      </c>
      <c r="D96" s="65">
        <f t="shared" si="47"/>
        <v>-57.04564642</v>
      </c>
      <c r="E96" s="165">
        <f t="shared" si="47"/>
        <v>-39.40366216</v>
      </c>
      <c r="F96" s="65">
        <f t="shared" si="47"/>
        <v>107.9231087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A1:F1"/>
    <mergeCell ref="A3:F3"/>
    <mergeCell ref="A23:F23"/>
    <mergeCell ref="A58:F58"/>
    <mergeCell ref="A59:F59"/>
    <mergeCell ref="A65:F65"/>
    <mergeCell ref="A79:F79"/>
    <mergeCell ref="A86:F8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0"/>
    <col customWidth="1" min="8" max="8" width="57.5"/>
  </cols>
  <sheetData>
    <row r="1">
      <c r="A1" s="166" t="s">
        <v>98</v>
      </c>
      <c r="G1" s="2"/>
      <c r="H1" s="2"/>
      <c r="I1" s="2"/>
      <c r="J1" s="2"/>
      <c r="K1" s="2"/>
      <c r="L1" s="2"/>
      <c r="M1" s="2"/>
    </row>
    <row r="2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</row>
    <row r="3">
      <c r="A3" s="4" t="s">
        <v>1</v>
      </c>
      <c r="B3" s="5"/>
      <c r="C3" s="5"/>
      <c r="D3" s="5"/>
      <c r="E3" s="5"/>
      <c r="F3" s="6"/>
      <c r="G3" s="7"/>
      <c r="H3" s="8" t="s">
        <v>2</v>
      </c>
      <c r="I3" s="9">
        <v>2024.0</v>
      </c>
      <c r="J3" s="10">
        <v>2023.0</v>
      </c>
      <c r="K3" s="9">
        <v>2022.0</v>
      </c>
      <c r="L3" s="10">
        <v>2021.0</v>
      </c>
      <c r="M3" s="9">
        <v>2020.0</v>
      </c>
    </row>
    <row r="4">
      <c r="A4" s="11"/>
      <c r="B4" s="12">
        <v>2024.0</v>
      </c>
      <c r="C4" s="12">
        <v>2023.0</v>
      </c>
      <c r="D4" s="12">
        <v>2022.0</v>
      </c>
      <c r="E4" s="12">
        <v>2021.0</v>
      </c>
      <c r="F4" s="13">
        <v>2020.0</v>
      </c>
      <c r="G4" s="7"/>
      <c r="H4" s="14" t="s">
        <v>3</v>
      </c>
      <c r="I4" s="167">
        <f t="shared" ref="I4:M4" si="1">B11</f>
        <v>85.3</v>
      </c>
      <c r="J4" s="167">
        <f t="shared" si="1"/>
        <v>102.3</v>
      </c>
      <c r="K4" s="167">
        <f t="shared" si="1"/>
        <v>16.2</v>
      </c>
      <c r="L4" s="167">
        <f t="shared" si="1"/>
        <v>-64.6</v>
      </c>
      <c r="M4" s="167">
        <f t="shared" si="1"/>
        <v>-220</v>
      </c>
    </row>
    <row r="5">
      <c r="A5" s="17" t="s">
        <v>4</v>
      </c>
      <c r="B5" s="168">
        <v>525.8</v>
      </c>
      <c r="C5" s="168">
        <v>558.1</v>
      </c>
      <c r="D5" s="168">
        <v>454.1</v>
      </c>
      <c r="E5" s="168">
        <v>316.9</v>
      </c>
      <c r="F5" s="169">
        <v>183.7</v>
      </c>
      <c r="G5" s="7"/>
      <c r="H5" s="21" t="s">
        <v>5</v>
      </c>
      <c r="I5" s="167">
        <v>42.8</v>
      </c>
      <c r="J5" s="167">
        <v>51.1</v>
      </c>
      <c r="K5" s="167">
        <v>58.2</v>
      </c>
      <c r="L5" s="167">
        <v>68.5</v>
      </c>
      <c r="M5" s="167">
        <v>124.2</v>
      </c>
    </row>
    <row r="6">
      <c r="A6" s="24" t="s">
        <v>6</v>
      </c>
      <c r="B6" s="167">
        <v>282.2</v>
      </c>
      <c r="C6" s="167">
        <v>308.7</v>
      </c>
      <c r="D6" s="167">
        <v>302.7</v>
      </c>
      <c r="E6" s="167">
        <v>261.3</v>
      </c>
      <c r="F6" s="167">
        <v>233.0</v>
      </c>
      <c r="G6" s="7"/>
      <c r="H6" s="28" t="s">
        <v>7</v>
      </c>
      <c r="I6" s="167">
        <f t="shared" ref="I6:M6" si="2">I4+I5</f>
        <v>128.1</v>
      </c>
      <c r="J6" s="167">
        <f t="shared" si="2"/>
        <v>153.4</v>
      </c>
      <c r="K6" s="167">
        <f t="shared" si="2"/>
        <v>74.4</v>
      </c>
      <c r="L6" s="167">
        <f t="shared" si="2"/>
        <v>3.9</v>
      </c>
      <c r="M6" s="167">
        <f t="shared" si="2"/>
        <v>-95.8</v>
      </c>
    </row>
    <row r="7">
      <c r="A7" s="31" t="s">
        <v>8</v>
      </c>
      <c r="B7" s="169">
        <f t="shared" ref="B7:F7" si="3">B5-B6</f>
        <v>243.6</v>
      </c>
      <c r="C7" s="169">
        <f t="shared" si="3"/>
        <v>249.4</v>
      </c>
      <c r="D7" s="169">
        <f t="shared" si="3"/>
        <v>151.4</v>
      </c>
      <c r="E7" s="169">
        <f t="shared" si="3"/>
        <v>55.6</v>
      </c>
      <c r="F7" s="169">
        <f t="shared" si="3"/>
        <v>-49.3</v>
      </c>
      <c r="G7" s="7"/>
      <c r="H7" s="34" t="s">
        <v>9</v>
      </c>
      <c r="I7" s="35"/>
      <c r="J7" s="29"/>
      <c r="K7" s="30"/>
      <c r="L7" s="36"/>
      <c r="M7" s="37"/>
    </row>
    <row r="8">
      <c r="A8" s="24" t="s">
        <v>10</v>
      </c>
      <c r="B8" s="167">
        <v>158.3</v>
      </c>
      <c r="C8" s="167">
        <v>152.3</v>
      </c>
      <c r="D8" s="167">
        <v>136.2</v>
      </c>
      <c r="E8" s="167">
        <v>124.8</v>
      </c>
      <c r="F8" s="167">
        <v>128.9</v>
      </c>
      <c r="G8" s="7"/>
      <c r="H8" s="7"/>
      <c r="I8" s="7"/>
      <c r="J8" s="7"/>
      <c r="K8" s="7"/>
      <c r="L8" s="7"/>
      <c r="M8" s="7"/>
    </row>
    <row r="9">
      <c r="A9" s="24" t="s">
        <v>11</v>
      </c>
      <c r="B9" s="167"/>
      <c r="C9" s="167">
        <v>-5.2</v>
      </c>
      <c r="D9" s="167">
        <v>-1.0</v>
      </c>
      <c r="E9" s="167">
        <v>-4.6</v>
      </c>
      <c r="F9" s="167">
        <v>41.8</v>
      </c>
      <c r="G9" s="7"/>
      <c r="H9" s="7"/>
      <c r="I9" s="7"/>
      <c r="J9" s="7"/>
      <c r="K9" s="7"/>
      <c r="L9" s="7"/>
      <c r="M9" s="7"/>
    </row>
    <row r="10">
      <c r="A10" s="24" t="s">
        <v>12</v>
      </c>
      <c r="B10" s="167">
        <f t="shared" ref="B10:F10" si="4">B8+B9</f>
        <v>158.3</v>
      </c>
      <c r="C10" s="167">
        <f t="shared" si="4"/>
        <v>147.1</v>
      </c>
      <c r="D10" s="167">
        <f t="shared" si="4"/>
        <v>135.2</v>
      </c>
      <c r="E10" s="167">
        <f t="shared" si="4"/>
        <v>120.2</v>
      </c>
      <c r="F10" s="167">
        <f t="shared" si="4"/>
        <v>170.7</v>
      </c>
      <c r="G10" s="7"/>
      <c r="H10" s="7"/>
      <c r="I10" s="7"/>
      <c r="J10" s="7"/>
      <c r="K10" s="7"/>
      <c r="L10" s="7"/>
      <c r="M10" s="7"/>
    </row>
    <row r="11">
      <c r="A11" s="31" t="s">
        <v>13</v>
      </c>
      <c r="B11" s="169">
        <f t="shared" ref="B11:F11" si="5">B7-B10</f>
        <v>85.3</v>
      </c>
      <c r="C11" s="169">
        <f t="shared" si="5"/>
        <v>102.3</v>
      </c>
      <c r="D11" s="169">
        <f t="shared" si="5"/>
        <v>16.2</v>
      </c>
      <c r="E11" s="169">
        <f t="shared" si="5"/>
        <v>-64.6</v>
      </c>
      <c r="F11" s="169">
        <f t="shared" si="5"/>
        <v>-220</v>
      </c>
      <c r="G11" s="7"/>
      <c r="H11" s="7"/>
      <c r="I11" s="7"/>
      <c r="J11" s="7"/>
      <c r="K11" s="7"/>
      <c r="L11" s="7"/>
      <c r="M11" s="7"/>
    </row>
    <row r="12">
      <c r="A12" s="24" t="s">
        <v>14</v>
      </c>
      <c r="B12" s="167">
        <v>-3.9</v>
      </c>
      <c r="C12" s="167">
        <v>-9.9</v>
      </c>
      <c r="D12" s="167">
        <v>-14.4</v>
      </c>
      <c r="E12" s="167">
        <v>-12.7</v>
      </c>
      <c r="F12" s="167">
        <v>-12.6</v>
      </c>
      <c r="G12" s="7"/>
      <c r="H12" s="41" t="s">
        <v>15</v>
      </c>
      <c r="I12" s="170">
        <f t="shared" ref="I12:M12" si="6">I13+I16</f>
        <v>2313.9</v>
      </c>
      <c r="J12" s="170">
        <f t="shared" si="6"/>
        <v>2253.1</v>
      </c>
      <c r="K12" s="170">
        <f t="shared" si="6"/>
        <v>2712.8</v>
      </c>
      <c r="L12" s="171">
        <f t="shared" si="6"/>
        <v>2691.3</v>
      </c>
      <c r="M12" s="171">
        <f t="shared" si="6"/>
        <v>2709</v>
      </c>
    </row>
    <row r="13">
      <c r="A13" s="24" t="s">
        <v>20</v>
      </c>
      <c r="B13" s="167"/>
      <c r="C13" s="167"/>
      <c r="D13" s="167"/>
      <c r="E13" s="167">
        <v>-0.8</v>
      </c>
      <c r="F13" s="167"/>
      <c r="G13" s="7"/>
      <c r="H13" s="48" t="s">
        <v>17</v>
      </c>
      <c r="I13" s="172">
        <f t="shared" ref="I13:M13" si="7">I14+I15</f>
        <v>2201.3</v>
      </c>
      <c r="J13" s="172">
        <f t="shared" si="7"/>
        <v>2144.7</v>
      </c>
      <c r="K13" s="172">
        <f t="shared" si="7"/>
        <v>2591.5</v>
      </c>
      <c r="L13" s="172">
        <f t="shared" si="7"/>
        <v>2543.4</v>
      </c>
      <c r="M13" s="172">
        <f t="shared" si="7"/>
        <v>2619.7</v>
      </c>
    </row>
    <row r="14">
      <c r="A14" s="24" t="s">
        <v>22</v>
      </c>
      <c r="B14" s="167">
        <f t="shared" ref="B14:F14" si="8">B11+SUM(B12:B13)</f>
        <v>81.4</v>
      </c>
      <c r="C14" s="167">
        <f t="shared" si="8"/>
        <v>92.4</v>
      </c>
      <c r="D14" s="167">
        <f t="shared" si="8"/>
        <v>1.8</v>
      </c>
      <c r="E14" s="167">
        <f t="shared" si="8"/>
        <v>-78.1</v>
      </c>
      <c r="F14" s="167">
        <f t="shared" si="8"/>
        <v>-232.6</v>
      </c>
      <c r="G14" s="7"/>
      <c r="H14" s="52" t="s">
        <v>19</v>
      </c>
      <c r="I14" s="167">
        <v>102.4</v>
      </c>
      <c r="J14" s="167">
        <v>70.4</v>
      </c>
      <c r="K14" s="167">
        <v>104.9</v>
      </c>
      <c r="L14" s="167">
        <v>64.9</v>
      </c>
      <c r="M14" s="167">
        <v>75.3</v>
      </c>
    </row>
    <row r="15">
      <c r="A15" s="24" t="s">
        <v>24</v>
      </c>
      <c r="B15" s="167">
        <v>-142.8</v>
      </c>
      <c r="C15" s="167">
        <v>-443.3</v>
      </c>
      <c r="D15" s="167">
        <v>-58.5</v>
      </c>
      <c r="E15" s="167">
        <v>-32.4</v>
      </c>
      <c r="F15" s="167">
        <v>-436.2</v>
      </c>
      <c r="G15" s="7"/>
      <c r="H15" s="52" t="s">
        <v>21</v>
      </c>
      <c r="I15" s="167">
        <v>2098.9</v>
      </c>
      <c r="J15" s="167">
        <v>2074.3</v>
      </c>
      <c r="K15" s="167">
        <v>2486.6</v>
      </c>
      <c r="L15" s="167">
        <v>2478.5</v>
      </c>
      <c r="M15" s="167">
        <v>2544.4</v>
      </c>
    </row>
    <row r="16">
      <c r="A16" s="31" t="s">
        <v>25</v>
      </c>
      <c r="B16" s="169">
        <f t="shared" ref="B16:F16" si="9">B14+B15</f>
        <v>-61.4</v>
      </c>
      <c r="C16" s="169">
        <f t="shared" si="9"/>
        <v>-350.9</v>
      </c>
      <c r="D16" s="169">
        <f t="shared" si="9"/>
        <v>-56.7</v>
      </c>
      <c r="E16" s="169">
        <f t="shared" si="9"/>
        <v>-110.5</v>
      </c>
      <c r="F16" s="169">
        <f t="shared" si="9"/>
        <v>-668.8</v>
      </c>
      <c r="G16" s="7"/>
      <c r="H16" s="61" t="s">
        <v>23</v>
      </c>
      <c r="I16" s="173">
        <v>112.6</v>
      </c>
      <c r="J16" s="173">
        <v>108.4</v>
      </c>
      <c r="K16" s="173">
        <v>121.3</v>
      </c>
      <c r="L16" s="173">
        <v>147.9</v>
      </c>
      <c r="M16" s="173">
        <v>89.3</v>
      </c>
    </row>
    <row r="17">
      <c r="A17" s="69" t="s">
        <v>27</v>
      </c>
      <c r="B17" s="167">
        <v>30.3</v>
      </c>
      <c r="C17" s="167">
        <v>13.5</v>
      </c>
      <c r="D17" s="167">
        <v>2.1</v>
      </c>
      <c r="E17" s="167">
        <v>7.6</v>
      </c>
      <c r="F17" s="167">
        <v>-19.4</v>
      </c>
      <c r="G17" s="7"/>
      <c r="H17" s="7"/>
      <c r="I17" s="7"/>
      <c r="J17" s="7"/>
      <c r="K17" s="7"/>
      <c r="L17" s="7"/>
      <c r="M17" s="7"/>
    </row>
    <row r="18">
      <c r="A18" s="75" t="s">
        <v>29</v>
      </c>
      <c r="B18" s="76">
        <f t="shared" ref="B18:F18" si="10">B16-B17</f>
        <v>-91.7</v>
      </c>
      <c r="C18" s="77">
        <f t="shared" si="10"/>
        <v>-364.4</v>
      </c>
      <c r="D18" s="76">
        <f t="shared" si="10"/>
        <v>-58.8</v>
      </c>
      <c r="E18" s="77">
        <f t="shared" si="10"/>
        <v>-118.1</v>
      </c>
      <c r="F18" s="76">
        <f t="shared" si="10"/>
        <v>-649.4</v>
      </c>
      <c r="G18" s="7"/>
      <c r="H18" s="67" t="s">
        <v>26</v>
      </c>
      <c r="I18" s="68">
        <f t="shared" ref="I18:M18" si="11">I19+I20</f>
        <v>410.9</v>
      </c>
      <c r="J18" s="43">
        <f t="shared" si="11"/>
        <v>531.9</v>
      </c>
      <c r="K18" s="68">
        <f t="shared" si="11"/>
        <v>731.4</v>
      </c>
      <c r="L18" s="68">
        <f t="shared" si="11"/>
        <v>884</v>
      </c>
      <c r="M18" s="43">
        <f t="shared" si="11"/>
        <v>847.9</v>
      </c>
    </row>
    <row r="19">
      <c r="A19" s="7"/>
      <c r="B19" s="7"/>
      <c r="C19" s="7"/>
      <c r="D19" s="7"/>
      <c r="E19" s="7"/>
      <c r="F19" s="7"/>
      <c r="G19" s="7"/>
      <c r="H19" s="48" t="s">
        <v>28</v>
      </c>
      <c r="I19" s="172">
        <f t="shared" ref="I19:M19" si="12">B47</f>
        <v>109.8</v>
      </c>
      <c r="J19" s="172">
        <f t="shared" si="12"/>
        <v>420.7</v>
      </c>
      <c r="K19" s="172">
        <f t="shared" si="12"/>
        <v>8.1</v>
      </c>
      <c r="L19" s="172">
        <f t="shared" si="12"/>
        <v>8.8</v>
      </c>
      <c r="M19" s="172">
        <f t="shared" si="12"/>
        <v>71.2</v>
      </c>
    </row>
    <row r="20">
      <c r="A20" s="7"/>
      <c r="B20" s="7"/>
      <c r="C20" s="7"/>
      <c r="D20" s="7"/>
      <c r="E20" s="7"/>
      <c r="F20" s="7"/>
      <c r="G20" s="7"/>
      <c r="H20" s="61" t="s">
        <v>30</v>
      </c>
      <c r="I20" s="173">
        <f t="shared" ref="I20:M20" si="13">B41</f>
        <v>301.1</v>
      </c>
      <c r="J20" s="173">
        <f t="shared" si="13"/>
        <v>111.2</v>
      </c>
      <c r="K20" s="173">
        <f t="shared" si="13"/>
        <v>723.3</v>
      </c>
      <c r="L20" s="173">
        <f t="shared" si="13"/>
        <v>875.2</v>
      </c>
      <c r="M20" s="173">
        <f t="shared" si="13"/>
        <v>776.7</v>
      </c>
    </row>
    <row r="21">
      <c r="A21" s="81" t="s">
        <v>31</v>
      </c>
      <c r="B21" s="5"/>
      <c r="C21" s="5"/>
      <c r="D21" s="5"/>
      <c r="E21" s="5"/>
      <c r="F21" s="6"/>
      <c r="G21" s="7"/>
      <c r="H21" s="7"/>
      <c r="I21" s="7"/>
      <c r="J21" s="7"/>
      <c r="K21" s="7"/>
      <c r="L21" s="7"/>
      <c r="M21" s="7"/>
    </row>
    <row r="22">
      <c r="A22" s="174"/>
      <c r="B22" s="12">
        <v>2024.0</v>
      </c>
      <c r="C22" s="12">
        <v>2023.0</v>
      </c>
      <c r="D22" s="12">
        <v>2022.0</v>
      </c>
      <c r="E22" s="12">
        <v>2021.0</v>
      </c>
      <c r="F22" s="82">
        <v>2020.0</v>
      </c>
      <c r="G22" s="7"/>
      <c r="H22" s="7"/>
      <c r="I22" s="80"/>
      <c r="J22" s="80"/>
      <c r="K22" s="80"/>
      <c r="L22" s="80"/>
      <c r="M22" s="80"/>
    </row>
    <row r="23">
      <c r="A23" s="84" t="s">
        <v>99</v>
      </c>
      <c r="B23" s="167">
        <v>57.0</v>
      </c>
      <c r="C23" s="167">
        <v>43.7</v>
      </c>
      <c r="D23" s="167">
        <v>45.7</v>
      </c>
      <c r="E23" s="167">
        <v>46.7</v>
      </c>
      <c r="F23" s="167">
        <v>45.4</v>
      </c>
      <c r="G23" s="7"/>
      <c r="H23" s="7"/>
      <c r="I23" s="7"/>
      <c r="J23" s="7"/>
      <c r="K23" s="7"/>
      <c r="L23" s="7"/>
      <c r="M23" s="7"/>
    </row>
    <row r="24">
      <c r="A24" s="84" t="s">
        <v>35</v>
      </c>
      <c r="B24" s="167">
        <v>805.5</v>
      </c>
      <c r="C24" s="167">
        <v>847.7</v>
      </c>
      <c r="D24" s="167">
        <v>1158.7</v>
      </c>
      <c r="E24" s="167">
        <v>1371.5</v>
      </c>
      <c r="F24" s="167">
        <v>1478.9</v>
      </c>
      <c r="G24" s="7"/>
      <c r="H24" s="175" t="s">
        <v>32</v>
      </c>
      <c r="I24" s="172">
        <f t="shared" ref="I24:M24" si="14">I18-B37</f>
        <v>195.9</v>
      </c>
      <c r="J24" s="172">
        <f t="shared" si="14"/>
        <v>353.1</v>
      </c>
      <c r="K24" s="172">
        <f t="shared" si="14"/>
        <v>505.2</v>
      </c>
      <c r="L24" s="172">
        <f t="shared" si="14"/>
        <v>671.2</v>
      </c>
      <c r="M24" s="172">
        <f t="shared" si="14"/>
        <v>683.3</v>
      </c>
    </row>
    <row r="25">
      <c r="A25" s="84" t="s">
        <v>37</v>
      </c>
      <c r="B25" s="167">
        <v>143.2</v>
      </c>
      <c r="C25" s="167">
        <v>155.8</v>
      </c>
      <c r="D25" s="167">
        <v>203.8</v>
      </c>
      <c r="E25" s="167">
        <v>201.5</v>
      </c>
      <c r="F25" s="167">
        <v>231.6</v>
      </c>
      <c r="G25" s="7"/>
      <c r="H25" s="59" t="s">
        <v>34</v>
      </c>
      <c r="I25" s="167">
        <f t="shared" ref="I25:M25" si="15">I18+B59</f>
        <v>3257.1</v>
      </c>
      <c r="J25" s="167">
        <f t="shared" si="15"/>
        <v>3497.4</v>
      </c>
      <c r="K25" s="167">
        <f t="shared" si="15"/>
        <v>4029</v>
      </c>
      <c r="L25" s="167">
        <f t="shared" si="15"/>
        <v>4196.3</v>
      </c>
      <c r="M25" s="167">
        <f t="shared" si="15"/>
        <v>4361.1</v>
      </c>
    </row>
    <row r="26">
      <c r="A26" s="84" t="s">
        <v>39</v>
      </c>
      <c r="B26" s="167">
        <v>61.4</v>
      </c>
      <c r="C26" s="167">
        <v>10.9</v>
      </c>
      <c r="D26" s="167">
        <v>12.2</v>
      </c>
      <c r="E26" s="167">
        <v>8.9</v>
      </c>
      <c r="F26" s="167">
        <v>5.1</v>
      </c>
      <c r="G26" s="7"/>
      <c r="H26" s="59" t="s">
        <v>36</v>
      </c>
      <c r="I26" s="167">
        <f t="shared" ref="I26:M26" si="16">B38-B52</f>
        <v>15.4</v>
      </c>
      <c r="J26" s="167">
        <f t="shared" si="16"/>
        <v>-27.2</v>
      </c>
      <c r="K26" s="167">
        <f t="shared" si="16"/>
        <v>142.9</v>
      </c>
      <c r="L26" s="167">
        <f t="shared" si="16"/>
        <v>112.4</v>
      </c>
      <c r="M26" s="167">
        <f t="shared" si="16"/>
        <v>19.5</v>
      </c>
    </row>
    <row r="27">
      <c r="A27" s="84" t="s">
        <v>100</v>
      </c>
      <c r="B27" s="167">
        <v>2098.9</v>
      </c>
      <c r="C27" s="167">
        <v>2074.3</v>
      </c>
      <c r="D27" s="167">
        <v>2486.6</v>
      </c>
      <c r="E27" s="167">
        <v>2478.5</v>
      </c>
      <c r="F27" s="167">
        <v>2544.4</v>
      </c>
      <c r="G27" s="7"/>
      <c r="H27" s="59" t="s">
        <v>38</v>
      </c>
      <c r="I27" s="167">
        <f t="shared" ref="I27:M27" si="17">I28-I29</f>
        <v>3.5</v>
      </c>
      <c r="J27" s="167">
        <f t="shared" si="17"/>
        <v>9.3</v>
      </c>
      <c r="K27" s="167">
        <f t="shared" si="17"/>
        <v>12.9</v>
      </c>
      <c r="L27" s="167">
        <f t="shared" si="17"/>
        <v>10.9</v>
      </c>
      <c r="M27" s="167">
        <f t="shared" si="17"/>
        <v>11.5</v>
      </c>
    </row>
    <row r="28">
      <c r="A28" s="84" t="s">
        <v>41</v>
      </c>
      <c r="B28" s="167">
        <v>13.5</v>
      </c>
      <c r="C28" s="167">
        <v>14.6</v>
      </c>
      <c r="D28" s="167">
        <v>17.2</v>
      </c>
      <c r="E28" s="167">
        <v>20.8</v>
      </c>
      <c r="F28" s="167">
        <v>23.3</v>
      </c>
      <c r="G28" s="7"/>
      <c r="H28" s="59" t="s">
        <v>40</v>
      </c>
      <c r="I28" s="167">
        <v>10.1</v>
      </c>
      <c r="J28" s="167">
        <v>17.0</v>
      </c>
      <c r="K28" s="167">
        <v>15.2</v>
      </c>
      <c r="L28" s="167">
        <v>12.0</v>
      </c>
      <c r="M28" s="167">
        <v>13.1</v>
      </c>
    </row>
    <row r="29">
      <c r="A29" s="75" t="s">
        <v>43</v>
      </c>
      <c r="B29" s="76">
        <f t="shared" ref="B29:F29" si="18">SUM(B23:B28)</f>
        <v>3179.5</v>
      </c>
      <c r="C29" s="76">
        <f t="shared" si="18"/>
        <v>3147</v>
      </c>
      <c r="D29" s="76">
        <f t="shared" si="18"/>
        <v>3924.2</v>
      </c>
      <c r="E29" s="76">
        <f t="shared" si="18"/>
        <v>4127.9</v>
      </c>
      <c r="F29" s="76">
        <f t="shared" si="18"/>
        <v>4328.7</v>
      </c>
      <c r="G29" s="7"/>
      <c r="H29" s="176" t="s">
        <v>42</v>
      </c>
      <c r="I29" s="173">
        <v>6.6</v>
      </c>
      <c r="J29" s="173">
        <v>7.7</v>
      </c>
      <c r="K29" s="173">
        <v>2.3</v>
      </c>
      <c r="L29" s="173">
        <v>1.1</v>
      </c>
      <c r="M29" s="173">
        <v>1.6</v>
      </c>
      <c r="N29" s="177"/>
    </row>
    <row r="30">
      <c r="A30" s="101"/>
      <c r="B30" s="178"/>
      <c r="C30" s="178"/>
      <c r="D30" s="178"/>
      <c r="E30" s="178"/>
      <c r="F30" s="178"/>
      <c r="G30" s="7"/>
      <c r="H30" s="2"/>
    </row>
    <row r="31">
      <c r="A31" s="84" t="s">
        <v>44</v>
      </c>
      <c r="B31" s="167">
        <v>86.1</v>
      </c>
      <c r="C31" s="167">
        <v>60.7</v>
      </c>
      <c r="D31" s="167">
        <v>60.8</v>
      </c>
      <c r="E31" s="167">
        <v>43.6</v>
      </c>
      <c r="F31" s="167">
        <v>36.0</v>
      </c>
      <c r="G31" s="7"/>
      <c r="H31" s="2"/>
      <c r="I31" s="2"/>
      <c r="J31" s="2"/>
      <c r="K31" s="2"/>
      <c r="L31" s="2"/>
      <c r="M31" s="2"/>
    </row>
    <row r="32">
      <c r="A32" s="84" t="s">
        <v>101</v>
      </c>
      <c r="B32" s="167">
        <v>5.2</v>
      </c>
      <c r="C32" s="167">
        <v>5.0</v>
      </c>
      <c r="D32" s="167">
        <v>5.0</v>
      </c>
      <c r="E32" s="167">
        <v>5.3</v>
      </c>
      <c r="F32" s="167">
        <v>6.0</v>
      </c>
      <c r="G32" s="7"/>
      <c r="H32" s="2"/>
      <c r="I32" s="2"/>
      <c r="J32" s="2"/>
      <c r="K32" s="2"/>
      <c r="L32" s="2"/>
      <c r="M32" s="2"/>
    </row>
    <row r="33">
      <c r="A33" s="84" t="s">
        <v>45</v>
      </c>
      <c r="B33" s="167">
        <v>25.5</v>
      </c>
      <c r="C33" s="167">
        <v>15.4</v>
      </c>
      <c r="D33" s="167">
        <v>15.5</v>
      </c>
      <c r="E33" s="167">
        <v>15.3</v>
      </c>
      <c r="F33" s="167">
        <v>16.3</v>
      </c>
      <c r="G33" s="7"/>
      <c r="H33" s="179"/>
      <c r="I33" s="179"/>
      <c r="J33" s="179"/>
      <c r="K33" s="179"/>
      <c r="L33" s="179"/>
      <c r="M33" s="179"/>
    </row>
    <row r="34">
      <c r="A34" s="84" t="s">
        <v>46</v>
      </c>
      <c r="B34" s="167"/>
      <c r="C34" s="167">
        <v>331.9</v>
      </c>
      <c r="D34" s="167"/>
      <c r="E34" s="167"/>
      <c r="F34" s="167"/>
      <c r="G34" s="7"/>
      <c r="H34" s="180" t="s">
        <v>102</v>
      </c>
      <c r="I34" s="172">
        <f t="shared" ref="I34:M34" si="19">B18</f>
        <v>-91.7</v>
      </c>
      <c r="J34" s="172">
        <f t="shared" si="19"/>
        <v>-364.4</v>
      </c>
      <c r="K34" s="172">
        <f t="shared" si="19"/>
        <v>-58.8</v>
      </c>
      <c r="L34" s="172">
        <f t="shared" si="19"/>
        <v>-118.1</v>
      </c>
      <c r="M34" s="172">
        <f t="shared" si="19"/>
        <v>-649.4</v>
      </c>
    </row>
    <row r="35">
      <c r="A35" s="84" t="s">
        <v>103</v>
      </c>
      <c r="B35" s="167">
        <v>0.1</v>
      </c>
      <c r="C35" s="167">
        <v>2.4</v>
      </c>
      <c r="D35" s="167">
        <v>17.4</v>
      </c>
      <c r="E35" s="167">
        <v>3.6</v>
      </c>
      <c r="F35" s="167"/>
      <c r="G35" s="7"/>
      <c r="H35" s="181" t="s">
        <v>104</v>
      </c>
      <c r="I35" s="182"/>
      <c r="J35" s="183"/>
      <c r="K35" s="183"/>
      <c r="L35" s="183"/>
      <c r="M35" s="184"/>
    </row>
    <row r="36">
      <c r="A36" s="84" t="s">
        <v>105</v>
      </c>
      <c r="B36" s="167">
        <v>5.0</v>
      </c>
      <c r="C36" s="167">
        <v>3.5</v>
      </c>
      <c r="D36" s="167">
        <v>3.6</v>
      </c>
      <c r="E36" s="167">
        <v>7.7</v>
      </c>
      <c r="F36" s="167">
        <v>22.5</v>
      </c>
      <c r="G36" s="7"/>
      <c r="H36" s="185" t="s">
        <v>106</v>
      </c>
      <c r="I36" s="167">
        <v>13.13</v>
      </c>
      <c r="J36" s="167">
        <v>-0.8</v>
      </c>
      <c r="K36" s="167">
        <v>9.5</v>
      </c>
      <c r="L36" s="167">
        <v>-23.3</v>
      </c>
      <c r="M36" s="167">
        <v>-30.5</v>
      </c>
    </row>
    <row r="37">
      <c r="A37" s="84" t="s">
        <v>107</v>
      </c>
      <c r="B37" s="167">
        <v>215.0</v>
      </c>
      <c r="C37" s="167">
        <v>178.8</v>
      </c>
      <c r="D37" s="167">
        <v>226.2</v>
      </c>
      <c r="E37" s="167">
        <v>212.8</v>
      </c>
      <c r="F37" s="167">
        <v>164.6</v>
      </c>
      <c r="G37" s="7"/>
      <c r="H37" s="181" t="s">
        <v>108</v>
      </c>
      <c r="I37" s="182"/>
      <c r="J37" s="183"/>
      <c r="K37" s="183"/>
      <c r="L37" s="183"/>
      <c r="M37" s="184"/>
    </row>
    <row r="38">
      <c r="A38" s="75" t="s">
        <v>48</v>
      </c>
      <c r="B38" s="76">
        <f t="shared" ref="B38:F38" si="20">SUM(B31:B37)</f>
        <v>336.9</v>
      </c>
      <c r="C38" s="76">
        <f t="shared" si="20"/>
        <v>597.7</v>
      </c>
      <c r="D38" s="76">
        <f t="shared" si="20"/>
        <v>328.5</v>
      </c>
      <c r="E38" s="76">
        <f t="shared" si="20"/>
        <v>288.3</v>
      </c>
      <c r="F38" s="76">
        <f t="shared" si="20"/>
        <v>245.4</v>
      </c>
      <c r="G38" s="7"/>
      <c r="H38" s="186" t="s">
        <v>109</v>
      </c>
      <c r="I38" s="173">
        <f t="shared" ref="I38:M38" si="21">I34+I36</f>
        <v>-78.57</v>
      </c>
      <c r="J38" s="173">
        <f t="shared" si="21"/>
        <v>-365.2</v>
      </c>
      <c r="K38" s="173">
        <f t="shared" si="21"/>
        <v>-49.3</v>
      </c>
      <c r="L38" s="173">
        <f t="shared" si="21"/>
        <v>-141.4</v>
      </c>
      <c r="M38" s="173">
        <f t="shared" si="21"/>
        <v>-679.9</v>
      </c>
    </row>
    <row r="39">
      <c r="A39" s="105" t="s">
        <v>49</v>
      </c>
      <c r="B39" s="106">
        <f t="shared" ref="B39:F39" si="22">B29+B38</f>
        <v>3516.4</v>
      </c>
      <c r="C39" s="106">
        <f t="shared" si="22"/>
        <v>3744.7</v>
      </c>
      <c r="D39" s="106">
        <f t="shared" si="22"/>
        <v>4252.7</v>
      </c>
      <c r="E39" s="106">
        <f t="shared" si="22"/>
        <v>4416.2</v>
      </c>
      <c r="F39" s="106">
        <f t="shared" si="22"/>
        <v>4574.1</v>
      </c>
      <c r="G39" s="7"/>
      <c r="H39" s="2"/>
      <c r="I39" s="2"/>
      <c r="J39" s="2"/>
      <c r="K39" s="2"/>
      <c r="L39" s="2"/>
      <c r="M39" s="2"/>
    </row>
    <row r="40">
      <c r="A40" s="101"/>
      <c r="B40" s="178"/>
      <c r="C40" s="178"/>
      <c r="D40" s="178"/>
      <c r="E40" s="178"/>
      <c r="F40" s="178"/>
      <c r="G40" s="7"/>
      <c r="H40" s="2"/>
      <c r="I40" s="2"/>
      <c r="J40" s="2"/>
      <c r="K40" s="2"/>
      <c r="L40" s="2"/>
      <c r="M40" s="2"/>
    </row>
    <row r="41">
      <c r="A41" s="84" t="s">
        <v>50</v>
      </c>
      <c r="B41" s="167">
        <v>301.1</v>
      </c>
      <c r="C41" s="167">
        <v>111.2</v>
      </c>
      <c r="D41" s="167">
        <v>723.3</v>
      </c>
      <c r="E41" s="167">
        <v>875.2</v>
      </c>
      <c r="F41" s="167">
        <v>776.7</v>
      </c>
      <c r="G41" s="7"/>
      <c r="H41" s="2"/>
      <c r="I41" s="2"/>
      <c r="J41" s="2"/>
      <c r="K41" s="2"/>
      <c r="L41" s="2"/>
      <c r="M41" s="2"/>
    </row>
    <row r="42">
      <c r="A42" s="84" t="s">
        <v>51</v>
      </c>
      <c r="B42" s="167">
        <v>44.8</v>
      </c>
      <c r="C42" s="167">
        <v>42.0</v>
      </c>
      <c r="D42" s="167">
        <v>41.6</v>
      </c>
      <c r="E42" s="167">
        <v>50.1</v>
      </c>
      <c r="F42" s="167">
        <v>47.1</v>
      </c>
      <c r="G42" s="7"/>
      <c r="H42" s="2"/>
      <c r="I42" s="2"/>
      <c r="J42" s="2"/>
      <c r="K42" s="2"/>
      <c r="L42" s="2"/>
      <c r="M42" s="2"/>
    </row>
    <row r="43">
      <c r="A43" s="84" t="s">
        <v>53</v>
      </c>
      <c r="B43" s="167">
        <v>2.8</v>
      </c>
      <c r="C43" s="167">
        <v>1.1</v>
      </c>
      <c r="D43" s="167">
        <v>4.6</v>
      </c>
      <c r="E43" s="167">
        <v>3.5</v>
      </c>
      <c r="F43" s="167">
        <v>11.2</v>
      </c>
      <c r="G43" s="7"/>
      <c r="H43" s="2"/>
      <c r="I43" s="2"/>
      <c r="J43" s="2"/>
      <c r="K43" s="2"/>
      <c r="L43" s="2"/>
      <c r="M43" s="2"/>
    </row>
    <row r="44">
      <c r="A44" s="75" t="s">
        <v>54</v>
      </c>
      <c r="B44" s="76">
        <f t="shared" ref="B44:F44" si="23">SUM(B41:B43)</f>
        <v>348.7</v>
      </c>
      <c r="C44" s="76">
        <f t="shared" si="23"/>
        <v>154.3</v>
      </c>
      <c r="D44" s="76">
        <f t="shared" si="23"/>
        <v>769.5</v>
      </c>
      <c r="E44" s="76">
        <f t="shared" si="23"/>
        <v>928.8</v>
      </c>
      <c r="F44" s="76">
        <f t="shared" si="23"/>
        <v>835</v>
      </c>
      <c r="G44" s="7"/>
      <c r="H44" s="2"/>
      <c r="I44" s="2"/>
      <c r="J44" s="2"/>
      <c r="K44" s="2"/>
      <c r="L44" s="2"/>
      <c r="M44" s="2"/>
    </row>
    <row r="45">
      <c r="A45" s="101"/>
      <c r="B45" s="101"/>
      <c r="C45" s="101"/>
      <c r="D45" s="101"/>
      <c r="E45" s="101"/>
      <c r="F45" s="101"/>
      <c r="G45" s="2"/>
      <c r="H45" s="2"/>
      <c r="I45" s="2"/>
      <c r="J45" s="2"/>
      <c r="K45" s="2"/>
      <c r="L45" s="2"/>
      <c r="M45" s="2"/>
    </row>
    <row r="46">
      <c r="A46" s="84" t="s">
        <v>55</v>
      </c>
      <c r="B46" s="167">
        <v>188.5</v>
      </c>
      <c r="C46" s="167">
        <v>158.0</v>
      </c>
      <c r="D46" s="167">
        <v>159.1</v>
      </c>
      <c r="E46" s="167">
        <v>97.4</v>
      </c>
      <c r="F46" s="167">
        <v>77.5</v>
      </c>
      <c r="G46" s="2"/>
      <c r="H46" s="2"/>
      <c r="I46" s="2"/>
      <c r="J46" s="2"/>
      <c r="K46" s="2"/>
      <c r="L46" s="2"/>
      <c r="M46" s="2"/>
    </row>
    <row r="47">
      <c r="A47" s="84" t="s">
        <v>56</v>
      </c>
      <c r="B47" s="167">
        <v>109.8</v>
      </c>
      <c r="C47" s="167">
        <v>420.7</v>
      </c>
      <c r="D47" s="167">
        <v>8.1</v>
      </c>
      <c r="E47" s="167">
        <v>8.8</v>
      </c>
      <c r="F47" s="167">
        <v>71.2</v>
      </c>
      <c r="G47" s="2"/>
      <c r="H47" s="2"/>
      <c r="I47" s="2"/>
      <c r="J47" s="2"/>
      <c r="K47" s="2"/>
      <c r="L47" s="2"/>
      <c r="M47" s="2"/>
    </row>
    <row r="48">
      <c r="A48" s="84" t="s">
        <v>110</v>
      </c>
      <c r="B48" s="167"/>
      <c r="C48" s="167"/>
      <c r="D48" s="167"/>
      <c r="E48" s="167">
        <v>3.6</v>
      </c>
      <c r="F48" s="167">
        <v>10.9</v>
      </c>
      <c r="G48" s="2"/>
      <c r="H48" s="2"/>
      <c r="I48" s="2"/>
      <c r="J48" s="2"/>
      <c r="K48" s="2"/>
      <c r="L48" s="2"/>
      <c r="M48" s="2"/>
    </row>
    <row r="49">
      <c r="A49" s="84" t="s">
        <v>111</v>
      </c>
      <c r="B49" s="167"/>
      <c r="C49" s="167">
        <v>24.1</v>
      </c>
      <c r="D49" s="167"/>
      <c r="E49" s="167"/>
      <c r="F49" s="167"/>
      <c r="G49" s="2"/>
      <c r="H49" s="2"/>
      <c r="I49" s="2"/>
      <c r="J49" s="2"/>
      <c r="K49" s="2"/>
      <c r="L49" s="2"/>
      <c r="M49" s="2"/>
    </row>
    <row r="50">
      <c r="A50" s="84" t="s">
        <v>112</v>
      </c>
      <c r="B50" s="167">
        <v>23.2</v>
      </c>
      <c r="C50" s="167">
        <v>22.1</v>
      </c>
      <c r="D50" s="167">
        <v>18.4</v>
      </c>
      <c r="E50" s="167">
        <v>9.9</v>
      </c>
      <c r="F50" s="167">
        <v>10.1</v>
      </c>
      <c r="G50" s="2"/>
      <c r="H50" s="2"/>
      <c r="I50" s="2"/>
      <c r="J50" s="2"/>
      <c r="K50" s="2"/>
      <c r="L50" s="2"/>
      <c r="M50" s="2"/>
    </row>
    <row r="51">
      <c r="A51" s="84" t="s">
        <v>58</v>
      </c>
      <c r="B51" s="167"/>
      <c r="C51" s="167"/>
      <c r="D51" s="167"/>
      <c r="E51" s="167">
        <v>56.2</v>
      </c>
      <c r="F51" s="167">
        <v>56.2</v>
      </c>
      <c r="G51" s="2"/>
      <c r="H51" s="2"/>
      <c r="I51" s="2"/>
      <c r="J51" s="2"/>
      <c r="K51" s="2"/>
      <c r="L51" s="2"/>
      <c r="M51" s="2"/>
    </row>
    <row r="52">
      <c r="A52" s="75" t="s">
        <v>59</v>
      </c>
      <c r="B52" s="76">
        <f t="shared" ref="B52:F52" si="24">SUM(B46:B51)</f>
        <v>321.5</v>
      </c>
      <c r="C52" s="76">
        <f t="shared" si="24"/>
        <v>624.9</v>
      </c>
      <c r="D52" s="76">
        <f t="shared" si="24"/>
        <v>185.6</v>
      </c>
      <c r="E52" s="76">
        <f t="shared" si="24"/>
        <v>175.9</v>
      </c>
      <c r="F52" s="76">
        <f t="shared" si="24"/>
        <v>225.9</v>
      </c>
      <c r="G52" s="2"/>
      <c r="H52" s="2"/>
      <c r="I52" s="2"/>
      <c r="J52" s="2"/>
      <c r="K52" s="2"/>
      <c r="L52" s="2"/>
      <c r="M52" s="2"/>
    </row>
    <row r="53">
      <c r="A53" s="105" t="s">
        <v>60</v>
      </c>
      <c r="B53" s="106">
        <f t="shared" ref="B53:F53" si="25">B44+B52</f>
        <v>670.2</v>
      </c>
      <c r="C53" s="106">
        <f t="shared" si="25"/>
        <v>779.2</v>
      </c>
      <c r="D53" s="106">
        <f t="shared" si="25"/>
        <v>955.1</v>
      </c>
      <c r="E53" s="106">
        <f t="shared" si="25"/>
        <v>1104.7</v>
      </c>
      <c r="F53" s="106">
        <f t="shared" si="25"/>
        <v>1060.9</v>
      </c>
      <c r="G53" s="2"/>
      <c r="H53" s="2"/>
      <c r="I53" s="2"/>
      <c r="J53" s="2"/>
      <c r="K53" s="2"/>
      <c r="L53" s="2"/>
      <c r="M53" s="2"/>
    </row>
    <row r="54">
      <c r="A54" s="101"/>
      <c r="B54" s="101"/>
      <c r="C54" s="101"/>
      <c r="D54" s="101"/>
      <c r="E54" s="101"/>
      <c r="F54" s="101"/>
      <c r="G54" s="2"/>
      <c r="H54" s="2"/>
      <c r="I54" s="2"/>
      <c r="J54" s="2"/>
      <c r="K54" s="2"/>
      <c r="L54" s="2"/>
      <c r="M54" s="2"/>
    </row>
    <row r="55">
      <c r="A55" s="84" t="s">
        <v>61</v>
      </c>
      <c r="B55" s="167">
        <v>564.1</v>
      </c>
      <c r="C55" s="167">
        <v>564.1</v>
      </c>
      <c r="D55" s="167">
        <v>563.9</v>
      </c>
      <c r="E55" s="167">
        <v>563.7</v>
      </c>
      <c r="F55" s="167">
        <v>562.9</v>
      </c>
      <c r="G55" s="2"/>
      <c r="H55" s="2"/>
      <c r="I55" s="2"/>
      <c r="J55" s="2"/>
      <c r="K55" s="2"/>
      <c r="L55" s="2"/>
      <c r="M55" s="2"/>
    </row>
    <row r="56">
      <c r="A56" s="84" t="s">
        <v>62</v>
      </c>
      <c r="B56" s="167">
        <v>2277.1</v>
      </c>
      <c r="C56" s="167">
        <v>2396.3</v>
      </c>
      <c r="D56" s="167">
        <v>2730.2</v>
      </c>
      <c r="E56" s="167">
        <v>2745.1</v>
      </c>
      <c r="F56" s="167">
        <v>2946.6</v>
      </c>
      <c r="G56" s="2"/>
      <c r="H56" s="2"/>
      <c r="I56" s="2"/>
      <c r="J56" s="2"/>
      <c r="K56" s="2"/>
      <c r="L56" s="2"/>
      <c r="M56" s="2"/>
    </row>
    <row r="57">
      <c r="A57" s="84" t="s">
        <v>113</v>
      </c>
      <c r="B57" s="167">
        <f t="shared" ref="B57:F57" si="26">B55+B56</f>
        <v>2841.2</v>
      </c>
      <c r="C57" s="167">
        <f t="shared" si="26"/>
        <v>2960.4</v>
      </c>
      <c r="D57" s="167">
        <f t="shared" si="26"/>
        <v>3294.1</v>
      </c>
      <c r="E57" s="167">
        <f t="shared" si="26"/>
        <v>3308.8</v>
      </c>
      <c r="F57" s="167">
        <f t="shared" si="26"/>
        <v>3509.5</v>
      </c>
      <c r="G57" s="2"/>
    </row>
    <row r="58">
      <c r="A58" s="84" t="s">
        <v>114</v>
      </c>
      <c r="B58" s="167">
        <v>5.0</v>
      </c>
      <c r="C58" s="167">
        <v>5.1</v>
      </c>
      <c r="D58" s="167">
        <v>3.5</v>
      </c>
      <c r="E58" s="167">
        <v>3.5</v>
      </c>
      <c r="F58" s="167">
        <v>3.7</v>
      </c>
      <c r="G58" s="2"/>
    </row>
    <row r="59">
      <c r="A59" s="105" t="s">
        <v>64</v>
      </c>
      <c r="B59" s="106">
        <f t="shared" ref="B59:F59" si="27">B57+B58</f>
        <v>2846.2</v>
      </c>
      <c r="C59" s="106">
        <f t="shared" si="27"/>
        <v>2965.5</v>
      </c>
      <c r="D59" s="106">
        <f t="shared" si="27"/>
        <v>3297.6</v>
      </c>
      <c r="E59" s="106">
        <f t="shared" si="27"/>
        <v>3312.3</v>
      </c>
      <c r="F59" s="106">
        <f t="shared" si="27"/>
        <v>3513.2</v>
      </c>
      <c r="G59" s="2"/>
    </row>
    <row r="60">
      <c r="A60" s="114" t="s">
        <v>65</v>
      </c>
      <c r="B60" s="115">
        <f t="shared" ref="B60:F60" si="28">B53+B59</f>
        <v>3516.4</v>
      </c>
      <c r="C60" s="115">
        <f t="shared" si="28"/>
        <v>3744.7</v>
      </c>
      <c r="D60" s="115">
        <f t="shared" si="28"/>
        <v>4252.7</v>
      </c>
      <c r="E60" s="115">
        <f t="shared" si="28"/>
        <v>4417</v>
      </c>
      <c r="F60" s="115">
        <f t="shared" si="28"/>
        <v>4574.1</v>
      </c>
      <c r="G60" s="2"/>
    </row>
    <row r="61">
      <c r="G61" s="2"/>
    </row>
    <row r="62">
      <c r="G62" s="2"/>
    </row>
    <row r="63">
      <c r="A63" s="116" t="s">
        <v>66</v>
      </c>
      <c r="B63" s="117"/>
      <c r="C63" s="117"/>
      <c r="D63" s="117"/>
      <c r="E63" s="117"/>
      <c r="F63" s="118"/>
    </row>
    <row r="64">
      <c r="A64" s="187" t="s">
        <v>67</v>
      </c>
      <c r="B64" s="188"/>
      <c r="C64" s="188"/>
      <c r="D64" s="188"/>
      <c r="E64" s="188"/>
      <c r="F64" s="189"/>
    </row>
    <row r="65">
      <c r="A65" s="174"/>
      <c r="B65" s="120">
        <v>2024.0</v>
      </c>
      <c r="C65" s="120">
        <v>2023.0</v>
      </c>
      <c r="D65" s="120">
        <v>2022.0</v>
      </c>
      <c r="E65" s="120">
        <v>2021.0</v>
      </c>
      <c r="F65" s="120">
        <v>2020.0</v>
      </c>
    </row>
    <row r="66">
      <c r="A66" s="121" t="s">
        <v>68</v>
      </c>
      <c r="B66" s="122">
        <f t="shared" ref="B66:F66" si="29">B38/B52</f>
        <v>1.047900467</v>
      </c>
      <c r="C66" s="122">
        <f t="shared" si="29"/>
        <v>0.9564730357</v>
      </c>
      <c r="D66" s="122">
        <f t="shared" si="29"/>
        <v>1.769935345</v>
      </c>
      <c r="E66" s="122">
        <f t="shared" si="29"/>
        <v>1.638999431</v>
      </c>
      <c r="F66" s="122">
        <f t="shared" si="29"/>
        <v>1.086321381</v>
      </c>
    </row>
    <row r="67">
      <c r="A67" s="124" t="s">
        <v>69</v>
      </c>
      <c r="B67" s="190">
        <f t="shared" ref="B67:F67" si="30">B37/B52</f>
        <v>0.6687402799</v>
      </c>
      <c r="C67" s="190">
        <f t="shared" si="30"/>
        <v>0.2861257801</v>
      </c>
      <c r="D67" s="190">
        <f t="shared" si="30"/>
        <v>1.21875</v>
      </c>
      <c r="E67" s="190">
        <f t="shared" si="30"/>
        <v>1.209778283</v>
      </c>
      <c r="F67" s="191">
        <f t="shared" si="30"/>
        <v>0.7286409916</v>
      </c>
    </row>
    <row r="68">
      <c r="A68" s="127" t="s">
        <v>70</v>
      </c>
      <c r="B68" s="128">
        <f t="shared" ref="B68:F68" si="31">(B38-B32)/B52</f>
        <v>1.031726283</v>
      </c>
      <c r="C68" s="128">
        <f t="shared" si="31"/>
        <v>0.9484717555</v>
      </c>
      <c r="D68" s="128">
        <f t="shared" si="31"/>
        <v>1.74299569</v>
      </c>
      <c r="E68" s="128">
        <f t="shared" si="31"/>
        <v>1.608868675</v>
      </c>
      <c r="F68" s="128">
        <f t="shared" si="31"/>
        <v>1.059760956</v>
      </c>
    </row>
    <row r="69">
      <c r="A69" s="130"/>
      <c r="B69" s="130"/>
      <c r="C69" s="130"/>
      <c r="D69" s="130"/>
      <c r="E69" s="130"/>
      <c r="F69" s="7"/>
    </row>
    <row r="70">
      <c r="A70" s="131" t="s">
        <v>71</v>
      </c>
      <c r="B70" s="132"/>
      <c r="C70" s="132"/>
      <c r="D70" s="132"/>
      <c r="E70" s="132"/>
      <c r="F70" s="133"/>
    </row>
    <row r="71">
      <c r="A71" s="174"/>
      <c r="B71" s="120">
        <v>2024.0</v>
      </c>
      <c r="C71" s="120">
        <v>2023.0</v>
      </c>
      <c r="D71" s="120">
        <v>2022.0</v>
      </c>
      <c r="E71" s="120">
        <v>2021.0</v>
      </c>
      <c r="F71" s="120">
        <v>2020.0</v>
      </c>
    </row>
    <row r="72">
      <c r="A72" s="134" t="s">
        <v>72</v>
      </c>
      <c r="B72" s="135">
        <f t="shared" ref="B72:F72" si="32">B11/B5</f>
        <v>0.1622289844</v>
      </c>
      <c r="C72" s="135">
        <f t="shared" si="32"/>
        <v>0.1833004838</v>
      </c>
      <c r="D72" s="135">
        <f t="shared" si="32"/>
        <v>0.03567496146</v>
      </c>
      <c r="E72" s="135">
        <f t="shared" si="32"/>
        <v>-0.2038497949</v>
      </c>
      <c r="F72" s="136">
        <f t="shared" si="32"/>
        <v>-1.19760479</v>
      </c>
    </row>
    <row r="73">
      <c r="A73" s="124" t="s">
        <v>73</v>
      </c>
      <c r="B73" s="138">
        <f t="shared" ref="B73:F73" si="33">B7/B5</f>
        <v>0.4632940281</v>
      </c>
      <c r="C73" s="138">
        <f t="shared" si="33"/>
        <v>0.4468733202</v>
      </c>
      <c r="D73" s="138">
        <f t="shared" si="33"/>
        <v>0.3334067386</v>
      </c>
      <c r="E73" s="138">
        <f t="shared" si="33"/>
        <v>0.1754496687</v>
      </c>
      <c r="F73" s="139">
        <f t="shared" si="33"/>
        <v>-0.2683723462</v>
      </c>
    </row>
    <row r="74">
      <c r="A74" s="140" t="s">
        <v>74</v>
      </c>
      <c r="B74" s="138">
        <f t="shared" ref="B74:F74" si="34">B18/B5</f>
        <v>-0.1744009129</v>
      </c>
      <c r="C74" s="138">
        <f t="shared" si="34"/>
        <v>-0.6529295825</v>
      </c>
      <c r="D74" s="138">
        <f t="shared" si="34"/>
        <v>-0.1294868972</v>
      </c>
      <c r="E74" s="138">
        <f t="shared" si="34"/>
        <v>-0.3726727674</v>
      </c>
      <c r="F74" s="139">
        <f t="shared" si="34"/>
        <v>-3.535111595</v>
      </c>
    </row>
    <row r="75">
      <c r="A75" s="137" t="s">
        <v>75</v>
      </c>
      <c r="B75" s="138">
        <f t="shared" ref="B75:F75" si="35">I6/B5</f>
        <v>0.2436287562</v>
      </c>
      <c r="C75" s="138">
        <f t="shared" si="35"/>
        <v>0.274861136</v>
      </c>
      <c r="D75" s="138">
        <f t="shared" si="35"/>
        <v>0.1638405638</v>
      </c>
      <c r="E75" s="138">
        <f t="shared" si="35"/>
        <v>0.01230672136</v>
      </c>
      <c r="F75" s="139">
        <f t="shared" si="35"/>
        <v>-0.5215024496</v>
      </c>
    </row>
    <row r="76">
      <c r="A76" s="137" t="s">
        <v>76</v>
      </c>
      <c r="B76" s="138">
        <f t="shared" ref="B76:F76" si="36">B17/B16</f>
        <v>-0.493485342</v>
      </c>
      <c r="C76" s="138">
        <f t="shared" si="36"/>
        <v>-0.03847249929</v>
      </c>
      <c r="D76" s="138">
        <f t="shared" si="36"/>
        <v>-0.03703703704</v>
      </c>
      <c r="E76" s="138">
        <f t="shared" si="36"/>
        <v>-0.06877828054</v>
      </c>
      <c r="F76" s="139">
        <f t="shared" si="36"/>
        <v>0.02900717703</v>
      </c>
    </row>
    <row r="77">
      <c r="A77" s="137" t="s">
        <v>77</v>
      </c>
      <c r="B77" s="138">
        <f t="shared" ref="B77:F77" si="37">I38/B5</f>
        <v>-0.1494294409</v>
      </c>
      <c r="C77" s="138">
        <f t="shared" si="37"/>
        <v>-0.6543630174</v>
      </c>
      <c r="D77" s="138">
        <f t="shared" si="37"/>
        <v>-0.1085663951</v>
      </c>
      <c r="E77" s="138">
        <f t="shared" si="37"/>
        <v>-0.4461975387</v>
      </c>
      <c r="F77" s="139">
        <f t="shared" si="37"/>
        <v>-3.701143168</v>
      </c>
    </row>
    <row r="78">
      <c r="A78" s="141" t="s">
        <v>78</v>
      </c>
      <c r="B78" s="138">
        <f t="shared" ref="B78:F78" si="38">I38/((B39+C39)/2)</f>
        <v>-0.02164134911</v>
      </c>
      <c r="C78" s="138">
        <f t="shared" si="38"/>
        <v>-0.09132968215</v>
      </c>
      <c r="D78" s="138">
        <f t="shared" si="38"/>
        <v>-0.01137399209</v>
      </c>
      <c r="E78" s="138">
        <f t="shared" si="38"/>
        <v>-0.03145612493</v>
      </c>
      <c r="F78" s="139">
        <f t="shared" si="38"/>
        <v>-0.2972825255</v>
      </c>
    </row>
    <row r="79">
      <c r="A79" s="141" t="s">
        <v>79</v>
      </c>
      <c r="B79" s="138">
        <f t="shared" ref="B79:F79" si="39">B11/I25</f>
        <v>0.02618894108</v>
      </c>
      <c r="C79" s="138">
        <f t="shared" si="39"/>
        <v>0.02925030022</v>
      </c>
      <c r="D79" s="138">
        <f t="shared" si="39"/>
        <v>0.004020848846</v>
      </c>
      <c r="E79" s="138">
        <f t="shared" si="39"/>
        <v>-0.01539451421</v>
      </c>
      <c r="F79" s="139">
        <f t="shared" si="39"/>
        <v>-0.0504459884</v>
      </c>
    </row>
    <row r="80">
      <c r="A80" s="141" t="s">
        <v>80</v>
      </c>
      <c r="B80" s="138">
        <f>I38/((B57+C57)/2)</f>
        <v>-0.02708563155</v>
      </c>
      <c r="C80" s="138">
        <f>(C18-C58/10)/((C57+D57)/2)</f>
        <v>-0.1166871852</v>
      </c>
      <c r="D80" s="138">
        <f>(D18-D58/10+9.5)/((D57+E57)/2)</f>
        <v>-0.01503884657</v>
      </c>
      <c r="E80" s="138">
        <f>(E18-E58/10-23.3)/((E57+F57)/2)</f>
        <v>-0.04157927929</v>
      </c>
      <c r="F80" s="139">
        <f>(F18-F58/10-30.5)/((F57+4113)/2)</f>
        <v>-0.1784899967</v>
      </c>
    </row>
    <row r="81">
      <c r="A81" s="141" t="s">
        <v>81</v>
      </c>
      <c r="B81" s="138">
        <f t="shared" ref="B81:F81" si="40">((B18-B58/10)+I28*(1-B74))/((I25+J25)/2)</f>
        <v>-0.02378815628</v>
      </c>
      <c r="C81" s="138">
        <f t="shared" si="40"/>
        <v>-0.08950100901</v>
      </c>
      <c r="D81" s="138">
        <f t="shared" si="40"/>
        <v>-0.01020796789</v>
      </c>
      <c r="E81" s="138">
        <f t="shared" si="40"/>
        <v>-0.02383385766</v>
      </c>
      <c r="F81" s="139">
        <f t="shared" si="40"/>
        <v>-0.2707390512</v>
      </c>
    </row>
    <row r="82">
      <c r="A82" s="144" t="s">
        <v>82</v>
      </c>
      <c r="B82" s="145">
        <f t="shared" ref="B82:E82" si="41">(B5-C5)/C5</f>
        <v>-0.05787493281</v>
      </c>
      <c r="C82" s="145">
        <f t="shared" si="41"/>
        <v>0.229024444</v>
      </c>
      <c r="D82" s="145">
        <f t="shared" si="41"/>
        <v>0.4329441464</v>
      </c>
      <c r="E82" s="145">
        <f t="shared" si="41"/>
        <v>0.725095264</v>
      </c>
      <c r="F82" s="146">
        <f>(F5-1708.08)/1708.08</f>
        <v>-0.8924523442</v>
      </c>
    </row>
    <row r="83">
      <c r="A83" s="2"/>
      <c r="B83" s="2"/>
      <c r="C83" s="2"/>
      <c r="D83" s="2"/>
      <c r="E83" s="2"/>
      <c r="F83" s="2"/>
    </row>
    <row r="84">
      <c r="A84" s="147" t="s">
        <v>83</v>
      </c>
      <c r="B84" s="148"/>
      <c r="C84" s="148"/>
      <c r="D84" s="148"/>
      <c r="E84" s="148"/>
      <c r="F84" s="149"/>
    </row>
    <row r="85">
      <c r="A85" s="150"/>
      <c r="B85" s="151">
        <v>2024.0</v>
      </c>
      <c r="C85" s="151">
        <v>2023.0</v>
      </c>
      <c r="D85" s="151">
        <v>2022.0</v>
      </c>
      <c r="E85" s="151">
        <v>2021.0</v>
      </c>
      <c r="F85" s="151">
        <v>2020.0</v>
      </c>
    </row>
    <row r="86">
      <c r="A86" s="14" t="s">
        <v>84</v>
      </c>
      <c r="B86" s="136">
        <f t="shared" ref="B86:F86" si="42">I18/B39</f>
        <v>0.1168524627</v>
      </c>
      <c r="C86" s="136">
        <f t="shared" si="42"/>
        <v>0.1420407509</v>
      </c>
      <c r="D86" s="136">
        <f t="shared" si="42"/>
        <v>0.1719848567</v>
      </c>
      <c r="E86" s="136">
        <f t="shared" si="42"/>
        <v>0.2001720937</v>
      </c>
      <c r="F86" s="136">
        <f t="shared" si="42"/>
        <v>0.1853697995</v>
      </c>
    </row>
    <row r="87">
      <c r="A87" s="153" t="s">
        <v>85</v>
      </c>
      <c r="B87" s="139">
        <f t="shared" ref="B87:F87" si="43">I18/I25</f>
        <v>0.1261551687</v>
      </c>
      <c r="C87" s="139">
        <f t="shared" si="43"/>
        <v>0.1520844056</v>
      </c>
      <c r="D87" s="139">
        <f t="shared" si="43"/>
        <v>0.1815338794</v>
      </c>
      <c r="E87" s="139">
        <f t="shared" si="43"/>
        <v>0.2106617735</v>
      </c>
      <c r="F87" s="139">
        <f t="shared" si="43"/>
        <v>0.1944234253</v>
      </c>
    </row>
    <row r="88">
      <c r="A88" s="153" t="s">
        <v>86</v>
      </c>
      <c r="B88" s="139">
        <f t="shared" ref="B88:F88" si="44">I18/B59</f>
        <v>0.1443679292</v>
      </c>
      <c r="C88" s="139">
        <f t="shared" si="44"/>
        <v>0.1793626707</v>
      </c>
      <c r="D88" s="139">
        <f t="shared" si="44"/>
        <v>0.221797671</v>
      </c>
      <c r="E88" s="139">
        <f t="shared" si="44"/>
        <v>0.2668840383</v>
      </c>
      <c r="F88" s="139">
        <f t="shared" si="44"/>
        <v>0.2413469202</v>
      </c>
    </row>
    <row r="89">
      <c r="A89" s="28" t="s">
        <v>87</v>
      </c>
      <c r="B89" s="155">
        <f t="shared" ref="B89:F89" si="45">B11/I28</f>
        <v>8.445544554</v>
      </c>
      <c r="C89" s="155">
        <f t="shared" si="45"/>
        <v>6.017647059</v>
      </c>
      <c r="D89" s="155">
        <f t="shared" si="45"/>
        <v>1.065789474</v>
      </c>
      <c r="E89" s="155">
        <f t="shared" si="45"/>
        <v>-5.383333333</v>
      </c>
      <c r="F89" s="155">
        <f t="shared" si="45"/>
        <v>-16.79389313</v>
      </c>
    </row>
    <row r="90">
      <c r="A90" s="192"/>
      <c r="B90" s="192"/>
      <c r="C90" s="192"/>
      <c r="D90" s="192"/>
      <c r="E90" s="192"/>
      <c r="F90" s="192"/>
    </row>
    <row r="91">
      <c r="A91" s="147" t="s">
        <v>88</v>
      </c>
      <c r="B91" s="148"/>
      <c r="C91" s="148"/>
      <c r="D91" s="148"/>
      <c r="E91" s="148"/>
      <c r="F91" s="149"/>
    </row>
    <row r="92">
      <c r="A92" s="150"/>
      <c r="B92" s="151">
        <v>2024.0</v>
      </c>
      <c r="C92" s="151">
        <v>2023.0</v>
      </c>
      <c r="D92" s="151">
        <v>2022.0</v>
      </c>
      <c r="E92" s="151">
        <v>2021.0</v>
      </c>
      <c r="F92" s="151">
        <v>2020.0</v>
      </c>
    </row>
    <row r="93">
      <c r="A93" s="158" t="s">
        <v>89</v>
      </c>
      <c r="B93" s="159">
        <f t="shared" ref="B93:E93" si="46">B5/((B29+C29)/2)</f>
        <v>0.1662214495</v>
      </c>
      <c r="C93" s="159">
        <f t="shared" si="46"/>
        <v>0.1578515669</v>
      </c>
      <c r="D93" s="159">
        <f t="shared" si="46"/>
        <v>0.1127904522</v>
      </c>
      <c r="E93" s="159">
        <f t="shared" si="46"/>
        <v>0.07494737838</v>
      </c>
      <c r="F93" s="159">
        <f>F5/((F29+4732.7)/2)</f>
        <v>0.04054561105</v>
      </c>
    </row>
    <row r="94">
      <c r="A94" s="88" t="s">
        <v>90</v>
      </c>
      <c r="B94" s="160">
        <f t="shared" ref="B94:E94" si="47">B5/((B39+C39)/2)</f>
        <v>0.1448265414</v>
      </c>
      <c r="C94" s="160">
        <f t="shared" si="47"/>
        <v>0.1395703604</v>
      </c>
      <c r="D94" s="160">
        <f t="shared" si="47"/>
        <v>0.1047653105</v>
      </c>
      <c r="E94" s="160">
        <f t="shared" si="47"/>
        <v>0.07049820362</v>
      </c>
      <c r="F94" s="160">
        <f>F5/((F39+5108.7)/2)</f>
        <v>0.03794357004</v>
      </c>
    </row>
    <row r="95">
      <c r="A95" s="94" t="s">
        <v>91</v>
      </c>
      <c r="B95" s="160"/>
      <c r="C95" s="160"/>
      <c r="D95" s="160"/>
      <c r="E95" s="160"/>
      <c r="F95" s="160"/>
    </row>
    <row r="96">
      <c r="A96" s="94" t="s">
        <v>92</v>
      </c>
      <c r="B96" s="160"/>
      <c r="C96" s="160"/>
      <c r="D96" s="160"/>
      <c r="E96" s="160"/>
      <c r="F96" s="160"/>
    </row>
    <row r="97">
      <c r="A97" s="94" t="s">
        <v>93</v>
      </c>
      <c r="B97" s="162">
        <f t="shared" ref="B97:E97" si="48">B5/((B31+C31)/2)</f>
        <v>7.163487738</v>
      </c>
      <c r="C97" s="162">
        <f t="shared" si="48"/>
        <v>9.186831276</v>
      </c>
      <c r="D97" s="162">
        <f t="shared" si="48"/>
        <v>8.699233716</v>
      </c>
      <c r="E97" s="162">
        <f t="shared" si="48"/>
        <v>7.962311558</v>
      </c>
      <c r="F97" s="162">
        <f>F5/((F31+58.7)/2)</f>
        <v>3.879619852</v>
      </c>
    </row>
    <row r="98">
      <c r="A98" s="94" t="s">
        <v>94</v>
      </c>
      <c r="B98" s="162">
        <f t="shared" ref="B98:F98" si="49">366/B97</f>
        <v>51.09243058</v>
      </c>
      <c r="C98" s="162">
        <f t="shared" si="49"/>
        <v>39.83963447</v>
      </c>
      <c r="D98" s="162">
        <f t="shared" si="49"/>
        <v>42.07267122</v>
      </c>
      <c r="E98" s="162">
        <f t="shared" si="49"/>
        <v>45.96655096</v>
      </c>
      <c r="F98" s="162">
        <f t="shared" si="49"/>
        <v>94.3391399</v>
      </c>
    </row>
    <row r="99">
      <c r="A99" s="94" t="s">
        <v>95</v>
      </c>
      <c r="B99" s="162">
        <f t="shared" ref="B99:C99" si="50">B6/((B46+C46)/2)</f>
        <v>1.628860029</v>
      </c>
      <c r="C99" s="162">
        <f t="shared" si="50"/>
        <v>1.947019868</v>
      </c>
      <c r="D99" s="162">
        <f>D6/87.95</f>
        <v>3.441728255</v>
      </c>
      <c r="E99" s="162">
        <f>E6/15.9</f>
        <v>16.43396226</v>
      </c>
      <c r="F99" s="162">
        <f>F6/18.3</f>
        <v>12.73224044</v>
      </c>
    </row>
    <row r="100">
      <c r="A100" s="94" t="s">
        <v>96</v>
      </c>
      <c r="B100" s="162">
        <f t="shared" ref="B100:F100" si="51">366/B99</f>
        <v>224.6970234</v>
      </c>
      <c r="C100" s="162">
        <f t="shared" si="51"/>
        <v>187.9795918</v>
      </c>
      <c r="D100" s="162">
        <f t="shared" si="51"/>
        <v>106.3419227</v>
      </c>
      <c r="E100" s="162">
        <f t="shared" si="51"/>
        <v>22.27095293</v>
      </c>
      <c r="F100" s="162">
        <f t="shared" si="51"/>
        <v>28.74592275</v>
      </c>
    </row>
    <row r="101">
      <c r="A101" s="88" t="s">
        <v>115</v>
      </c>
      <c r="B101" s="162">
        <f t="shared" ref="B101:E101" si="52">B6/((B32+C32)/2)</f>
        <v>55.33333333</v>
      </c>
      <c r="C101" s="162">
        <f t="shared" si="52"/>
        <v>61.74</v>
      </c>
      <c r="D101" s="162">
        <f t="shared" si="52"/>
        <v>58.77669903</v>
      </c>
      <c r="E101" s="162">
        <f t="shared" si="52"/>
        <v>46.24778761</v>
      </c>
      <c r="F101" s="162">
        <f>F6/((F32+11.123)/2)</f>
        <v>27.21485721</v>
      </c>
    </row>
    <row r="102">
      <c r="A102" s="88" t="s">
        <v>116</v>
      </c>
      <c r="B102" s="162">
        <f t="shared" ref="B102:F102" si="53">366/B101</f>
        <v>6.614457831</v>
      </c>
      <c r="C102" s="162">
        <f t="shared" si="53"/>
        <v>5.92808552</v>
      </c>
      <c r="D102" s="162">
        <f t="shared" si="53"/>
        <v>6.226957384</v>
      </c>
      <c r="E102" s="162">
        <f t="shared" si="53"/>
        <v>7.913892078</v>
      </c>
      <c r="F102" s="162">
        <f t="shared" si="53"/>
        <v>13.44853648</v>
      </c>
    </row>
    <row r="103">
      <c r="A103" s="193" t="s">
        <v>117</v>
      </c>
      <c r="B103" s="65">
        <f t="shared" ref="B103:F103" si="54">B98-B100+B102</f>
        <v>-166.990135</v>
      </c>
      <c r="C103" s="65">
        <f t="shared" si="54"/>
        <v>-142.2118718</v>
      </c>
      <c r="D103" s="65">
        <f t="shared" si="54"/>
        <v>-58.04229409</v>
      </c>
      <c r="E103" s="65">
        <f t="shared" si="54"/>
        <v>31.60949011</v>
      </c>
      <c r="F103" s="65">
        <f t="shared" si="54"/>
        <v>79.04175364</v>
      </c>
    </row>
  </sheetData>
  <mergeCells count="8">
    <mergeCell ref="A1:F1"/>
    <mergeCell ref="A3:F3"/>
    <mergeCell ref="A21:F21"/>
    <mergeCell ref="A63:F63"/>
    <mergeCell ref="A64:F64"/>
    <mergeCell ref="A70:F70"/>
    <mergeCell ref="A84:F84"/>
    <mergeCell ref="A91:F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0"/>
    <col customWidth="1" min="8" max="8" width="57.5"/>
  </cols>
  <sheetData>
    <row r="1">
      <c r="A1" s="166" t="s">
        <v>118</v>
      </c>
      <c r="G1" s="2"/>
      <c r="H1" s="2"/>
      <c r="I1" s="2"/>
      <c r="J1" s="2"/>
      <c r="K1" s="2"/>
      <c r="L1" s="2"/>
      <c r="M1" s="2"/>
    </row>
    <row r="2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</row>
    <row r="3">
      <c r="A3" s="4" t="s">
        <v>1</v>
      </c>
      <c r="B3" s="5"/>
      <c r="C3" s="5"/>
      <c r="D3" s="5"/>
      <c r="E3" s="5"/>
      <c r="F3" s="6"/>
      <c r="G3" s="7"/>
      <c r="H3" s="8" t="s">
        <v>2</v>
      </c>
      <c r="I3" s="9">
        <v>2024.0</v>
      </c>
      <c r="J3" s="10">
        <v>2023.0</v>
      </c>
      <c r="K3" s="9">
        <v>2022.0</v>
      </c>
      <c r="L3" s="10">
        <v>2021.0</v>
      </c>
      <c r="M3" s="9">
        <v>2020.0</v>
      </c>
    </row>
    <row r="4">
      <c r="A4" s="11"/>
      <c r="B4" s="12">
        <v>2024.0</v>
      </c>
      <c r="C4" s="12">
        <v>2023.0</v>
      </c>
      <c r="D4" s="12">
        <v>2022.0</v>
      </c>
      <c r="E4" s="12">
        <v>2021.0</v>
      </c>
      <c r="F4" s="13">
        <v>2020.0</v>
      </c>
      <c r="G4" s="7"/>
      <c r="H4" s="14" t="s">
        <v>3</v>
      </c>
      <c r="I4" s="194">
        <f t="shared" ref="I4:M4" si="1">B11</f>
        <v>404.5</v>
      </c>
      <c r="J4" s="195">
        <f t="shared" si="1"/>
        <v>334.8</v>
      </c>
      <c r="K4" s="194">
        <f t="shared" si="1"/>
        <v>252</v>
      </c>
      <c r="L4" s="195">
        <f t="shared" si="1"/>
        <v>-82.8</v>
      </c>
      <c r="M4" s="194">
        <f t="shared" si="1"/>
        <v>-332.9</v>
      </c>
    </row>
    <row r="5">
      <c r="A5" s="17" t="s">
        <v>4</v>
      </c>
      <c r="B5" s="168">
        <v>2417.9</v>
      </c>
      <c r="C5" s="168">
        <v>2159.0</v>
      </c>
      <c r="D5" s="168">
        <v>1722.4</v>
      </c>
      <c r="E5" s="168">
        <v>746.5</v>
      </c>
      <c r="F5" s="168">
        <v>536.2</v>
      </c>
      <c r="G5" s="7"/>
      <c r="H5" s="21" t="s">
        <v>5</v>
      </c>
      <c r="I5" s="196">
        <v>303.4</v>
      </c>
      <c r="J5" s="197">
        <v>292.3</v>
      </c>
      <c r="K5" s="196">
        <v>277.3</v>
      </c>
      <c r="L5" s="197">
        <v>280.2</v>
      </c>
      <c r="M5" s="196">
        <v>302.4</v>
      </c>
    </row>
    <row r="6">
      <c r="A6" s="24" t="s">
        <v>6</v>
      </c>
      <c r="B6" s="167">
        <v>691.1</v>
      </c>
      <c r="C6" s="167">
        <v>642.1</v>
      </c>
      <c r="D6" s="167">
        <v>569.1</v>
      </c>
      <c r="E6" s="167">
        <v>312.3</v>
      </c>
      <c r="F6" s="167">
        <v>327.8</v>
      </c>
      <c r="G6" s="7"/>
      <c r="H6" s="28" t="s">
        <v>7</v>
      </c>
      <c r="I6" s="198">
        <f t="shared" ref="I6:M6" si="2">I4+I5</f>
        <v>707.9</v>
      </c>
      <c r="J6" s="199">
        <f t="shared" si="2"/>
        <v>627.1</v>
      </c>
      <c r="K6" s="198">
        <f t="shared" si="2"/>
        <v>529.3</v>
      </c>
      <c r="L6" s="199">
        <f t="shared" si="2"/>
        <v>197.4</v>
      </c>
      <c r="M6" s="198">
        <f t="shared" si="2"/>
        <v>-30.5</v>
      </c>
    </row>
    <row r="7">
      <c r="A7" s="31" t="s">
        <v>8</v>
      </c>
      <c r="B7" s="32">
        <f t="shared" ref="B7:F7" si="3">B5-B6</f>
        <v>1726.8</v>
      </c>
      <c r="C7" s="33">
        <f t="shared" si="3"/>
        <v>1516.9</v>
      </c>
      <c r="D7" s="32">
        <f t="shared" si="3"/>
        <v>1153.3</v>
      </c>
      <c r="E7" s="33">
        <f t="shared" si="3"/>
        <v>434.2</v>
      </c>
      <c r="F7" s="32">
        <f t="shared" si="3"/>
        <v>208.4</v>
      </c>
      <c r="G7" s="7"/>
      <c r="H7" s="34" t="s">
        <v>9</v>
      </c>
      <c r="I7" s="35"/>
      <c r="J7" s="29"/>
      <c r="K7" s="30"/>
      <c r="L7" s="36"/>
      <c r="M7" s="37"/>
    </row>
    <row r="8">
      <c r="A8" s="24" t="s">
        <v>10</v>
      </c>
      <c r="B8" s="167">
        <v>911.6</v>
      </c>
      <c r="C8" s="167">
        <v>801.1</v>
      </c>
      <c r="D8" s="167">
        <v>621.7</v>
      </c>
      <c r="E8" s="167">
        <v>307.5</v>
      </c>
      <c r="F8" s="167">
        <v>302.3</v>
      </c>
      <c r="G8" s="7"/>
      <c r="H8" s="7"/>
      <c r="I8" s="7"/>
      <c r="J8" s="7"/>
      <c r="K8" s="7"/>
      <c r="L8" s="7"/>
      <c r="M8" s="7"/>
    </row>
    <row r="9">
      <c r="A9" s="24" t="s">
        <v>11</v>
      </c>
      <c r="B9" s="167">
        <v>410.7</v>
      </c>
      <c r="C9" s="167">
        <v>381.0</v>
      </c>
      <c r="D9" s="167">
        <v>279.7</v>
      </c>
      <c r="E9" s="167">
        <v>209.5</v>
      </c>
      <c r="F9" s="167">
        <v>239.0</v>
      </c>
      <c r="G9" s="7"/>
      <c r="H9" s="7"/>
      <c r="I9" s="7"/>
      <c r="J9" s="7"/>
      <c r="K9" s="7"/>
      <c r="L9" s="7"/>
      <c r="M9" s="7"/>
    </row>
    <row r="10">
      <c r="A10" s="24" t="s">
        <v>12</v>
      </c>
      <c r="B10" s="167">
        <v>1322.3</v>
      </c>
      <c r="C10" s="167">
        <v>1182.1</v>
      </c>
      <c r="D10" s="167">
        <v>901.3</v>
      </c>
      <c r="E10" s="167">
        <v>517.0</v>
      </c>
      <c r="F10" s="167">
        <v>541.3</v>
      </c>
      <c r="G10" s="7"/>
      <c r="H10" s="7"/>
      <c r="I10" s="7"/>
      <c r="J10" s="7"/>
      <c r="K10" s="7"/>
      <c r="L10" s="7"/>
      <c r="M10" s="7"/>
    </row>
    <row r="11">
      <c r="A11" s="31" t="s">
        <v>13</v>
      </c>
      <c r="B11" s="32">
        <f t="shared" ref="B11:F11" si="4">B7-B10</f>
        <v>404.5</v>
      </c>
      <c r="C11" s="33">
        <f t="shared" si="4"/>
        <v>334.8</v>
      </c>
      <c r="D11" s="32">
        <f t="shared" si="4"/>
        <v>252</v>
      </c>
      <c r="E11" s="33">
        <f t="shared" si="4"/>
        <v>-82.8</v>
      </c>
      <c r="F11" s="32">
        <f t="shared" si="4"/>
        <v>-332.9</v>
      </c>
      <c r="G11" s="7"/>
      <c r="H11" s="7"/>
      <c r="I11" s="7"/>
      <c r="J11" s="7"/>
      <c r="K11" s="7"/>
      <c r="L11" s="7"/>
      <c r="M11" s="7"/>
    </row>
    <row r="12">
      <c r="A12" s="24" t="s">
        <v>14</v>
      </c>
      <c r="B12" s="167">
        <v>-143.3</v>
      </c>
      <c r="C12" s="167">
        <v>-129.7</v>
      </c>
      <c r="D12" s="167">
        <v>-112.7</v>
      </c>
      <c r="E12" s="167">
        <v>-149.2</v>
      </c>
      <c r="F12" s="200">
        <v>-137.8</v>
      </c>
      <c r="G12" s="7"/>
      <c r="H12" s="41" t="s">
        <v>15</v>
      </c>
      <c r="I12" s="201">
        <f t="shared" ref="I12:M12" si="5">I13+I16</f>
        <v>224.98</v>
      </c>
      <c r="J12" s="201">
        <f t="shared" si="5"/>
        <v>215.99</v>
      </c>
      <c r="K12" s="201">
        <f t="shared" si="5"/>
        <v>301.75</v>
      </c>
      <c r="L12" s="201">
        <f t="shared" si="5"/>
        <v>243.93</v>
      </c>
      <c r="M12" s="201">
        <f t="shared" si="5"/>
        <v>320.85</v>
      </c>
    </row>
    <row r="13">
      <c r="A13" s="24" t="s">
        <v>16</v>
      </c>
      <c r="B13" s="167">
        <v>8.68</v>
      </c>
      <c r="C13" s="167">
        <v>-0.24</v>
      </c>
      <c r="D13" s="167">
        <v>2.77</v>
      </c>
      <c r="E13" s="167">
        <v>65.11</v>
      </c>
      <c r="F13" s="202">
        <v>-0.47</v>
      </c>
      <c r="G13" s="7"/>
      <c r="H13" s="48" t="s">
        <v>17</v>
      </c>
      <c r="I13" s="172">
        <f t="shared" ref="I13:M13" si="6">I14+I15</f>
        <v>5.09</v>
      </c>
      <c r="J13" s="172">
        <f t="shared" si="6"/>
        <v>0</v>
      </c>
      <c r="K13" s="172">
        <f t="shared" si="6"/>
        <v>0</v>
      </c>
      <c r="L13" s="172">
        <f t="shared" si="6"/>
        <v>0</v>
      </c>
      <c r="M13" s="172">
        <f t="shared" si="6"/>
        <v>0</v>
      </c>
    </row>
    <row r="14">
      <c r="A14" s="24" t="s">
        <v>20</v>
      </c>
      <c r="B14" s="167"/>
      <c r="C14" s="167"/>
      <c r="D14" s="167"/>
      <c r="E14" s="167">
        <v>16.69</v>
      </c>
      <c r="F14" s="203">
        <v>31.37</v>
      </c>
      <c r="G14" s="7"/>
      <c r="H14" s="52" t="s">
        <v>19</v>
      </c>
      <c r="I14" s="167">
        <v>5.09</v>
      </c>
      <c r="J14" s="167"/>
      <c r="K14" s="167"/>
      <c r="L14" s="167"/>
      <c r="M14" s="167"/>
    </row>
    <row r="15">
      <c r="A15" s="24" t="s">
        <v>22</v>
      </c>
      <c r="B15" s="167">
        <f t="shared" ref="B15:F15" si="7">B11+SUM(B12:B14)</f>
        <v>269.88</v>
      </c>
      <c r="C15" s="167">
        <f t="shared" si="7"/>
        <v>204.86</v>
      </c>
      <c r="D15" s="167">
        <f t="shared" si="7"/>
        <v>142.07</v>
      </c>
      <c r="E15" s="167">
        <f t="shared" si="7"/>
        <v>-150.2</v>
      </c>
      <c r="F15" s="25">
        <f t="shared" si="7"/>
        <v>-439.8</v>
      </c>
      <c r="G15" s="7"/>
      <c r="H15" s="52" t="s">
        <v>21</v>
      </c>
      <c r="I15" s="167"/>
      <c r="J15" s="167"/>
      <c r="K15" s="167"/>
      <c r="L15" s="167"/>
      <c r="M15" s="167"/>
    </row>
    <row r="16">
      <c r="A16" s="24" t="s">
        <v>24</v>
      </c>
      <c r="B16" s="167">
        <v>-4.01</v>
      </c>
      <c r="C16" s="167">
        <v>-2.56</v>
      </c>
      <c r="D16" s="167">
        <v>14.08</v>
      </c>
      <c r="E16" s="167">
        <v>6.39</v>
      </c>
      <c r="F16" s="200">
        <v>-68.21</v>
      </c>
      <c r="G16" s="7"/>
      <c r="H16" s="61" t="s">
        <v>23</v>
      </c>
      <c r="I16" s="173">
        <v>219.89</v>
      </c>
      <c r="J16" s="173">
        <v>215.99</v>
      </c>
      <c r="K16" s="173">
        <v>301.75</v>
      </c>
      <c r="L16" s="173">
        <v>243.93</v>
      </c>
      <c r="M16" s="173">
        <v>320.85</v>
      </c>
    </row>
    <row r="17">
      <c r="A17" s="31" t="s">
        <v>25</v>
      </c>
      <c r="B17" s="32">
        <f t="shared" ref="B17:F17" si="8">B15+B16</f>
        <v>265.87</v>
      </c>
      <c r="C17" s="33">
        <f t="shared" si="8"/>
        <v>202.3</v>
      </c>
      <c r="D17" s="32">
        <f t="shared" si="8"/>
        <v>156.15</v>
      </c>
      <c r="E17" s="33">
        <f t="shared" si="8"/>
        <v>-143.81</v>
      </c>
      <c r="F17" s="32">
        <f t="shared" si="8"/>
        <v>-508.01</v>
      </c>
      <c r="G17" s="7"/>
      <c r="H17" s="7"/>
      <c r="I17" s="7"/>
      <c r="J17" s="7"/>
      <c r="K17" s="7"/>
      <c r="L17" s="7"/>
      <c r="M17" s="7"/>
    </row>
    <row r="18">
      <c r="A18" s="69" t="s">
        <v>27</v>
      </c>
      <c r="B18" s="167">
        <v>49.14</v>
      </c>
      <c r="C18" s="167">
        <v>70.32</v>
      </c>
      <c r="D18" s="167">
        <v>53.07</v>
      </c>
      <c r="E18" s="167">
        <v>-9.33</v>
      </c>
      <c r="F18" s="200">
        <v>-75.15</v>
      </c>
      <c r="G18" s="7"/>
      <c r="H18" s="67" t="s">
        <v>26</v>
      </c>
      <c r="I18" s="204">
        <f t="shared" ref="I18:M18" si="9">I19+I20</f>
        <v>2469.9</v>
      </c>
      <c r="J18" s="204">
        <f t="shared" si="9"/>
        <v>2441.8</v>
      </c>
      <c r="K18" s="204">
        <f t="shared" si="9"/>
        <v>2497</v>
      </c>
      <c r="L18" s="204">
        <f t="shared" si="9"/>
        <v>2738.4</v>
      </c>
      <c r="M18" s="204">
        <f t="shared" si="9"/>
        <v>3057.9</v>
      </c>
    </row>
    <row r="19">
      <c r="A19" s="75" t="s">
        <v>29</v>
      </c>
      <c r="B19" s="76">
        <f t="shared" ref="B19:F19" si="10">B17-B18</f>
        <v>216.73</v>
      </c>
      <c r="C19" s="77">
        <f t="shared" si="10"/>
        <v>131.98</v>
      </c>
      <c r="D19" s="76">
        <f t="shared" si="10"/>
        <v>103.08</v>
      </c>
      <c r="E19" s="77">
        <f t="shared" si="10"/>
        <v>-134.48</v>
      </c>
      <c r="F19" s="76">
        <f t="shared" si="10"/>
        <v>-432.86</v>
      </c>
      <c r="G19" s="7"/>
      <c r="H19" s="48" t="s">
        <v>28</v>
      </c>
      <c r="I19" s="205">
        <f t="shared" ref="I19:M19" si="11">B46</f>
        <v>283.2</v>
      </c>
      <c r="J19" s="205">
        <f t="shared" si="11"/>
        <v>282.5</v>
      </c>
      <c r="K19" s="205">
        <f t="shared" si="11"/>
        <v>322.8</v>
      </c>
      <c r="L19" s="205">
        <f t="shared" si="11"/>
        <v>280.4</v>
      </c>
      <c r="M19" s="205">
        <f t="shared" si="11"/>
        <v>276.7</v>
      </c>
    </row>
    <row r="20">
      <c r="A20" s="7"/>
      <c r="B20" s="7"/>
      <c r="C20" s="7"/>
      <c r="D20" s="7"/>
      <c r="E20" s="7"/>
      <c r="F20" s="7"/>
      <c r="G20" s="7"/>
      <c r="H20" s="61" t="s">
        <v>30</v>
      </c>
      <c r="I20" s="173">
        <f t="shared" ref="I20:M20" si="12">B40</f>
        <v>2186.7</v>
      </c>
      <c r="J20" s="173">
        <f t="shared" si="12"/>
        <v>2159.3</v>
      </c>
      <c r="K20" s="173">
        <f t="shared" si="12"/>
        <v>2174.2</v>
      </c>
      <c r="L20" s="173">
        <f t="shared" si="12"/>
        <v>2458</v>
      </c>
      <c r="M20" s="173">
        <f t="shared" si="12"/>
        <v>2781.2</v>
      </c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>
      <c r="A22" s="81" t="s">
        <v>31</v>
      </c>
      <c r="B22" s="5"/>
      <c r="C22" s="5"/>
      <c r="D22" s="5"/>
      <c r="E22" s="5"/>
      <c r="F22" s="6"/>
      <c r="G22" s="7"/>
      <c r="H22" s="7"/>
      <c r="I22" s="80"/>
      <c r="J22" s="80"/>
      <c r="K22" s="80"/>
      <c r="L22" s="80"/>
      <c r="M22" s="80"/>
    </row>
    <row r="23">
      <c r="A23" s="174"/>
      <c r="B23" s="12">
        <v>2024.0</v>
      </c>
      <c r="C23" s="12">
        <v>2023.0</v>
      </c>
      <c r="D23" s="12">
        <v>2022.0</v>
      </c>
      <c r="E23" s="12">
        <v>2021.0</v>
      </c>
      <c r="F23" s="82">
        <v>2020.0</v>
      </c>
      <c r="G23" s="7"/>
      <c r="H23" s="7"/>
      <c r="I23" s="7"/>
      <c r="J23" s="7"/>
      <c r="K23" s="7"/>
      <c r="L23" s="7"/>
      <c r="M23" s="7"/>
    </row>
    <row r="24">
      <c r="A24" s="84" t="s">
        <v>99</v>
      </c>
      <c r="B24" s="167">
        <v>278.6</v>
      </c>
      <c r="C24" s="167">
        <v>221.7</v>
      </c>
      <c r="D24" s="167">
        <v>209.8</v>
      </c>
      <c r="E24" s="167">
        <v>223.1</v>
      </c>
      <c r="F24" s="167">
        <v>229.2</v>
      </c>
      <c r="G24" s="7"/>
      <c r="H24" s="180" t="s">
        <v>32</v>
      </c>
      <c r="I24" s="172">
        <f t="shared" ref="I24:M24" si="13">I18-B36</f>
        <v>2244.9</v>
      </c>
      <c r="J24" s="172">
        <f t="shared" si="13"/>
        <v>2225.8</v>
      </c>
      <c r="K24" s="172">
        <f t="shared" si="13"/>
        <v>2195.2</v>
      </c>
      <c r="L24" s="172">
        <f t="shared" si="13"/>
        <v>2494.5</v>
      </c>
      <c r="M24" s="172">
        <f t="shared" si="13"/>
        <v>2737</v>
      </c>
    </row>
    <row r="25">
      <c r="A25" s="84" t="s">
        <v>35</v>
      </c>
      <c r="B25" s="167">
        <v>3421.8</v>
      </c>
      <c r="C25" s="167">
        <v>3225.2</v>
      </c>
      <c r="D25" s="167">
        <v>3062.2</v>
      </c>
      <c r="E25" s="167">
        <v>3111.2</v>
      </c>
      <c r="F25" s="167">
        <v>3309.7</v>
      </c>
      <c r="G25" s="7"/>
      <c r="H25" s="185" t="s">
        <v>34</v>
      </c>
      <c r="I25" s="167">
        <f t="shared" ref="I25:M25" si="14">I18+B58</f>
        <v>3666.19</v>
      </c>
      <c r="J25" s="167">
        <f t="shared" si="14"/>
        <v>3451.43</v>
      </c>
      <c r="K25" s="167">
        <f t="shared" si="14"/>
        <v>3397.69</v>
      </c>
      <c r="L25" s="167">
        <f t="shared" si="14"/>
        <v>3519.49</v>
      </c>
      <c r="M25" s="167">
        <f t="shared" si="14"/>
        <v>3856.52</v>
      </c>
    </row>
    <row r="26">
      <c r="A26" s="84" t="s">
        <v>37</v>
      </c>
      <c r="B26" s="167">
        <v>42.25</v>
      </c>
      <c r="C26" s="167">
        <v>43.72</v>
      </c>
      <c r="D26" s="167">
        <v>41.94</v>
      </c>
      <c r="E26" s="167">
        <v>40.92</v>
      </c>
      <c r="F26" s="167">
        <v>41.77</v>
      </c>
      <c r="G26" s="7"/>
      <c r="H26" s="185" t="s">
        <v>36</v>
      </c>
      <c r="I26" s="167">
        <f t="shared" ref="I26:M26" si="15">B37-B50</f>
        <v>-337.97</v>
      </c>
      <c r="J26" s="167">
        <f t="shared" si="15"/>
        <v>-338.76</v>
      </c>
      <c r="K26" s="167">
        <f t="shared" si="15"/>
        <v>-279.62</v>
      </c>
      <c r="L26" s="167">
        <f t="shared" si="15"/>
        <v>-210.97</v>
      </c>
      <c r="M26" s="167">
        <f t="shared" si="15"/>
        <v>-84.2</v>
      </c>
    </row>
    <row r="27">
      <c r="A27" s="84" t="s">
        <v>39</v>
      </c>
      <c r="B27" s="167"/>
      <c r="C27" s="167"/>
      <c r="D27" s="167"/>
      <c r="E27" s="167">
        <v>27.87</v>
      </c>
      <c r="F27" s="167">
        <v>35.66</v>
      </c>
      <c r="G27" s="7"/>
      <c r="H27" s="185" t="s">
        <v>38</v>
      </c>
      <c r="I27" s="167">
        <f t="shared" ref="I27:M27" si="16">I28-I29</f>
        <v>106.59</v>
      </c>
      <c r="J27" s="167">
        <f t="shared" si="16"/>
        <v>104.45</v>
      </c>
      <c r="K27" s="167">
        <f t="shared" si="16"/>
        <v>114.64</v>
      </c>
      <c r="L27" s="167">
        <f t="shared" si="16"/>
        <v>121.75</v>
      </c>
      <c r="M27" s="167">
        <f t="shared" si="16"/>
        <v>121.15</v>
      </c>
    </row>
    <row r="28">
      <c r="A28" s="84" t="s">
        <v>100</v>
      </c>
      <c r="B28" s="167">
        <v>39.49</v>
      </c>
      <c r="C28" s="167">
        <v>36.39</v>
      </c>
      <c r="D28" s="167">
        <v>39.1</v>
      </c>
      <c r="E28" s="167">
        <v>5.24</v>
      </c>
      <c r="F28" s="167">
        <v>4.93</v>
      </c>
      <c r="G28" s="7"/>
      <c r="H28" s="185" t="s">
        <v>40</v>
      </c>
      <c r="I28" s="167">
        <v>117.5</v>
      </c>
      <c r="J28" s="167">
        <v>115.2</v>
      </c>
      <c r="K28" s="167">
        <v>116.8</v>
      </c>
      <c r="L28" s="167">
        <v>122.6</v>
      </c>
      <c r="M28" s="167">
        <v>122.1</v>
      </c>
    </row>
    <row r="29">
      <c r="A29" s="84" t="s">
        <v>41</v>
      </c>
      <c r="B29" s="167">
        <v>255.2</v>
      </c>
      <c r="C29" s="167">
        <v>224.6</v>
      </c>
      <c r="D29" s="167">
        <v>258.4</v>
      </c>
      <c r="E29" s="167">
        <v>294.0</v>
      </c>
      <c r="F29" s="167">
        <v>273.0</v>
      </c>
      <c r="G29" s="7"/>
      <c r="H29" s="186" t="s">
        <v>42</v>
      </c>
      <c r="I29" s="173">
        <v>10.91</v>
      </c>
      <c r="J29" s="173">
        <v>10.75</v>
      </c>
      <c r="K29" s="173">
        <v>2.16</v>
      </c>
      <c r="L29" s="173">
        <v>0.85</v>
      </c>
      <c r="M29" s="173">
        <v>0.95</v>
      </c>
    </row>
    <row r="30">
      <c r="A30" s="75" t="s">
        <v>43</v>
      </c>
      <c r="B30" s="76">
        <f t="shared" ref="B30:F30" si="17">SUM(B24:B29)</f>
        <v>4037.34</v>
      </c>
      <c r="C30" s="76">
        <f t="shared" si="17"/>
        <v>3751.61</v>
      </c>
      <c r="D30" s="76">
        <f t="shared" si="17"/>
        <v>3611.44</v>
      </c>
      <c r="E30" s="76">
        <f t="shared" si="17"/>
        <v>3702.33</v>
      </c>
      <c r="F30" s="76">
        <f t="shared" si="17"/>
        <v>3894.26</v>
      </c>
      <c r="G30" s="7"/>
      <c r="H30" s="2"/>
      <c r="I30" s="2"/>
      <c r="J30" s="2"/>
      <c r="K30" s="2"/>
      <c r="L30" s="2"/>
      <c r="M30" s="2"/>
    </row>
    <row r="31">
      <c r="A31" s="101"/>
      <c r="B31" s="178"/>
      <c r="C31" s="178"/>
      <c r="D31" s="178"/>
      <c r="E31" s="178"/>
      <c r="F31" s="178"/>
      <c r="G31" s="7"/>
      <c r="H31" s="2"/>
      <c r="I31" s="2"/>
      <c r="J31" s="2"/>
      <c r="K31" s="2"/>
      <c r="L31" s="2"/>
      <c r="M31" s="2"/>
    </row>
    <row r="32">
      <c r="A32" s="84" t="s">
        <v>44</v>
      </c>
      <c r="B32" s="167">
        <v>208.3</v>
      </c>
      <c r="C32" s="167">
        <v>210.2</v>
      </c>
      <c r="D32" s="167">
        <v>177.0</v>
      </c>
      <c r="E32" s="167">
        <v>136.3</v>
      </c>
      <c r="F32" s="167">
        <v>101.4</v>
      </c>
      <c r="G32" s="7"/>
      <c r="H32" s="179"/>
      <c r="I32" s="179"/>
      <c r="J32" s="179"/>
      <c r="K32" s="179"/>
      <c r="L32" s="179"/>
      <c r="M32" s="179"/>
    </row>
    <row r="33">
      <c r="A33" s="84" t="s">
        <v>101</v>
      </c>
      <c r="B33" s="167">
        <v>17.32</v>
      </c>
      <c r="C33" s="167">
        <v>15.3</v>
      </c>
      <c r="D33" s="167">
        <v>12.59</v>
      </c>
      <c r="E33" s="167">
        <v>9.58</v>
      </c>
      <c r="F33" s="167">
        <v>7.96</v>
      </c>
      <c r="G33" s="7"/>
      <c r="H33" s="179"/>
      <c r="I33" s="206"/>
      <c r="J33" s="206"/>
      <c r="K33" s="206"/>
      <c r="L33" s="206"/>
      <c r="M33" s="206"/>
    </row>
    <row r="34">
      <c r="A34" s="84" t="s">
        <v>46</v>
      </c>
      <c r="B34" s="167">
        <v>67.35</v>
      </c>
      <c r="C34" s="167"/>
      <c r="D34" s="167"/>
      <c r="E34" s="167"/>
      <c r="F34" s="167"/>
      <c r="G34" s="7"/>
      <c r="H34" s="179"/>
      <c r="I34" s="206"/>
      <c r="J34" s="206"/>
      <c r="K34" s="206"/>
      <c r="L34" s="206"/>
      <c r="M34" s="206"/>
    </row>
    <row r="35">
      <c r="A35" s="84" t="s">
        <v>105</v>
      </c>
      <c r="B35" s="167">
        <v>9.72</v>
      </c>
      <c r="C35" s="167">
        <v>9.55</v>
      </c>
      <c r="D35" s="167">
        <v>6.64</v>
      </c>
      <c r="E35" s="167">
        <v>13.23</v>
      </c>
      <c r="F35" s="167">
        <v>5.38</v>
      </c>
      <c r="G35" s="7"/>
      <c r="H35" s="179"/>
      <c r="I35" s="206"/>
      <c r="J35" s="206"/>
      <c r="K35" s="206"/>
      <c r="L35" s="206"/>
      <c r="M35" s="206"/>
    </row>
    <row r="36">
      <c r="A36" s="84" t="s">
        <v>107</v>
      </c>
      <c r="B36" s="167">
        <v>225.0</v>
      </c>
      <c r="C36" s="167">
        <v>216.0</v>
      </c>
      <c r="D36" s="167">
        <v>301.8</v>
      </c>
      <c r="E36" s="167">
        <v>243.9</v>
      </c>
      <c r="F36" s="167">
        <v>320.9</v>
      </c>
      <c r="G36" s="7"/>
      <c r="H36" s="179"/>
      <c r="I36" s="206"/>
      <c r="J36" s="206"/>
      <c r="K36" s="206"/>
      <c r="L36" s="206"/>
      <c r="M36" s="206"/>
    </row>
    <row r="37">
      <c r="A37" s="75" t="s">
        <v>48</v>
      </c>
      <c r="B37" s="76">
        <f t="shared" ref="B37:F37" si="18">SUM(B32:B36)</f>
        <v>527.69</v>
      </c>
      <c r="C37" s="76">
        <f t="shared" si="18"/>
        <v>451.05</v>
      </c>
      <c r="D37" s="76">
        <f t="shared" si="18"/>
        <v>498.03</v>
      </c>
      <c r="E37" s="76">
        <f t="shared" si="18"/>
        <v>403.01</v>
      </c>
      <c r="F37" s="76">
        <f t="shared" si="18"/>
        <v>435.64</v>
      </c>
      <c r="G37" s="7"/>
      <c r="H37" s="179"/>
      <c r="I37" s="206"/>
      <c r="J37" s="206"/>
      <c r="K37" s="206"/>
      <c r="L37" s="206"/>
      <c r="M37" s="206"/>
    </row>
    <row r="38">
      <c r="A38" s="105" t="s">
        <v>49</v>
      </c>
      <c r="B38" s="106">
        <f t="shared" ref="B38:F38" si="19">B30+B37</f>
        <v>4565.03</v>
      </c>
      <c r="C38" s="106">
        <f t="shared" si="19"/>
        <v>4202.66</v>
      </c>
      <c r="D38" s="106">
        <f t="shared" si="19"/>
        <v>4109.47</v>
      </c>
      <c r="E38" s="106">
        <f t="shared" si="19"/>
        <v>4105.34</v>
      </c>
      <c r="F38" s="106">
        <f t="shared" si="19"/>
        <v>4329.9</v>
      </c>
      <c r="G38" s="7"/>
      <c r="H38" s="207"/>
      <c r="I38" s="206"/>
      <c r="J38" s="206"/>
      <c r="K38" s="206"/>
      <c r="L38" s="206"/>
      <c r="M38" s="206"/>
    </row>
    <row r="39">
      <c r="A39" s="101"/>
      <c r="B39" s="178"/>
      <c r="C39" s="178"/>
      <c r="D39" s="178"/>
      <c r="E39" s="178"/>
      <c r="F39" s="178"/>
      <c r="G39" s="7"/>
      <c r="H39" s="179"/>
      <c r="I39" s="206"/>
      <c r="J39" s="206"/>
      <c r="K39" s="206"/>
      <c r="L39" s="206"/>
      <c r="M39" s="206"/>
    </row>
    <row r="40">
      <c r="A40" s="84" t="s">
        <v>50</v>
      </c>
      <c r="B40" s="167">
        <v>2186.7</v>
      </c>
      <c r="C40" s="167">
        <v>2159.3</v>
      </c>
      <c r="D40" s="167">
        <v>2174.2</v>
      </c>
      <c r="E40" s="167">
        <v>2458.0</v>
      </c>
      <c r="F40" s="167">
        <v>2781.2</v>
      </c>
      <c r="G40" s="7"/>
      <c r="H40" s="2"/>
      <c r="I40" s="2"/>
      <c r="J40" s="2"/>
      <c r="K40" s="2"/>
      <c r="L40" s="2"/>
      <c r="M40" s="2"/>
    </row>
    <row r="41">
      <c r="A41" s="84" t="s">
        <v>51</v>
      </c>
      <c r="B41" s="167">
        <v>249.2</v>
      </c>
      <c r="C41" s="167">
        <v>176.3</v>
      </c>
      <c r="D41" s="167">
        <v>192.0</v>
      </c>
      <c r="E41" s="167">
        <v>186.4</v>
      </c>
      <c r="F41" s="167">
        <v>171.5</v>
      </c>
      <c r="G41" s="7"/>
      <c r="H41" s="2"/>
      <c r="I41" s="2"/>
      <c r="J41" s="2"/>
      <c r="K41" s="2"/>
      <c r="L41" s="2"/>
      <c r="M41" s="2"/>
    </row>
    <row r="42">
      <c r="A42" s="84" t="s">
        <v>53</v>
      </c>
      <c r="B42" s="167">
        <v>67.05</v>
      </c>
      <c r="C42" s="167">
        <v>67.43</v>
      </c>
      <c r="D42" s="167">
        <v>64.7</v>
      </c>
      <c r="E42" s="167">
        <v>65.93</v>
      </c>
      <c r="F42" s="167">
        <v>58.76</v>
      </c>
      <c r="G42" s="7"/>
      <c r="H42" s="2"/>
      <c r="I42" s="2"/>
      <c r="J42" s="2"/>
      <c r="K42" s="2"/>
      <c r="L42" s="2"/>
      <c r="M42" s="2"/>
    </row>
    <row r="43">
      <c r="A43" s="75" t="s">
        <v>54</v>
      </c>
      <c r="B43" s="76">
        <f t="shared" ref="B43:F43" si="20">SUM(B40:B42)</f>
        <v>2502.95</v>
      </c>
      <c r="C43" s="76">
        <f t="shared" si="20"/>
        <v>2403.03</v>
      </c>
      <c r="D43" s="76">
        <f t="shared" si="20"/>
        <v>2430.9</v>
      </c>
      <c r="E43" s="76">
        <f t="shared" si="20"/>
        <v>2710.33</v>
      </c>
      <c r="F43" s="76">
        <f t="shared" si="20"/>
        <v>3011.46</v>
      </c>
      <c r="G43" s="2"/>
      <c r="H43" s="2"/>
      <c r="I43" s="2"/>
      <c r="J43" s="2"/>
      <c r="K43" s="2"/>
      <c r="L43" s="2"/>
      <c r="M43" s="2"/>
    </row>
    <row r="44">
      <c r="A44" s="101"/>
      <c r="B44" s="101"/>
      <c r="C44" s="101"/>
      <c r="D44" s="101"/>
      <c r="E44" s="101"/>
      <c r="F44" s="101"/>
      <c r="G44" s="2"/>
      <c r="H44" s="2"/>
      <c r="I44" s="2"/>
      <c r="J44" s="2"/>
      <c r="K44" s="2"/>
      <c r="L44" s="2"/>
      <c r="M44" s="2"/>
    </row>
    <row r="45">
      <c r="A45" s="84" t="s">
        <v>55</v>
      </c>
      <c r="B45" s="167">
        <v>409.5</v>
      </c>
      <c r="C45" s="167">
        <v>405.7</v>
      </c>
      <c r="D45" s="167">
        <v>363.4</v>
      </c>
      <c r="E45" s="167">
        <v>291.5</v>
      </c>
      <c r="F45" s="167">
        <v>206.3</v>
      </c>
      <c r="G45" s="2"/>
      <c r="H45" s="2"/>
      <c r="I45" s="2"/>
      <c r="J45" s="2"/>
      <c r="K45" s="2"/>
      <c r="L45" s="2"/>
      <c r="M45" s="2"/>
    </row>
    <row r="46">
      <c r="A46" s="84" t="s">
        <v>56</v>
      </c>
      <c r="B46" s="167">
        <v>283.2</v>
      </c>
      <c r="C46" s="167">
        <v>282.5</v>
      </c>
      <c r="D46" s="167">
        <v>322.8</v>
      </c>
      <c r="E46" s="167">
        <v>280.4</v>
      </c>
      <c r="F46" s="167">
        <v>276.7</v>
      </c>
      <c r="G46" s="2"/>
      <c r="H46" s="2"/>
      <c r="I46" s="2"/>
      <c r="J46" s="2"/>
      <c r="K46" s="2"/>
      <c r="L46" s="2"/>
      <c r="M46" s="2"/>
    </row>
    <row r="47">
      <c r="A47" s="84" t="s">
        <v>111</v>
      </c>
      <c r="B47" s="167">
        <v>4.68</v>
      </c>
      <c r="C47" s="167"/>
      <c r="D47" s="167"/>
      <c r="E47" s="167"/>
      <c r="F47" s="167"/>
      <c r="G47" s="2"/>
      <c r="H47" s="2"/>
      <c r="I47" s="2"/>
      <c r="J47" s="2"/>
      <c r="K47" s="2"/>
      <c r="L47" s="2"/>
      <c r="M47" s="2"/>
    </row>
    <row r="48">
      <c r="A48" s="84" t="s">
        <v>112</v>
      </c>
      <c r="B48" s="167">
        <v>22.68</v>
      </c>
      <c r="C48" s="167">
        <v>28.26</v>
      </c>
      <c r="D48" s="167">
        <v>14.58</v>
      </c>
      <c r="E48" s="167"/>
      <c r="F48" s="167"/>
      <c r="G48" s="2"/>
      <c r="H48" s="2"/>
      <c r="I48" s="2"/>
      <c r="J48" s="2"/>
      <c r="K48" s="2"/>
      <c r="L48" s="2"/>
      <c r="M48" s="2"/>
    </row>
    <row r="49">
      <c r="A49" s="84" t="s">
        <v>58</v>
      </c>
      <c r="B49" s="167">
        <v>145.6</v>
      </c>
      <c r="C49" s="167">
        <v>73.35</v>
      </c>
      <c r="D49" s="167">
        <v>76.87</v>
      </c>
      <c r="E49" s="167">
        <v>42.08</v>
      </c>
      <c r="F49" s="167">
        <v>36.84</v>
      </c>
      <c r="G49" s="2"/>
      <c r="H49" s="2"/>
      <c r="I49" s="2"/>
      <c r="J49" s="2"/>
      <c r="K49" s="2"/>
      <c r="L49" s="2"/>
      <c r="M49" s="2"/>
    </row>
    <row r="50">
      <c r="A50" s="75" t="s">
        <v>59</v>
      </c>
      <c r="B50" s="76">
        <f t="shared" ref="B50:F50" si="21">SUM(B45:B49)</f>
        <v>865.66</v>
      </c>
      <c r="C50" s="76">
        <f t="shared" si="21"/>
        <v>789.81</v>
      </c>
      <c r="D50" s="76">
        <f t="shared" si="21"/>
        <v>777.65</v>
      </c>
      <c r="E50" s="76">
        <f t="shared" si="21"/>
        <v>613.98</v>
      </c>
      <c r="F50" s="76">
        <f t="shared" si="21"/>
        <v>519.84</v>
      </c>
      <c r="G50" s="2"/>
      <c r="H50" s="2"/>
      <c r="I50" s="2"/>
      <c r="J50" s="2"/>
      <c r="K50" s="2"/>
      <c r="L50" s="2"/>
      <c r="M50" s="2"/>
    </row>
    <row r="51">
      <c r="A51" s="105" t="s">
        <v>60</v>
      </c>
      <c r="B51" s="106">
        <f t="shared" ref="B51:F51" si="22">B43+B50</f>
        <v>3368.61</v>
      </c>
      <c r="C51" s="106">
        <f t="shared" si="22"/>
        <v>3192.84</v>
      </c>
      <c r="D51" s="106">
        <f t="shared" si="22"/>
        <v>3208.55</v>
      </c>
      <c r="E51" s="106">
        <f t="shared" si="22"/>
        <v>3324.31</v>
      </c>
      <c r="F51" s="106">
        <f t="shared" si="22"/>
        <v>3531.3</v>
      </c>
      <c r="G51" s="2"/>
      <c r="H51" s="2"/>
      <c r="I51" s="2"/>
      <c r="J51" s="2"/>
      <c r="K51" s="2"/>
      <c r="L51" s="2"/>
      <c r="M51" s="2"/>
    </row>
    <row r="52">
      <c r="A52" s="101"/>
      <c r="B52" s="101"/>
      <c r="C52" s="101"/>
      <c r="D52" s="101"/>
      <c r="E52" s="101"/>
      <c r="F52" s="101"/>
      <c r="G52" s="2"/>
      <c r="H52" s="2"/>
      <c r="I52" s="2"/>
      <c r="J52" s="2"/>
      <c r="K52" s="2"/>
      <c r="L52" s="2"/>
      <c r="M52" s="2"/>
    </row>
    <row r="53">
      <c r="A53" s="84" t="s">
        <v>61</v>
      </c>
      <c r="B53" s="167">
        <v>1647.9</v>
      </c>
      <c r="C53" s="167">
        <v>1647.9</v>
      </c>
      <c r="D53" s="167">
        <v>1647.9</v>
      </c>
      <c r="E53" s="167">
        <v>871.5</v>
      </c>
      <c r="F53" s="167">
        <v>784.4</v>
      </c>
      <c r="G53" s="2"/>
      <c r="H53" s="2"/>
      <c r="I53" s="2"/>
      <c r="J53" s="2"/>
      <c r="K53" s="2"/>
      <c r="L53" s="2"/>
      <c r="M53" s="2"/>
    </row>
    <row r="54">
      <c r="A54" s="84" t="s">
        <v>62</v>
      </c>
      <c r="B54" s="167">
        <v>-510.8</v>
      </c>
      <c r="C54" s="167">
        <v>-690.7</v>
      </c>
      <c r="D54" s="167">
        <v>-800.1</v>
      </c>
      <c r="E54" s="167">
        <v>-139.1</v>
      </c>
      <c r="F54" s="167">
        <v>-34.99</v>
      </c>
      <c r="G54" s="2"/>
      <c r="H54" s="2"/>
      <c r="I54" s="2"/>
      <c r="J54" s="2"/>
      <c r="K54" s="2"/>
      <c r="L54" s="2"/>
      <c r="M54" s="2"/>
    </row>
    <row r="55">
      <c r="A55" s="84" t="s">
        <v>63</v>
      </c>
      <c r="B55" s="167">
        <v>0.42</v>
      </c>
      <c r="C55" s="167">
        <v>0.36</v>
      </c>
      <c r="D55" s="167">
        <v>0.27</v>
      </c>
      <c r="E55" s="167">
        <v>0.31</v>
      </c>
      <c r="F55" s="167">
        <v>0.37</v>
      </c>
      <c r="G55" s="2"/>
      <c r="H55" s="2"/>
      <c r="I55" s="2"/>
      <c r="J55" s="2"/>
      <c r="K55" s="2"/>
      <c r="L55" s="2"/>
      <c r="M55" s="2"/>
    </row>
    <row r="56">
      <c r="A56" s="84" t="s">
        <v>113</v>
      </c>
      <c r="B56" s="167">
        <f t="shared" ref="B56:F56" si="23">B53+B54-B55</f>
        <v>1136.68</v>
      </c>
      <c r="C56" s="167">
        <f t="shared" si="23"/>
        <v>956.84</v>
      </c>
      <c r="D56" s="167">
        <f t="shared" si="23"/>
        <v>847.53</v>
      </c>
      <c r="E56" s="167">
        <f t="shared" si="23"/>
        <v>732.09</v>
      </c>
      <c r="F56" s="167">
        <f t="shared" si="23"/>
        <v>749.04</v>
      </c>
      <c r="G56" s="2"/>
      <c r="H56" s="2"/>
      <c r="I56" s="2"/>
      <c r="J56" s="2"/>
      <c r="K56" s="2"/>
      <c r="L56" s="2"/>
      <c r="M56" s="2"/>
    </row>
    <row r="57">
      <c r="A57" s="84" t="s">
        <v>114</v>
      </c>
      <c r="B57" s="167">
        <v>59.61</v>
      </c>
      <c r="C57" s="167">
        <v>52.79</v>
      </c>
      <c r="D57" s="167">
        <v>53.16</v>
      </c>
      <c r="E57" s="167">
        <v>49.0</v>
      </c>
      <c r="F57" s="167">
        <v>49.58</v>
      </c>
      <c r="G57" s="2"/>
      <c r="H57" s="2"/>
      <c r="I57" s="2"/>
      <c r="J57" s="2"/>
      <c r="K57" s="2"/>
      <c r="L57" s="2"/>
      <c r="M57" s="2"/>
    </row>
    <row r="58">
      <c r="A58" s="105" t="s">
        <v>64</v>
      </c>
      <c r="B58" s="106">
        <f t="shared" ref="B58:F58" si="24">B56+B57</f>
        <v>1196.29</v>
      </c>
      <c r="C58" s="106">
        <f t="shared" si="24"/>
        <v>1009.63</v>
      </c>
      <c r="D58" s="106">
        <f t="shared" si="24"/>
        <v>900.69</v>
      </c>
      <c r="E58" s="106">
        <f t="shared" si="24"/>
        <v>781.09</v>
      </c>
      <c r="F58" s="106">
        <f t="shared" si="24"/>
        <v>798.62</v>
      </c>
      <c r="G58" s="2"/>
    </row>
    <row r="59">
      <c r="A59" s="114" t="s">
        <v>65</v>
      </c>
      <c r="B59" s="115">
        <f t="shared" ref="B59:F59" si="25">B51+B58</f>
        <v>4564.9</v>
      </c>
      <c r="C59" s="115">
        <f t="shared" si="25"/>
        <v>4202.47</v>
      </c>
      <c r="D59" s="115">
        <f t="shared" si="25"/>
        <v>4109.24</v>
      </c>
      <c r="E59" s="115">
        <f t="shared" si="25"/>
        <v>4105.4</v>
      </c>
      <c r="F59" s="115">
        <f t="shared" si="25"/>
        <v>4329.92</v>
      </c>
      <c r="G59" s="2"/>
    </row>
    <row r="60">
      <c r="G60" s="2"/>
    </row>
    <row r="62">
      <c r="A62" s="116" t="s">
        <v>66</v>
      </c>
      <c r="B62" s="117"/>
      <c r="C62" s="117"/>
      <c r="D62" s="117"/>
      <c r="E62" s="117"/>
      <c r="F62" s="118"/>
    </row>
    <row r="63">
      <c r="A63" s="119" t="s">
        <v>67</v>
      </c>
      <c r="B63" s="5"/>
      <c r="C63" s="5"/>
      <c r="D63" s="5"/>
      <c r="E63" s="5"/>
      <c r="F63" s="6"/>
    </row>
    <row r="64">
      <c r="A64" s="11"/>
      <c r="B64" s="120">
        <v>2024.0</v>
      </c>
      <c r="C64" s="120">
        <v>2023.0</v>
      </c>
      <c r="D64" s="120">
        <v>2022.0</v>
      </c>
      <c r="E64" s="120">
        <v>2021.0</v>
      </c>
      <c r="F64" s="120">
        <v>2020.0</v>
      </c>
    </row>
    <row r="65">
      <c r="A65" s="121" t="s">
        <v>68</v>
      </c>
      <c r="B65" s="122">
        <f t="shared" ref="B65:F65" si="26">B37/B50</f>
        <v>0.6095811288</v>
      </c>
      <c r="C65" s="122">
        <f t="shared" si="26"/>
        <v>0.5710867171</v>
      </c>
      <c r="D65" s="122">
        <f t="shared" si="26"/>
        <v>0.6404294991</v>
      </c>
      <c r="E65" s="122">
        <f t="shared" si="26"/>
        <v>0.6563894589</v>
      </c>
      <c r="F65" s="122">
        <f t="shared" si="26"/>
        <v>0.8380270853</v>
      </c>
    </row>
    <row r="66">
      <c r="A66" s="124" t="s">
        <v>69</v>
      </c>
      <c r="B66" s="190">
        <f t="shared" ref="B66:F66" si="27">B36/B50</f>
        <v>0.2599172885</v>
      </c>
      <c r="C66" s="190">
        <f t="shared" si="27"/>
        <v>0.273483496</v>
      </c>
      <c r="D66" s="190">
        <f t="shared" si="27"/>
        <v>0.3880923295</v>
      </c>
      <c r="E66" s="190">
        <f t="shared" si="27"/>
        <v>0.3972442099</v>
      </c>
      <c r="F66" s="191">
        <f t="shared" si="27"/>
        <v>0.6173053247</v>
      </c>
    </row>
    <row r="67">
      <c r="A67" s="127" t="s">
        <v>70</v>
      </c>
      <c r="B67" s="128">
        <f t="shared" ref="B67:F67" si="28">(B37-B33)/B50</f>
        <v>0.5895732736</v>
      </c>
      <c r="C67" s="128">
        <f t="shared" si="28"/>
        <v>0.5517149694</v>
      </c>
      <c r="D67" s="128">
        <f t="shared" si="28"/>
        <v>0.6242396965</v>
      </c>
      <c r="E67" s="128">
        <f t="shared" si="28"/>
        <v>0.6407863448</v>
      </c>
      <c r="F67" s="128">
        <f t="shared" si="28"/>
        <v>0.8227146814</v>
      </c>
    </row>
    <row r="68">
      <c r="A68" s="130"/>
      <c r="B68" s="130"/>
      <c r="C68" s="130"/>
      <c r="D68" s="130"/>
      <c r="E68" s="130"/>
      <c r="F68" s="7"/>
    </row>
    <row r="69">
      <c r="A69" s="131" t="s">
        <v>71</v>
      </c>
      <c r="B69" s="132"/>
      <c r="C69" s="132"/>
      <c r="D69" s="132"/>
      <c r="E69" s="132"/>
      <c r="F69" s="133"/>
    </row>
    <row r="70">
      <c r="A70" s="11"/>
      <c r="B70" s="120">
        <v>2024.0</v>
      </c>
      <c r="C70" s="120">
        <v>2023.0</v>
      </c>
      <c r="D70" s="120">
        <v>2022.0</v>
      </c>
      <c r="E70" s="120">
        <v>2021.0</v>
      </c>
      <c r="F70" s="120">
        <v>2020.0</v>
      </c>
    </row>
    <row r="71">
      <c r="A71" s="134" t="s">
        <v>72</v>
      </c>
      <c r="B71" s="136">
        <f t="shared" ref="B71:F71" si="29">B11/B5</f>
        <v>0.1672939328</v>
      </c>
      <c r="C71" s="136">
        <f t="shared" si="29"/>
        <v>0.1550717925</v>
      </c>
      <c r="D71" s="136">
        <f t="shared" si="29"/>
        <v>0.1463074779</v>
      </c>
      <c r="E71" s="136">
        <f t="shared" si="29"/>
        <v>-0.1109176155</v>
      </c>
      <c r="F71" s="136">
        <f t="shared" si="29"/>
        <v>-0.6208504289</v>
      </c>
    </row>
    <row r="72">
      <c r="A72" s="124" t="s">
        <v>73</v>
      </c>
      <c r="B72" s="139">
        <f t="shared" ref="B72:F72" si="30">B7/B5</f>
        <v>0.7141734563</v>
      </c>
      <c r="C72" s="139">
        <f t="shared" si="30"/>
        <v>0.7025937934</v>
      </c>
      <c r="D72" s="139">
        <f t="shared" si="30"/>
        <v>0.6695889457</v>
      </c>
      <c r="E72" s="139">
        <f t="shared" si="30"/>
        <v>0.5816476892</v>
      </c>
      <c r="F72" s="139">
        <f t="shared" si="30"/>
        <v>0.3886609474</v>
      </c>
    </row>
    <row r="73">
      <c r="A73" s="140" t="s">
        <v>74</v>
      </c>
      <c r="B73" s="139">
        <f t="shared" ref="B73:F73" si="31">B19/B5</f>
        <v>0.08963563423</v>
      </c>
      <c r="C73" s="139">
        <f t="shared" si="31"/>
        <v>0.06113015285</v>
      </c>
      <c r="D73" s="139">
        <f t="shared" si="31"/>
        <v>0.0598467255</v>
      </c>
      <c r="E73" s="139">
        <f t="shared" si="31"/>
        <v>-0.1801473543</v>
      </c>
      <c r="F73" s="139">
        <f t="shared" si="31"/>
        <v>-0.8072734054</v>
      </c>
    </row>
    <row r="74">
      <c r="A74" s="137" t="s">
        <v>75</v>
      </c>
      <c r="B74" s="139">
        <f t="shared" ref="B74:F74" si="32">I6/B5</f>
        <v>0.2927747219</v>
      </c>
      <c r="C74" s="139">
        <f t="shared" si="32"/>
        <v>0.2904585456</v>
      </c>
      <c r="D74" s="139">
        <f t="shared" si="32"/>
        <v>0.3073037622</v>
      </c>
      <c r="E74" s="139">
        <f t="shared" si="32"/>
        <v>0.2644340255</v>
      </c>
      <c r="F74" s="139">
        <f t="shared" si="32"/>
        <v>-0.05688176054</v>
      </c>
    </row>
    <row r="75">
      <c r="A75" s="137" t="s">
        <v>76</v>
      </c>
      <c r="B75" s="139">
        <f t="shared" ref="B75:F75" si="33">B18/B17</f>
        <v>0.1848271712</v>
      </c>
      <c r="C75" s="139">
        <f t="shared" si="33"/>
        <v>0.3476025704</v>
      </c>
      <c r="D75" s="139">
        <f t="shared" si="33"/>
        <v>0.3398655139</v>
      </c>
      <c r="E75" s="139">
        <f t="shared" si="33"/>
        <v>0.06487726862</v>
      </c>
      <c r="F75" s="139">
        <f t="shared" si="33"/>
        <v>0.1479301589</v>
      </c>
    </row>
    <row r="76">
      <c r="A76" s="137" t="s">
        <v>77</v>
      </c>
      <c r="B76" s="139">
        <f t="shared" ref="B76:D76" si="34">B19/B5</f>
        <v>0.08963563423</v>
      </c>
      <c r="C76" s="139">
        <f t="shared" si="34"/>
        <v>0.06113015285</v>
      </c>
      <c r="D76" s="139">
        <f t="shared" si="34"/>
        <v>0.0598467255</v>
      </c>
      <c r="E76" s="139">
        <f>(E19-1.447)/E5</f>
        <v>-0.1820857334</v>
      </c>
      <c r="F76" s="139">
        <f>(F19-7.468)/F5</f>
        <v>-0.8212010444</v>
      </c>
    </row>
    <row r="77">
      <c r="A77" s="141" t="s">
        <v>78</v>
      </c>
      <c r="B77" s="139">
        <f>(B19+1.18)/((B38+C38)/2)</f>
        <v>0.04970750563</v>
      </c>
      <c r="C77" s="139">
        <f t="shared" ref="C77:D77" si="35">(C19)/((C38+D38)/2)</f>
        <v>0.03175599997</v>
      </c>
      <c r="D77" s="139">
        <f t="shared" si="35"/>
        <v>0.02509613734</v>
      </c>
      <c r="E77" s="139">
        <f>(E19-1.447)/((E38+F38)/2)</f>
        <v>-0.03222836576</v>
      </c>
      <c r="F77" s="139">
        <f>(F19-7.468)/((F38+4392)/2)</f>
        <v>-0.1009706601</v>
      </c>
    </row>
    <row r="78">
      <c r="A78" s="141" t="s">
        <v>79</v>
      </c>
      <c r="B78" s="139">
        <f t="shared" ref="B78:F78" si="36">B11/I25</f>
        <v>0.110332525</v>
      </c>
      <c r="C78" s="139">
        <f t="shared" si="36"/>
        <v>0.09700327111</v>
      </c>
      <c r="D78" s="139">
        <f t="shared" si="36"/>
        <v>0.0741680377</v>
      </c>
      <c r="E78" s="139">
        <f t="shared" si="36"/>
        <v>-0.02352613589</v>
      </c>
      <c r="F78" s="139">
        <f t="shared" si="36"/>
        <v>-0.08632134671</v>
      </c>
    </row>
    <row r="79">
      <c r="A79" s="141" t="s">
        <v>80</v>
      </c>
      <c r="B79" s="139">
        <f t="shared" ref="B79:E79" si="37">(B19-B57/10)/((B56+C56)/2)</f>
        <v>0.2013537009</v>
      </c>
      <c r="C79" s="139">
        <f t="shared" si="37"/>
        <v>0.1404379368</v>
      </c>
      <c r="D79" s="139">
        <f t="shared" si="37"/>
        <v>0.123781669</v>
      </c>
      <c r="E79" s="139">
        <f t="shared" si="37"/>
        <v>-0.1882076523</v>
      </c>
      <c r="F79" s="139">
        <f>(F19-F57/10)/((F56+1218.254)/2)</f>
        <v>-0.4450966658</v>
      </c>
    </row>
    <row r="80">
      <c r="A80" s="141" t="s">
        <v>81</v>
      </c>
      <c r="B80" s="139">
        <f t="shared" ref="B80:E80" si="38">((B19-B57/10)+I28*(1-B75))/((I25+J25)/2)</f>
        <v>0.08613885186</v>
      </c>
      <c r="C80" s="139">
        <f t="shared" si="38"/>
        <v>0.05894397642</v>
      </c>
      <c r="D80" s="139">
        <f t="shared" si="38"/>
        <v>0.05056040409</v>
      </c>
      <c r="E80" s="139">
        <f t="shared" si="38"/>
        <v>-0.006706594252</v>
      </c>
      <c r="F80" s="139">
        <f>((F19-F57/10)+M28*(1-F75))/((M25+3798)/2)</f>
        <v>-0.08721128755</v>
      </c>
    </row>
    <row r="81">
      <c r="A81" s="144" t="s">
        <v>82</v>
      </c>
      <c r="B81" s="146">
        <f t="shared" ref="B81:E81" si="39">(B5-C5)/C5</f>
        <v>0.1199166281</v>
      </c>
      <c r="C81" s="146">
        <f t="shared" si="39"/>
        <v>0.2534835114</v>
      </c>
      <c r="D81" s="146">
        <f t="shared" si="39"/>
        <v>1.307300737</v>
      </c>
      <c r="E81" s="146">
        <f t="shared" si="39"/>
        <v>0.3922044013</v>
      </c>
      <c r="F81" s="146">
        <f>(F5-1708.08)/1708.08</f>
        <v>-0.6860802773</v>
      </c>
    </row>
    <row r="82">
      <c r="A82" s="2"/>
      <c r="B82" s="2"/>
      <c r="C82" s="2"/>
      <c r="D82" s="2"/>
      <c r="E82" s="2"/>
      <c r="F82" s="2"/>
    </row>
    <row r="83">
      <c r="A83" s="147" t="s">
        <v>83</v>
      </c>
      <c r="B83" s="148"/>
      <c r="C83" s="148"/>
      <c r="D83" s="148"/>
      <c r="E83" s="148"/>
      <c r="F83" s="149"/>
    </row>
    <row r="84">
      <c r="A84" s="150"/>
      <c r="B84" s="151">
        <v>2024.0</v>
      </c>
      <c r="C84" s="151">
        <v>2023.0</v>
      </c>
      <c r="D84" s="151">
        <v>2022.0</v>
      </c>
      <c r="E84" s="151">
        <v>2021.0</v>
      </c>
      <c r="F84" s="151">
        <v>2020.0</v>
      </c>
    </row>
    <row r="85">
      <c r="A85" s="14" t="s">
        <v>84</v>
      </c>
      <c r="B85" s="136">
        <f t="shared" ref="B85:F85" si="40">I18/B38</f>
        <v>0.541047923</v>
      </c>
      <c r="C85" s="136">
        <f t="shared" si="40"/>
        <v>0.5810129775</v>
      </c>
      <c r="D85" s="136">
        <f t="shared" si="40"/>
        <v>0.6076209341</v>
      </c>
      <c r="E85" s="136">
        <f t="shared" si="40"/>
        <v>0.6670336683</v>
      </c>
      <c r="F85" s="136">
        <f t="shared" si="40"/>
        <v>0.7062287813</v>
      </c>
    </row>
    <row r="86">
      <c r="A86" s="153" t="s">
        <v>85</v>
      </c>
      <c r="B86" s="139">
        <f t="shared" ref="B86:F86" si="41">I18/I25</f>
        <v>0.6736966715</v>
      </c>
      <c r="C86" s="139">
        <f t="shared" si="41"/>
        <v>0.7074748727</v>
      </c>
      <c r="D86" s="139">
        <f t="shared" si="41"/>
        <v>0.7349110719</v>
      </c>
      <c r="E86" s="139">
        <f t="shared" si="41"/>
        <v>0.7780672768</v>
      </c>
      <c r="F86" s="139">
        <f t="shared" si="41"/>
        <v>0.7929169303</v>
      </c>
    </row>
    <row r="87">
      <c r="A87" s="153" t="s">
        <v>86</v>
      </c>
      <c r="B87" s="139">
        <f t="shared" ref="B87:F87" si="42">I18/B58</f>
        <v>2.064633158</v>
      </c>
      <c r="C87" s="139">
        <f t="shared" si="42"/>
        <v>2.418509751</v>
      </c>
      <c r="D87" s="139">
        <f t="shared" si="42"/>
        <v>2.772319</v>
      </c>
      <c r="E87" s="139">
        <f t="shared" si="42"/>
        <v>3.505870002</v>
      </c>
      <c r="F87" s="139">
        <f t="shared" si="42"/>
        <v>3.82897999</v>
      </c>
    </row>
    <row r="88">
      <c r="A88" s="28" t="s">
        <v>87</v>
      </c>
      <c r="B88" s="155">
        <f t="shared" ref="B88:F88" si="43">B11/I28</f>
        <v>3.442553191</v>
      </c>
      <c r="C88" s="155">
        <f t="shared" si="43"/>
        <v>2.90625</v>
      </c>
      <c r="D88" s="155">
        <f t="shared" si="43"/>
        <v>2.157534247</v>
      </c>
      <c r="E88" s="155">
        <f t="shared" si="43"/>
        <v>-0.6753670473</v>
      </c>
      <c r="F88" s="155">
        <f t="shared" si="43"/>
        <v>-2.726453726</v>
      </c>
    </row>
    <row r="89">
      <c r="A89" s="157"/>
      <c r="B89" s="157"/>
      <c r="C89" s="157"/>
      <c r="D89" s="157"/>
      <c r="E89" s="157"/>
      <c r="F89" s="157"/>
    </row>
    <row r="90">
      <c r="A90" s="147" t="s">
        <v>88</v>
      </c>
      <c r="B90" s="148"/>
      <c r="C90" s="148"/>
      <c r="D90" s="148"/>
      <c r="E90" s="148"/>
      <c r="F90" s="149"/>
    </row>
    <row r="91">
      <c r="A91" s="150"/>
      <c r="B91" s="151">
        <v>2024.0</v>
      </c>
      <c r="C91" s="151">
        <v>2023.0</v>
      </c>
      <c r="D91" s="151">
        <v>2022.0</v>
      </c>
      <c r="E91" s="151">
        <v>2021.0</v>
      </c>
      <c r="F91" s="151">
        <v>2020.0</v>
      </c>
    </row>
    <row r="92">
      <c r="A92" s="158" t="s">
        <v>89</v>
      </c>
      <c r="B92" s="159">
        <f t="shared" ref="B92:E92" si="44">B5/((B30+C30/2))</f>
        <v>0.4089025383</v>
      </c>
      <c r="C92" s="159">
        <f t="shared" si="44"/>
        <v>0.3884959144</v>
      </c>
      <c r="D92" s="159">
        <f t="shared" si="44"/>
        <v>0.3153074403</v>
      </c>
      <c r="E92" s="159">
        <f t="shared" si="44"/>
        <v>0.1321365228</v>
      </c>
      <c r="F92" s="159">
        <f>F5/((F30+3872.93/2))</f>
        <v>0.09196111976</v>
      </c>
    </row>
    <row r="93">
      <c r="A93" s="88" t="s">
        <v>90</v>
      </c>
      <c r="B93" s="160">
        <f>B5/4383.771</f>
        <v>0.5515570955</v>
      </c>
      <c r="C93" s="160">
        <f>C5/4155.963</f>
        <v>0.5194945191</v>
      </c>
      <c r="D93" s="160">
        <f>D5/4107.31</f>
        <v>0.4193498908</v>
      </c>
      <c r="E93" s="160">
        <f>E5/4217.615</f>
        <v>0.1769957666</v>
      </c>
      <c r="F93" s="160">
        <f>F5/4360.907</f>
        <v>0.1229560731</v>
      </c>
    </row>
    <row r="94">
      <c r="A94" s="94" t="s">
        <v>91</v>
      </c>
      <c r="B94" s="160">
        <f>(B5*1000000)/14420</f>
        <v>167676.8377</v>
      </c>
      <c r="C94" s="160">
        <f>(C5*1000000)/12306.5</f>
        <v>175435.7453</v>
      </c>
      <c r="D94" s="160">
        <f>(D5*1000000)/10598</f>
        <v>162521.2304</v>
      </c>
      <c r="E94" s="160">
        <f>(E5*1000000)/10167</f>
        <v>73423.82217</v>
      </c>
      <c r="F94" s="160">
        <f>(F5*1000000)/10978</f>
        <v>48843.14083</v>
      </c>
    </row>
    <row r="95">
      <c r="A95" s="94" t="s">
        <v>92</v>
      </c>
      <c r="B95" s="160">
        <f>B19*1000000/14420</f>
        <v>15029.81969</v>
      </c>
      <c r="C95" s="160">
        <f>C19*1000000/12307</f>
        <v>10723.97822</v>
      </c>
      <c r="D95" s="160">
        <f>D19*1000000/10598</f>
        <v>9726.363465</v>
      </c>
      <c r="E95" s="160">
        <f>E19*1000000/10167</f>
        <v>-13227.10731</v>
      </c>
      <c r="F95" s="160">
        <f>F19*1000000/10978</f>
        <v>-39429.76863</v>
      </c>
    </row>
    <row r="96">
      <c r="A96" s="94" t="s">
        <v>93</v>
      </c>
      <c r="B96" s="162">
        <f t="shared" ref="B96:F96" si="45">B5/((B32+C32)/2)</f>
        <v>11.55507766</v>
      </c>
      <c r="C96" s="162">
        <f t="shared" si="45"/>
        <v>11.1518595</v>
      </c>
      <c r="D96" s="162">
        <f t="shared" si="45"/>
        <v>10.99521226</v>
      </c>
      <c r="E96" s="162">
        <f t="shared" si="45"/>
        <v>6.281026504</v>
      </c>
      <c r="F96" s="162">
        <f t="shared" si="45"/>
        <v>10.57593688</v>
      </c>
    </row>
    <row r="97">
      <c r="A97" s="94" t="s">
        <v>94</v>
      </c>
      <c r="B97" s="162">
        <f t="shared" ref="B97:F97" si="46">366/B96</f>
        <v>31.67438686</v>
      </c>
      <c r="C97" s="162">
        <f t="shared" si="46"/>
        <v>32.81963872</v>
      </c>
      <c r="D97" s="162">
        <f t="shared" si="46"/>
        <v>33.28721551</v>
      </c>
      <c r="E97" s="162">
        <f t="shared" si="46"/>
        <v>58.27073007</v>
      </c>
      <c r="F97" s="162">
        <f t="shared" si="46"/>
        <v>34.60686311</v>
      </c>
    </row>
    <row r="98">
      <c r="A98" s="94" t="s">
        <v>95</v>
      </c>
      <c r="B98" s="162">
        <f>B6/298.731</f>
        <v>2.313452571</v>
      </c>
      <c r="C98" s="162">
        <f>C6/282.994</f>
        <v>2.268952699</v>
      </c>
      <c r="D98" s="162">
        <f>D6/247.593</f>
        <v>2.298530249</v>
      </c>
      <c r="E98" s="162">
        <f>E6/197.602</f>
        <v>1.580449591</v>
      </c>
      <c r="F98" s="162">
        <f>F6/211.032</f>
        <v>1.553318928</v>
      </c>
    </row>
    <row r="99">
      <c r="A99" s="94" t="s">
        <v>96</v>
      </c>
      <c r="B99" s="162">
        <f t="shared" ref="B99:F99" si="47">366/B98</f>
        <v>158.205102</v>
      </c>
      <c r="C99" s="162">
        <f t="shared" si="47"/>
        <v>161.3079022</v>
      </c>
      <c r="D99" s="162">
        <f t="shared" si="47"/>
        <v>159.2321877</v>
      </c>
      <c r="E99" s="162">
        <f t="shared" si="47"/>
        <v>231.5796734</v>
      </c>
      <c r="F99" s="162">
        <f t="shared" si="47"/>
        <v>235.6245027</v>
      </c>
    </row>
    <row r="100">
      <c r="A100" s="88" t="s">
        <v>115</v>
      </c>
      <c r="B100" s="162">
        <f t="shared" ref="B100:E100" si="48">B6/((B33+C33)/2)</f>
        <v>42.37277744</v>
      </c>
      <c r="C100" s="162">
        <f t="shared" si="48"/>
        <v>46.04517748</v>
      </c>
      <c r="D100" s="162">
        <f t="shared" si="48"/>
        <v>51.33964817</v>
      </c>
      <c r="E100" s="162">
        <f t="shared" si="48"/>
        <v>35.61003421</v>
      </c>
      <c r="F100" s="162">
        <f>F6/((F33+11.123)/2)</f>
        <v>34.35518524</v>
      </c>
    </row>
    <row r="101">
      <c r="A101" s="88" t="s">
        <v>116</v>
      </c>
      <c r="B101" s="162">
        <f t="shared" ref="B101:F101" si="49">366/B100</f>
        <v>8.637621184</v>
      </c>
      <c r="C101" s="162">
        <f t="shared" si="49"/>
        <v>7.948715153</v>
      </c>
      <c r="D101" s="162">
        <f t="shared" si="49"/>
        <v>7.128993147</v>
      </c>
      <c r="E101" s="162">
        <f t="shared" si="49"/>
        <v>10.27800192</v>
      </c>
      <c r="F101" s="162">
        <f t="shared" si="49"/>
        <v>10.65341367</v>
      </c>
    </row>
    <row r="102">
      <c r="A102" s="193" t="s">
        <v>117</v>
      </c>
      <c r="B102" s="65">
        <f t="shared" ref="B102:F102" si="50">B97-B99+B101</f>
        <v>-117.893094</v>
      </c>
      <c r="C102" s="65">
        <f t="shared" si="50"/>
        <v>-120.5395483</v>
      </c>
      <c r="D102" s="65">
        <f t="shared" si="50"/>
        <v>-118.815979</v>
      </c>
      <c r="E102" s="65">
        <f t="shared" si="50"/>
        <v>-163.0309414</v>
      </c>
      <c r="F102" s="65">
        <f t="shared" si="50"/>
        <v>-190.364226</v>
      </c>
    </row>
  </sheetData>
  <mergeCells count="8">
    <mergeCell ref="A1:F1"/>
    <mergeCell ref="A3:F3"/>
    <mergeCell ref="A22:F22"/>
    <mergeCell ref="A62:F62"/>
    <mergeCell ref="A63:F63"/>
    <mergeCell ref="A69:F69"/>
    <mergeCell ref="A83:F83"/>
    <mergeCell ref="A90:F9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2.5"/>
    <col customWidth="1" min="8" max="8" width="2.5"/>
    <col customWidth="1" min="14" max="14" width="2.5"/>
    <col customWidth="1" min="20" max="20" width="2.5"/>
    <col customWidth="1" min="26" max="26" width="2.5"/>
  </cols>
  <sheetData>
    <row r="1">
      <c r="B1" s="208"/>
      <c r="C1" s="209" t="s">
        <v>119</v>
      </c>
      <c r="H1" s="208"/>
      <c r="I1" s="210" t="s">
        <v>120</v>
      </c>
      <c r="N1" s="208"/>
      <c r="O1" s="211" t="s">
        <v>121</v>
      </c>
      <c r="T1" s="208"/>
      <c r="U1" s="212" t="s">
        <v>122</v>
      </c>
      <c r="Z1" s="208"/>
    </row>
    <row r="2">
      <c r="A2" s="213" t="s">
        <v>123</v>
      </c>
      <c r="B2" s="208"/>
      <c r="C2" s="213">
        <v>2024.0</v>
      </c>
      <c r="D2" s="213">
        <v>2023.0</v>
      </c>
      <c r="E2" s="213">
        <v>2022.0</v>
      </c>
      <c r="F2" s="213">
        <v>2021.0</v>
      </c>
      <c r="G2" s="213">
        <v>2020.0</v>
      </c>
      <c r="H2" s="208"/>
      <c r="I2" s="213">
        <v>2024.0</v>
      </c>
      <c r="J2" s="213">
        <v>2023.0</v>
      </c>
      <c r="K2" s="213">
        <v>2022.0</v>
      </c>
      <c r="L2" s="213">
        <v>2021.0</v>
      </c>
      <c r="M2" s="213">
        <v>2020.0</v>
      </c>
      <c r="N2" s="208"/>
      <c r="O2" s="213">
        <v>2024.0</v>
      </c>
      <c r="P2" s="213">
        <v>2023.0</v>
      </c>
      <c r="Q2" s="213">
        <v>2022.0</v>
      </c>
      <c r="R2" s="213">
        <v>2021.0</v>
      </c>
      <c r="S2" s="213">
        <v>2020.0</v>
      </c>
      <c r="T2" s="208"/>
      <c r="U2" s="213">
        <v>2024.0</v>
      </c>
      <c r="V2" s="213">
        <v>2023.0</v>
      </c>
      <c r="W2" s="213">
        <v>2022.0</v>
      </c>
      <c r="X2" s="213">
        <v>2021.0</v>
      </c>
      <c r="Y2" s="213">
        <v>2020.0</v>
      </c>
      <c r="Z2" s="208"/>
    </row>
    <row r="3">
      <c r="A3" s="214" t="s">
        <v>68</v>
      </c>
      <c r="B3" s="208"/>
      <c r="C3" s="215">
        <v>0.9</v>
      </c>
      <c r="D3" s="215">
        <v>0.93</v>
      </c>
      <c r="E3" s="215">
        <v>1.08</v>
      </c>
      <c r="F3" s="215">
        <v>1.47</v>
      </c>
      <c r="G3" s="215">
        <v>1.82</v>
      </c>
      <c r="H3" s="208"/>
      <c r="I3" s="216">
        <f>Marriott!B61</f>
        <v>0.4029367557</v>
      </c>
      <c r="J3" s="216">
        <f>Marriott!C61</f>
        <v>0.4265653182</v>
      </c>
      <c r="K3" s="216">
        <f>Marriott!D61</f>
        <v>0.4514238997</v>
      </c>
      <c r="L3" s="216">
        <f>Marriott!E61</f>
        <v>0.5659434993</v>
      </c>
      <c r="M3" s="216">
        <f>Marriott!F61</f>
        <v>0.4911335188</v>
      </c>
      <c r="N3" s="208"/>
      <c r="O3" s="216">
        <f>M.O.!B66</f>
        <v>1.047900467</v>
      </c>
      <c r="P3" s="216">
        <f>M.O.!C66</f>
        <v>0.9564730357</v>
      </c>
      <c r="Q3" s="216">
        <f>M.O.!D66</f>
        <v>1.769935345</v>
      </c>
      <c r="R3" s="216">
        <f>M.O.!E66</f>
        <v>1.638999431</v>
      </c>
      <c r="S3" s="216">
        <f>M.O.!F66</f>
        <v>1.086321381</v>
      </c>
      <c r="T3" s="208"/>
      <c r="U3" s="216">
        <f>NH!B65</f>
        <v>0.6095811288</v>
      </c>
      <c r="V3" s="216">
        <f>NH!C65</f>
        <v>0.5710867171</v>
      </c>
      <c r="W3" s="216">
        <f>NH!D65</f>
        <v>0.6404294991</v>
      </c>
      <c r="X3" s="216">
        <f>NH!E65</f>
        <v>0.6563894589</v>
      </c>
      <c r="Y3" s="216">
        <f>NH!F65</f>
        <v>0.8380270853</v>
      </c>
      <c r="Z3" s="208"/>
    </row>
    <row r="4">
      <c r="A4" s="214" t="s">
        <v>124</v>
      </c>
      <c r="B4" s="208"/>
      <c r="C4" s="215">
        <v>0.35</v>
      </c>
      <c r="D4" s="215">
        <v>0.39</v>
      </c>
      <c r="E4" s="215">
        <v>0.43</v>
      </c>
      <c r="F4" s="215">
        <v>0.69</v>
      </c>
      <c r="G4" s="215">
        <v>1.19</v>
      </c>
      <c r="H4" s="208"/>
      <c r="I4" s="216">
        <f>Marriott!B62</f>
        <v>0.04578563996</v>
      </c>
      <c r="J4" s="216">
        <f>Marriott!C62</f>
        <v>0.04354547797</v>
      </c>
      <c r="K4" s="216">
        <f>Marriott!D62</f>
        <v>0.06908298133</v>
      </c>
      <c r="L4" s="216">
        <f>Marriott!E62</f>
        <v>0.2174184486</v>
      </c>
      <c r="M4" s="216">
        <f>Marriott!F62</f>
        <v>0.1524687065</v>
      </c>
      <c r="N4" s="208"/>
      <c r="O4" s="216">
        <f>M.O.!B67</f>
        <v>0.6687402799</v>
      </c>
      <c r="P4" s="216">
        <f>M.O.!C67</f>
        <v>0.2861257801</v>
      </c>
      <c r="Q4" s="216">
        <f>M.O.!D67</f>
        <v>1.21875</v>
      </c>
      <c r="R4" s="216">
        <f>M.O.!E67</f>
        <v>1.209778283</v>
      </c>
      <c r="S4" s="216">
        <f>M.O.!F67</f>
        <v>0.7286409916</v>
      </c>
      <c r="T4" s="208"/>
      <c r="U4" s="216">
        <f>NH!B66</f>
        <v>0.2599172885</v>
      </c>
      <c r="V4" s="216">
        <f>NH!C66</f>
        <v>0.273483496</v>
      </c>
      <c r="W4" s="216">
        <f>NH!D66</f>
        <v>0.3880923295</v>
      </c>
      <c r="X4" s="216">
        <f>NH!E66</f>
        <v>0.3972442099</v>
      </c>
      <c r="Y4" s="216">
        <f>NH!F66</f>
        <v>0.6173053247</v>
      </c>
      <c r="Z4" s="208"/>
    </row>
    <row r="5">
      <c r="A5" s="214" t="s">
        <v>70</v>
      </c>
      <c r="B5" s="208"/>
      <c r="C5" s="215">
        <v>0.63</v>
      </c>
      <c r="D5" s="215">
        <v>0.65</v>
      </c>
      <c r="E5" s="215">
        <v>0.75</v>
      </c>
      <c r="F5" s="215">
        <v>0.88</v>
      </c>
      <c r="G5" s="215">
        <v>1.19</v>
      </c>
      <c r="H5" s="208"/>
      <c r="I5" s="216">
        <f>Marriott!B63</f>
        <v>0.07977800902</v>
      </c>
      <c r="J5" s="216">
        <f>Marriott!C63</f>
        <v>0.07717083226</v>
      </c>
      <c r="K5" s="216">
        <f>Marriott!D63</f>
        <v>0.1011036926</v>
      </c>
      <c r="L5" s="216">
        <f>Marriott!E63</f>
        <v>0.2565943499</v>
      </c>
      <c r="M5" s="216">
        <f>Marriott!F63</f>
        <v>0.1823713491</v>
      </c>
      <c r="N5" s="208"/>
      <c r="O5" s="216">
        <f>M.O.!B68</f>
        <v>1.031726283</v>
      </c>
      <c r="P5" s="216">
        <f>M.O.!C68</f>
        <v>0.9484717555</v>
      </c>
      <c r="Q5" s="216">
        <f>M.O.!D68</f>
        <v>1.74299569</v>
      </c>
      <c r="R5" s="216">
        <f>M.O.!E68</f>
        <v>1.608868675</v>
      </c>
      <c r="S5" s="216">
        <f>M.O.!F68</f>
        <v>1.059760956</v>
      </c>
      <c r="T5" s="208"/>
      <c r="U5" s="216">
        <f>NH!B67</f>
        <v>0.5895732736</v>
      </c>
      <c r="V5" s="216">
        <f>NH!C67</f>
        <v>0.5517149694</v>
      </c>
      <c r="W5" s="216">
        <f>NH!D67</f>
        <v>0.6242396965</v>
      </c>
      <c r="X5" s="216">
        <f>NH!E67</f>
        <v>0.6407863448</v>
      </c>
      <c r="Y5" s="216">
        <f>NH!F67</f>
        <v>0.8227146814</v>
      </c>
      <c r="Z5" s="208"/>
    </row>
    <row r="6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>
      <c r="A7" s="213" t="s">
        <v>71</v>
      </c>
      <c r="B7" s="208"/>
      <c r="C7" s="213">
        <v>2024.0</v>
      </c>
      <c r="D7" s="213">
        <v>2023.0</v>
      </c>
      <c r="E7" s="213">
        <v>2022.0</v>
      </c>
      <c r="F7" s="213">
        <v>2021.0</v>
      </c>
      <c r="G7" s="213">
        <v>2020.0</v>
      </c>
      <c r="H7" s="208"/>
      <c r="I7" s="213">
        <v>2024.0</v>
      </c>
      <c r="J7" s="213">
        <v>2023.0</v>
      </c>
      <c r="K7" s="213">
        <v>2022.0</v>
      </c>
      <c r="L7" s="213">
        <v>2021.0</v>
      </c>
      <c r="M7" s="213">
        <v>2020.0</v>
      </c>
      <c r="N7" s="208"/>
      <c r="O7" s="213">
        <v>2024.0</v>
      </c>
      <c r="P7" s="213">
        <v>2023.0</v>
      </c>
      <c r="Q7" s="213">
        <v>2022.0</v>
      </c>
      <c r="R7" s="213">
        <v>2021.0</v>
      </c>
      <c r="S7" s="213">
        <v>2020.0</v>
      </c>
      <c r="T7" s="208"/>
      <c r="U7" s="213">
        <v>2024.0</v>
      </c>
      <c r="V7" s="213">
        <v>2023.0</v>
      </c>
      <c r="W7" s="213">
        <v>2022.0</v>
      </c>
      <c r="X7" s="213">
        <v>2021.0</v>
      </c>
      <c r="Y7" s="213">
        <v>2020.0</v>
      </c>
      <c r="Z7" s="208"/>
    </row>
    <row r="8">
      <c r="A8" s="214" t="s">
        <v>125</v>
      </c>
      <c r="B8" s="208"/>
      <c r="C8" s="217">
        <v>0.075</v>
      </c>
      <c r="D8" s="218">
        <f>0.079</f>
        <v>0.079</v>
      </c>
      <c r="E8" s="217">
        <v>0.085</v>
      </c>
      <c r="F8" s="217">
        <v>0.066</v>
      </c>
      <c r="G8" s="217">
        <v>-0.166</v>
      </c>
      <c r="H8" s="208"/>
      <c r="I8" s="218">
        <f>Marriott!B67</f>
        <v>0.580840133</v>
      </c>
      <c r="J8" s="218">
        <f>Marriott!C67</f>
        <v>0.6228571429</v>
      </c>
      <c r="K8" s="218">
        <f>Marriott!D67</f>
        <v>0.6486183719</v>
      </c>
      <c r="L8" s="218">
        <f>Marriott!E67</f>
        <v>0.5147877013</v>
      </c>
      <c r="M8" s="218">
        <f>Marriott!F67</f>
        <v>0.3666823974</v>
      </c>
      <c r="N8" s="208"/>
      <c r="O8" s="218">
        <f>M.O.!B72</f>
        <v>0.1622289844</v>
      </c>
      <c r="P8" s="218">
        <f>M.O.!C72</f>
        <v>0.1833004838</v>
      </c>
      <c r="Q8" s="218">
        <f>M.O.!D72</f>
        <v>0.03567496146</v>
      </c>
      <c r="R8" s="218">
        <f>M.O.!E72</f>
        <v>-0.2038497949</v>
      </c>
      <c r="S8" s="218">
        <f>M.O.!F72</f>
        <v>-1.19760479</v>
      </c>
      <c r="T8" s="208"/>
      <c r="U8" s="218">
        <f>NH!B71</f>
        <v>0.1672939328</v>
      </c>
      <c r="V8" s="218">
        <f>NH!C71</f>
        <v>0.1550717925</v>
      </c>
      <c r="W8" s="218">
        <f>NH!D71</f>
        <v>0.1463074779</v>
      </c>
      <c r="X8" s="218">
        <f>NH!E71</f>
        <v>-0.1109176155</v>
      </c>
      <c r="Y8" s="218">
        <f>NH!F71</f>
        <v>-0.6208504289</v>
      </c>
      <c r="Z8" s="208"/>
    </row>
    <row r="9">
      <c r="A9" s="214" t="s">
        <v>74</v>
      </c>
      <c r="B9" s="208"/>
      <c r="C9" s="217">
        <v>0.139</v>
      </c>
      <c r="D9" s="217">
        <v>0.148</v>
      </c>
      <c r="E9" s="217">
        <v>0.161</v>
      </c>
      <c r="F9" s="217">
        <v>0.126</v>
      </c>
      <c r="G9" s="217">
        <v>-0.115</v>
      </c>
      <c r="H9" s="208"/>
      <c r="I9" s="218">
        <f>Marriott!B69</f>
        <v>0.3588697492</v>
      </c>
      <c r="J9" s="218">
        <f>Marriott!C69</f>
        <v>0.4893650794</v>
      </c>
      <c r="K9" s="218">
        <f>Marriott!D69</f>
        <v>0.4402539208</v>
      </c>
      <c r="L9" s="218">
        <f>Marriott!E69</f>
        <v>0.3218155198</v>
      </c>
      <c r="M9" s="218">
        <f>Marriott!F69</f>
        <v>-0.1260028315</v>
      </c>
      <c r="N9" s="208"/>
      <c r="O9" s="218">
        <f>M.O.!B74</f>
        <v>-0.1744009129</v>
      </c>
      <c r="P9" s="218">
        <f>M.O.!C74</f>
        <v>-0.6529295825</v>
      </c>
      <c r="Q9" s="218">
        <f>M.O.!D74</f>
        <v>-0.1294868972</v>
      </c>
      <c r="R9" s="218">
        <f>M.O.!E74</f>
        <v>-0.3726727674</v>
      </c>
      <c r="S9" s="218">
        <f>M.O.!F74</f>
        <v>-3.535111595</v>
      </c>
      <c r="T9" s="208"/>
      <c r="U9" s="218">
        <f>NH!B73</f>
        <v>0.08963563423</v>
      </c>
      <c r="V9" s="218">
        <f>NH!C73</f>
        <v>0.06113015285</v>
      </c>
      <c r="W9" s="218">
        <f>NH!D73</f>
        <v>0.0598467255</v>
      </c>
      <c r="X9" s="218">
        <f>NH!E73</f>
        <v>-0.1801473543</v>
      </c>
      <c r="Y9" s="218">
        <f>NH!F73</f>
        <v>-0.8072734054</v>
      </c>
      <c r="Z9" s="208"/>
    </row>
    <row r="10">
      <c r="A10" s="214" t="s">
        <v>126</v>
      </c>
      <c r="B10" s="208"/>
      <c r="C10" s="217">
        <v>0.041</v>
      </c>
      <c r="D10" s="217">
        <v>0.038</v>
      </c>
      <c r="E10" s="217">
        <v>0.031</v>
      </c>
      <c r="F10" s="217">
        <v>0.018</v>
      </c>
      <c r="G10" s="217">
        <v>-0.045</v>
      </c>
      <c r="H10" s="208"/>
      <c r="I10" s="218">
        <f>Marriott!B73</f>
        <v>0.09159981487</v>
      </c>
      <c r="J10" s="218">
        <f>Marriott!C73</f>
        <v>0.1221256115</v>
      </c>
      <c r="K10" s="218">
        <f>Marriott!D73</f>
        <v>0.09363087675</v>
      </c>
      <c r="L10" s="218">
        <f>Marriott!E73</f>
        <v>0.04373781192</v>
      </c>
      <c r="M10" s="218">
        <f>Marriott!F73</f>
        <v>-0.01073323685</v>
      </c>
      <c r="N10" s="208"/>
      <c r="O10" s="218">
        <f>M.O.!B78</f>
        <v>-0.02164134911</v>
      </c>
      <c r="P10" s="218">
        <f>M.O.!C78</f>
        <v>-0.09132968215</v>
      </c>
      <c r="Q10" s="218">
        <f>M.O.!D78</f>
        <v>-0.01137399209</v>
      </c>
      <c r="R10" s="218">
        <f>M.O.!E78</f>
        <v>-0.03145612493</v>
      </c>
      <c r="S10" s="218">
        <f>M.O.!F78</f>
        <v>-0.2972825255</v>
      </c>
      <c r="T10" s="208"/>
      <c r="U10" s="218">
        <f>NH!B77</f>
        <v>0.04970750563</v>
      </c>
      <c r="V10" s="218">
        <f>NH!C77</f>
        <v>0.03175599997</v>
      </c>
      <c r="W10" s="218">
        <f>NH!D77</f>
        <v>0.02509613734</v>
      </c>
      <c r="X10" s="218">
        <f>NH!E77</f>
        <v>-0.03222836576</v>
      </c>
      <c r="Y10" s="218">
        <f>NH!F77</f>
        <v>-0.1009706601</v>
      </c>
      <c r="Z10" s="208"/>
    </row>
    <row r="11">
      <c r="A11" s="214" t="s">
        <v>127</v>
      </c>
      <c r="B11" s="208"/>
      <c r="C11" s="217">
        <v>0.06453</v>
      </c>
      <c r="D11" s="217">
        <v>0.06993</v>
      </c>
      <c r="E11" s="217">
        <v>0.058829</v>
      </c>
      <c r="F11" s="217">
        <v>-9.7E-4</v>
      </c>
      <c r="G11" s="217">
        <v>-0.062442</v>
      </c>
      <c r="H11" s="208"/>
      <c r="I11" s="218">
        <f>Marriott!B74</f>
        <v>0.3355739852</v>
      </c>
      <c r="J11" s="218">
        <f>Marriott!C74</f>
        <v>0.3506389063</v>
      </c>
      <c r="K11" s="218">
        <f>Marriott!D74</f>
        <v>0.3267494357</v>
      </c>
      <c r="L11" s="218">
        <f>Marriott!E74</f>
        <v>0.1521814404</v>
      </c>
      <c r="M11" s="218">
        <f>Marriott!F74</f>
        <v>0.0719044975</v>
      </c>
      <c r="N11" s="208"/>
      <c r="O11" s="218">
        <f>M.O.!B79</f>
        <v>0.02618894108</v>
      </c>
      <c r="P11" s="218">
        <f>M.O.!C79</f>
        <v>0.02925030022</v>
      </c>
      <c r="Q11" s="218">
        <f>M.O.!D79</f>
        <v>0.004020848846</v>
      </c>
      <c r="R11" s="218">
        <f>M.O.!E79</f>
        <v>-0.01539451421</v>
      </c>
      <c r="S11" s="218">
        <f>M.O.!F79</f>
        <v>-0.0504459884</v>
      </c>
      <c r="T11" s="208"/>
      <c r="U11" s="218">
        <f>NH!B78</f>
        <v>0.110332525</v>
      </c>
      <c r="V11" s="218">
        <f>NH!C78</f>
        <v>0.09700327111</v>
      </c>
      <c r="W11" s="218">
        <f>NH!D78</f>
        <v>0.0741680377</v>
      </c>
      <c r="X11" s="218">
        <f>NH!E78</f>
        <v>-0.02352613589</v>
      </c>
      <c r="Y11" s="218">
        <f>NH!F78</f>
        <v>-0.08632134671</v>
      </c>
      <c r="Z11" s="208"/>
    </row>
    <row r="12">
      <c r="A12" s="214" t="s">
        <v>128</v>
      </c>
      <c r="B12" s="208"/>
      <c r="C12" s="217">
        <v>0.115</v>
      </c>
      <c r="D12" s="217">
        <v>0.097</v>
      </c>
      <c r="E12" s="217">
        <v>0.065</v>
      </c>
      <c r="F12" s="217">
        <v>-0.021</v>
      </c>
      <c r="G12" s="217">
        <v>-0.246</v>
      </c>
      <c r="H12" s="208"/>
      <c r="I12" s="218">
        <f>Marriott!B75</f>
        <v>-1.292868808</v>
      </c>
      <c r="J12" s="218">
        <f>Marriott!C75</f>
        <v>-54.0877193</v>
      </c>
      <c r="K12" s="218">
        <f>Marriott!D75</f>
        <v>2.379414733</v>
      </c>
      <c r="L12" s="218">
        <f>Marriott!E75</f>
        <v>1.19197397</v>
      </c>
      <c r="M12" s="218">
        <f>Marriott!F75</f>
        <v>-0.4713150927</v>
      </c>
      <c r="N12" s="208"/>
      <c r="O12" s="218">
        <f>M.O.!B80</f>
        <v>-0.02708563155</v>
      </c>
      <c r="P12" s="218">
        <f>M.O.!C80</f>
        <v>-0.1166871852</v>
      </c>
      <c r="Q12" s="218">
        <f>M.O.!D80</f>
        <v>-0.01503884657</v>
      </c>
      <c r="R12" s="218">
        <f>M.O.!E80</f>
        <v>-0.04157927929</v>
      </c>
      <c r="S12" s="218">
        <f>M.O.!F80</f>
        <v>-0.1784899967</v>
      </c>
      <c r="T12" s="208"/>
      <c r="U12" s="218">
        <f>NH!B79</f>
        <v>0.2013537009</v>
      </c>
      <c r="V12" s="218">
        <f>NH!C79</f>
        <v>0.1404379368</v>
      </c>
      <c r="W12" s="218">
        <f>NH!D79</f>
        <v>0.123781669</v>
      </c>
      <c r="X12" s="218">
        <f>NH!E79</f>
        <v>-0.1882076523</v>
      </c>
      <c r="Y12" s="218">
        <f>NH!F79</f>
        <v>-0.4450966658</v>
      </c>
      <c r="Z12" s="208"/>
    </row>
    <row r="13">
      <c r="A13" s="214" t="s">
        <v>82</v>
      </c>
      <c r="B13" s="208"/>
      <c r="C13" s="217">
        <v>0.07023</v>
      </c>
      <c r="D13" s="217">
        <v>0.08233</v>
      </c>
      <c r="E13" s="217">
        <v>0.6979</v>
      </c>
      <c r="F13" s="217">
        <v>0.7839</v>
      </c>
      <c r="G13" s="217">
        <v>-0.7038</v>
      </c>
      <c r="H13" s="208"/>
      <c r="I13" s="218">
        <f>Marriott!B77</f>
        <v>0.05047619048</v>
      </c>
      <c r="J13" s="218">
        <f>Marriott!C77</f>
        <v>0.1762509335</v>
      </c>
      <c r="K13" s="218">
        <f>Marriott!D77</f>
        <v>0.568374817</v>
      </c>
      <c r="L13" s="218">
        <f>Marriott!E77</f>
        <v>0.6116092496</v>
      </c>
      <c r="M13" s="218">
        <f>Marriott!F77</f>
        <v>-0.6056206961</v>
      </c>
      <c r="N13" s="208"/>
      <c r="O13" s="218">
        <f>M.O.!B82</f>
        <v>-0.05787493281</v>
      </c>
      <c r="P13" s="218">
        <f>M.O.!C82</f>
        <v>0.229024444</v>
      </c>
      <c r="Q13" s="218">
        <f>M.O.!D82</f>
        <v>0.4329441464</v>
      </c>
      <c r="R13" s="218">
        <f>M.O.!E82</f>
        <v>0.725095264</v>
      </c>
      <c r="S13" s="218">
        <f>M.O.!F82</f>
        <v>-0.8924523442</v>
      </c>
      <c r="T13" s="208"/>
      <c r="U13" s="218">
        <f>NH!B81</f>
        <v>0.1199166281</v>
      </c>
      <c r="V13" s="218">
        <f>NH!C81</f>
        <v>0.2534835114</v>
      </c>
      <c r="W13" s="218">
        <f>NH!D81</f>
        <v>1.307300737</v>
      </c>
      <c r="X13" s="218">
        <f>NH!E81</f>
        <v>0.3922044013</v>
      </c>
      <c r="Y13" s="218">
        <f>NH!F81</f>
        <v>-0.6860802773</v>
      </c>
      <c r="Z13" s="208"/>
    </row>
    <row r="14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>
      <c r="A15" s="213" t="s">
        <v>129</v>
      </c>
      <c r="B15" s="208"/>
      <c r="C15" s="213">
        <v>2024.0</v>
      </c>
      <c r="D15" s="213">
        <v>2023.0</v>
      </c>
      <c r="E15" s="213">
        <v>2022.0</v>
      </c>
      <c r="F15" s="213">
        <v>2021.0</v>
      </c>
      <c r="G15" s="213">
        <v>2020.0</v>
      </c>
      <c r="H15" s="208"/>
      <c r="I15" s="213">
        <v>2024.0</v>
      </c>
      <c r="J15" s="213">
        <v>2023.0</v>
      </c>
      <c r="K15" s="213">
        <v>2022.0</v>
      </c>
      <c r="L15" s="213">
        <v>2021.0</v>
      </c>
      <c r="M15" s="213">
        <v>2020.0</v>
      </c>
      <c r="N15" s="208"/>
      <c r="O15" s="213">
        <v>2024.0</v>
      </c>
      <c r="P15" s="213">
        <v>2023.0</v>
      </c>
      <c r="Q15" s="213">
        <v>2022.0</v>
      </c>
      <c r="R15" s="213">
        <v>2021.0</v>
      </c>
      <c r="S15" s="213">
        <v>2020.0</v>
      </c>
      <c r="T15" s="208"/>
      <c r="U15" s="213">
        <v>2024.0</v>
      </c>
      <c r="V15" s="213">
        <v>2023.0</v>
      </c>
      <c r="W15" s="213">
        <v>2022.0</v>
      </c>
      <c r="X15" s="213">
        <v>2021.0</v>
      </c>
      <c r="Y15" s="213">
        <v>2020.0</v>
      </c>
      <c r="Z15" s="208"/>
    </row>
    <row r="16">
      <c r="A16" s="214" t="s">
        <v>130</v>
      </c>
      <c r="B16" s="208"/>
      <c r="C16" s="217">
        <v>0.79</v>
      </c>
      <c r="D16" s="217">
        <v>0.81</v>
      </c>
      <c r="E16" s="217">
        <v>0.83</v>
      </c>
      <c r="F16" s="217">
        <v>0.76</v>
      </c>
      <c r="G16" s="217">
        <v>0.81</v>
      </c>
      <c r="H16" s="208"/>
      <c r="I16" s="218">
        <f>Marriott!B81</f>
        <v>0.551791307</v>
      </c>
      <c r="J16" s="218">
        <f>Marriott!C81</f>
        <v>0.4624522864</v>
      </c>
      <c r="K16" s="218">
        <f>Marriott!D81</f>
        <v>0.4055611525</v>
      </c>
      <c r="L16" s="218">
        <f>Marriott!E81</f>
        <v>0.3967440222</v>
      </c>
      <c r="M16" s="218">
        <f>Marriott!F81</f>
        <v>0.420063965</v>
      </c>
      <c r="N16" s="208"/>
      <c r="O16" s="218">
        <f>M.O.!B86</f>
        <v>0.1168524627</v>
      </c>
      <c r="P16" s="218">
        <f>M.O.!C86</f>
        <v>0.1420407509</v>
      </c>
      <c r="Q16" s="218">
        <f>M.O.!D86</f>
        <v>0.1719848567</v>
      </c>
      <c r="R16" s="218">
        <f>M.O.!E86</f>
        <v>0.2001720937</v>
      </c>
      <c r="S16" s="218">
        <f>M.O.!F86</f>
        <v>0.1853697995</v>
      </c>
      <c r="T16" s="208"/>
      <c r="U16" s="218">
        <f>NH!B85</f>
        <v>0.541047923</v>
      </c>
      <c r="V16" s="218">
        <f>NH!C85</f>
        <v>0.5810129775</v>
      </c>
      <c r="W16" s="218">
        <f>NH!D85</f>
        <v>0.6076209341</v>
      </c>
      <c r="X16" s="218">
        <f>NH!E85</f>
        <v>0.6670336683</v>
      </c>
      <c r="Y16" s="218">
        <f>NH!F85</f>
        <v>0.7062287813</v>
      </c>
      <c r="Z16" s="208"/>
    </row>
    <row r="17">
      <c r="A17" s="214" t="s">
        <v>131</v>
      </c>
      <c r="B17" s="208"/>
      <c r="C17" s="217">
        <v>3.22</v>
      </c>
      <c r="D17" s="217">
        <v>3.11</v>
      </c>
      <c r="E17" s="217">
        <v>2.78</v>
      </c>
      <c r="F17" s="217">
        <v>2.71</v>
      </c>
      <c r="G17" s="217">
        <v>2.6</v>
      </c>
      <c r="H17" s="208"/>
      <c r="I17" s="218">
        <f>Marriott!B83</f>
        <v>4.828542781</v>
      </c>
      <c r="J17" s="218">
        <f>Marriott!C83</f>
        <v>17.40909091</v>
      </c>
      <c r="K17" s="218">
        <f>Marriott!D83</f>
        <v>17.71830986</v>
      </c>
      <c r="L17" s="218">
        <f>Marriott!E83</f>
        <v>7.169731259</v>
      </c>
      <c r="M17" s="218">
        <f>Marriott!F83</f>
        <v>24.13023256</v>
      </c>
      <c r="N17" s="208"/>
      <c r="O17" s="218">
        <f>M.O.!B88</f>
        <v>0.1443679292</v>
      </c>
      <c r="P17" s="218">
        <f>M.O.!C88</f>
        <v>0.1793626707</v>
      </c>
      <c r="Q17" s="218">
        <f>M.O.!D88</f>
        <v>0.221797671</v>
      </c>
      <c r="R17" s="218">
        <f>M.O.!E88</f>
        <v>0.2668840383</v>
      </c>
      <c r="S17" s="218">
        <f>M.O.!F88</f>
        <v>0.2413469202</v>
      </c>
      <c r="T17" s="208"/>
      <c r="U17" s="218">
        <f>NH!B87</f>
        <v>2.064633158</v>
      </c>
      <c r="V17" s="218">
        <f>NH!C87</f>
        <v>2.418509751</v>
      </c>
      <c r="W17" s="218">
        <f>NH!D87</f>
        <v>2.772319</v>
      </c>
      <c r="X17" s="218">
        <f>NH!E87</f>
        <v>3.505870002</v>
      </c>
      <c r="Y17" s="218">
        <f>NH!F87</f>
        <v>3.82897999</v>
      </c>
      <c r="Z17" s="208"/>
    </row>
    <row r="18">
      <c r="A18" s="214" t="s">
        <v>132</v>
      </c>
      <c r="B18" s="208"/>
      <c r="C18" s="217">
        <v>0.4346</v>
      </c>
      <c r="D18" s="217">
        <v>0.388</v>
      </c>
      <c r="E18" s="217">
        <v>0.3856</v>
      </c>
      <c r="F18" s="217">
        <v>0.4314</v>
      </c>
      <c r="G18" s="217">
        <v>0.4669</v>
      </c>
      <c r="H18" s="208"/>
      <c r="I18" s="218">
        <f>Marriott!B82</f>
        <v>1.261195984</v>
      </c>
      <c r="J18" s="218">
        <f>Marriott!C82</f>
        <v>1.060941828</v>
      </c>
      <c r="K18" s="218">
        <f>Marriott!D82</f>
        <v>0.9465763732</v>
      </c>
      <c r="L18" s="218">
        <f>Marriott!E82</f>
        <v>0.8775969529</v>
      </c>
      <c r="M18" s="218">
        <f>Marriott!F82</f>
        <v>0.9602072922</v>
      </c>
      <c r="N18" s="208"/>
      <c r="O18" s="218">
        <f>M.O.!B87</f>
        <v>0.1261551687</v>
      </c>
      <c r="P18" s="218">
        <f>M.O.!C87</f>
        <v>0.1520844056</v>
      </c>
      <c r="Q18" s="218">
        <f>M.O.!D87</f>
        <v>0.1815338794</v>
      </c>
      <c r="R18" s="218">
        <f>M.O.!E87</f>
        <v>0.2106617735</v>
      </c>
      <c r="S18" s="218">
        <f>M.O.!F87</f>
        <v>0.1944234253</v>
      </c>
      <c r="T18" s="208"/>
      <c r="U18" s="218">
        <f>NH!B86</f>
        <v>0.6736966715</v>
      </c>
      <c r="V18" s="218">
        <f>NH!C86</f>
        <v>0.7074748727</v>
      </c>
      <c r="W18" s="218">
        <f>NH!D86</f>
        <v>0.7349110719</v>
      </c>
      <c r="X18" s="218">
        <f>NH!E86</f>
        <v>0.7780672768</v>
      </c>
      <c r="Y18" s="218">
        <f>NH!F86</f>
        <v>0.7929169303</v>
      </c>
      <c r="Z18" s="208"/>
    </row>
    <row r="19">
      <c r="A19" s="214" t="s">
        <v>87</v>
      </c>
      <c r="B19" s="208"/>
      <c r="C19" s="215">
        <v>3.95</v>
      </c>
      <c r="D19" s="215">
        <v>3.35</v>
      </c>
      <c r="E19" s="215">
        <v>2.52</v>
      </c>
      <c r="F19" s="215">
        <v>1.8</v>
      </c>
      <c r="G19" s="215">
        <v>-2.34</v>
      </c>
      <c r="H19" s="208"/>
      <c r="I19" s="216">
        <f>Marriott!B84</f>
        <v>5.530935252</v>
      </c>
      <c r="J19" s="216">
        <f>Marriott!C84</f>
        <v>6.945132743</v>
      </c>
      <c r="K19" s="216">
        <f>Marriott!D84</f>
        <v>8.620347395</v>
      </c>
      <c r="L19" s="216">
        <f>Marriott!E84</f>
        <v>4.185714286</v>
      </c>
      <c r="M19" s="216">
        <f>Marriott!F84</f>
        <v>1.746067416</v>
      </c>
      <c r="N19" s="208"/>
      <c r="O19" s="216">
        <f>M.O.!B89</f>
        <v>8.445544554</v>
      </c>
      <c r="P19" s="216">
        <f>M.O.!C89</f>
        <v>6.017647059</v>
      </c>
      <c r="Q19" s="216">
        <f>M.O.!D89</f>
        <v>1.065789474</v>
      </c>
      <c r="R19" s="216">
        <f>M.O.!E89</f>
        <v>-5.383333333</v>
      </c>
      <c r="S19" s="216">
        <f>M.O.!F89</f>
        <v>-16.79389313</v>
      </c>
      <c r="T19" s="208"/>
      <c r="U19" s="216">
        <f>NH!B88</f>
        <v>3.442553191</v>
      </c>
      <c r="V19" s="216">
        <f>NH!C88</f>
        <v>2.90625</v>
      </c>
      <c r="W19" s="216">
        <f>NH!D88</f>
        <v>2.157534247</v>
      </c>
      <c r="X19" s="216">
        <f>NH!E88</f>
        <v>-0.6753670473</v>
      </c>
      <c r="Y19" s="216">
        <f>NH!F88</f>
        <v>-2.726453726</v>
      </c>
      <c r="Z19" s="208"/>
    </row>
    <row r="20">
      <c r="A20" s="208"/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>
      <c r="A21" s="213" t="s">
        <v>133</v>
      </c>
      <c r="B21" s="208"/>
      <c r="C21" s="213">
        <v>2024.0</v>
      </c>
      <c r="D21" s="213">
        <v>2023.0</v>
      </c>
      <c r="E21" s="213">
        <v>2022.0</v>
      </c>
      <c r="F21" s="213">
        <v>2021.0</v>
      </c>
      <c r="G21" s="213">
        <v>2020.0</v>
      </c>
      <c r="H21" s="208"/>
      <c r="I21" s="213">
        <v>2024.0</v>
      </c>
      <c r="J21" s="213">
        <v>2023.0</v>
      </c>
      <c r="K21" s="213">
        <v>2022.0</v>
      </c>
      <c r="L21" s="213">
        <v>2021.0</v>
      </c>
      <c r="M21" s="213">
        <v>2020.0</v>
      </c>
      <c r="N21" s="208"/>
      <c r="O21" s="213">
        <v>2024.0</v>
      </c>
      <c r="P21" s="213">
        <v>2023.0</v>
      </c>
      <c r="Q21" s="213">
        <v>2022.0</v>
      </c>
      <c r="R21" s="213">
        <v>2021.0</v>
      </c>
      <c r="S21" s="213">
        <v>2020.0</v>
      </c>
      <c r="T21" s="208"/>
      <c r="U21" s="213">
        <v>2024.0</v>
      </c>
      <c r="V21" s="213">
        <v>2023.0</v>
      </c>
      <c r="W21" s="213">
        <v>2022.0</v>
      </c>
      <c r="X21" s="213">
        <v>2021.0</v>
      </c>
      <c r="Y21" s="213">
        <v>2020.0</v>
      </c>
      <c r="Z21" s="208"/>
    </row>
    <row r="22">
      <c r="A22" s="214" t="s">
        <v>134</v>
      </c>
      <c r="B22" s="208"/>
      <c r="C22" s="215">
        <v>0.4356</v>
      </c>
      <c r="D22" s="215">
        <v>0.4338</v>
      </c>
      <c r="E22" s="215">
        <v>0.3999</v>
      </c>
      <c r="F22" s="215">
        <v>0.234</v>
      </c>
      <c r="G22" s="215">
        <v>0.1257</v>
      </c>
      <c r="H22" s="208"/>
      <c r="I22" s="219">
        <f>Marriott!B88</f>
        <v>0.2937416778</v>
      </c>
      <c r="J22" s="219">
        <f>Marriott!C88</f>
        <v>0.2872449561</v>
      </c>
      <c r="K22" s="219">
        <f>Marriott!D88</f>
        <v>0.2466554606</v>
      </c>
      <c r="L22" s="219">
        <f>Marriott!E88</f>
        <v>0.1559253932</v>
      </c>
      <c r="M22" s="219">
        <f>Marriott!F88</f>
        <v>0.09675799087</v>
      </c>
      <c r="N22" s="208"/>
      <c r="O22" s="219">
        <f>M.O.!B93</f>
        <v>0.1662214495</v>
      </c>
      <c r="P22" s="219">
        <f>M.O.!C93</f>
        <v>0.1578515669</v>
      </c>
      <c r="Q22" s="219">
        <f>M.O.!D93</f>
        <v>0.1127904522</v>
      </c>
      <c r="R22" s="219">
        <f>M.O.!E93</f>
        <v>0.07494737838</v>
      </c>
      <c r="S22" s="219">
        <f>M.O.!F93</f>
        <v>0.04054561105</v>
      </c>
      <c r="T22" s="208"/>
      <c r="U22" s="219">
        <f>NH!B92</f>
        <v>0.4089025383</v>
      </c>
      <c r="V22" s="219">
        <f>NH!C92</f>
        <v>0.3884959144</v>
      </c>
      <c r="W22" s="219">
        <f>NH!D92</f>
        <v>0.3153074403</v>
      </c>
      <c r="X22" s="219">
        <f>NH!E92</f>
        <v>0.1321365228</v>
      </c>
      <c r="Y22" s="219">
        <f>NH!F92</f>
        <v>0.09196111976</v>
      </c>
      <c r="Z22" s="208"/>
    </row>
    <row r="23">
      <c r="A23" s="208"/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>
      <c r="A24" s="213" t="s">
        <v>135</v>
      </c>
      <c r="B24" s="208"/>
      <c r="C24" s="213">
        <v>2024.0</v>
      </c>
      <c r="D24" s="213">
        <v>2023.0</v>
      </c>
      <c r="E24" s="213">
        <v>2022.0</v>
      </c>
      <c r="F24" s="213">
        <v>2021.0</v>
      </c>
      <c r="G24" s="213">
        <v>2020.0</v>
      </c>
      <c r="H24" s="208"/>
      <c r="I24" s="213">
        <v>2024.0</v>
      </c>
      <c r="J24" s="213">
        <v>2023.0</v>
      </c>
      <c r="K24" s="213">
        <v>2022.0</v>
      </c>
      <c r="L24" s="213">
        <v>2021.0</v>
      </c>
      <c r="M24" s="213">
        <v>2020.0</v>
      </c>
      <c r="N24" s="208"/>
      <c r="O24" s="213">
        <v>2024.0</v>
      </c>
      <c r="P24" s="213">
        <v>2023.0</v>
      </c>
      <c r="Q24" s="213">
        <v>2022.0</v>
      </c>
      <c r="R24" s="213">
        <v>2021.0</v>
      </c>
      <c r="S24" s="213">
        <v>2020.0</v>
      </c>
      <c r="T24" s="208"/>
      <c r="U24" s="213">
        <v>2024.0</v>
      </c>
      <c r="V24" s="213">
        <v>2023.0</v>
      </c>
      <c r="W24" s="213">
        <v>2022.0</v>
      </c>
      <c r="X24" s="213">
        <v>2021.0</v>
      </c>
      <c r="Y24" s="213">
        <v>2020.0</v>
      </c>
      <c r="Z24" s="208"/>
    </row>
    <row r="25">
      <c r="A25" s="214" t="s">
        <v>136</v>
      </c>
      <c r="B25" s="208"/>
      <c r="C25" s="215">
        <v>7.0</v>
      </c>
      <c r="D25" s="215">
        <v>6.0</v>
      </c>
      <c r="E25" s="215">
        <v>8.0</v>
      </c>
      <c r="F25" s="215">
        <v>9.0</v>
      </c>
      <c r="G25" s="215">
        <v>13.0</v>
      </c>
      <c r="H25" s="208"/>
      <c r="N25" s="208"/>
      <c r="O25" s="219">
        <f>M.O.!B102</f>
        <v>6.614457831</v>
      </c>
      <c r="P25" s="219">
        <f>M.O.!C102</f>
        <v>5.92808552</v>
      </c>
      <c r="Q25" s="219">
        <f>M.O.!D102</f>
        <v>6.226957384</v>
      </c>
      <c r="R25" s="219">
        <f>M.O.!E102</f>
        <v>7.913892078</v>
      </c>
      <c r="S25" s="219">
        <f>M.O.!F102</f>
        <v>13.44853648</v>
      </c>
      <c r="T25" s="208"/>
      <c r="Z25" s="208"/>
    </row>
    <row r="26">
      <c r="A26" s="214" t="s">
        <v>137</v>
      </c>
      <c r="B26" s="208"/>
      <c r="C26" s="215">
        <v>72.32</v>
      </c>
      <c r="D26" s="215">
        <v>67.57</v>
      </c>
      <c r="E26" s="215">
        <v>62.43</v>
      </c>
      <c r="F26" s="215">
        <v>36.77</v>
      </c>
      <c r="G26" s="215">
        <v>20.61</v>
      </c>
      <c r="H26" s="208"/>
      <c r="I26" s="219">
        <f>Marriott!B92</f>
        <v>2.403486472</v>
      </c>
      <c r="J26" s="219">
        <f>Marriott!C92</f>
        <v>2.385008518</v>
      </c>
      <c r="K26" s="219">
        <f>Marriott!D92</f>
        <v>2.352734461</v>
      </c>
      <c r="L26" s="219">
        <f>Marriott!E92</f>
        <v>1.821333333</v>
      </c>
      <c r="M26" s="219">
        <f>Marriott!F92</f>
        <v>1.018015854</v>
      </c>
      <c r="N26" s="208"/>
      <c r="O26" s="219">
        <f>M.O.!B97</f>
        <v>7.163487738</v>
      </c>
      <c r="P26" s="219">
        <f>M.O.!C97</f>
        <v>9.186831276</v>
      </c>
      <c r="Q26" s="219">
        <f>M.O.!D97</f>
        <v>8.699233716</v>
      </c>
      <c r="R26" s="219">
        <f>M.O.!E97</f>
        <v>7.962311558</v>
      </c>
      <c r="S26" s="219">
        <f>M.O.!F97</f>
        <v>3.879619852</v>
      </c>
      <c r="T26" s="208"/>
      <c r="U26" s="219">
        <f>NH!B96</f>
        <v>11.55507766</v>
      </c>
      <c r="V26" s="219">
        <f>NH!C96</f>
        <v>11.1518595</v>
      </c>
      <c r="W26" s="219">
        <f>NH!D96</f>
        <v>10.99521226</v>
      </c>
      <c r="X26" s="219">
        <f>NH!E96</f>
        <v>6.281026504</v>
      </c>
      <c r="Y26" s="219">
        <f>NH!F96</f>
        <v>10.57593688</v>
      </c>
      <c r="Z26" s="208"/>
    </row>
    <row r="27">
      <c r="A27" s="214" t="s">
        <v>138</v>
      </c>
      <c r="B27" s="208"/>
      <c r="C27" s="215">
        <v>22.0</v>
      </c>
      <c r="D27" s="215">
        <v>19.0</v>
      </c>
      <c r="E27" s="215">
        <v>23.0</v>
      </c>
      <c r="F27" s="215">
        <v>19.0</v>
      </c>
      <c r="G27" s="215">
        <v>48.0</v>
      </c>
      <c r="H27" s="208"/>
      <c r="I27" s="219">
        <f>Marriott!B93</f>
        <v>152.2787851</v>
      </c>
      <c r="J27" s="219">
        <f>Marriott!C93</f>
        <v>153.4585714</v>
      </c>
      <c r="K27" s="219">
        <f>Marriott!D93</f>
        <v>155.5636669</v>
      </c>
      <c r="L27" s="219">
        <f>Marriott!E93</f>
        <v>200.9516837</v>
      </c>
      <c r="M27" s="219">
        <f>Marriott!F93</f>
        <v>359.5228882</v>
      </c>
      <c r="N27" s="208"/>
      <c r="O27" s="219">
        <f>M.O.!B98</f>
        <v>51.09243058</v>
      </c>
      <c r="P27" s="219">
        <f>M.O.!C98</f>
        <v>39.83963447</v>
      </c>
      <c r="Q27" s="219">
        <f>M.O.!D98</f>
        <v>42.07267122</v>
      </c>
      <c r="R27" s="219">
        <f>M.O.!E98</f>
        <v>45.96655096</v>
      </c>
      <c r="S27" s="219">
        <f>M.O.!F98</f>
        <v>94.3391399</v>
      </c>
      <c r="T27" s="208"/>
      <c r="U27" s="219">
        <f>NH!B97</f>
        <v>31.67438686</v>
      </c>
      <c r="V27" s="219">
        <f>NH!C97</f>
        <v>32.81963872</v>
      </c>
      <c r="W27" s="219">
        <f>NH!D97</f>
        <v>33.28721551</v>
      </c>
      <c r="X27" s="219">
        <f>NH!E97</f>
        <v>58.27073007</v>
      </c>
      <c r="Y27" s="219">
        <f>NH!F97</f>
        <v>34.60686311</v>
      </c>
      <c r="Z27" s="208"/>
    </row>
    <row r="28">
      <c r="A28" s="214" t="s">
        <v>139</v>
      </c>
      <c r="B28" s="208"/>
      <c r="C28" s="215">
        <v>10.63</v>
      </c>
      <c r="D28" s="220">
        <v>9.5923</v>
      </c>
      <c r="E28" s="215">
        <v>21.47</v>
      </c>
      <c r="F28" s="215">
        <v>37.0513</v>
      </c>
      <c r="G28" s="215">
        <v>9.706</v>
      </c>
      <c r="H28" s="208"/>
      <c r="I28" s="219">
        <f>Marriott!B94</f>
        <v>1.842771486</v>
      </c>
      <c r="J28" s="219">
        <f>Marriott!C94</f>
        <v>1.824797844</v>
      </c>
      <c r="K28" s="219">
        <f>Marriott!D94</f>
        <v>1.721467391</v>
      </c>
      <c r="L28" s="219">
        <f>Marriott!E94</f>
        <v>1.522745411</v>
      </c>
      <c r="M28" s="219">
        <f>Marriott!F94</f>
        <v>1.454691259</v>
      </c>
      <c r="N28" s="208"/>
      <c r="O28" s="219">
        <f>M.O.!B99</f>
        <v>1.628860029</v>
      </c>
      <c r="P28" s="219">
        <f>M.O.!C99</f>
        <v>1.947019868</v>
      </c>
      <c r="Q28" s="219">
        <f>M.O.!D99</f>
        <v>3.441728255</v>
      </c>
      <c r="R28" s="219">
        <f>M.O.!E99</f>
        <v>16.43396226</v>
      </c>
      <c r="S28" s="219">
        <f>M.O.!F99</f>
        <v>12.73224044</v>
      </c>
      <c r="T28" s="208"/>
      <c r="U28" s="219">
        <f>NH!B98</f>
        <v>2.313452571</v>
      </c>
      <c r="V28" s="219">
        <f>NH!C98</f>
        <v>2.268952699</v>
      </c>
      <c r="W28" s="219">
        <f>NH!D98</f>
        <v>2.298530249</v>
      </c>
      <c r="X28" s="219">
        <f>NH!E98</f>
        <v>1.580449591</v>
      </c>
      <c r="Y28" s="219">
        <f>NH!F98</f>
        <v>1.553318928</v>
      </c>
      <c r="Z28" s="208"/>
    </row>
    <row r="29">
      <c r="A29" s="214" t="s">
        <v>140</v>
      </c>
      <c r="B29" s="208"/>
      <c r="C29" s="215">
        <v>34.43</v>
      </c>
      <c r="D29" s="215">
        <v>38.06</v>
      </c>
      <c r="E29" s="215">
        <v>17.0004</v>
      </c>
      <c r="F29" s="215">
        <v>9.8512</v>
      </c>
      <c r="G29" s="215">
        <v>37.7086</v>
      </c>
      <c r="H29" s="208"/>
      <c r="I29" s="219">
        <f>Marriott!B95</f>
        <v>198.6138829</v>
      </c>
      <c r="J29" s="219">
        <f>Marriott!C95</f>
        <v>200.5701625</v>
      </c>
      <c r="K29" s="219">
        <f>Marriott!D95</f>
        <v>212.6093133</v>
      </c>
      <c r="L29" s="219">
        <f>Marriott!E95</f>
        <v>240.3553459</v>
      </c>
      <c r="M29" s="219">
        <f>Marriott!F95</f>
        <v>251.5997795</v>
      </c>
      <c r="N29" s="208"/>
      <c r="O29" s="219">
        <f>M.O.!B100</f>
        <v>224.6970234</v>
      </c>
      <c r="P29" s="219">
        <f>M.O.!C100</f>
        <v>187.9795918</v>
      </c>
      <c r="Q29" s="219">
        <f>M.O.!D100</f>
        <v>106.3419227</v>
      </c>
      <c r="R29" s="219">
        <f>M.O.!E100</f>
        <v>22.27095293</v>
      </c>
      <c r="S29" s="219">
        <f>M.O.!F100</f>
        <v>28.74592275</v>
      </c>
      <c r="T29" s="208"/>
      <c r="U29" s="219">
        <f>NH!B99</f>
        <v>158.205102</v>
      </c>
      <c r="V29" s="219">
        <f>NH!C99</f>
        <v>161.3079022</v>
      </c>
      <c r="W29" s="219">
        <f>NH!D99</f>
        <v>159.2321877</v>
      </c>
      <c r="X29" s="219">
        <f>NH!E99</f>
        <v>231.5796734</v>
      </c>
      <c r="Y29" s="219">
        <f>NH!F99</f>
        <v>235.6245027</v>
      </c>
      <c r="Z29" s="208"/>
    </row>
    <row r="30">
      <c r="A30" s="214" t="s">
        <v>141</v>
      </c>
      <c r="B30" s="208"/>
      <c r="C30" s="215">
        <v>0.2635</v>
      </c>
      <c r="D30" s="215">
        <v>0.2713</v>
      </c>
      <c r="E30" s="215">
        <v>0.2886</v>
      </c>
      <c r="F30" s="215">
        <v>0.101</v>
      </c>
      <c r="G30" s="215">
        <v>-0.1895</v>
      </c>
      <c r="H30" s="208"/>
      <c r="N30" s="208"/>
      <c r="T30" s="208"/>
      <c r="Z30" s="208"/>
    </row>
    <row r="31">
      <c r="A31" s="214" t="s">
        <v>142</v>
      </c>
      <c r="B31" s="208"/>
      <c r="C31" s="215">
        <v>0.4356</v>
      </c>
      <c r="D31" s="215">
        <v>0.4338</v>
      </c>
      <c r="E31" s="215">
        <v>0.3999</v>
      </c>
      <c r="F31" s="215">
        <v>0.234</v>
      </c>
      <c r="G31" s="215">
        <v>0.1257</v>
      </c>
      <c r="H31" s="208"/>
      <c r="I31" s="216">
        <f>Marriott!B89</f>
        <v>0.2552452947</v>
      </c>
      <c r="J31" s="216">
        <f>Marriott!C89</f>
        <v>0.2495593099</v>
      </c>
      <c r="K31" s="216">
        <f>Marriott!D89</f>
        <v>0.2126747141</v>
      </c>
      <c r="L31" s="216">
        <f>Marriott!E89</f>
        <v>0.1359095793</v>
      </c>
      <c r="M31" s="216">
        <f>Marriott!F89</f>
        <v>0.08518250523</v>
      </c>
      <c r="N31" s="208"/>
      <c r="O31" s="216">
        <f>M.O.!B94</f>
        <v>0.1448265414</v>
      </c>
      <c r="P31" s="216">
        <f>M.O.!C94</f>
        <v>0.1395703604</v>
      </c>
      <c r="Q31" s="216">
        <f>M.O.!D94</f>
        <v>0.1047653105</v>
      </c>
      <c r="R31" s="216">
        <f>M.O.!E94</f>
        <v>0.07049820362</v>
      </c>
      <c r="S31" s="216">
        <f>M.O.!F94</f>
        <v>0.03794357004</v>
      </c>
      <c r="T31" s="208"/>
      <c r="U31" s="216">
        <f>NH!B93</f>
        <v>0.5515570955</v>
      </c>
      <c r="V31" s="216">
        <f>NH!C93</f>
        <v>0.5194945191</v>
      </c>
      <c r="W31" s="216">
        <f>NH!D93</f>
        <v>0.4193498908</v>
      </c>
      <c r="X31" s="216">
        <f>NH!E93</f>
        <v>0.1769957666</v>
      </c>
      <c r="Y31" s="216">
        <f>NH!F93</f>
        <v>0.1229560731</v>
      </c>
      <c r="Z31" s="208"/>
    </row>
    <row r="32">
      <c r="A32" s="208"/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</row>
  </sheetData>
  <mergeCells count="4">
    <mergeCell ref="C1:G1"/>
    <mergeCell ref="I1:M1"/>
    <mergeCell ref="O1:S1"/>
    <mergeCell ref="U1:Y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5" t="s">
        <v>143</v>
      </c>
      <c r="B1" s="215">
        <v>2024.0</v>
      </c>
      <c r="C1" s="215">
        <v>2023.0</v>
      </c>
      <c r="D1" s="215">
        <v>2022.0</v>
      </c>
      <c r="E1" s="215">
        <v>2021.0</v>
      </c>
      <c r="F1" s="215">
        <v>2020.0</v>
      </c>
    </row>
    <row r="2">
      <c r="A2" s="215" t="s">
        <v>144</v>
      </c>
      <c r="B2" s="215">
        <f>Comparison!C3</f>
        <v>0.9</v>
      </c>
      <c r="C2" s="215">
        <f>Comparison!D3</f>
        <v>0.93</v>
      </c>
      <c r="D2" s="215">
        <f>Comparison!E3</f>
        <v>1.08</v>
      </c>
      <c r="E2" s="215">
        <f>Comparison!F3</f>
        <v>1.47</v>
      </c>
      <c r="F2" s="215">
        <f>Comparison!G3</f>
        <v>1.82</v>
      </c>
    </row>
    <row r="3">
      <c r="A3" s="215" t="s">
        <v>120</v>
      </c>
      <c r="B3" s="216">
        <f>Comparison!I3</f>
        <v>0.4029367557</v>
      </c>
      <c r="C3" s="216">
        <f>Comparison!J3</f>
        <v>0.4265653182</v>
      </c>
      <c r="D3" s="216">
        <f>Comparison!K3</f>
        <v>0.4514238997</v>
      </c>
      <c r="E3" s="216">
        <f>Comparison!L3</f>
        <v>0.5659434993</v>
      </c>
      <c r="F3" s="216">
        <f>Comparison!M3</f>
        <v>0.4911335188</v>
      </c>
    </row>
    <row r="4">
      <c r="A4" s="215" t="s">
        <v>121</v>
      </c>
      <c r="B4" s="216">
        <f>Comparison!O3</f>
        <v>1.047900467</v>
      </c>
      <c r="C4" s="216">
        <f>Comparison!P3</f>
        <v>0.9564730357</v>
      </c>
      <c r="D4" s="216">
        <f>Comparison!Q3</f>
        <v>1.769935345</v>
      </c>
      <c r="E4" s="216">
        <f>Comparison!R3</f>
        <v>1.638999431</v>
      </c>
      <c r="F4" s="216">
        <f>Comparison!S3</f>
        <v>1.086321381</v>
      </c>
    </row>
    <row r="5">
      <c r="A5" s="215" t="s">
        <v>122</v>
      </c>
      <c r="B5" s="216">
        <f>Comparison!U3</f>
        <v>0.6095811288</v>
      </c>
      <c r="C5" s="216">
        <f>Comparison!V3</f>
        <v>0.5710867171</v>
      </c>
      <c r="D5" s="216">
        <f>Comparison!W3</f>
        <v>0.6404294991</v>
      </c>
      <c r="E5" s="216">
        <f>Comparison!X3</f>
        <v>0.6563894589</v>
      </c>
      <c r="F5" s="216">
        <f>Comparison!Y3</f>
        <v>0.8380270853</v>
      </c>
    </row>
    <row r="18">
      <c r="A18" s="215" t="s">
        <v>145</v>
      </c>
      <c r="B18" s="215">
        <v>2024.0</v>
      </c>
      <c r="C18" s="215">
        <v>2023.0</v>
      </c>
      <c r="D18" s="215">
        <v>2022.0</v>
      </c>
      <c r="E18" s="215">
        <v>2021.0</v>
      </c>
      <c r="F18" s="215">
        <v>2020.0</v>
      </c>
    </row>
    <row r="19">
      <c r="A19" s="215" t="s">
        <v>144</v>
      </c>
      <c r="B19" s="215">
        <f>Comparison!C4</f>
        <v>0.35</v>
      </c>
      <c r="C19" s="215">
        <f>Comparison!D4</f>
        <v>0.39</v>
      </c>
      <c r="D19" s="215">
        <f>Comparison!E4</f>
        <v>0.43</v>
      </c>
      <c r="E19" s="215">
        <f>Comparison!F4</f>
        <v>0.69</v>
      </c>
      <c r="F19" s="215">
        <f>Comparison!G4</f>
        <v>1.19</v>
      </c>
    </row>
    <row r="20">
      <c r="A20" s="215" t="s">
        <v>120</v>
      </c>
      <c r="B20" s="216">
        <f>Comparison!I4</f>
        <v>0.04578563996</v>
      </c>
      <c r="C20" s="216">
        <f>Comparison!J4</f>
        <v>0.04354547797</v>
      </c>
      <c r="D20" s="216">
        <f>Comparison!K4</f>
        <v>0.06908298133</v>
      </c>
      <c r="E20" s="216">
        <f>Comparison!L4</f>
        <v>0.2174184486</v>
      </c>
      <c r="F20" s="216">
        <f>Comparison!M4</f>
        <v>0.1524687065</v>
      </c>
    </row>
    <row r="21">
      <c r="A21" s="215" t="s">
        <v>121</v>
      </c>
      <c r="B21" s="216">
        <f>Comparison!O4</f>
        <v>0.6687402799</v>
      </c>
      <c r="C21" s="216">
        <f>Comparison!P4</f>
        <v>0.2861257801</v>
      </c>
      <c r="D21" s="216">
        <f>Comparison!Q4</f>
        <v>1.21875</v>
      </c>
      <c r="E21" s="216">
        <f>Comparison!R4</f>
        <v>1.209778283</v>
      </c>
      <c r="F21" s="216">
        <f>Comparison!S4</f>
        <v>0.7286409916</v>
      </c>
    </row>
    <row r="22">
      <c r="A22" s="215" t="s">
        <v>122</v>
      </c>
      <c r="B22" s="216">
        <f>Comparison!U4</f>
        <v>0.2599172885</v>
      </c>
      <c r="C22" s="216">
        <f>Comparison!V4</f>
        <v>0.273483496</v>
      </c>
      <c r="D22" s="216">
        <f>Comparison!W4</f>
        <v>0.3880923295</v>
      </c>
      <c r="E22" s="216">
        <f>Comparison!X4</f>
        <v>0.3972442099</v>
      </c>
      <c r="F22" s="216">
        <f>Comparison!Y4</f>
        <v>0.6173053247</v>
      </c>
    </row>
    <row r="35">
      <c r="A35" s="215" t="s">
        <v>146</v>
      </c>
      <c r="B35" s="215">
        <v>2024.0</v>
      </c>
      <c r="C35" s="215">
        <v>2023.0</v>
      </c>
      <c r="D35" s="215">
        <v>2022.0</v>
      </c>
      <c r="E35" s="215">
        <v>2021.0</v>
      </c>
      <c r="F35" s="215">
        <v>2020.0</v>
      </c>
    </row>
    <row r="36">
      <c r="A36" s="215" t="s">
        <v>144</v>
      </c>
      <c r="B36" s="215">
        <f>Comparison!C5</f>
        <v>0.63</v>
      </c>
      <c r="C36" s="215">
        <f>Comparison!D5</f>
        <v>0.65</v>
      </c>
      <c r="D36" s="215">
        <f>Comparison!E5</f>
        <v>0.75</v>
      </c>
      <c r="E36" s="215">
        <f>Comparison!F5</f>
        <v>0.88</v>
      </c>
      <c r="F36" s="215">
        <f>Comparison!G5</f>
        <v>1.19</v>
      </c>
    </row>
    <row r="37">
      <c r="A37" s="215" t="s">
        <v>120</v>
      </c>
      <c r="B37" s="216">
        <f>Comparison!I5</f>
        <v>0.07977800902</v>
      </c>
      <c r="C37" s="216">
        <f>Comparison!J5</f>
        <v>0.07717083226</v>
      </c>
      <c r="D37" s="216">
        <f>Comparison!K5</f>
        <v>0.1011036926</v>
      </c>
      <c r="E37" s="216">
        <f>Comparison!L5</f>
        <v>0.2565943499</v>
      </c>
      <c r="F37" s="216">
        <f>Comparison!M5</f>
        <v>0.1823713491</v>
      </c>
    </row>
    <row r="38">
      <c r="A38" s="215" t="s">
        <v>121</v>
      </c>
      <c r="B38" s="216">
        <f>Comparison!O5</f>
        <v>1.031726283</v>
      </c>
      <c r="C38" s="216">
        <f>Comparison!P5</f>
        <v>0.9484717555</v>
      </c>
      <c r="D38" s="216">
        <f>Comparison!Q5</f>
        <v>1.74299569</v>
      </c>
      <c r="E38" s="216">
        <f>Comparison!R5</f>
        <v>1.608868675</v>
      </c>
      <c r="F38" s="216">
        <f>Comparison!S5</f>
        <v>1.059760956</v>
      </c>
    </row>
    <row r="39">
      <c r="A39" s="215" t="s">
        <v>122</v>
      </c>
      <c r="B39" s="216">
        <f>Comparison!U5</f>
        <v>0.5895732736</v>
      </c>
      <c r="C39" s="216">
        <f>Comparison!V5</f>
        <v>0.5517149694</v>
      </c>
      <c r="D39" s="216">
        <f>Comparison!W5</f>
        <v>0.6242396965</v>
      </c>
      <c r="E39" s="216">
        <f>Comparison!X5</f>
        <v>0.6407863448</v>
      </c>
      <c r="F39" s="216">
        <f>Comparison!Y5</f>
        <v>0.8227146814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5" t="s">
        <v>147</v>
      </c>
      <c r="B1" s="215">
        <v>2024.0</v>
      </c>
      <c r="C1" s="215">
        <v>2023.0</v>
      </c>
      <c r="D1" s="215">
        <v>2022.0</v>
      </c>
      <c r="E1" s="215">
        <v>2021.0</v>
      </c>
      <c r="F1" s="215">
        <v>2020.0</v>
      </c>
    </row>
    <row r="2">
      <c r="A2" s="215" t="s">
        <v>144</v>
      </c>
      <c r="B2" s="217">
        <f>Comparison!C8</f>
        <v>0.075</v>
      </c>
      <c r="C2" s="217">
        <f>Comparison!D8</f>
        <v>0.079</v>
      </c>
      <c r="D2" s="217">
        <f>Comparison!E8</f>
        <v>0.085</v>
      </c>
      <c r="E2" s="217">
        <f>Comparison!F8</f>
        <v>0.066</v>
      </c>
      <c r="F2" s="217">
        <f>Comparison!G8</f>
        <v>-0.166</v>
      </c>
    </row>
    <row r="3">
      <c r="A3" s="215" t="s">
        <v>120</v>
      </c>
      <c r="B3" s="218">
        <f>Comparison!I8</f>
        <v>0.580840133</v>
      </c>
      <c r="C3" s="218">
        <f>Comparison!J8</f>
        <v>0.6228571429</v>
      </c>
      <c r="D3" s="218">
        <f>Comparison!K8</f>
        <v>0.6486183719</v>
      </c>
      <c r="E3" s="218">
        <f>Comparison!L8</f>
        <v>0.5147877013</v>
      </c>
      <c r="F3" s="218">
        <f>Comparison!M8</f>
        <v>0.3666823974</v>
      </c>
    </row>
    <row r="4">
      <c r="A4" s="215" t="s">
        <v>121</v>
      </c>
      <c r="B4" s="218">
        <f>Comparison!O8</f>
        <v>0.1622289844</v>
      </c>
      <c r="C4" s="218">
        <f>Comparison!P8</f>
        <v>0.1833004838</v>
      </c>
      <c r="D4" s="218">
        <f>Comparison!Q8</f>
        <v>0.03567496146</v>
      </c>
      <c r="E4" s="218">
        <f>Comparison!R8</f>
        <v>-0.2038497949</v>
      </c>
      <c r="F4" s="218">
        <f>Comparison!S8</f>
        <v>-1.19760479</v>
      </c>
    </row>
    <row r="5">
      <c r="A5" s="215" t="s">
        <v>122</v>
      </c>
      <c r="B5" s="218">
        <f>Comparison!U8</f>
        <v>0.1672939328</v>
      </c>
      <c r="C5" s="218">
        <f>Comparison!V8</f>
        <v>0.1550717925</v>
      </c>
      <c r="D5" s="218">
        <f>Comparison!W8</f>
        <v>0.1463074779</v>
      </c>
      <c r="E5" s="218">
        <f>Comparison!X8</f>
        <v>-0.1109176155</v>
      </c>
      <c r="F5" s="218">
        <f>Comparison!Y8</f>
        <v>-0.6208504289</v>
      </c>
    </row>
    <row r="17">
      <c r="A17" s="215" t="s">
        <v>148</v>
      </c>
      <c r="B17" s="215">
        <v>2024.0</v>
      </c>
      <c r="C17" s="215">
        <v>2023.0</v>
      </c>
      <c r="D17" s="215">
        <v>2022.0</v>
      </c>
      <c r="E17" s="215">
        <v>2021.0</v>
      </c>
      <c r="F17" s="215">
        <v>2020.0</v>
      </c>
    </row>
    <row r="18">
      <c r="A18" s="215" t="s">
        <v>144</v>
      </c>
      <c r="B18" s="217">
        <f>Comparison!C9</f>
        <v>0.139</v>
      </c>
      <c r="C18" s="217">
        <f>Comparison!D9</f>
        <v>0.148</v>
      </c>
      <c r="D18" s="217">
        <f>Comparison!E9</f>
        <v>0.161</v>
      </c>
      <c r="E18" s="217">
        <f>Comparison!F9</f>
        <v>0.126</v>
      </c>
      <c r="F18" s="217">
        <f>Comparison!G9</f>
        <v>-0.115</v>
      </c>
    </row>
    <row r="19">
      <c r="A19" s="215" t="s">
        <v>120</v>
      </c>
      <c r="B19" s="218">
        <f>Comparison!I9</f>
        <v>0.3588697492</v>
      </c>
      <c r="C19" s="218">
        <f>Comparison!J9</f>
        <v>0.4893650794</v>
      </c>
      <c r="D19" s="218">
        <f>Comparison!K9</f>
        <v>0.4402539208</v>
      </c>
      <c r="E19" s="218">
        <f>Comparison!L9</f>
        <v>0.3218155198</v>
      </c>
      <c r="F19" s="218">
        <f>Comparison!M9</f>
        <v>-0.1260028315</v>
      </c>
    </row>
    <row r="20">
      <c r="A20" s="215" t="s">
        <v>121</v>
      </c>
      <c r="B20" s="218">
        <f>Comparison!O9</f>
        <v>-0.1744009129</v>
      </c>
      <c r="C20" s="218">
        <f>Comparison!P9</f>
        <v>-0.6529295825</v>
      </c>
      <c r="D20" s="218">
        <f>Comparison!Q9</f>
        <v>-0.1294868972</v>
      </c>
      <c r="E20" s="218">
        <f>Comparison!R9</f>
        <v>-0.3726727674</v>
      </c>
      <c r="F20" s="218">
        <f>Comparison!S9</f>
        <v>-3.535111595</v>
      </c>
    </row>
    <row r="21">
      <c r="A21" s="215" t="s">
        <v>122</v>
      </c>
      <c r="B21" s="218">
        <f>Comparison!U9</f>
        <v>0.08963563423</v>
      </c>
      <c r="C21" s="218">
        <f>Comparison!V9</f>
        <v>0.06113015285</v>
      </c>
      <c r="D21" s="218">
        <f>Comparison!W9</f>
        <v>0.0598467255</v>
      </c>
      <c r="E21" s="218">
        <f>Comparison!X9</f>
        <v>-0.1801473543</v>
      </c>
      <c r="F21" s="218">
        <f>Comparison!Y9</f>
        <v>-0.8072734054</v>
      </c>
    </row>
    <row r="33">
      <c r="A33" s="215" t="s">
        <v>149</v>
      </c>
      <c r="B33" s="215">
        <v>2024.0</v>
      </c>
      <c r="C33" s="215">
        <v>2023.0</v>
      </c>
      <c r="D33" s="215">
        <v>2022.0</v>
      </c>
      <c r="E33" s="215">
        <v>2021.0</v>
      </c>
      <c r="F33" s="215">
        <v>2020.0</v>
      </c>
    </row>
    <row r="34">
      <c r="A34" s="215" t="s">
        <v>144</v>
      </c>
      <c r="B34" s="217">
        <f>Comparison!C10</f>
        <v>0.041</v>
      </c>
      <c r="C34" s="217">
        <f>Comparison!D10</f>
        <v>0.038</v>
      </c>
      <c r="D34" s="217">
        <f>Comparison!E10</f>
        <v>0.031</v>
      </c>
      <c r="E34" s="217">
        <f>Comparison!F10</f>
        <v>0.018</v>
      </c>
      <c r="F34" s="217">
        <f>Comparison!G10</f>
        <v>-0.045</v>
      </c>
    </row>
    <row r="35">
      <c r="A35" s="215" t="s">
        <v>120</v>
      </c>
      <c r="B35" s="218">
        <f>Comparison!I10</f>
        <v>0.09159981487</v>
      </c>
      <c r="C35" s="218">
        <f>Comparison!J10</f>
        <v>0.1221256115</v>
      </c>
      <c r="D35" s="218">
        <f>Comparison!K10</f>
        <v>0.09363087675</v>
      </c>
      <c r="E35" s="218">
        <f>Comparison!L10</f>
        <v>0.04373781192</v>
      </c>
      <c r="F35" s="218">
        <f>Comparison!M10</f>
        <v>-0.01073323685</v>
      </c>
    </row>
    <row r="36">
      <c r="A36" s="215" t="s">
        <v>121</v>
      </c>
      <c r="B36" s="218">
        <f>Comparison!O10</f>
        <v>-0.02164134911</v>
      </c>
      <c r="C36" s="218">
        <f>Comparison!P10</f>
        <v>-0.09132968215</v>
      </c>
      <c r="D36" s="218">
        <f>Comparison!Q10</f>
        <v>-0.01137399209</v>
      </c>
      <c r="E36" s="218">
        <f>Comparison!R10</f>
        <v>-0.03145612493</v>
      </c>
      <c r="F36" s="218">
        <f>Comparison!S10</f>
        <v>-0.2972825255</v>
      </c>
    </row>
    <row r="37">
      <c r="A37" s="215" t="s">
        <v>122</v>
      </c>
      <c r="B37" s="218">
        <f>Comparison!U10</f>
        <v>0.04970750563</v>
      </c>
      <c r="C37" s="218">
        <f>Comparison!V10</f>
        <v>0.03175599997</v>
      </c>
      <c r="D37" s="218">
        <f>Comparison!W10</f>
        <v>0.02509613734</v>
      </c>
      <c r="E37" s="218">
        <f>Comparison!X10</f>
        <v>-0.03222836576</v>
      </c>
      <c r="F37" s="218">
        <f>Comparison!Y10</f>
        <v>-0.1009706601</v>
      </c>
    </row>
    <row r="49">
      <c r="A49" s="215" t="s">
        <v>150</v>
      </c>
      <c r="B49" s="215">
        <v>2024.0</v>
      </c>
      <c r="C49" s="215">
        <v>2023.0</v>
      </c>
      <c r="D49" s="215">
        <v>2022.0</v>
      </c>
      <c r="E49" s="215">
        <v>2021.0</v>
      </c>
      <c r="F49" s="215">
        <v>2020.0</v>
      </c>
    </row>
    <row r="50">
      <c r="A50" s="215" t="s">
        <v>144</v>
      </c>
      <c r="B50" s="217">
        <f>Comparison!C11</f>
        <v>0.06453</v>
      </c>
      <c r="C50" s="217">
        <f>Comparison!D11</f>
        <v>0.06993</v>
      </c>
      <c r="D50" s="217">
        <f>Comparison!E11</f>
        <v>0.058829</v>
      </c>
      <c r="E50" s="217">
        <f>Comparison!F11</f>
        <v>-0.00097</v>
      </c>
      <c r="F50" s="217">
        <f>Comparison!G11</f>
        <v>-0.062442</v>
      </c>
    </row>
    <row r="51">
      <c r="A51" s="215" t="s">
        <v>120</v>
      </c>
      <c r="B51" s="218">
        <f>Comparison!I11</f>
        <v>0.3355739852</v>
      </c>
      <c r="C51" s="218">
        <f>Comparison!J11</f>
        <v>0.3506389063</v>
      </c>
      <c r="D51" s="218">
        <f>Comparison!K11</f>
        <v>0.3267494357</v>
      </c>
      <c r="E51" s="218">
        <f>Comparison!L11</f>
        <v>0.1521814404</v>
      </c>
      <c r="F51" s="218">
        <f>Comparison!M11</f>
        <v>0.0719044975</v>
      </c>
    </row>
    <row r="52">
      <c r="A52" s="215" t="s">
        <v>121</v>
      </c>
      <c r="B52" s="218">
        <f>Comparison!O11</f>
        <v>0.02618894108</v>
      </c>
      <c r="C52" s="218">
        <f>Comparison!P11</f>
        <v>0.02925030022</v>
      </c>
      <c r="D52" s="218">
        <f>Comparison!Q11</f>
        <v>0.004020848846</v>
      </c>
      <c r="E52" s="218">
        <f>Comparison!R11</f>
        <v>-0.01539451421</v>
      </c>
      <c r="F52" s="218">
        <f>Comparison!S11</f>
        <v>-0.0504459884</v>
      </c>
    </row>
    <row r="53">
      <c r="A53" s="215" t="s">
        <v>122</v>
      </c>
      <c r="B53" s="218">
        <f>Comparison!U11</f>
        <v>0.110332525</v>
      </c>
      <c r="C53" s="218">
        <f>Comparison!V11</f>
        <v>0.09700327111</v>
      </c>
      <c r="D53" s="218">
        <f>Comparison!W11</f>
        <v>0.0741680377</v>
      </c>
      <c r="E53" s="218">
        <f>Comparison!X11</f>
        <v>-0.02352613589</v>
      </c>
      <c r="F53" s="218">
        <f>Comparison!Y11</f>
        <v>-0.08632134671</v>
      </c>
    </row>
    <row r="65">
      <c r="A65" s="215" t="s">
        <v>151</v>
      </c>
      <c r="B65" s="215">
        <v>2024.0</v>
      </c>
      <c r="C65" s="215">
        <v>2023.0</v>
      </c>
      <c r="D65" s="215">
        <v>2022.0</v>
      </c>
      <c r="E65" s="215">
        <v>2021.0</v>
      </c>
      <c r="F65" s="215">
        <v>2020.0</v>
      </c>
    </row>
    <row r="66">
      <c r="A66" s="215" t="s">
        <v>144</v>
      </c>
      <c r="B66" s="217">
        <f>Comparison!C12</f>
        <v>0.115</v>
      </c>
      <c r="C66" s="217">
        <f>Comparison!D12</f>
        <v>0.097</v>
      </c>
      <c r="D66" s="217">
        <f>Comparison!E12</f>
        <v>0.065</v>
      </c>
      <c r="E66" s="217">
        <f>Comparison!F12</f>
        <v>-0.021</v>
      </c>
      <c r="F66" s="217">
        <f>Comparison!G12</f>
        <v>-0.246</v>
      </c>
    </row>
    <row r="67">
      <c r="A67" s="215" t="s">
        <v>120</v>
      </c>
      <c r="B67" s="218">
        <f>Comparison!I12</f>
        <v>-1.292868808</v>
      </c>
      <c r="C67" s="218">
        <f>Comparison!J12</f>
        <v>-54.0877193</v>
      </c>
      <c r="D67" s="218">
        <f>Comparison!K12</f>
        <v>2.379414733</v>
      </c>
      <c r="E67" s="218">
        <f>Comparison!L12</f>
        <v>1.19197397</v>
      </c>
      <c r="F67" s="218">
        <f>Comparison!M12</f>
        <v>-0.4713150927</v>
      </c>
    </row>
    <row r="68">
      <c r="A68" s="215" t="s">
        <v>121</v>
      </c>
      <c r="B68" s="218">
        <f>Comparison!O12</f>
        <v>-0.02708563155</v>
      </c>
      <c r="C68" s="218">
        <f>Comparison!P12</f>
        <v>-0.1166871852</v>
      </c>
      <c r="D68" s="218">
        <f>Comparison!Q12</f>
        <v>-0.01503884657</v>
      </c>
      <c r="E68" s="218">
        <f>Comparison!R12</f>
        <v>-0.04157927929</v>
      </c>
      <c r="F68" s="218">
        <f>Comparison!S12</f>
        <v>-0.1784899967</v>
      </c>
    </row>
    <row r="69">
      <c r="A69" s="215" t="s">
        <v>122</v>
      </c>
      <c r="B69" s="218">
        <f>Comparison!U12</f>
        <v>0.2013537009</v>
      </c>
      <c r="C69" s="218">
        <f>Comparison!V12</f>
        <v>0.1404379368</v>
      </c>
      <c r="D69" s="218">
        <f>Comparison!W12</f>
        <v>0.123781669</v>
      </c>
      <c r="E69" s="218">
        <f>Comparison!X12</f>
        <v>-0.1882076523</v>
      </c>
      <c r="F69" s="218">
        <f>Comparison!Y12</f>
        <v>-0.4450966658</v>
      </c>
    </row>
    <row r="81">
      <c r="A81" s="215" t="s">
        <v>152</v>
      </c>
      <c r="B81" s="215">
        <v>2024.0</v>
      </c>
      <c r="C81" s="215">
        <v>2023.0</v>
      </c>
      <c r="D81" s="215">
        <v>2022.0</v>
      </c>
      <c r="E81" s="215">
        <v>2021.0</v>
      </c>
      <c r="F81" s="215">
        <v>2020.0</v>
      </c>
    </row>
    <row r="82">
      <c r="A82" s="215" t="s">
        <v>144</v>
      </c>
      <c r="B82" s="217">
        <f>Comparison!C13</f>
        <v>0.07023</v>
      </c>
      <c r="C82" s="217">
        <f>Comparison!D13</f>
        <v>0.08233</v>
      </c>
      <c r="D82" s="217">
        <f>Comparison!E13</f>
        <v>0.6979</v>
      </c>
      <c r="E82" s="217">
        <f>Comparison!F13</f>
        <v>0.7839</v>
      </c>
      <c r="F82" s="217">
        <f>Comparison!G13</f>
        <v>-0.7038</v>
      </c>
    </row>
    <row r="83">
      <c r="A83" s="215" t="s">
        <v>120</v>
      </c>
      <c r="B83" s="218">
        <f>Comparison!I13</f>
        <v>0.05047619048</v>
      </c>
      <c r="C83" s="218">
        <f>Comparison!J13</f>
        <v>0.1762509335</v>
      </c>
      <c r="D83" s="218">
        <f>Comparison!K13</f>
        <v>0.568374817</v>
      </c>
      <c r="E83" s="218">
        <f>Comparison!L13</f>
        <v>0.6116092496</v>
      </c>
      <c r="F83" s="218">
        <f>Comparison!M13</f>
        <v>-0.6056206961</v>
      </c>
    </row>
    <row r="84">
      <c r="A84" s="215" t="s">
        <v>121</v>
      </c>
      <c r="B84" s="218">
        <f>Comparison!O13</f>
        <v>-0.05787493281</v>
      </c>
      <c r="C84" s="218">
        <f>Comparison!P13</f>
        <v>0.229024444</v>
      </c>
      <c r="D84" s="218">
        <f>Comparison!Q13</f>
        <v>0.4329441464</v>
      </c>
      <c r="E84" s="218">
        <f>Comparison!R13</f>
        <v>0.725095264</v>
      </c>
      <c r="F84" s="218">
        <f>Comparison!S13</f>
        <v>-0.8924523442</v>
      </c>
    </row>
    <row r="85">
      <c r="A85" s="215" t="s">
        <v>122</v>
      </c>
      <c r="B85" s="218">
        <f>Comparison!U13</f>
        <v>0.1199166281</v>
      </c>
      <c r="C85" s="218">
        <f>Comparison!V13</f>
        <v>0.2534835114</v>
      </c>
      <c r="D85" s="218">
        <f>Comparison!W13</f>
        <v>1.307300737</v>
      </c>
      <c r="E85" s="218">
        <f>Comparison!X13</f>
        <v>0.3922044013</v>
      </c>
      <c r="F85" s="218">
        <f>Comparison!Y13</f>
        <v>-0.6860802773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5" t="s">
        <v>153</v>
      </c>
      <c r="B1" s="215">
        <v>2024.0</v>
      </c>
      <c r="C1" s="215">
        <v>2023.0</v>
      </c>
      <c r="D1" s="215">
        <v>2022.0</v>
      </c>
      <c r="E1" s="215">
        <v>2021.0</v>
      </c>
      <c r="F1" s="215">
        <v>2020.0</v>
      </c>
    </row>
    <row r="2">
      <c r="A2" s="215" t="s">
        <v>144</v>
      </c>
      <c r="B2" s="217">
        <f>Comparison!C16</f>
        <v>0.79</v>
      </c>
      <c r="C2" s="217">
        <f>Comparison!D16</f>
        <v>0.81</v>
      </c>
      <c r="D2" s="217">
        <f>Comparison!E16</f>
        <v>0.83</v>
      </c>
      <c r="E2" s="217">
        <f>Comparison!F16</f>
        <v>0.76</v>
      </c>
      <c r="F2" s="217">
        <f>Comparison!G16</f>
        <v>0.81</v>
      </c>
    </row>
    <row r="3">
      <c r="A3" s="215" t="s">
        <v>120</v>
      </c>
      <c r="B3" s="218">
        <f>Comparison!I16</f>
        <v>0.551791307</v>
      </c>
      <c r="C3" s="218">
        <f>Comparison!J16</f>
        <v>0.4624522864</v>
      </c>
      <c r="D3" s="218">
        <f>Comparison!K16</f>
        <v>0.4055611525</v>
      </c>
      <c r="E3" s="218">
        <f>Comparison!L16</f>
        <v>0.3967440222</v>
      </c>
      <c r="F3" s="218">
        <f>Comparison!M16</f>
        <v>0.420063965</v>
      </c>
    </row>
    <row r="4">
      <c r="A4" s="215" t="s">
        <v>121</v>
      </c>
      <c r="B4" s="218">
        <f>Comparison!O16</f>
        <v>0.1168524627</v>
      </c>
      <c r="C4" s="218">
        <f>Comparison!P16</f>
        <v>0.1420407509</v>
      </c>
      <c r="D4" s="218">
        <f>Comparison!Q16</f>
        <v>0.1719848567</v>
      </c>
      <c r="E4" s="218">
        <f>Comparison!R16</f>
        <v>0.2001720937</v>
      </c>
      <c r="F4" s="218">
        <f>Comparison!S16</f>
        <v>0.1853697995</v>
      </c>
    </row>
    <row r="5">
      <c r="A5" s="215" t="s">
        <v>122</v>
      </c>
      <c r="B5" s="218">
        <f>Comparison!U16</f>
        <v>0.541047923</v>
      </c>
      <c r="C5" s="218">
        <f>Comparison!V16</f>
        <v>0.5810129775</v>
      </c>
      <c r="D5" s="218">
        <f>Comparison!W16</f>
        <v>0.6076209341</v>
      </c>
      <c r="E5" s="218">
        <f>Comparison!X16</f>
        <v>0.6670336683</v>
      </c>
      <c r="F5" s="218">
        <f>Comparison!Y16</f>
        <v>0.7062287813</v>
      </c>
    </row>
    <row r="17">
      <c r="A17" s="215" t="s">
        <v>154</v>
      </c>
      <c r="B17" s="215">
        <v>2024.0</v>
      </c>
      <c r="C17" s="215">
        <v>2023.0</v>
      </c>
      <c r="D17" s="215">
        <v>2022.0</v>
      </c>
      <c r="E17" s="215">
        <v>2021.0</v>
      </c>
      <c r="F17" s="215">
        <v>2020.0</v>
      </c>
    </row>
    <row r="18">
      <c r="A18" s="215" t="s">
        <v>144</v>
      </c>
      <c r="B18" s="217">
        <f>Comparison!C17</f>
        <v>3.22</v>
      </c>
      <c r="C18" s="217">
        <f>Comparison!D17</f>
        <v>3.11</v>
      </c>
      <c r="D18" s="217">
        <f>Comparison!E17</f>
        <v>2.78</v>
      </c>
      <c r="E18" s="217">
        <f>Comparison!F17</f>
        <v>2.71</v>
      </c>
      <c r="F18" s="217">
        <f>Comparison!G17</f>
        <v>2.6</v>
      </c>
    </row>
    <row r="19">
      <c r="A19" s="215" t="s">
        <v>120</v>
      </c>
      <c r="B19" s="218">
        <f>Comparison!I17</f>
        <v>4.828542781</v>
      </c>
      <c r="C19" s="218">
        <f>Comparison!J17</f>
        <v>17.40909091</v>
      </c>
      <c r="D19" s="218">
        <f>Comparison!K17</f>
        <v>17.71830986</v>
      </c>
      <c r="E19" s="218">
        <f>Comparison!L17</f>
        <v>7.169731259</v>
      </c>
      <c r="F19" s="218">
        <f>Comparison!M17</f>
        <v>24.13023256</v>
      </c>
    </row>
    <row r="20">
      <c r="A20" s="215" t="s">
        <v>121</v>
      </c>
      <c r="B20" s="218">
        <f>Comparison!O17</f>
        <v>0.1443679292</v>
      </c>
      <c r="C20" s="218">
        <f>Comparison!P17</f>
        <v>0.1793626707</v>
      </c>
      <c r="D20" s="218">
        <f>Comparison!Q17</f>
        <v>0.221797671</v>
      </c>
      <c r="E20" s="218">
        <f>Comparison!R17</f>
        <v>0.2668840383</v>
      </c>
      <c r="F20" s="218">
        <f>Comparison!S17</f>
        <v>0.2413469202</v>
      </c>
    </row>
    <row r="21">
      <c r="A21" s="215" t="s">
        <v>122</v>
      </c>
      <c r="B21" s="218">
        <f>Comparison!U17</f>
        <v>2.064633158</v>
      </c>
      <c r="C21" s="218">
        <f>Comparison!V17</f>
        <v>2.418509751</v>
      </c>
      <c r="D21" s="218">
        <f>Comparison!W17</f>
        <v>2.772319</v>
      </c>
      <c r="E21" s="218">
        <f>Comparison!X17</f>
        <v>3.505870002</v>
      </c>
      <c r="F21" s="218">
        <f>Comparison!Y17</f>
        <v>3.82897999</v>
      </c>
    </row>
    <row r="33">
      <c r="A33" s="215" t="s">
        <v>155</v>
      </c>
      <c r="B33" s="215">
        <v>2024.0</v>
      </c>
      <c r="C33" s="215">
        <v>2023.0</v>
      </c>
      <c r="D33" s="215">
        <v>2022.0</v>
      </c>
      <c r="E33" s="215">
        <v>2021.0</v>
      </c>
      <c r="F33" s="215">
        <v>2020.0</v>
      </c>
    </row>
    <row r="34">
      <c r="A34" s="215" t="s">
        <v>144</v>
      </c>
      <c r="B34" s="217">
        <f>Comparison!C18</f>
        <v>0.4346</v>
      </c>
      <c r="C34" s="217">
        <f>Comparison!D18</f>
        <v>0.388</v>
      </c>
      <c r="D34" s="217">
        <f>Comparison!E18</f>
        <v>0.3856</v>
      </c>
      <c r="E34" s="217">
        <f>Comparison!F18</f>
        <v>0.4314</v>
      </c>
      <c r="F34" s="217">
        <f>Comparison!G18</f>
        <v>0.4669</v>
      </c>
    </row>
    <row r="35">
      <c r="A35" s="215" t="s">
        <v>120</v>
      </c>
      <c r="B35" s="218">
        <f>Comparison!I18</f>
        <v>1.261195984</v>
      </c>
      <c r="C35" s="218">
        <f>Comparison!J18</f>
        <v>1.060941828</v>
      </c>
      <c r="D35" s="218">
        <f>Comparison!K18</f>
        <v>0.9465763732</v>
      </c>
      <c r="E35" s="218">
        <f>Comparison!L18</f>
        <v>0.8775969529</v>
      </c>
      <c r="F35" s="218">
        <f>Comparison!M18</f>
        <v>0.9602072922</v>
      </c>
    </row>
    <row r="36">
      <c r="A36" s="215" t="s">
        <v>121</v>
      </c>
      <c r="B36" s="218">
        <f>Comparison!O18</f>
        <v>0.1261551687</v>
      </c>
      <c r="C36" s="218">
        <f>Comparison!P18</f>
        <v>0.1520844056</v>
      </c>
      <c r="D36" s="218">
        <f>Comparison!Q18</f>
        <v>0.1815338794</v>
      </c>
      <c r="E36" s="218">
        <f>Comparison!R18</f>
        <v>0.2106617735</v>
      </c>
      <c r="F36" s="218">
        <f>Comparison!S18</f>
        <v>0.1944234253</v>
      </c>
    </row>
    <row r="37">
      <c r="A37" s="215" t="s">
        <v>122</v>
      </c>
      <c r="B37" s="218">
        <f>Comparison!U18</f>
        <v>0.6736966715</v>
      </c>
      <c r="C37" s="218">
        <f>Comparison!V18</f>
        <v>0.7074748727</v>
      </c>
      <c r="D37" s="218">
        <f>Comparison!W18</f>
        <v>0.7349110719</v>
      </c>
      <c r="E37" s="218">
        <f>Comparison!X18</f>
        <v>0.7780672768</v>
      </c>
      <c r="F37" s="218">
        <f>Comparison!Y18</f>
        <v>0.7929169303</v>
      </c>
    </row>
    <row r="49">
      <c r="A49" s="215" t="s">
        <v>156</v>
      </c>
      <c r="B49" s="215">
        <v>2024.0</v>
      </c>
      <c r="C49" s="215">
        <v>2023.0</v>
      </c>
      <c r="D49" s="215">
        <v>2022.0</v>
      </c>
      <c r="E49" s="215">
        <v>2021.0</v>
      </c>
      <c r="F49" s="215">
        <v>2020.0</v>
      </c>
    </row>
    <row r="50">
      <c r="A50" s="215" t="s">
        <v>144</v>
      </c>
      <c r="B50" s="215">
        <f>Comparison!C19</f>
        <v>3.95</v>
      </c>
      <c r="C50" s="215">
        <f>Comparison!D19</f>
        <v>3.35</v>
      </c>
      <c r="D50" s="215">
        <f>Comparison!E19</f>
        <v>2.52</v>
      </c>
      <c r="E50" s="215">
        <f>Comparison!F19</f>
        <v>1.8</v>
      </c>
      <c r="F50" s="215">
        <f>Comparison!G19</f>
        <v>-2.34</v>
      </c>
    </row>
    <row r="51">
      <c r="A51" s="215" t="s">
        <v>120</v>
      </c>
      <c r="B51" s="221">
        <f>Comparison!I19</f>
        <v>5.530935252</v>
      </c>
      <c r="C51" s="221">
        <f>Comparison!J19</f>
        <v>6.945132743</v>
      </c>
      <c r="D51" s="221">
        <f>Comparison!K19</f>
        <v>8.620347395</v>
      </c>
      <c r="E51" s="221">
        <f>Comparison!L19</f>
        <v>4.185714286</v>
      </c>
      <c r="F51" s="221">
        <f>Comparison!M19</f>
        <v>1.746067416</v>
      </c>
    </row>
    <row r="52">
      <c r="A52" s="215" t="s">
        <v>121</v>
      </c>
      <c r="B52" s="216">
        <f>Comparison!O19</f>
        <v>8.445544554</v>
      </c>
      <c r="C52" s="216">
        <f>Comparison!P19</f>
        <v>6.017647059</v>
      </c>
      <c r="D52" s="216">
        <f>Comparison!Q19</f>
        <v>1.065789474</v>
      </c>
      <c r="E52" s="216">
        <f>Comparison!R19</f>
        <v>-5.383333333</v>
      </c>
      <c r="F52" s="216">
        <f>Comparison!S19</f>
        <v>-16.79389313</v>
      </c>
    </row>
    <row r="53">
      <c r="A53" s="215" t="s">
        <v>122</v>
      </c>
      <c r="B53" s="216">
        <f>Comparison!U19</f>
        <v>3.442553191</v>
      </c>
      <c r="C53" s="216">
        <f>Comparison!V19</f>
        <v>2.90625</v>
      </c>
      <c r="D53" s="216">
        <f>Comparison!W19</f>
        <v>2.157534247</v>
      </c>
      <c r="E53" s="216">
        <f>Comparison!X19</f>
        <v>-0.6753670473</v>
      </c>
      <c r="F53" s="216">
        <f>Comparison!Y19</f>
        <v>-2.726453726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5" t="s">
        <v>89</v>
      </c>
      <c r="B1" s="215">
        <v>2024.0</v>
      </c>
      <c r="C1" s="215">
        <v>2023.0</v>
      </c>
      <c r="D1" s="215">
        <v>2022.0</v>
      </c>
      <c r="E1" s="215">
        <v>2021.0</v>
      </c>
      <c r="F1" s="215">
        <v>2020.0</v>
      </c>
    </row>
    <row r="2">
      <c r="A2" s="215" t="s">
        <v>144</v>
      </c>
      <c r="B2" s="215">
        <f>Comparison!C22</f>
        <v>0.4356</v>
      </c>
      <c r="C2" s="215">
        <f>Comparison!D22</f>
        <v>0.4338</v>
      </c>
      <c r="D2" s="215">
        <f>Comparison!E22</f>
        <v>0.3999</v>
      </c>
      <c r="E2" s="215">
        <f>Comparison!F22</f>
        <v>0.234</v>
      </c>
      <c r="F2" s="215">
        <f>Comparison!G22</f>
        <v>0.1257</v>
      </c>
    </row>
    <row r="3">
      <c r="A3" s="215" t="s">
        <v>120</v>
      </c>
      <c r="B3" s="221">
        <f>Comparison!I22</f>
        <v>0.2937416778</v>
      </c>
      <c r="C3" s="221">
        <f>Comparison!J22</f>
        <v>0.2872449561</v>
      </c>
      <c r="D3" s="221">
        <f>Comparison!K22</f>
        <v>0.2466554606</v>
      </c>
      <c r="E3" s="221">
        <f>Comparison!L22</f>
        <v>0.1559253932</v>
      </c>
      <c r="F3" s="221">
        <f>Comparison!M22</f>
        <v>0.09675799087</v>
      </c>
    </row>
    <row r="4">
      <c r="A4" s="215" t="s">
        <v>121</v>
      </c>
      <c r="B4" s="219">
        <f>Comparison!O22</f>
        <v>0.1662214495</v>
      </c>
      <c r="C4" s="219">
        <f>Comparison!P22</f>
        <v>0.1578515669</v>
      </c>
      <c r="D4" s="219">
        <f>Comparison!Q22</f>
        <v>0.1127904522</v>
      </c>
      <c r="E4" s="219">
        <f>Comparison!R22</f>
        <v>0.07494737838</v>
      </c>
      <c r="F4" s="219">
        <f>Comparison!S22</f>
        <v>0.04054561105</v>
      </c>
    </row>
    <row r="5">
      <c r="A5" s="215" t="s">
        <v>122</v>
      </c>
      <c r="B5" s="219">
        <f>Comparison!U22</f>
        <v>0.4089025383</v>
      </c>
      <c r="C5" s="219">
        <f>Comparison!V22</f>
        <v>0.3884959144</v>
      </c>
      <c r="D5" s="219">
        <f>Comparison!W22</f>
        <v>0.3153074403</v>
      </c>
      <c r="E5" s="219">
        <f>Comparison!X22</f>
        <v>0.1321365228</v>
      </c>
      <c r="F5" s="219">
        <f>Comparison!Y22</f>
        <v>0.09196111976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215" t="s">
        <v>157</v>
      </c>
      <c r="B1" s="215">
        <v>2024.0</v>
      </c>
      <c r="C1" s="215">
        <v>2023.0</v>
      </c>
      <c r="D1" s="215">
        <v>2022.0</v>
      </c>
      <c r="E1" s="215">
        <v>2021.0</v>
      </c>
      <c r="F1" s="215">
        <v>2020.0</v>
      </c>
    </row>
    <row r="2">
      <c r="A2" s="215" t="s">
        <v>144</v>
      </c>
      <c r="B2" s="215">
        <f>Comparison!C25</f>
        <v>7</v>
      </c>
      <c r="C2" s="215">
        <f>Comparison!D25</f>
        <v>6</v>
      </c>
      <c r="D2" s="215">
        <f>Comparison!E25</f>
        <v>8</v>
      </c>
      <c r="E2" s="215">
        <f>Comparison!F25</f>
        <v>9</v>
      </c>
      <c r="F2" s="215">
        <f>Comparison!G25</f>
        <v>13</v>
      </c>
    </row>
    <row r="3">
      <c r="A3" s="215" t="s">
        <v>120</v>
      </c>
      <c r="B3" s="221" t="str">
        <f>Comparison!I25</f>
        <v/>
      </c>
      <c r="C3" s="221" t="str">
        <f>Comparison!J25</f>
        <v/>
      </c>
      <c r="D3" s="221" t="str">
        <f>Comparison!K25</f>
        <v/>
      </c>
      <c r="E3" s="221" t="str">
        <f>Comparison!L25</f>
        <v/>
      </c>
      <c r="F3" s="221" t="str">
        <f>Comparison!M25</f>
        <v/>
      </c>
    </row>
    <row r="4">
      <c r="A4" s="215" t="s">
        <v>121</v>
      </c>
      <c r="B4" s="219">
        <f>Comparison!O25</f>
        <v>6.614457831</v>
      </c>
      <c r="C4" s="219">
        <f>Comparison!P25</f>
        <v>5.92808552</v>
      </c>
      <c r="D4" s="219">
        <f>Comparison!Q25</f>
        <v>6.226957384</v>
      </c>
      <c r="E4" s="219">
        <f>Comparison!R25</f>
        <v>7.913892078</v>
      </c>
      <c r="F4" s="219">
        <f>Comparison!S25</f>
        <v>13.44853648</v>
      </c>
      <c r="G4" s="222" t="str">
        <f>Comparison!T25</f>
        <v/>
      </c>
    </row>
    <row r="5">
      <c r="A5" s="215" t="s">
        <v>122</v>
      </c>
      <c r="B5" s="222" t="str">
        <f>Comparison!U25</f>
        <v/>
      </c>
      <c r="C5" s="222" t="str">
        <f>Comparison!V25</f>
        <v/>
      </c>
      <c r="D5" s="222" t="str">
        <f>Comparison!W25</f>
        <v/>
      </c>
      <c r="E5" s="222" t="str">
        <f>Comparison!X25</f>
        <v/>
      </c>
      <c r="F5" s="222" t="str">
        <f>Comparison!Y25</f>
        <v/>
      </c>
    </row>
    <row r="17">
      <c r="A17" s="215" t="s">
        <v>158</v>
      </c>
      <c r="B17" s="215">
        <v>2024.0</v>
      </c>
      <c r="C17" s="215">
        <v>2023.0</v>
      </c>
      <c r="D17" s="215">
        <v>2022.0</v>
      </c>
      <c r="E17" s="215">
        <v>2021.0</v>
      </c>
      <c r="F17" s="215">
        <v>2020.0</v>
      </c>
    </row>
    <row r="18">
      <c r="A18" s="215" t="s">
        <v>144</v>
      </c>
      <c r="B18" s="215">
        <f>Comparison!C26</f>
        <v>72.32</v>
      </c>
      <c r="C18" s="215">
        <f>Comparison!D26</f>
        <v>67.57</v>
      </c>
      <c r="D18" s="215">
        <f>Comparison!E26</f>
        <v>62.43</v>
      </c>
      <c r="E18" s="215">
        <f>Comparison!F26</f>
        <v>36.77</v>
      </c>
      <c r="F18" s="215">
        <f>Comparison!G26</f>
        <v>20.61</v>
      </c>
    </row>
    <row r="19">
      <c r="A19" s="215" t="s">
        <v>120</v>
      </c>
      <c r="B19" s="221">
        <f>Comparison!I26</f>
        <v>2.403486472</v>
      </c>
      <c r="C19" s="221">
        <f>Comparison!J26</f>
        <v>2.385008518</v>
      </c>
      <c r="D19" s="221">
        <f>Comparison!K26</f>
        <v>2.352734461</v>
      </c>
      <c r="E19" s="221">
        <f>Comparison!L26</f>
        <v>1.821333333</v>
      </c>
      <c r="F19" s="221">
        <f>Comparison!M26</f>
        <v>1.018015854</v>
      </c>
    </row>
    <row r="20">
      <c r="A20" s="215" t="s">
        <v>121</v>
      </c>
      <c r="B20" s="219">
        <f>Comparison!O26</f>
        <v>7.163487738</v>
      </c>
      <c r="C20" s="219">
        <f>Comparison!P26</f>
        <v>9.186831276</v>
      </c>
      <c r="D20" s="219">
        <f>Comparison!Q26</f>
        <v>8.699233716</v>
      </c>
      <c r="E20" s="219">
        <f>Comparison!R26</f>
        <v>7.962311558</v>
      </c>
      <c r="F20" s="219">
        <f>Comparison!S26</f>
        <v>3.879619852</v>
      </c>
    </row>
    <row r="21">
      <c r="A21" s="215" t="s">
        <v>122</v>
      </c>
      <c r="B21" s="219">
        <f>Comparison!U26</f>
        <v>11.55507766</v>
      </c>
      <c r="C21" s="219">
        <f>Comparison!V26</f>
        <v>11.1518595</v>
      </c>
      <c r="D21" s="219">
        <f>Comparison!W26</f>
        <v>10.99521226</v>
      </c>
      <c r="E21" s="219">
        <f>Comparison!X26</f>
        <v>6.281026504</v>
      </c>
      <c r="F21" s="219">
        <f>Comparison!Y26</f>
        <v>10.57593688</v>
      </c>
    </row>
    <row r="33">
      <c r="A33" s="215" t="s">
        <v>159</v>
      </c>
      <c r="B33" s="215">
        <v>2024.0</v>
      </c>
      <c r="C33" s="215">
        <v>2023.0</v>
      </c>
      <c r="D33" s="215">
        <v>2022.0</v>
      </c>
      <c r="E33" s="215">
        <v>2021.0</v>
      </c>
      <c r="F33" s="215">
        <v>2020.0</v>
      </c>
    </row>
    <row r="34">
      <c r="A34" s="215" t="s">
        <v>144</v>
      </c>
      <c r="B34" s="215">
        <f>Comparison!C27</f>
        <v>22</v>
      </c>
      <c r="C34" s="215">
        <f>Comparison!D27</f>
        <v>19</v>
      </c>
      <c r="D34" s="215">
        <f>Comparison!E27</f>
        <v>23</v>
      </c>
      <c r="E34" s="215">
        <f>Comparison!F27</f>
        <v>19</v>
      </c>
      <c r="F34" s="215">
        <f>Comparison!G27</f>
        <v>48</v>
      </c>
    </row>
    <row r="35">
      <c r="A35" s="215" t="s">
        <v>120</v>
      </c>
      <c r="B35" s="221">
        <f>Comparison!I27</f>
        <v>152.2787851</v>
      </c>
      <c r="C35" s="221">
        <f>Comparison!J27</f>
        <v>153.4585714</v>
      </c>
      <c r="D35" s="221">
        <f>Comparison!K27</f>
        <v>155.5636669</v>
      </c>
      <c r="E35" s="221">
        <f>Comparison!L27</f>
        <v>200.9516837</v>
      </c>
      <c r="F35" s="221">
        <f>Comparison!M27</f>
        <v>359.5228882</v>
      </c>
    </row>
    <row r="36">
      <c r="A36" s="215" t="s">
        <v>121</v>
      </c>
      <c r="B36" s="219">
        <f>Comparison!O27</f>
        <v>51.09243058</v>
      </c>
      <c r="C36" s="219">
        <f>Comparison!P27</f>
        <v>39.83963447</v>
      </c>
      <c r="D36" s="219">
        <f>Comparison!Q27</f>
        <v>42.07267122</v>
      </c>
      <c r="E36" s="219">
        <f>Comparison!R27</f>
        <v>45.96655096</v>
      </c>
      <c r="F36" s="219">
        <f>Comparison!S27</f>
        <v>94.3391399</v>
      </c>
    </row>
    <row r="37">
      <c r="A37" s="215" t="s">
        <v>122</v>
      </c>
      <c r="B37" s="219">
        <f>Comparison!U27</f>
        <v>31.67438686</v>
      </c>
      <c r="C37" s="219">
        <f>Comparison!V27</f>
        <v>32.81963872</v>
      </c>
      <c r="D37" s="219">
        <f>Comparison!W27</f>
        <v>33.28721551</v>
      </c>
      <c r="E37" s="219">
        <f>Comparison!X27</f>
        <v>58.27073007</v>
      </c>
      <c r="F37" s="219">
        <f>Comparison!Y27</f>
        <v>34.60686311</v>
      </c>
    </row>
    <row r="49">
      <c r="A49" s="215" t="s">
        <v>160</v>
      </c>
      <c r="B49" s="215">
        <v>2024.0</v>
      </c>
      <c r="C49" s="215">
        <v>2023.0</v>
      </c>
      <c r="D49" s="215">
        <v>2022.0</v>
      </c>
      <c r="E49" s="215">
        <v>2021.0</v>
      </c>
      <c r="F49" s="215">
        <v>2020.0</v>
      </c>
    </row>
    <row r="50">
      <c r="A50" s="215" t="s">
        <v>144</v>
      </c>
      <c r="B50" s="215">
        <f>Comparison!C28</f>
        <v>10.63</v>
      </c>
      <c r="C50" s="220">
        <f>Comparison!D28</f>
        <v>9.5923</v>
      </c>
      <c r="D50" s="215">
        <f>Comparison!E28</f>
        <v>21.47</v>
      </c>
      <c r="E50" s="215">
        <f>Comparison!F28</f>
        <v>37.0513</v>
      </c>
      <c r="F50" s="215">
        <f>Comparison!G28</f>
        <v>9.706</v>
      </c>
    </row>
    <row r="51">
      <c r="A51" s="215" t="s">
        <v>120</v>
      </c>
      <c r="B51" s="221">
        <f>Comparison!I28</f>
        <v>1.842771486</v>
      </c>
      <c r="C51" s="221">
        <f>Comparison!J28</f>
        <v>1.824797844</v>
      </c>
      <c r="D51" s="221">
        <f>Comparison!K28</f>
        <v>1.721467391</v>
      </c>
      <c r="E51" s="221">
        <f>Comparison!L28</f>
        <v>1.522745411</v>
      </c>
      <c r="F51" s="221">
        <f>Comparison!M28</f>
        <v>1.454691259</v>
      </c>
    </row>
    <row r="52">
      <c r="A52" s="215" t="s">
        <v>121</v>
      </c>
      <c r="B52" s="219">
        <f>Comparison!O28</f>
        <v>1.628860029</v>
      </c>
      <c r="C52" s="219">
        <f>Comparison!P28</f>
        <v>1.947019868</v>
      </c>
      <c r="D52" s="219">
        <f>Comparison!Q28</f>
        <v>3.441728255</v>
      </c>
      <c r="E52" s="219">
        <f>Comparison!R28</f>
        <v>16.43396226</v>
      </c>
      <c r="F52" s="219">
        <f>Comparison!S28</f>
        <v>12.73224044</v>
      </c>
    </row>
    <row r="53">
      <c r="A53" s="215" t="s">
        <v>122</v>
      </c>
      <c r="B53" s="219">
        <f>Comparison!U28</f>
        <v>2.313452571</v>
      </c>
      <c r="C53" s="219">
        <f>Comparison!V28</f>
        <v>2.268952699</v>
      </c>
      <c r="D53" s="219">
        <f>Comparison!W28</f>
        <v>2.298530249</v>
      </c>
      <c r="E53" s="219">
        <f>Comparison!X28</f>
        <v>1.580449591</v>
      </c>
      <c r="F53" s="219">
        <f>Comparison!Y28</f>
        <v>1.553318928</v>
      </c>
    </row>
    <row r="65">
      <c r="A65" s="215" t="s">
        <v>161</v>
      </c>
      <c r="B65" s="215">
        <v>2024.0</v>
      </c>
      <c r="C65" s="215">
        <v>2023.0</v>
      </c>
      <c r="D65" s="215">
        <v>2022.0</v>
      </c>
      <c r="E65" s="215">
        <v>2021.0</v>
      </c>
      <c r="F65" s="215">
        <v>2020.0</v>
      </c>
    </row>
    <row r="66">
      <c r="A66" s="215" t="s">
        <v>144</v>
      </c>
      <c r="B66" s="215">
        <f>Comparison!C29</f>
        <v>34.43</v>
      </c>
      <c r="C66" s="215">
        <f>Comparison!D29</f>
        <v>38.06</v>
      </c>
      <c r="D66" s="215">
        <f>Comparison!E29</f>
        <v>17.0004</v>
      </c>
      <c r="E66" s="215">
        <f>Comparison!F29</f>
        <v>9.8512</v>
      </c>
      <c r="F66" s="215">
        <f>Comparison!G29</f>
        <v>37.7086</v>
      </c>
    </row>
    <row r="67">
      <c r="A67" s="215" t="s">
        <v>120</v>
      </c>
      <c r="B67" s="221">
        <f>Comparison!I29</f>
        <v>198.6138829</v>
      </c>
      <c r="C67" s="221">
        <f>Comparison!J29</f>
        <v>200.5701625</v>
      </c>
      <c r="D67" s="221">
        <f>Comparison!K29</f>
        <v>212.6093133</v>
      </c>
      <c r="E67" s="221">
        <f>Comparison!L29</f>
        <v>240.3553459</v>
      </c>
      <c r="F67" s="221">
        <f>Comparison!M29</f>
        <v>251.5997795</v>
      </c>
    </row>
    <row r="68">
      <c r="A68" s="215" t="s">
        <v>121</v>
      </c>
      <c r="B68" s="219">
        <f>Comparison!O29</f>
        <v>224.6970234</v>
      </c>
      <c r="C68" s="219">
        <f>Comparison!P29</f>
        <v>187.9795918</v>
      </c>
      <c r="D68" s="219">
        <f>Comparison!Q29</f>
        <v>106.3419227</v>
      </c>
      <c r="E68" s="219">
        <f>Comparison!R29</f>
        <v>22.27095293</v>
      </c>
      <c r="F68" s="219">
        <f>Comparison!S29</f>
        <v>28.74592275</v>
      </c>
    </row>
    <row r="69">
      <c r="A69" s="215" t="s">
        <v>122</v>
      </c>
      <c r="B69" s="219">
        <f>Comparison!U29</f>
        <v>158.205102</v>
      </c>
      <c r="C69" s="219">
        <f>Comparison!V29</f>
        <v>161.3079022</v>
      </c>
      <c r="D69" s="219">
        <f>Comparison!W29</f>
        <v>159.2321877</v>
      </c>
      <c r="E69" s="219">
        <f>Comparison!X29</f>
        <v>231.5796734</v>
      </c>
      <c r="F69" s="219">
        <f>Comparison!Y29</f>
        <v>235.6245027</v>
      </c>
    </row>
    <row r="81">
      <c r="A81" s="215" t="s">
        <v>162</v>
      </c>
      <c r="B81" s="215">
        <v>2024.0</v>
      </c>
      <c r="C81" s="215">
        <v>2023.0</v>
      </c>
      <c r="D81" s="215">
        <v>2022.0</v>
      </c>
      <c r="E81" s="215">
        <v>2021.0</v>
      </c>
      <c r="F81" s="215">
        <v>2020.0</v>
      </c>
    </row>
    <row r="82">
      <c r="A82" s="215" t="s">
        <v>144</v>
      </c>
      <c r="B82" s="215">
        <f>Comparison!C30</f>
        <v>0.2635</v>
      </c>
      <c r="C82" s="215">
        <f>Comparison!D30</f>
        <v>0.2713</v>
      </c>
      <c r="D82" s="215">
        <f>Comparison!E30</f>
        <v>0.2886</v>
      </c>
      <c r="E82" s="215">
        <f>Comparison!F30</f>
        <v>0.101</v>
      </c>
      <c r="F82" s="215">
        <f>Comparison!G30</f>
        <v>-0.1895</v>
      </c>
    </row>
    <row r="83">
      <c r="A83" s="215" t="s">
        <v>120</v>
      </c>
      <c r="B83" s="221" t="str">
        <f>Comparison!I30</f>
        <v/>
      </c>
      <c r="C83" s="221" t="str">
        <f>Comparison!J30</f>
        <v/>
      </c>
      <c r="D83" s="221" t="str">
        <f>Comparison!K30</f>
        <v/>
      </c>
      <c r="E83" s="221" t="str">
        <f>Comparison!L30</f>
        <v/>
      </c>
      <c r="F83" s="221" t="str">
        <f>Comparison!M30</f>
        <v/>
      </c>
    </row>
    <row r="84">
      <c r="A84" s="215" t="s">
        <v>121</v>
      </c>
      <c r="B84" s="222" t="str">
        <f>Comparison!O30</f>
        <v/>
      </c>
      <c r="C84" s="222" t="str">
        <f>Comparison!P30</f>
        <v/>
      </c>
      <c r="D84" s="222" t="str">
        <f>Comparison!Q30</f>
        <v/>
      </c>
      <c r="E84" s="222" t="str">
        <f>Comparison!R30</f>
        <v/>
      </c>
      <c r="F84" s="222" t="str">
        <f>Comparison!S30</f>
        <v/>
      </c>
    </row>
    <row r="85">
      <c r="A85" s="215" t="s">
        <v>122</v>
      </c>
      <c r="B85" s="222" t="str">
        <f>Comparison!U30</f>
        <v/>
      </c>
      <c r="C85" s="222" t="str">
        <f>Comparison!V30</f>
        <v/>
      </c>
      <c r="D85" s="222" t="str">
        <f>Comparison!W30</f>
        <v/>
      </c>
      <c r="E85" s="222" t="str">
        <f>Comparison!X30</f>
        <v/>
      </c>
      <c r="F85" s="222" t="str">
        <f>Comparison!Y30</f>
        <v/>
      </c>
    </row>
    <row r="96">
      <c r="A96" s="215" t="s">
        <v>163</v>
      </c>
      <c r="B96" s="215">
        <v>2024.0</v>
      </c>
      <c r="C96" s="215">
        <v>2023.0</v>
      </c>
      <c r="D96" s="215">
        <v>2022.0</v>
      </c>
      <c r="E96" s="215">
        <v>2021.0</v>
      </c>
      <c r="F96" s="215">
        <v>2020.0</v>
      </c>
    </row>
    <row r="97">
      <c r="A97" s="215" t="s">
        <v>144</v>
      </c>
      <c r="B97" s="215">
        <f>Comparison!C31</f>
        <v>0.4356</v>
      </c>
      <c r="C97" s="215">
        <f>Comparison!D31</f>
        <v>0.4338</v>
      </c>
      <c r="D97" s="215">
        <f>Comparison!E31</f>
        <v>0.3999</v>
      </c>
      <c r="E97" s="215">
        <f>Comparison!F31</f>
        <v>0.234</v>
      </c>
      <c r="F97" s="215">
        <f>Comparison!G31</f>
        <v>0.1257</v>
      </c>
    </row>
    <row r="98">
      <c r="A98" s="215" t="s">
        <v>120</v>
      </c>
      <c r="B98" s="221">
        <f>Comparison!I31</f>
        <v>0.2552452947</v>
      </c>
      <c r="C98" s="221">
        <f>Comparison!J31</f>
        <v>0.2495593099</v>
      </c>
      <c r="D98" s="221">
        <f>Comparison!K31</f>
        <v>0.2126747141</v>
      </c>
      <c r="E98" s="221">
        <f>Comparison!L31</f>
        <v>0.1359095793</v>
      </c>
      <c r="F98" s="221">
        <f>Comparison!M31</f>
        <v>0.08518250523</v>
      </c>
    </row>
    <row r="99">
      <c r="A99" s="215" t="s">
        <v>121</v>
      </c>
      <c r="B99" s="216">
        <f>Comparison!O31</f>
        <v>0.1448265414</v>
      </c>
      <c r="C99" s="216">
        <f>Comparison!P31</f>
        <v>0.1395703604</v>
      </c>
      <c r="D99" s="216">
        <f>Comparison!Q31</f>
        <v>0.1047653105</v>
      </c>
      <c r="E99" s="216">
        <f>Comparison!R31</f>
        <v>0.07049820362</v>
      </c>
      <c r="F99" s="216">
        <f>Comparison!S31</f>
        <v>0.03794357004</v>
      </c>
    </row>
    <row r="100">
      <c r="A100" s="215" t="s">
        <v>122</v>
      </c>
      <c r="B100" s="216">
        <f>Comparison!U31</f>
        <v>0.5515570955</v>
      </c>
      <c r="C100" s="216">
        <f>Comparison!V31</f>
        <v>0.5194945191</v>
      </c>
      <c r="D100" s="216">
        <f>Comparison!W31</f>
        <v>0.4193498908</v>
      </c>
      <c r="E100" s="216">
        <f>Comparison!X31</f>
        <v>0.1769957666</v>
      </c>
      <c r="F100" s="216">
        <f>Comparison!Y31</f>
        <v>0.1229560731</v>
      </c>
    </row>
  </sheetData>
  <drawing r:id="rId1"/>
</worksheet>
</file>